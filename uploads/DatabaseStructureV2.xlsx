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\iCloudDrive\CORA\Website Development\"/>
    </mc:Choice>
  </mc:AlternateContent>
  <xr:revisionPtr revIDLastSave="0" documentId="13_ncr:1_{FC85F6B2-9EF9-412C-992D-5EF5256DB6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rrower Overview" sheetId="6" r:id="rId1"/>
    <sheet name="Collateral Overview" sheetId="9" r:id="rId2"/>
    <sheet name="Machinery &amp; Equipment &gt;&gt;&gt;" sheetId="20" r:id="rId3"/>
    <sheet name="Machinery &amp; Equipment " sheetId="11" r:id="rId4"/>
    <sheet name="Accounts Receivable &gt;&gt;&gt;" sheetId="12" r:id="rId5"/>
    <sheet name="Aging Composition" sheetId="13" r:id="rId6"/>
    <sheet name="AR_Metrics" sheetId="14" r:id="rId7"/>
    <sheet name="Top20_By_Total_AR" sheetId="16" r:id="rId8"/>
    <sheet name="Top20_By_PastDue" sheetId="15" r:id="rId9"/>
    <sheet name="Ineligible_Trend" sheetId="17" r:id="rId10"/>
    <sheet name="Ineligible_Overview" sheetId="18" r:id="rId11"/>
    <sheet name="Concentration_ADO_DSO" sheetId="19" r:id="rId12"/>
    <sheet name="Inveentory&gt;&gt;&gt;" sheetId="21" r:id="rId13"/>
    <sheet name="Finished Goods &gt;&gt;&gt;" sheetId="22" r:id="rId14"/>
    <sheet name="FG_Inventory_Metrics" sheetId="23" r:id="rId15"/>
    <sheet name="FG_Ineligible_detail" sheetId="24" r:id="rId16"/>
    <sheet name="FG_Composition" sheetId="27" r:id="rId17"/>
    <sheet name="FG_Inline_Category_Analysis" sheetId="41" r:id="rId18"/>
    <sheet name="Sales_GM_Trend" sheetId="26" r:id="rId19"/>
    <sheet name="FG_Inline_Excess_By_Category" sheetId="29" r:id="rId20"/>
    <sheet name="Historical_Top_20_SKUs" sheetId="30" r:id="rId21"/>
    <sheet name="Raw Materials &gt;&gt;&gt;" sheetId="31" r:id="rId22"/>
    <sheet name="RM_Inventory_Metrics" sheetId="32" r:id="rId23"/>
    <sheet name="RM_Ineligible_Overview" sheetId="33" r:id="rId24"/>
    <sheet name="RM_Category_History" sheetId="34" r:id="rId25"/>
    <sheet name="RM_Top20_History" sheetId="35" r:id="rId26"/>
    <sheet name="Work-In-Process&gt;&gt;&gt;" sheetId="36" r:id="rId27"/>
    <sheet name="WIP_Inventory_Metrics" sheetId="37" r:id="rId28"/>
    <sheet name="WIP_Ineligible_Overview" sheetId="38" r:id="rId29"/>
    <sheet name="WIP_Category_History" sheetId="39" r:id="rId30"/>
    <sheet name="WIP_Top20_History" sheetId="40" r:id="rId31"/>
    <sheet name="Liquidation&gt;&gt;&gt;" sheetId="42" r:id="rId32"/>
    <sheet name="FG_Gross_Recovery_History" sheetId="43" r:id="rId33"/>
    <sheet name="WIP_Recovery" sheetId="44" r:id="rId34"/>
    <sheet name="Raw_Material_Recovery" sheetId="45" r:id="rId35"/>
    <sheet name="NOLV_Table" sheetId="46" r:id="rId36"/>
    <sheet name="Risk&gt;&gt;&gt;" sheetId="47" r:id="rId37"/>
    <sheet name="Risk_Subfactors" sheetId="49" r:id="rId38"/>
    <sheet name="Composite_Index" sheetId="50" r:id="rId39"/>
    <sheet name="Forecast&gt;&gt;&gt;" sheetId="51" r:id="rId40"/>
    <sheet name="Forecast" sheetId="55" r:id="rId41"/>
    <sheet name="Cash Flow&gt;&gt;&gt;" sheetId="56" r:id="rId42"/>
    <sheet name="Cash Flow Forecast" sheetId="57" r:id="rId43"/>
    <sheet name="Cash Forecast" sheetId="58" r:id="rId44"/>
    <sheet name="Availability Forecast" sheetId="59" r:id="rId45"/>
    <sheet name="Current Week Variance" sheetId="60" r:id="rId46"/>
    <sheet name="Cummulative Variance" sheetId="61" r:id="rId47"/>
    <sheet name="Collateral Limits&gt;&gt;&gt;" sheetId="62" r:id="rId48"/>
    <sheet name="Collateral Limits " sheetId="63" r:id="rId49"/>
    <sheet name="Ineligibles" sheetId="64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/>
  <c r="H5" i="9" s="1"/>
  <c r="J5" i="9" s="1"/>
  <c r="D5" i="9"/>
  <c r="C5" i="9"/>
  <c r="D4" i="9"/>
  <c r="C4" i="9"/>
  <c r="D3" i="9"/>
  <c r="C3" i="9"/>
  <c r="I5" i="9"/>
  <c r="I4" i="9"/>
  <c r="I3" i="9"/>
  <c r="I2" i="9"/>
  <c r="K4" i="46"/>
  <c r="K5" i="46"/>
  <c r="K6" i="46"/>
  <c r="K7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F4" i="9" s="1"/>
  <c r="H4" i="9" s="1"/>
  <c r="J4" i="9" s="1"/>
  <c r="K4" i="9" s="1"/>
  <c r="M4" i="9" s="1"/>
  <c r="G3" i="46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3" i="46"/>
  <c r="F3" i="9"/>
  <c r="H3" i="9" s="1"/>
  <c r="J3" i="9" s="1"/>
  <c r="K3" i="9" s="1"/>
  <c r="M3" i="9" s="1"/>
  <c r="C13" i="63"/>
  <c r="C12" i="63"/>
  <c r="C11" i="63"/>
  <c r="C10" i="63"/>
  <c r="C9" i="63"/>
  <c r="C8" i="63"/>
  <c r="C7" i="63"/>
  <c r="C6" i="63"/>
  <c r="C5" i="63"/>
  <c r="C4" i="63"/>
  <c r="C3" i="63"/>
  <c r="C2" i="63"/>
  <c r="D13" i="63"/>
  <c r="D12" i="63"/>
  <c r="D9" i="63"/>
  <c r="D8" i="63"/>
  <c r="D5" i="63"/>
  <c r="D4" i="63"/>
  <c r="E19" i="61"/>
  <c r="F19" i="61" s="1"/>
  <c r="E18" i="61"/>
  <c r="F18" i="61" s="1"/>
  <c r="E17" i="61"/>
  <c r="E16" i="61"/>
  <c r="E15" i="61"/>
  <c r="E14" i="61"/>
  <c r="F14" i="61" s="1"/>
  <c r="E13" i="61"/>
  <c r="F13" i="61" s="1"/>
  <c r="E12" i="61"/>
  <c r="F12" i="61" s="1"/>
  <c r="E11" i="61"/>
  <c r="F11" i="61" s="1"/>
  <c r="E10" i="61"/>
  <c r="F10" i="61" s="1"/>
  <c r="E9" i="61"/>
  <c r="E8" i="61"/>
  <c r="E6" i="61"/>
  <c r="E5" i="61"/>
  <c r="F5" i="61" s="1"/>
  <c r="E3" i="61"/>
  <c r="F19" i="60"/>
  <c r="F18" i="60"/>
  <c r="F12" i="60"/>
  <c r="F11" i="60"/>
  <c r="F10" i="60"/>
  <c r="D14" i="60"/>
  <c r="D20" i="60" s="1"/>
  <c r="D4" i="60"/>
  <c r="D21" i="60" s="1"/>
  <c r="C2" i="60"/>
  <c r="E2" i="60" s="1"/>
  <c r="F2" i="60" s="1"/>
  <c r="C5" i="60"/>
  <c r="C14" i="60" s="1"/>
  <c r="E3" i="60"/>
  <c r="E5" i="60"/>
  <c r="F5" i="60" s="1"/>
  <c r="E6" i="60"/>
  <c r="E8" i="60"/>
  <c r="E9" i="60"/>
  <c r="E10" i="60"/>
  <c r="E11" i="60"/>
  <c r="E12" i="60"/>
  <c r="E13" i="60"/>
  <c r="F13" i="60" s="1"/>
  <c r="E15" i="60"/>
  <c r="E16" i="60"/>
  <c r="E17" i="60"/>
  <c r="E18" i="60"/>
  <c r="E19" i="60"/>
  <c r="B242" i="55"/>
  <c r="B218" i="55" s="1"/>
  <c r="B194" i="55" s="1"/>
  <c r="B170" i="55" s="1"/>
  <c r="B146" i="55" s="1"/>
  <c r="B122" i="55" s="1"/>
  <c r="B98" i="55" s="1"/>
  <c r="B74" i="55" s="1"/>
  <c r="B50" i="55" s="1"/>
  <c r="B26" i="55" s="1"/>
  <c r="B2" i="55" s="1"/>
  <c r="B243" i="55"/>
  <c r="B219" i="55" s="1"/>
  <c r="B195" i="55" s="1"/>
  <c r="B171" i="55" s="1"/>
  <c r="B147" i="55" s="1"/>
  <c r="B123" i="55" s="1"/>
  <c r="B99" i="55" s="1"/>
  <c r="B75" i="55" s="1"/>
  <c r="B51" i="55" s="1"/>
  <c r="B27" i="55" s="1"/>
  <c r="B3" i="55" s="1"/>
  <c r="B244" i="55"/>
  <c r="B220" i="55" s="1"/>
  <c r="B196" i="55" s="1"/>
  <c r="B172" i="55" s="1"/>
  <c r="B148" i="55" s="1"/>
  <c r="B124" i="55" s="1"/>
  <c r="B100" i="55" s="1"/>
  <c r="B76" i="55" s="1"/>
  <c r="B52" i="55" s="1"/>
  <c r="B28" i="55" s="1"/>
  <c r="B4" i="55" s="1"/>
  <c r="B245" i="55"/>
  <c r="B221" i="55" s="1"/>
  <c r="B197" i="55" s="1"/>
  <c r="B173" i="55" s="1"/>
  <c r="B149" i="55" s="1"/>
  <c r="B125" i="55" s="1"/>
  <c r="B101" i="55" s="1"/>
  <c r="B77" i="55" s="1"/>
  <c r="B53" i="55" s="1"/>
  <c r="B29" i="55" s="1"/>
  <c r="B5" i="55" s="1"/>
  <c r="B246" i="55"/>
  <c r="B222" i="55" s="1"/>
  <c r="B198" i="55" s="1"/>
  <c r="B174" i="55" s="1"/>
  <c r="B150" i="55" s="1"/>
  <c r="B126" i="55" s="1"/>
  <c r="B102" i="55" s="1"/>
  <c r="B78" i="55" s="1"/>
  <c r="B54" i="55" s="1"/>
  <c r="B30" i="55" s="1"/>
  <c r="B6" i="55" s="1"/>
  <c r="B247" i="55"/>
  <c r="B223" i="55" s="1"/>
  <c r="B199" i="55" s="1"/>
  <c r="B175" i="55" s="1"/>
  <c r="B151" i="55" s="1"/>
  <c r="B127" i="55" s="1"/>
  <c r="B103" i="55" s="1"/>
  <c r="B79" i="55" s="1"/>
  <c r="B55" i="55" s="1"/>
  <c r="B31" i="55" s="1"/>
  <c r="B7" i="55" s="1"/>
  <c r="B248" i="55"/>
  <c r="B224" i="55" s="1"/>
  <c r="B200" i="55" s="1"/>
  <c r="B176" i="55" s="1"/>
  <c r="B152" i="55" s="1"/>
  <c r="B128" i="55" s="1"/>
  <c r="B104" i="55" s="1"/>
  <c r="B80" i="55" s="1"/>
  <c r="B56" i="55" s="1"/>
  <c r="B32" i="55" s="1"/>
  <c r="B8" i="55" s="1"/>
  <c r="B249" i="55"/>
  <c r="B225" i="55" s="1"/>
  <c r="B201" i="55" s="1"/>
  <c r="B177" i="55" s="1"/>
  <c r="B153" i="55" s="1"/>
  <c r="B129" i="55" s="1"/>
  <c r="B105" i="55" s="1"/>
  <c r="B81" i="55" s="1"/>
  <c r="B57" i="55" s="1"/>
  <c r="B33" i="55" s="1"/>
  <c r="B9" i="55" s="1"/>
  <c r="B250" i="55"/>
  <c r="B226" i="55" s="1"/>
  <c r="B202" i="55" s="1"/>
  <c r="B178" i="55" s="1"/>
  <c r="B154" i="55" s="1"/>
  <c r="B130" i="55" s="1"/>
  <c r="B106" i="55" s="1"/>
  <c r="B82" i="55" s="1"/>
  <c r="B58" i="55" s="1"/>
  <c r="B34" i="55" s="1"/>
  <c r="B10" i="55" s="1"/>
  <c r="B251" i="55"/>
  <c r="B227" i="55" s="1"/>
  <c r="B203" i="55" s="1"/>
  <c r="B179" i="55" s="1"/>
  <c r="B155" i="55" s="1"/>
  <c r="B131" i="55" s="1"/>
  <c r="B107" i="55" s="1"/>
  <c r="B83" i="55" s="1"/>
  <c r="B59" i="55" s="1"/>
  <c r="B35" i="55" s="1"/>
  <c r="B11" i="55" s="1"/>
  <c r="B252" i="55"/>
  <c r="B228" i="55" s="1"/>
  <c r="B204" i="55" s="1"/>
  <c r="B180" i="55" s="1"/>
  <c r="B156" i="55" s="1"/>
  <c r="B132" i="55" s="1"/>
  <c r="B108" i="55" s="1"/>
  <c r="B84" i="55" s="1"/>
  <c r="B60" i="55" s="1"/>
  <c r="B36" i="55" s="1"/>
  <c r="B12" i="55" s="1"/>
  <c r="B253" i="55"/>
  <c r="B229" i="55" s="1"/>
  <c r="B205" i="55" s="1"/>
  <c r="B181" i="55" s="1"/>
  <c r="B157" i="55" s="1"/>
  <c r="B133" i="55" s="1"/>
  <c r="B109" i="55" s="1"/>
  <c r="B85" i="55" s="1"/>
  <c r="B61" i="55" s="1"/>
  <c r="B37" i="55" s="1"/>
  <c r="B13" i="55" s="1"/>
  <c r="B254" i="55"/>
  <c r="B230" i="55" s="1"/>
  <c r="B206" i="55" s="1"/>
  <c r="B182" i="55" s="1"/>
  <c r="B158" i="55" s="1"/>
  <c r="B134" i="55" s="1"/>
  <c r="B110" i="55" s="1"/>
  <c r="B86" i="55" s="1"/>
  <c r="B62" i="55" s="1"/>
  <c r="B38" i="55" s="1"/>
  <c r="B14" i="55" s="1"/>
  <c r="B255" i="55"/>
  <c r="B231" i="55" s="1"/>
  <c r="B207" i="55" s="1"/>
  <c r="B183" i="55" s="1"/>
  <c r="B159" i="55" s="1"/>
  <c r="B135" i="55" s="1"/>
  <c r="B111" i="55" s="1"/>
  <c r="B87" i="55" s="1"/>
  <c r="B63" i="55" s="1"/>
  <c r="B39" i="55" s="1"/>
  <c r="B15" i="55" s="1"/>
  <c r="B256" i="55"/>
  <c r="B232" i="55" s="1"/>
  <c r="B208" i="55" s="1"/>
  <c r="B184" i="55" s="1"/>
  <c r="B160" i="55" s="1"/>
  <c r="B136" i="55" s="1"/>
  <c r="B112" i="55" s="1"/>
  <c r="B88" i="55" s="1"/>
  <c r="B64" i="55" s="1"/>
  <c r="B40" i="55" s="1"/>
  <c r="B16" i="55" s="1"/>
  <c r="B257" i="55"/>
  <c r="B233" i="55" s="1"/>
  <c r="B209" i="55" s="1"/>
  <c r="B185" i="55" s="1"/>
  <c r="B161" i="55" s="1"/>
  <c r="B137" i="55" s="1"/>
  <c r="B113" i="55" s="1"/>
  <c r="B89" i="55" s="1"/>
  <c r="B65" i="55" s="1"/>
  <c r="B41" i="55" s="1"/>
  <c r="B17" i="55" s="1"/>
  <c r="B258" i="55"/>
  <c r="B234" i="55" s="1"/>
  <c r="B210" i="55" s="1"/>
  <c r="B186" i="55" s="1"/>
  <c r="B162" i="55" s="1"/>
  <c r="B138" i="55" s="1"/>
  <c r="B114" i="55" s="1"/>
  <c r="B90" i="55" s="1"/>
  <c r="B66" i="55" s="1"/>
  <c r="B42" i="55" s="1"/>
  <c r="B18" i="55" s="1"/>
  <c r="B259" i="55"/>
  <c r="B235" i="55" s="1"/>
  <c r="B211" i="55" s="1"/>
  <c r="B187" i="55" s="1"/>
  <c r="B163" i="55" s="1"/>
  <c r="B139" i="55" s="1"/>
  <c r="B115" i="55" s="1"/>
  <c r="B91" i="55" s="1"/>
  <c r="B67" i="55" s="1"/>
  <c r="B43" i="55" s="1"/>
  <c r="B19" i="55" s="1"/>
  <c r="B260" i="55"/>
  <c r="B236" i="55" s="1"/>
  <c r="B212" i="55" s="1"/>
  <c r="B188" i="55" s="1"/>
  <c r="B164" i="55" s="1"/>
  <c r="B140" i="55" s="1"/>
  <c r="B116" i="55" s="1"/>
  <c r="B92" i="55" s="1"/>
  <c r="B68" i="55" s="1"/>
  <c r="B44" i="55" s="1"/>
  <c r="B20" i="55" s="1"/>
  <c r="B261" i="55"/>
  <c r="B237" i="55" s="1"/>
  <c r="B213" i="55" s="1"/>
  <c r="B189" i="55" s="1"/>
  <c r="B165" i="55" s="1"/>
  <c r="B141" i="55" s="1"/>
  <c r="B117" i="55" s="1"/>
  <c r="B93" i="55" s="1"/>
  <c r="B69" i="55" s="1"/>
  <c r="B45" i="55" s="1"/>
  <c r="B21" i="55" s="1"/>
  <c r="B262" i="55"/>
  <c r="B238" i="55" s="1"/>
  <c r="B214" i="55" s="1"/>
  <c r="B190" i="55" s="1"/>
  <c r="B166" i="55" s="1"/>
  <c r="B142" i="55" s="1"/>
  <c r="B118" i="55" s="1"/>
  <c r="B94" i="55" s="1"/>
  <c r="B70" i="55" s="1"/>
  <c r="B46" i="55" s="1"/>
  <c r="B22" i="55" s="1"/>
  <c r="B263" i="55"/>
  <c r="B239" i="55" s="1"/>
  <c r="B215" i="55" s="1"/>
  <c r="B191" i="55" s="1"/>
  <c r="B167" i="55" s="1"/>
  <c r="B143" i="55" s="1"/>
  <c r="B119" i="55" s="1"/>
  <c r="B95" i="55" s="1"/>
  <c r="B71" i="55" s="1"/>
  <c r="B47" i="55" s="1"/>
  <c r="B23" i="55" s="1"/>
  <c r="B264" i="55"/>
  <c r="B240" i="55" s="1"/>
  <c r="B216" i="55" s="1"/>
  <c r="B192" i="55" s="1"/>
  <c r="B168" i="55" s="1"/>
  <c r="B144" i="55" s="1"/>
  <c r="B120" i="55" s="1"/>
  <c r="B96" i="55" s="1"/>
  <c r="B72" i="55" s="1"/>
  <c r="B48" i="55" s="1"/>
  <c r="B24" i="55" s="1"/>
  <c r="B265" i="55"/>
  <c r="B241" i="55" s="1"/>
  <c r="B217" i="55" s="1"/>
  <c r="B193" i="55" s="1"/>
  <c r="B169" i="55" s="1"/>
  <c r="B145" i="55" s="1"/>
  <c r="B121" i="55" s="1"/>
  <c r="B97" i="55" s="1"/>
  <c r="B73" i="55" s="1"/>
  <c r="B49" i="55" s="1"/>
  <c r="B25" i="55" s="1"/>
  <c r="N4" i="43"/>
  <c r="P4" i="43"/>
  <c r="O4" i="43"/>
  <c r="K2" i="45"/>
  <c r="K3" i="45"/>
  <c r="K4" i="45"/>
  <c r="K5" i="45"/>
  <c r="K6" i="45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17" i="45"/>
  <c r="K118" i="45"/>
  <c r="K119" i="45"/>
  <c r="K120" i="45"/>
  <c r="K121" i="45"/>
  <c r="K122" i="45"/>
  <c r="K123" i="45"/>
  <c r="K124" i="45"/>
  <c r="K125" i="45"/>
  <c r="K126" i="45"/>
  <c r="K127" i="45"/>
  <c r="K128" i="45"/>
  <c r="K129" i="45"/>
  <c r="K130" i="45"/>
  <c r="K131" i="45"/>
  <c r="K132" i="45"/>
  <c r="K133" i="45"/>
  <c r="K134" i="45"/>
  <c r="K135" i="45"/>
  <c r="K136" i="45"/>
  <c r="K137" i="45"/>
  <c r="K138" i="45"/>
  <c r="K139" i="45"/>
  <c r="K140" i="45"/>
  <c r="K141" i="45"/>
  <c r="K142" i="45"/>
  <c r="K143" i="45"/>
  <c r="K144" i="45"/>
  <c r="K145" i="45"/>
  <c r="K146" i="45"/>
  <c r="K147" i="45"/>
  <c r="K148" i="45"/>
  <c r="K149" i="45"/>
  <c r="K150" i="45"/>
  <c r="K151" i="45"/>
  <c r="K152" i="45"/>
  <c r="K153" i="45"/>
  <c r="K154" i="45"/>
  <c r="K155" i="45"/>
  <c r="K156" i="45"/>
  <c r="K157" i="45"/>
  <c r="K158" i="45"/>
  <c r="K159" i="45"/>
  <c r="K160" i="45"/>
  <c r="K161" i="45"/>
  <c r="K162" i="45"/>
  <c r="K163" i="45"/>
  <c r="K164" i="45"/>
  <c r="K165" i="45"/>
  <c r="K166" i="45"/>
  <c r="K167" i="45"/>
  <c r="K168" i="45"/>
  <c r="K169" i="45"/>
  <c r="K170" i="45"/>
  <c r="K171" i="45"/>
  <c r="K172" i="45"/>
  <c r="K173" i="45"/>
  <c r="K174" i="45"/>
  <c r="K175" i="45"/>
  <c r="K176" i="45"/>
  <c r="K177" i="45"/>
  <c r="K178" i="45"/>
  <c r="K179" i="45"/>
  <c r="K180" i="45"/>
  <c r="K181" i="45"/>
  <c r="K182" i="45"/>
  <c r="K183" i="45"/>
  <c r="K184" i="45"/>
  <c r="K185" i="45"/>
  <c r="K186" i="45"/>
  <c r="K187" i="45"/>
  <c r="K188" i="45"/>
  <c r="K189" i="45"/>
  <c r="K190" i="45"/>
  <c r="K191" i="45"/>
  <c r="K192" i="45"/>
  <c r="K193" i="45"/>
  <c r="K194" i="45"/>
  <c r="K195" i="45"/>
  <c r="K196" i="45"/>
  <c r="K197" i="45"/>
  <c r="K198" i="45"/>
  <c r="K199" i="45"/>
  <c r="K200" i="45"/>
  <c r="K201" i="45"/>
  <c r="K202" i="45"/>
  <c r="K203" i="45"/>
  <c r="K204" i="45"/>
  <c r="K205" i="45"/>
  <c r="K206" i="45"/>
  <c r="K207" i="45"/>
  <c r="K208" i="45"/>
  <c r="K209" i="45"/>
  <c r="K210" i="45"/>
  <c r="K211" i="45"/>
  <c r="K212" i="45"/>
  <c r="K213" i="45"/>
  <c r="K214" i="45"/>
  <c r="K215" i="45"/>
  <c r="K216" i="45"/>
  <c r="K217" i="45"/>
  <c r="K218" i="45"/>
  <c r="K219" i="45"/>
  <c r="K220" i="45"/>
  <c r="K221" i="45"/>
  <c r="K222" i="45"/>
  <c r="K223" i="45"/>
  <c r="K224" i="45"/>
  <c r="K225" i="45"/>
  <c r="K226" i="45"/>
  <c r="K227" i="45"/>
  <c r="K228" i="45"/>
  <c r="K229" i="45"/>
  <c r="K230" i="45"/>
  <c r="K231" i="45"/>
  <c r="K232" i="45"/>
  <c r="K233" i="45"/>
  <c r="K234" i="45"/>
  <c r="K235" i="45"/>
  <c r="K236" i="45"/>
  <c r="K237" i="45"/>
  <c r="K238" i="45"/>
  <c r="K239" i="45"/>
  <c r="K240" i="45"/>
  <c r="K241" i="45"/>
  <c r="K242" i="45"/>
  <c r="K243" i="45"/>
  <c r="K244" i="45"/>
  <c r="K245" i="45"/>
  <c r="K246" i="45"/>
  <c r="K247" i="45"/>
  <c r="K248" i="45"/>
  <c r="K249" i="45"/>
  <c r="K250" i="45"/>
  <c r="K251" i="45"/>
  <c r="K252" i="45"/>
  <c r="K253" i="45"/>
  <c r="K254" i="45"/>
  <c r="K255" i="45"/>
  <c r="K256" i="45"/>
  <c r="K257" i="45"/>
  <c r="K258" i="45"/>
  <c r="K259" i="45"/>
  <c r="K260" i="45"/>
  <c r="K261" i="45"/>
  <c r="K262" i="45"/>
  <c r="K263" i="45"/>
  <c r="K264" i="45"/>
  <c r="K265" i="45"/>
  <c r="K266" i="45"/>
  <c r="K267" i="45"/>
  <c r="K268" i="45"/>
  <c r="K269" i="45"/>
  <c r="K270" i="45"/>
  <c r="K271" i="45"/>
  <c r="K272" i="45"/>
  <c r="K273" i="45"/>
  <c r="K274" i="45"/>
  <c r="K275" i="45"/>
  <c r="K276" i="45"/>
  <c r="K277" i="45"/>
  <c r="K278" i="45"/>
  <c r="K279" i="45"/>
  <c r="K280" i="45"/>
  <c r="K281" i="45"/>
  <c r="K282" i="45"/>
  <c r="K283" i="45"/>
  <c r="K284" i="45"/>
  <c r="K285" i="45"/>
  <c r="K286" i="45"/>
  <c r="K287" i="45"/>
  <c r="K288" i="45"/>
  <c r="K289" i="45"/>
  <c r="K290" i="45"/>
  <c r="K291" i="45"/>
  <c r="K292" i="45"/>
  <c r="K293" i="45"/>
  <c r="K294" i="45"/>
  <c r="K295" i="45"/>
  <c r="K296" i="45"/>
  <c r="K297" i="45"/>
  <c r="K298" i="45"/>
  <c r="K299" i="45"/>
  <c r="K300" i="45"/>
  <c r="K301" i="45"/>
  <c r="K302" i="45"/>
  <c r="K303" i="45"/>
  <c r="K304" i="45"/>
  <c r="K305" i="45"/>
  <c r="K306" i="45"/>
  <c r="K307" i="45"/>
  <c r="K308" i="45"/>
  <c r="K309" i="45"/>
  <c r="K310" i="45"/>
  <c r="K311" i="45"/>
  <c r="K312" i="45"/>
  <c r="K313" i="45"/>
  <c r="K314" i="45"/>
  <c r="K315" i="45"/>
  <c r="K316" i="45"/>
  <c r="K317" i="45"/>
  <c r="K318" i="45"/>
  <c r="K319" i="45"/>
  <c r="K320" i="45"/>
  <c r="K321" i="45"/>
  <c r="K322" i="45"/>
  <c r="K323" i="45"/>
  <c r="K324" i="45"/>
  <c r="K325" i="45"/>
  <c r="K326" i="45"/>
  <c r="K327" i="45"/>
  <c r="K328" i="45"/>
  <c r="K329" i="45"/>
  <c r="K330" i="45"/>
  <c r="K331" i="45"/>
  <c r="K332" i="45"/>
  <c r="K333" i="45"/>
  <c r="K334" i="45"/>
  <c r="K335" i="45"/>
  <c r="K336" i="45"/>
  <c r="K337" i="45"/>
  <c r="K338" i="45"/>
  <c r="K339" i="45"/>
  <c r="K340" i="45"/>
  <c r="K341" i="45"/>
  <c r="K342" i="45"/>
  <c r="K343" i="45"/>
  <c r="K344" i="45"/>
  <c r="K345" i="45"/>
  <c r="K346" i="45"/>
  <c r="K347" i="45"/>
  <c r="K348" i="45"/>
  <c r="K349" i="45"/>
  <c r="K350" i="45"/>
  <c r="K351" i="45"/>
  <c r="K352" i="45"/>
  <c r="K353" i="45"/>
  <c r="K354" i="45"/>
  <c r="K355" i="45"/>
  <c r="K356" i="45"/>
  <c r="K357" i="45"/>
  <c r="K358" i="45"/>
  <c r="K359" i="45"/>
  <c r="K360" i="45"/>
  <c r="K361" i="45"/>
  <c r="K362" i="45"/>
  <c r="K363" i="45"/>
  <c r="K364" i="45"/>
  <c r="K365" i="45"/>
  <c r="K366" i="45"/>
  <c r="K367" i="45"/>
  <c r="K368" i="45"/>
  <c r="K369" i="45"/>
  <c r="K370" i="45"/>
  <c r="K371" i="45"/>
  <c r="K372" i="45"/>
  <c r="K373" i="45"/>
  <c r="K374" i="45"/>
  <c r="K375" i="45"/>
  <c r="K376" i="45"/>
  <c r="K377" i="45"/>
  <c r="K378" i="45"/>
  <c r="K379" i="45"/>
  <c r="K380" i="45"/>
  <c r="K381" i="45"/>
  <c r="K382" i="45"/>
  <c r="K383" i="45"/>
  <c r="K384" i="45"/>
  <c r="K385" i="45"/>
  <c r="K386" i="45"/>
  <c r="K387" i="45"/>
  <c r="K388" i="45"/>
  <c r="K389" i="45"/>
  <c r="K390" i="45"/>
  <c r="K391" i="45"/>
  <c r="K392" i="45"/>
  <c r="K393" i="45"/>
  <c r="K394" i="45"/>
  <c r="K395" i="45"/>
  <c r="K396" i="45"/>
  <c r="K397" i="45"/>
  <c r="K398" i="45"/>
  <c r="K399" i="45"/>
  <c r="K400" i="45"/>
  <c r="K401" i="45"/>
  <c r="K402" i="45"/>
  <c r="K403" i="45"/>
  <c r="K404" i="45"/>
  <c r="K405" i="45"/>
  <c r="K406" i="45"/>
  <c r="K407" i="45"/>
  <c r="K408" i="45"/>
  <c r="K409" i="45"/>
  <c r="K410" i="45"/>
  <c r="K411" i="45"/>
  <c r="K412" i="45"/>
  <c r="K413" i="45"/>
  <c r="K414" i="45"/>
  <c r="K415" i="45"/>
  <c r="K416" i="45"/>
  <c r="K417" i="45"/>
  <c r="K418" i="45"/>
  <c r="K419" i="45"/>
  <c r="K420" i="45"/>
  <c r="K421" i="45"/>
  <c r="K422" i="45"/>
  <c r="K423" i="45"/>
  <c r="K424" i="45"/>
  <c r="K425" i="45"/>
  <c r="K426" i="45"/>
  <c r="K427" i="45"/>
  <c r="K428" i="45"/>
  <c r="K429" i="45"/>
  <c r="K430" i="45"/>
  <c r="K431" i="45"/>
  <c r="K432" i="45"/>
  <c r="K433" i="45"/>
  <c r="K434" i="45"/>
  <c r="K435" i="45"/>
  <c r="K436" i="45"/>
  <c r="K437" i="45"/>
  <c r="K438" i="45"/>
  <c r="K439" i="45"/>
  <c r="K440" i="45"/>
  <c r="K441" i="45"/>
  <c r="K442" i="45"/>
  <c r="K443" i="45"/>
  <c r="K444" i="45"/>
  <c r="K445" i="45"/>
  <c r="K446" i="45"/>
  <c r="K447" i="45"/>
  <c r="K448" i="45"/>
  <c r="K449" i="45"/>
  <c r="K450" i="45"/>
  <c r="K451" i="45"/>
  <c r="K452" i="45"/>
  <c r="K453" i="45"/>
  <c r="K454" i="45"/>
  <c r="K455" i="45"/>
  <c r="K456" i="45"/>
  <c r="K457" i="45"/>
  <c r="K458" i="45"/>
  <c r="K459" i="45"/>
  <c r="K460" i="45"/>
  <c r="K461" i="45"/>
  <c r="K462" i="45"/>
  <c r="K463" i="45"/>
  <c r="K464" i="45"/>
  <c r="K465" i="45"/>
  <c r="K466" i="45"/>
  <c r="K467" i="45"/>
  <c r="K468" i="45"/>
  <c r="K469" i="45"/>
  <c r="K470" i="45"/>
  <c r="K471" i="45"/>
  <c r="K472" i="45"/>
  <c r="K473" i="45"/>
  <c r="K474" i="45"/>
  <c r="K475" i="45"/>
  <c r="K476" i="45"/>
  <c r="K477" i="45"/>
  <c r="K478" i="45"/>
  <c r="K479" i="45"/>
  <c r="K480" i="45"/>
  <c r="K481" i="45"/>
  <c r="L2" i="11"/>
  <c r="K2" i="11"/>
  <c r="J2" i="11"/>
  <c r="C6" i="9"/>
  <c r="B2" i="9"/>
  <c r="H6" i="9"/>
  <c r="J6" i="9" s="1"/>
  <c r="K6" i="9" s="1"/>
  <c r="M6" i="9" s="1"/>
  <c r="E3" i="9"/>
  <c r="E4" i="9"/>
  <c r="E5" i="9"/>
  <c r="H2" i="9"/>
  <c r="J2" i="9" s="1"/>
  <c r="E2" i="9"/>
  <c r="K5" i="9" l="1"/>
  <c r="M5" i="9" s="1"/>
  <c r="E20" i="60"/>
  <c r="F20" i="60" s="1"/>
  <c r="C20" i="60"/>
  <c r="E14" i="60"/>
  <c r="F14" i="60" s="1"/>
  <c r="C4" i="60"/>
  <c r="E20" i="61"/>
  <c r="F20" i="61" s="1"/>
  <c r="E2" i="61"/>
  <c r="F2" i="61" s="1"/>
  <c r="E4" i="61"/>
  <c r="F4" i="61" s="1"/>
  <c r="K2" i="9"/>
  <c r="M2" i="9" s="1"/>
  <c r="E4" i="60" l="1"/>
  <c r="F4" i="60" s="1"/>
  <c r="C21" i="60"/>
  <c r="E21" i="60" s="1"/>
  <c r="F21" i="60" s="1"/>
  <c r="E21" i="61"/>
  <c r="F21" i="61" s="1"/>
</calcChain>
</file>

<file path=xl/sharedStrings.xml><?xml version="1.0" encoding="utf-8"?>
<sst xmlns="http://schemas.openxmlformats.org/spreadsheetml/2006/main" count="28793" uniqueCount="718">
  <si>
    <t>Lender</t>
  </si>
  <si>
    <t>Lender ID</t>
  </si>
  <si>
    <t>Specific Individual</t>
  </si>
  <si>
    <t>Specific ID</t>
  </si>
  <si>
    <t>67891</t>
  </si>
  <si>
    <t>Alex Parisi</t>
  </si>
  <si>
    <t>000456</t>
  </si>
  <si>
    <t>987654321</t>
  </si>
  <si>
    <t>Company</t>
  </si>
  <si>
    <t>Company ID</t>
  </si>
  <si>
    <t>Industry</t>
  </si>
  <si>
    <t>Description</t>
  </si>
  <si>
    <t>Primary NAICS</t>
  </si>
  <si>
    <t>Primary Contact</t>
  </si>
  <si>
    <t>Primary Contact Phone</t>
  </si>
  <si>
    <t>Primary Contact Email</t>
  </si>
  <si>
    <t>Consumer Goods</t>
  </si>
  <si>
    <t>448410</t>
  </si>
  <si>
    <t>Billy Bob</t>
  </si>
  <si>
    <t>401-321-7654</t>
  </si>
  <si>
    <t>bbob@DEF.com</t>
  </si>
  <si>
    <t>Cost</t>
  </si>
  <si>
    <t>Division</t>
  </si>
  <si>
    <t>Inventory</t>
  </si>
  <si>
    <t>Excess</t>
  </si>
  <si>
    <t xml:space="preserve">Update Interval </t>
  </si>
  <si>
    <t xml:space="preserve">Monthly </t>
  </si>
  <si>
    <t>Net Collateral</t>
  </si>
  <si>
    <t>BrightNest Consumer Brands</t>
  </si>
  <si>
    <t>Website</t>
  </si>
  <si>
    <t>www.brightnest.com</t>
  </si>
  <si>
    <t>Current Update</t>
  </si>
  <si>
    <t>Previous Update</t>
  </si>
  <si>
    <t>J.P. Morgan Chase</t>
  </si>
  <si>
    <t xml:space="preserve">Borrower Overview </t>
  </si>
  <si>
    <t>Accounts Receivable</t>
  </si>
  <si>
    <t>Other Collateral</t>
  </si>
  <si>
    <t>Beginning Collateral</t>
  </si>
  <si>
    <t>Ineligibles</t>
  </si>
  <si>
    <t>Eligible Collateral</t>
  </si>
  <si>
    <t>NOLV %</t>
  </si>
  <si>
    <t>Dilution Rate</t>
  </si>
  <si>
    <t>Advanced Rate</t>
  </si>
  <si>
    <t>Rate Limit</t>
  </si>
  <si>
    <t>Utilized Rate</t>
  </si>
  <si>
    <t>Pre-Reserve Collateral</t>
  </si>
  <si>
    <t>Reserves</t>
  </si>
  <si>
    <t>Main Type</t>
  </si>
  <si>
    <t>SubType</t>
  </si>
  <si>
    <t>Finished Goods</t>
  </si>
  <si>
    <t xml:space="preserve">Raw Materials </t>
  </si>
  <si>
    <t>Work-In-Process</t>
  </si>
  <si>
    <t xml:space="preserve">Machinery And Equipment </t>
  </si>
  <si>
    <t>Equipment Type</t>
  </si>
  <si>
    <t>Manufacturer</t>
  </si>
  <si>
    <t>Serial Number</t>
  </si>
  <si>
    <t>Year</t>
  </si>
  <si>
    <t>Condition</t>
  </si>
  <si>
    <t>Fair Market Value</t>
  </si>
  <si>
    <t>Orderly Liquidation Value</t>
  </si>
  <si>
    <t>Ribbon Blender</t>
  </si>
  <si>
    <t>Munson</t>
  </si>
  <si>
    <t>MUNS-85013</t>
  </si>
  <si>
    <t>Good</t>
  </si>
  <si>
    <t>Mixing Kettle</t>
  </si>
  <si>
    <t>Lee</t>
  </si>
  <si>
    <t>LEE-93336</t>
  </si>
  <si>
    <t>High-Shear Mixer</t>
  </si>
  <si>
    <t>Silverson</t>
  </si>
  <si>
    <t>SILV-27243</t>
  </si>
  <si>
    <t>Very Good</t>
  </si>
  <si>
    <t>Dry Ingredient Sifter</t>
  </si>
  <si>
    <t>Kason</t>
  </si>
  <si>
    <t>KASO-93253</t>
  </si>
  <si>
    <t>Extrusion Line</t>
  </si>
  <si>
    <t>Baker Perkins</t>
  </si>
  <si>
    <t>BAKE-16383</t>
  </si>
  <si>
    <t>Shaping Line</t>
  </si>
  <si>
    <t>Clextral</t>
  </si>
  <si>
    <t>CLEX-79804</t>
  </si>
  <si>
    <t>Color Injection System</t>
  </si>
  <si>
    <t>ColorBlend</t>
  </si>
  <si>
    <t>COLO-84638</t>
  </si>
  <si>
    <t>Cooling Tunnel</t>
  </si>
  <si>
    <t>Sollich</t>
  </si>
  <si>
    <t>SOLL-71525</t>
  </si>
  <si>
    <t>Conveyor System</t>
  </si>
  <si>
    <t>Dorner</t>
  </si>
  <si>
    <t>DORN-76622</t>
  </si>
  <si>
    <t>Dust Collector</t>
  </si>
  <si>
    <t>Camfil</t>
  </si>
  <si>
    <t>CAMF-74351</t>
  </si>
  <si>
    <t>Bottling Line</t>
  </si>
  <si>
    <t>Krones</t>
  </si>
  <si>
    <t>KR-275622</t>
  </si>
  <si>
    <t>Form-Fill-Seal Machine</t>
  </si>
  <si>
    <t>Bosch</t>
  </si>
  <si>
    <t>BO-751539</t>
  </si>
  <si>
    <t>Labeling System</t>
  </si>
  <si>
    <t>Avery</t>
  </si>
  <si>
    <t>AVER-25096</t>
  </si>
  <si>
    <t>Case Packer</t>
  </si>
  <si>
    <t>Pearson</t>
  </si>
  <si>
    <t>PE-451199</t>
  </si>
  <si>
    <t>Palletizer</t>
  </si>
  <si>
    <t>Fanuc</t>
  </si>
  <si>
    <t>FA-433609</t>
  </si>
  <si>
    <t>Moisture Analyzer</t>
  </si>
  <si>
    <t>Mettler Toledo</t>
  </si>
  <si>
    <t>METT-26766</t>
  </si>
  <si>
    <t>Color Spectrophotometer</t>
  </si>
  <si>
    <t>HunterLab</t>
  </si>
  <si>
    <t>HUNT-59572</t>
  </si>
  <si>
    <t>Lab Testing System</t>
  </si>
  <si>
    <t>ThermoFisher</t>
  </si>
  <si>
    <t>THER-28805</t>
  </si>
  <si>
    <t>Forklift</t>
  </si>
  <si>
    <t>Toyota</t>
  </si>
  <si>
    <t>TOY15841</t>
  </si>
  <si>
    <t>Bulk Silo</t>
  </si>
  <si>
    <t>CST</t>
  </si>
  <si>
    <t>CST-24338</t>
  </si>
  <si>
    <t>Air Compressor</t>
  </si>
  <si>
    <t>Kaeser</t>
  </si>
  <si>
    <t>KAE91354</t>
  </si>
  <si>
    <t>Industrial Chiller</t>
  </si>
  <si>
    <t>Carrier</t>
  </si>
  <si>
    <t>CAR57579</t>
  </si>
  <si>
    <t>Control Panels</t>
  </si>
  <si>
    <t>Rockwell</t>
  </si>
  <si>
    <t>ROCK-17555</t>
  </si>
  <si>
    <t>Water Filtration System</t>
  </si>
  <si>
    <t>Evoqua</t>
  </si>
  <si>
    <t>EVOQ-58520</t>
  </si>
  <si>
    <t>Glitter Production Line</t>
  </si>
  <si>
    <t>GEA</t>
  </si>
  <si>
    <t>GEA-JLV-2928</t>
  </si>
  <si>
    <t>Pulverizing System</t>
  </si>
  <si>
    <t>Hosokawa</t>
  </si>
  <si>
    <t>HOS-IUA-3580</t>
  </si>
  <si>
    <t>Gel Mixing Skid</t>
  </si>
  <si>
    <t>SPX Flow</t>
  </si>
  <si>
    <t>SPX-OOH-3156</t>
  </si>
  <si>
    <t>Deposit System</t>
  </si>
  <si>
    <t>Unifiller</t>
  </si>
  <si>
    <t>UNIF-70296</t>
  </si>
  <si>
    <t>MUNS-32637</t>
  </si>
  <si>
    <t>LEE-59743</t>
  </si>
  <si>
    <t>SILV-13853</t>
  </si>
  <si>
    <t>KASO-96501</t>
  </si>
  <si>
    <t>BAKE-16755</t>
  </si>
  <si>
    <t>CLEX-11655</t>
  </si>
  <si>
    <t>COLO-21107</t>
  </si>
  <si>
    <t>SOLL-16282</t>
  </si>
  <si>
    <t>DORN-25013</t>
  </si>
  <si>
    <t>CAMF-54270</t>
  </si>
  <si>
    <t>KR-370923</t>
  </si>
  <si>
    <t>BO-473405</t>
  </si>
  <si>
    <t>AVER-94924</t>
  </si>
  <si>
    <t>PE-799770</t>
  </si>
  <si>
    <t>FA-605871</t>
  </si>
  <si>
    <t>METT-23957</t>
  </si>
  <si>
    <t>HUNT-41010</t>
  </si>
  <si>
    <t>THER-36465</t>
  </si>
  <si>
    <t>TOY15563</t>
  </si>
  <si>
    <t>CST-60387</t>
  </si>
  <si>
    <t>KAE26809</t>
  </si>
  <si>
    <t>CAR19885</t>
  </si>
  <si>
    <t>ROCK-53822</t>
  </si>
  <si>
    <t>EVOQ-42799</t>
  </si>
  <si>
    <t>GEA-CES-2724</t>
  </si>
  <si>
    <t>HOS-DGG-8799</t>
  </si>
  <si>
    <t>SPX-PHI-1788</t>
  </si>
  <si>
    <t>UNIF-65410</t>
  </si>
  <si>
    <t>MUNS-10660</t>
  </si>
  <si>
    <t>LEE-65659</t>
  </si>
  <si>
    <t>SILV-70543</t>
  </si>
  <si>
    <t>KASO-89465</t>
  </si>
  <si>
    <t>BAKE-28839</t>
  </si>
  <si>
    <t>CLEX-81745</t>
  </si>
  <si>
    <t>COLO-79149</t>
  </si>
  <si>
    <t>SOLL-67793</t>
  </si>
  <si>
    <t xml:space="preserve">Total Asset Count </t>
  </si>
  <si>
    <t xml:space="preserve">Total Fair Market Value </t>
  </si>
  <si>
    <t xml:space="preserve">Total Orderly Liquidation Value </t>
  </si>
  <si>
    <t>Current</t>
  </si>
  <si>
    <t>All Divisions</t>
  </si>
  <si>
    <t>90+</t>
  </si>
  <si>
    <t>61-90</t>
  </si>
  <si>
    <t>31-60</t>
  </si>
  <si>
    <t>1-30</t>
  </si>
  <si>
    <t>Private Label</t>
  </si>
  <si>
    <t>Foodservice</t>
  </si>
  <si>
    <t>Retail Brands</t>
  </si>
  <si>
    <t>Amount</t>
  </si>
  <si>
    <t>PctOfTotal</t>
  </si>
  <si>
    <t>Bucket</t>
  </si>
  <si>
    <t>AsOfDate</t>
  </si>
  <si>
    <t>PastDueAmt</t>
  </si>
  <si>
    <t>CurrentAmt</t>
  </si>
  <si>
    <t>PctPastDue</t>
  </si>
  <si>
    <t>DSO</t>
  </si>
  <si>
    <t>Balance</t>
  </si>
  <si>
    <t>Silverline Retail Foods</t>
  </si>
  <si>
    <t>HighPoint Baking Group</t>
  </si>
  <si>
    <t>Millstone Ingredients</t>
  </si>
  <si>
    <t>Crown Confections</t>
  </si>
  <si>
    <t>FirstChoice Grocery Group</t>
  </si>
  <si>
    <t>Harvest Lane Foods</t>
  </si>
  <si>
    <t>Greenfield Baking Supply</t>
  </si>
  <si>
    <t>Everbright Grocery Group</t>
  </si>
  <si>
    <t>Golden Spoon Distributing</t>
  </si>
  <si>
    <t>SugarRush Brands</t>
  </si>
  <si>
    <t>Unity Grocery Group</t>
  </si>
  <si>
    <t>Cornerstone Food Group</t>
  </si>
  <si>
    <t>Peak Season Foods</t>
  </si>
  <si>
    <t>NexGen Baking Supply</t>
  </si>
  <si>
    <t>Harborview Foods</t>
  </si>
  <si>
    <t>Sunrise Baking Supply</t>
  </si>
  <si>
    <t>Benchmark Foodservice</t>
  </si>
  <si>
    <t>Rainbow Topping Company</t>
  </si>
  <si>
    <t>KitchenPro Wholesale</t>
  </si>
  <si>
    <t>Heritage Grocery Group</t>
  </si>
  <si>
    <t>Crescent Confections</t>
  </si>
  <si>
    <t>Lighthouse Grocery Partners</t>
  </si>
  <si>
    <t>Vista Baking Supply</t>
  </si>
  <si>
    <t>PureJoy Ingredients</t>
  </si>
  <si>
    <t>Harmony Foodservice</t>
  </si>
  <si>
    <t>Premium Dessert Partners</t>
  </si>
  <si>
    <t>Holiday Baking Supply</t>
  </si>
  <si>
    <t>Evergreen Pantry Partners</t>
  </si>
  <si>
    <t>Everyday Baking Depot</t>
  </si>
  <si>
    <t>Grandstand Foodservice</t>
  </si>
  <si>
    <t>Prime Pantry Distributors</t>
  </si>
  <si>
    <t>Canyon Ridge Foods</t>
  </si>
  <si>
    <t>Cakery Specialties</t>
  </si>
  <si>
    <t>Momentum Food Partners</t>
  </si>
  <si>
    <t>Premier Baking Goods</t>
  </si>
  <si>
    <t>Urban Market Partners</t>
  </si>
  <si>
    <t>Elm Street Grocery Supply</t>
  </si>
  <si>
    <t>National Dessert Supply</t>
  </si>
  <si>
    <t>BlueSky Foodservice</t>
  </si>
  <si>
    <t>Metro Grocery Partners</t>
  </si>
  <si>
    <t>Festive Food Group</t>
  </si>
  <si>
    <t>Crescendo Food Partners</t>
  </si>
  <si>
    <t>Celebration Ingredients</t>
  </si>
  <si>
    <t>Sterling Pantry Supply</t>
  </si>
  <si>
    <t>Classic Confections Co.</t>
  </si>
  <si>
    <t>Cedar Grove Food Group</t>
  </si>
  <si>
    <t>Topping Innovations</t>
  </si>
  <si>
    <t>Atlas Grocery Supply</t>
  </si>
  <si>
    <t>Signature Kitchens Retail</t>
  </si>
  <si>
    <t>SweetTreat Markets</t>
  </si>
  <si>
    <t>Factory Direct Baking</t>
  </si>
  <si>
    <t>Frontier Foodservice</t>
  </si>
  <si>
    <t>Summit Crest Baking</t>
  </si>
  <si>
    <t>CloverLane Foods</t>
  </si>
  <si>
    <t>CoveragePctOfDivisionPastDue</t>
  </si>
  <si>
    <t>TotalPastDue</t>
  </si>
  <si>
    <t>TotalAR</t>
  </si>
  <si>
    <t>91+</t>
  </si>
  <si>
    <t>0-30</t>
  </si>
  <si>
    <t>Customer</t>
  </si>
  <si>
    <t>CoveragePctOfDivisionAR</t>
  </si>
  <si>
    <t>Ineligible % of AR</t>
  </si>
  <si>
    <t>Total Ineligible</t>
  </si>
  <si>
    <t>Total AR</t>
  </si>
  <si>
    <t>Date</t>
  </si>
  <si>
    <t>Other</t>
  </si>
  <si>
    <t>Contra</t>
  </si>
  <si>
    <t>Intercompany</t>
  </si>
  <si>
    <t>Government</t>
  </si>
  <si>
    <t>Foreign</t>
  </si>
  <si>
    <t>Concentration Over Cap</t>
  </si>
  <si>
    <t>Cross Age</t>
  </si>
  <si>
    <t>Dilution</t>
  </si>
  <si>
    <t>Past Due &gt;90 Days</t>
  </si>
  <si>
    <t>Variance DSO (Days)</t>
  </si>
  <si>
    <t>Avg TTM DSO (Days)</t>
  </si>
  <si>
    <t>Current DSO (Days)</t>
  </si>
  <si>
    <t>Variance ADO (Days)</t>
  </si>
  <si>
    <t>Avg TTM ADO (Days)</t>
  </si>
  <si>
    <t>Current ADO (Days)</t>
  </si>
  <si>
    <t>Variance Concentration (pp)</t>
  </si>
  <si>
    <t>Avg TTM Concentration %</t>
  </si>
  <si>
    <t>Current Concentration %</t>
  </si>
  <si>
    <t>IneligiblePctOfInventory</t>
  </si>
  <si>
    <t>AvailableInventory</t>
  </si>
  <si>
    <t>IneligibleInventory</t>
  </si>
  <si>
    <t>TotalInventory</t>
  </si>
  <si>
    <t>InventoryType</t>
  </si>
  <si>
    <t>Ineligible % of Inventory</t>
  </si>
  <si>
    <t>Damaged/Non-Saleable</t>
  </si>
  <si>
    <t>In-Transit</t>
  </si>
  <si>
    <t>Consigned</t>
  </si>
  <si>
    <t>Off Site</t>
  </si>
  <si>
    <t>Aged</t>
  </si>
  <si>
    <t>Slow-Moving/Obsolete</t>
  </si>
  <si>
    <t>Trend_3M_Pct</t>
  </si>
  <si>
    <t>MA3_prior</t>
  </si>
  <si>
    <t>MA3</t>
  </si>
  <si>
    <t>Trend_TTM_Pct</t>
  </si>
  <si>
    <t>TTM_Sales_Prior</t>
  </si>
  <si>
    <t>TTM_Sales</t>
  </si>
  <si>
    <t>GrossMarginDollars</t>
  </si>
  <si>
    <t>GrossMarginPct</t>
  </si>
  <si>
    <t>NetSales</t>
  </si>
  <si>
    <t>ExcessPct</t>
  </si>
  <si>
    <t>InlinePct</t>
  </si>
  <si>
    <t>FG_NoSales</t>
  </si>
  <si>
    <t>FG_52Plus</t>
  </si>
  <si>
    <t>FG_39_52</t>
  </si>
  <si>
    <t>FG_26_39</t>
  </si>
  <si>
    <t>FG_13_26</t>
  </si>
  <si>
    <t>FG_0_13</t>
  </si>
  <si>
    <t>FG_Available</t>
  </si>
  <si>
    <t>Sprinkles &amp; Toppings</t>
  </si>
  <si>
    <t>Seasonal / Holiday Items</t>
  </si>
  <si>
    <t>Packaging Components</t>
  </si>
  <si>
    <t>Molds &amp; Specialty Tools</t>
  </si>
  <si>
    <t>Icings &amp; Frostings</t>
  </si>
  <si>
    <t>Food Coloring &amp; Dyes</t>
  </si>
  <si>
    <t>Bulk Wholesale Items</t>
  </si>
  <si>
    <t>Baking Mixes</t>
  </si>
  <si>
    <t>Baking Decorations</t>
  </si>
  <si>
    <t>Weeks_of_Supply</t>
  </si>
  <si>
    <t>GM%</t>
  </si>
  <si>
    <t>GM</t>
  </si>
  <si>
    <t>COGS</t>
  </si>
  <si>
    <t>Sales</t>
  </si>
  <si>
    <t>% of Available</t>
  </si>
  <si>
    <t>FG_Ineligible</t>
  </si>
  <si>
    <t>FG_Total</t>
  </si>
  <si>
    <t>Category</t>
  </si>
  <si>
    <t>Excess_Pct</t>
  </si>
  <si>
    <t>Excess_Dollars</t>
  </si>
  <si>
    <t>Inline_Pct</t>
  </si>
  <si>
    <t>Inline_Dollars</t>
  </si>
  <si>
    <t>Christmas Cookie Kit</t>
  </si>
  <si>
    <t>Holiday Sugar Shapes</t>
  </si>
  <si>
    <t>Bulk Mix Bag</t>
  </si>
  <si>
    <t>Liquid Neon Dyes</t>
  </si>
  <si>
    <t>Brownie Batter Mix</t>
  </si>
  <si>
    <t>Vanilla Frosting Tub</t>
  </si>
  <si>
    <t>Pancake &amp; Waffle Mix</t>
  </si>
  <si>
    <t>Candy Eyes</t>
  </si>
  <si>
    <t>Edible Glitter Dust</t>
  </si>
  <si>
    <t>Special Order Item</t>
  </si>
  <si>
    <t>Custom Private Label Blend</t>
  </si>
  <si>
    <t>Whipped Buttercream Mix</t>
  </si>
  <si>
    <t>Cupcake Mix</t>
  </si>
  <si>
    <t>Foodservice Icing Pail</t>
  </si>
  <si>
    <t>Fondant Cut-Outs</t>
  </si>
  <si>
    <t>Bulk Liner Bag</t>
  </si>
  <si>
    <t>Metal Baking Mold</t>
  </si>
  <si>
    <t>Printed Carton Box</t>
  </si>
  <si>
    <t>Halloween Kit</t>
  </si>
  <si>
    <t>Gel Food Color Set</t>
  </si>
  <si>
    <t>Confetti Sprinkles</t>
  </si>
  <si>
    <t>Retail Pouch Pack</t>
  </si>
  <si>
    <t>Chocolate Icing Pouch</t>
  </si>
  <si>
    <t>Chocolate Nonpareils</t>
  </si>
  <si>
    <t>Sugar Pearl Mix</t>
  </si>
  <si>
    <t>Bulk Sprinkle Tote</t>
  </si>
  <si>
    <t>Rainbow Jimmies</t>
  </si>
  <si>
    <t>WOS</t>
  </si>
  <si>
    <t>% of Total</t>
  </si>
  <si>
    <t>ItemNumber</t>
  </si>
  <si>
    <t>Raw Materials</t>
  </si>
  <si>
    <t>Other RM</t>
  </si>
  <si>
    <t>Corrugate &amp; Cardboard</t>
  </si>
  <si>
    <t>Plastic Containers</t>
  </si>
  <si>
    <t>Packaging Films</t>
  </si>
  <si>
    <t>Gums &amp; Stabilizers</t>
  </si>
  <si>
    <t>Colorants &amp; Dyes</t>
  </si>
  <si>
    <t>Spices &amp; Flavorings</t>
  </si>
  <si>
    <t>Oils &amp; Shortenings</t>
  </si>
  <si>
    <t>Flours &amp; Starches</t>
  </si>
  <si>
    <t>Sugar &amp; Sweeteners</t>
  </si>
  <si>
    <t>%Available</t>
  </si>
  <si>
    <t>Gums &amp; Stabilizers RM SKU 457</t>
  </si>
  <si>
    <t>Sugar &amp; Sweeteners RM SKU 409</t>
  </si>
  <si>
    <t>Flours &amp; Starches RM SKU 787</t>
  </si>
  <si>
    <t>Packaging Films RM SKU 656</t>
  </si>
  <si>
    <t>Sugar &amp; Sweeteners RM SKU 344</t>
  </si>
  <si>
    <t>Gums &amp; Stabilizers RM SKU 548</t>
  </si>
  <si>
    <t>Packaging Films RM SKU 350</t>
  </si>
  <si>
    <t>Other RM RM SKU 505</t>
  </si>
  <si>
    <t>Flours &amp; Starches RM SKU 676</t>
  </si>
  <si>
    <t>Sugar &amp; Sweeteners RM SKU 391</t>
  </si>
  <si>
    <t>Oils &amp; Shortenings RM SKU 423</t>
  </si>
  <si>
    <t>Plastic Containers RM SKU 175</t>
  </si>
  <si>
    <t>Gums &amp; Stabilizers RM SKU 407</t>
  </si>
  <si>
    <t>Spices &amp; Flavorings RM SKU 926</t>
  </si>
  <si>
    <t>Spices &amp; Flavorings RM SKU 371</t>
  </si>
  <si>
    <t>Oils &amp; Shortenings RM SKU 318</t>
  </si>
  <si>
    <t>Plastic Containers RM SKU 174</t>
  </si>
  <si>
    <t>Sugar &amp; Sweeteners RM SKU 569</t>
  </si>
  <si>
    <t>Flours &amp; Starches RM SKU 833</t>
  </si>
  <si>
    <t>Flours &amp; Starches RM SKU 309</t>
  </si>
  <si>
    <t>Flours &amp; Starches RM SKU 423</t>
  </si>
  <si>
    <t>Sugar &amp; Sweeteners RM SKU 620</t>
  </si>
  <si>
    <t>Sugar &amp; Sweeteners RM SKU 678</t>
  </si>
  <si>
    <t>Oils &amp; Shortenings RM SKU 982</t>
  </si>
  <si>
    <t>Plastic Containers RM SKU 692</t>
  </si>
  <si>
    <t>Sugar &amp; Sweeteners RM SKU 773</t>
  </si>
  <si>
    <t>Packaging Films RM SKU 421</t>
  </si>
  <si>
    <t>Flours &amp; Starches RM SKU 151</t>
  </si>
  <si>
    <t>Sugar &amp; Sweeteners RM SKU 853</t>
  </si>
  <si>
    <t>Packaging Films RM SKU 513</t>
  </si>
  <si>
    <t>Colorants &amp; Dyes RM SKU 973</t>
  </si>
  <si>
    <t>Corrugate &amp; Cardboard RM SKU 971</t>
  </si>
  <si>
    <t>Packaging Films RM SKU 683</t>
  </si>
  <si>
    <t>Sugar &amp; Sweeteners RM SKU 588</t>
  </si>
  <si>
    <t>Oils &amp; Shortenings RM SKU 162</t>
  </si>
  <si>
    <t>Packaging Films RM SKU 169</t>
  </si>
  <si>
    <t>Flours &amp; Starches RM SKU 183</t>
  </si>
  <si>
    <t>Sugar &amp; Sweeteners RM SKU 170</t>
  </si>
  <si>
    <t>Plastic Containers RM SKU 261</t>
  </si>
  <si>
    <t>Sugar &amp; Sweeteners RM SKU 140</t>
  </si>
  <si>
    <t>Other RM RM SKU 669</t>
  </si>
  <si>
    <t>Sugar &amp; Sweeteners RM SKU 592</t>
  </si>
  <si>
    <t>Flours &amp; Starches RM SKU 488</t>
  </si>
  <si>
    <t>Sugar &amp; Sweeteners RM SKU 871</t>
  </si>
  <si>
    <t>Spices &amp; Flavorings RM SKU 902</t>
  </si>
  <si>
    <t>Sugar &amp; Sweeteners RM SKU 159</t>
  </si>
  <si>
    <t>Oils &amp; Shortenings RM SKU 516</t>
  </si>
  <si>
    <t>Flours &amp; Starches RM SKU 835</t>
  </si>
  <si>
    <t>Gums &amp; Stabilizers RM SKU 499</t>
  </si>
  <si>
    <t>Spices &amp; Flavorings RM SKU 533</t>
  </si>
  <si>
    <t>Sugar &amp; Sweeteners RM SKU 258</t>
  </si>
  <si>
    <t>Other RM RM SKU 403</t>
  </si>
  <si>
    <t>Colorants &amp; Dyes RM SKU 160</t>
  </si>
  <si>
    <t>Flours &amp; Starches RM SKU 565</t>
  </si>
  <si>
    <t>Spices &amp; Flavorings RM SKU 151</t>
  </si>
  <si>
    <t>Colorants &amp; Dyes RM SKU 985</t>
  </si>
  <si>
    <t>Flours &amp; Starches RM SKU 342</t>
  </si>
  <si>
    <t>Sugar &amp; Sweeteners RM SKU 653</t>
  </si>
  <si>
    <t>Sugar &amp; Sweeteners RM SKU 115</t>
  </si>
  <si>
    <t>Colorants &amp; Dyes RM SKU 848</t>
  </si>
  <si>
    <t>Sugar &amp; Sweeteners RM SKU 553</t>
  </si>
  <si>
    <t>Sugar &amp; Sweeteners RM SKU 294</t>
  </si>
  <si>
    <t>Sugar &amp; Sweeteners RM SKU 769</t>
  </si>
  <si>
    <t>Flours &amp; Starches RM SKU 532</t>
  </si>
  <si>
    <t>Flours &amp; Starches RM SKU 200</t>
  </si>
  <si>
    <t>Colorants &amp; Dyes RM SKU 385</t>
  </si>
  <si>
    <t>Packaging Films RM SKU 354</t>
  </si>
  <si>
    <t>Flours &amp; Starches RM SKU 663</t>
  </si>
  <si>
    <t>Flours &amp; Starches RM SKU 559</t>
  </si>
  <si>
    <t>Packaging Films RM SKU 196</t>
  </si>
  <si>
    <t>Oils &amp; Shortenings RM SKU 520</t>
  </si>
  <si>
    <t>Sugar &amp; Sweeteners RM SKU 984</t>
  </si>
  <si>
    <t>Flours &amp; Starches RM SKU 512</t>
  </si>
  <si>
    <t>Sugar &amp; Sweeteners RM SKU 355</t>
  </si>
  <si>
    <t>Flours &amp; Starches RM SKU 774</t>
  </si>
  <si>
    <t>Packaging Films RM SKU 447</t>
  </si>
  <si>
    <t>Flours &amp; Starches RM SKU 982</t>
  </si>
  <si>
    <t>Flours &amp; Starches RM SKU 155</t>
  </si>
  <si>
    <t>Sugar &amp; Sweeteners RM SKU 462</t>
  </si>
  <si>
    <t>$/Unit</t>
  </si>
  <si>
    <t>Units</t>
  </si>
  <si>
    <t>SKU</t>
  </si>
  <si>
    <t>Work-in-Process</t>
  </si>
  <si>
    <t>Other WIP</t>
  </si>
  <si>
    <t>Quality Hold</t>
  </si>
  <si>
    <t>In-Process Rework</t>
  </si>
  <si>
    <t>Ingredient Prep (Cut / Ground / Melted)</t>
  </si>
  <si>
    <t>Packaging Prep Stage</t>
  </si>
  <si>
    <t>Coloring / Coating Stage</t>
  </si>
  <si>
    <t>Flavor Additives In-Process</t>
  </si>
  <si>
    <t>Batch Prep / Staging</t>
  </si>
  <si>
    <t>Blending / Mixing Stage</t>
  </si>
  <si>
    <t>Partially Processed Goods</t>
  </si>
  <si>
    <t>Flavor Additives In-Process WIP SKU 572</t>
  </si>
  <si>
    <t>Quality Hold WIP SKU 131</t>
  </si>
  <si>
    <t>Flavor Additives In-Process WIP SKU 389</t>
  </si>
  <si>
    <t>Partially Processed Goods WIP SKU 761</t>
  </si>
  <si>
    <t>Partially Processed Goods WIP SKU 342</t>
  </si>
  <si>
    <t>Other WIP WIP SKU 394</t>
  </si>
  <si>
    <t>Partially Processed Goods WIP SKU 868</t>
  </si>
  <si>
    <t>Flavor Additives In-Process WIP SKU 963</t>
  </si>
  <si>
    <t>Flavor Additives In-Process WIP SKU 641</t>
  </si>
  <si>
    <t>Quality Hold WIP SKU 349</t>
  </si>
  <si>
    <t>Partially Processed Goods WIP SKU 609</t>
  </si>
  <si>
    <t>Flavor Additives In-Process WIP SKU 754</t>
  </si>
  <si>
    <t>Partially Processed Goods WIP SKU 734</t>
  </si>
  <si>
    <t>Flavor Additives In-Process WIP SKU 513</t>
  </si>
  <si>
    <t>In-Process Rework WIP SKU 214</t>
  </si>
  <si>
    <t>Blending / Mixing Stage WIP SKU 543</t>
  </si>
  <si>
    <t>Partially Processed Goods WIP SKU 448</t>
  </si>
  <si>
    <t>Packaging Prep Stage WIP SKU 146</t>
  </si>
  <si>
    <t>Partially Processed Goods WIP SKU 479</t>
  </si>
  <si>
    <t>In-Process Rework WIP SKU 643</t>
  </si>
  <si>
    <t>Coloring / Coating Stage WIP SKU 106</t>
  </si>
  <si>
    <t>Partially Processed Goods WIP SKU 256</t>
  </si>
  <si>
    <t>Coloring / Coating Stage WIP SKU 275</t>
  </si>
  <si>
    <t>Partially Processed Goods WIP SKU 809</t>
  </si>
  <si>
    <t>Other WIP WIP SKU 577</t>
  </si>
  <si>
    <t>Partially Processed Goods WIP SKU 206</t>
  </si>
  <si>
    <t>Ingredient Prep (Cut / Ground / Melted) WIP SKU 555</t>
  </si>
  <si>
    <t>Ingredient Prep (Cut / Ground / Melted) WIP SKU 465</t>
  </si>
  <si>
    <t>Ingredient Prep (Cut / Ground / Melted) WIP SKU 424</t>
  </si>
  <si>
    <t>Ingredient Prep (Cut / Ground / Melted) WIP SKU 132</t>
  </si>
  <si>
    <t>Partially Processed Goods WIP SKU 747</t>
  </si>
  <si>
    <t>Blending / Mixing Stage WIP SKU 353</t>
  </si>
  <si>
    <t>Partially Processed Goods WIP SKU 268</t>
  </si>
  <si>
    <t>Batch Prep / Staging WIP SKU 751</t>
  </si>
  <si>
    <t>Partially Processed Goods WIP SKU 131</t>
  </si>
  <si>
    <t>Flavor Additives In-Process WIP SKU 969</t>
  </si>
  <si>
    <t>Flavor Additives In-Process WIP SKU 247</t>
  </si>
  <si>
    <t>Partially Processed Goods WIP SKU 435</t>
  </si>
  <si>
    <t>Batch Prep / Staging WIP SKU 214</t>
  </si>
  <si>
    <t>Blending / Mixing Stage WIP SKU 764</t>
  </si>
  <si>
    <t>Packaging Prep Stage WIP SKU 920</t>
  </si>
  <si>
    <t>Quality Hold WIP SKU 292</t>
  </si>
  <si>
    <t>Blending / Mixing Stage WIP SKU 535</t>
  </si>
  <si>
    <t>Other WIP WIP SKU 445</t>
  </si>
  <si>
    <t>Ingredient Prep (Cut / Ground / Melted) WIP SKU 176</t>
  </si>
  <si>
    <t>Ingredient Prep (Cut / Ground / Melted) WIP SKU 849</t>
  </si>
  <si>
    <t>Ingredient Prep (Cut / Ground / Melted) WIP SKU 218</t>
  </si>
  <si>
    <t>Partially Processed Goods WIP SKU 773</t>
  </si>
  <si>
    <t>Other WIP WIP SKU 957</t>
  </si>
  <si>
    <t>Other WIP WIP SKU 569</t>
  </si>
  <si>
    <t>Other WIP WIP SKU 140</t>
  </si>
  <si>
    <t>Packaging Prep Stage WIP SKU 744</t>
  </si>
  <si>
    <t>Coloring / Coating Stage WIP SKU 629</t>
  </si>
  <si>
    <t>Other WIP WIP SKU 885</t>
  </si>
  <si>
    <t>Batch Prep / Staging WIP SKU 254</t>
  </si>
  <si>
    <t>Blending / Mixing Stage WIP SKU 221</t>
  </si>
  <si>
    <t>Partially Processed Goods WIP SKU 541</t>
  </si>
  <si>
    <t>Batch Prep / Staging WIP SKU 357</t>
  </si>
  <si>
    <t>Batch Prep / Staging WIP SKU 178</t>
  </si>
  <si>
    <t>Quality Hold WIP SKU 770</t>
  </si>
  <si>
    <t>Packaging Prep Stage WIP SKU 896</t>
  </si>
  <si>
    <t>Coloring / Coating Stage WIP SKU 464</t>
  </si>
  <si>
    <t>Ingredient Prep (Cut / Ground / Melted) WIP SKU 332</t>
  </si>
  <si>
    <t>Batch Prep / Staging WIP SKU 822</t>
  </si>
  <si>
    <t>Coloring / Coating Stage WIP SKU 932</t>
  </si>
  <si>
    <t>Batch Prep / Staging WIP SKU 924</t>
  </si>
  <si>
    <t>Quality Hold WIP SKU 775</t>
  </si>
  <si>
    <t>Flavor Additives In-Process WIP SKU 322</t>
  </si>
  <si>
    <t>Batch Prep / Staging WIP SKU 552</t>
  </si>
  <si>
    <t>In-Process Rework WIP SKU 256</t>
  </si>
  <si>
    <t>Ingredient Prep (Cut / Ground / Melted) WIP SKU 419</t>
  </si>
  <si>
    <t>Quality Hold WIP SKU 630</t>
  </si>
  <si>
    <t>Partially Processed Goods WIP SKU 109</t>
  </si>
  <si>
    <t>Quality Hold WIP SKU 620</t>
  </si>
  <si>
    <t>Packaging Prep Stage WIP SKU 731</t>
  </si>
  <si>
    <t>Flavor Additives In-Process WIP SKU 272</t>
  </si>
  <si>
    <t>Partially Processed Goods WIP SKU 666</t>
  </si>
  <si>
    <t>Coloring / Coating Stage WIP SKU 662</t>
  </si>
  <si>
    <t>Other WIP WIP SKU 472</t>
  </si>
  <si>
    <t>Inline</t>
  </si>
  <si>
    <t>Excess - Total</t>
  </si>
  <si>
    <t>Pct_of_SP</t>
  </si>
  <si>
    <t>Pct_of_Cost</t>
  </si>
  <si>
    <t>GrossRecovery</t>
  </si>
  <si>
    <t>SellingPrice</t>
  </si>
  <si>
    <t>Type</t>
  </si>
  <si>
    <t>RecoveryPct</t>
  </si>
  <si>
    <t>Net Recovery</t>
  </si>
  <si>
    <t>Total Liquidation Costs</t>
  </si>
  <si>
    <t>Agent Commission Costs</t>
  </si>
  <si>
    <t>On-Site Management</t>
  </si>
  <si>
    <t>Total Operating Costs</t>
  </si>
  <si>
    <t xml:space="preserve">  Miscellaneous Costs</t>
  </si>
  <si>
    <t xml:space="preserve">  Royalty Costs</t>
  </si>
  <si>
    <t xml:space="preserve">  Shipping Costs</t>
  </si>
  <si>
    <t xml:space="preserve">  Independent Inventory Costs</t>
  </si>
  <si>
    <t xml:space="preserve">  Third Party Warehouse Costs</t>
  </si>
  <si>
    <t xml:space="preserve">  Occupancy &amp; Utilities</t>
  </si>
  <si>
    <t>Advertising &amp; Promotional Costs</t>
  </si>
  <si>
    <t>Total Payroll Costs</t>
  </si>
  <si>
    <t xml:space="preserve">  Commissions</t>
  </si>
  <si>
    <t xml:space="preserve">  Employee Benefits &amp; Taxes</t>
  </si>
  <si>
    <t xml:space="preserve">  Employee Incentive &amp; Retention</t>
  </si>
  <si>
    <t xml:space="preserve">  Selling Payroll</t>
  </si>
  <si>
    <t xml:space="preserve">  Distribution Payroll</t>
  </si>
  <si>
    <t xml:space="preserve">  Administration Payroll</t>
  </si>
  <si>
    <t>Gross Recovery</t>
  </si>
  <si>
    <t>Available Inventory at Cost</t>
  </si>
  <si>
    <t>Total_%Cost</t>
  </si>
  <si>
    <t>Total_$</t>
  </si>
  <si>
    <t>WIP_%Cost</t>
  </si>
  <si>
    <t>WIP_$</t>
  </si>
  <si>
    <t>RM_%Cost</t>
  </si>
  <si>
    <t>RM_$</t>
  </si>
  <si>
    <t>FG_%Cost</t>
  </si>
  <si>
    <t>FG_$</t>
  </si>
  <si>
    <t>LineItem</t>
  </si>
  <si>
    <t>No</t>
  </si>
  <si>
    <t>Competitive Risk</t>
  </si>
  <si>
    <t>End Market Outlook</t>
  </si>
  <si>
    <t>Geopolitical Risk</t>
  </si>
  <si>
    <t>Supply Chain Stability</t>
  </si>
  <si>
    <t>Disruption Risk</t>
  </si>
  <si>
    <t>Regulatory Stability</t>
  </si>
  <si>
    <t>Inflation &amp; Deflation Risk</t>
  </si>
  <si>
    <t>Industry Seasonality</t>
  </si>
  <si>
    <t>Sector Level Distress</t>
  </si>
  <si>
    <t>Competitive Pressure</t>
  </si>
  <si>
    <t>Input Cost Variability</t>
  </si>
  <si>
    <t>Demand Volatility</t>
  </si>
  <si>
    <t>Operational Risk</t>
  </si>
  <si>
    <t>Customer Relationship Strength</t>
  </si>
  <si>
    <t>Data Quality &amp; Integrity</t>
  </si>
  <si>
    <t>System Risk</t>
  </si>
  <si>
    <t>Inventory Count Accuracy</t>
  </si>
  <si>
    <t>Liquidation Channel Risk</t>
  </si>
  <si>
    <t>Vendor Health</t>
  </si>
  <si>
    <t>Customer Health</t>
  </si>
  <si>
    <t>Sales Trends</t>
  </si>
  <si>
    <t>DPO Trend</t>
  </si>
  <si>
    <t>Cash Flow Stability</t>
  </si>
  <si>
    <t>Profitability</t>
  </si>
  <si>
    <t>Liquidity</t>
  </si>
  <si>
    <t>Production Lead Time</t>
  </si>
  <si>
    <t>Vendor Concentration</t>
  </si>
  <si>
    <t>Lead Time &amp; Supply Disruption</t>
  </si>
  <si>
    <t>Customer Specific Exposure</t>
  </si>
  <si>
    <t>Seasonality</t>
  </si>
  <si>
    <t>Yes</t>
  </si>
  <si>
    <t>SKU Concentration</t>
  </si>
  <si>
    <t>WIP &amp; RM Build</t>
  </si>
  <si>
    <t>Inventory Mix</t>
  </si>
  <si>
    <t>Write Down &amp; Scrap</t>
  </si>
  <si>
    <t>Cost Inflation</t>
  </si>
  <si>
    <t>Margin Volatility</t>
  </si>
  <si>
    <t>Excess &amp; Obsolete</t>
  </si>
  <si>
    <t>Inventory Velocity &amp; Turn</t>
  </si>
  <si>
    <t>Cross Aging Risk</t>
  </si>
  <si>
    <t>Process Risk</t>
  </si>
  <si>
    <t>Eligibility Impact</t>
  </si>
  <si>
    <t>Dispute Frequency</t>
  </si>
  <si>
    <t>Sales Volatility</t>
  </si>
  <si>
    <t>Write-off</t>
  </si>
  <si>
    <t>Concentration</t>
  </si>
  <si>
    <t>Past Due % AR</t>
  </si>
  <si>
    <t>DSO Trend</t>
  </si>
  <si>
    <t>HighImpactFactor</t>
  </si>
  <si>
    <t>RiskScore</t>
  </si>
  <si>
    <t>SubRisk</t>
  </si>
  <si>
    <t>MainCategory</t>
  </si>
  <si>
    <t>Weight_Industry</t>
  </si>
  <si>
    <t>Weight_Company</t>
  </si>
  <si>
    <t>Weight_Inventory</t>
  </si>
  <si>
    <t>Weight_AR</t>
  </si>
  <si>
    <t>Industry_Risk</t>
  </si>
  <si>
    <t>Company_Risk</t>
  </si>
  <si>
    <t>Inventory_Risk</t>
  </si>
  <si>
    <t>AR_Risk</t>
  </si>
  <si>
    <t>OverallScore</t>
  </si>
  <si>
    <t>Forecast</t>
  </si>
  <si>
    <t>Actual</t>
  </si>
  <si>
    <t>Revolver_Availability</t>
  </si>
  <si>
    <t>Loan_Balance</t>
  </si>
  <si>
    <t>Available_Collateral</t>
  </si>
  <si>
    <t>ActualForecast</t>
  </si>
  <si>
    <t>AR</t>
  </si>
  <si>
    <t>FinishedGoods</t>
  </si>
  <si>
    <t>RawMaterials</t>
  </si>
  <si>
    <t>WorkInProcess</t>
  </si>
  <si>
    <t>Period</t>
  </si>
  <si>
    <t>Net Cash Flow</t>
  </si>
  <si>
    <t>Total Disbursements</t>
  </si>
  <si>
    <t>Total Non-Operating Disbursements</t>
  </si>
  <si>
    <t>Other Non-Operating Disbursements</t>
  </si>
  <si>
    <t>On-Time Professional Fees</t>
  </si>
  <si>
    <t>Non-Recurring Tax Payments</t>
  </si>
  <si>
    <t>Interest Expense</t>
  </si>
  <si>
    <t>Total Operating Disbursements</t>
  </si>
  <si>
    <t>Other Disbursements</t>
  </si>
  <si>
    <t>Repairs/Maintenance</t>
  </si>
  <si>
    <t>Software Expenses</t>
  </si>
  <si>
    <t>Professional Services</t>
  </si>
  <si>
    <t>Insurance</t>
  </si>
  <si>
    <t>Utilities</t>
  </si>
  <si>
    <t>Rent</t>
  </si>
  <si>
    <t>Payroll</t>
  </si>
  <si>
    <t>Total Receipts</t>
  </si>
  <si>
    <t>Other Receipts</t>
  </si>
  <si>
    <t>Collections</t>
  </si>
  <si>
    <t>Receipts</t>
  </si>
  <si>
    <t xml:space="preserve">Total 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</si>
  <si>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</si>
  <si>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</si>
  <si>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</si>
  <si>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</si>
  <si>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</si>
  <si>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</si>
  <si>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</si>
  <si>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</si>
  <si>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</si>
  <si>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</si>
  <si>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</si>
  <si>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</si>
  <si>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</si>
  <si>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X</t>
  </si>
  <si>
    <t>Property Tax</t>
  </si>
  <si>
    <t>Beginning Cash</t>
  </si>
  <si>
    <t>Revolver Draw / Paydown</t>
  </si>
  <si>
    <t>Ending Cash</t>
  </si>
  <si>
    <t xml:space="preserve">Revolver Availability + Cash </t>
  </si>
  <si>
    <t xml:space="preserve">Cash </t>
  </si>
  <si>
    <t>Revolver Availability</t>
  </si>
  <si>
    <t>Current Loan Balance</t>
  </si>
  <si>
    <t xml:space="preserve">Collateral Availability </t>
  </si>
  <si>
    <t>Projected</t>
  </si>
  <si>
    <t>Variance</t>
  </si>
  <si>
    <t>Variance %</t>
  </si>
  <si>
    <t xml:space="preserve">Date </t>
  </si>
  <si>
    <t xml:space="preserve">Collateral Type </t>
  </si>
  <si>
    <t xml:space="preserve">Collateral Sub-Type </t>
  </si>
  <si>
    <t>$ Limit</t>
  </si>
  <si>
    <t>% Limit</t>
  </si>
  <si>
    <t xml:space="preserve">Accounts Receivable </t>
  </si>
  <si>
    <t xml:space="preserve">Finished Goods </t>
  </si>
  <si>
    <t xml:space="preserve">Next Update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</si>
</sst>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yyyy\-mm\-dd"/>
    <numFmt numFmtId="167" formatCode="0.0"/>
    <numFmt numFmtId="168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165" fontId="0" fillId="0" borderId="0" xfId="2" applyNumberFormat="1" applyFont="1"/>
    <xf numFmtId="0" fontId="4" fillId="0" borderId="0" xfId="3"/>
    <xf numFmtId="14" fontId="3" fillId="0" borderId="0" xfId="0" applyNumberFormat="1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top"/>
    </xf>
    <xf numFmtId="165" fontId="0" fillId="0" borderId="0" xfId="2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4" fontId="2" fillId="0" borderId="1" xfId="1" applyNumberFormat="1" applyFont="1" applyBorder="1" applyAlignment="1">
      <alignment horizontal="center" vertical="top"/>
    </xf>
    <xf numFmtId="165" fontId="2" fillId="0" borderId="1" xfId="2" applyNumberFormat="1" applyFont="1" applyBorder="1" applyAlignment="1">
      <alignment horizontal="center" vertical="top"/>
    </xf>
    <xf numFmtId="167" fontId="0" fillId="0" borderId="0" xfId="0" applyNumberFormat="1" applyAlignment="1">
      <alignment horizontal="center"/>
    </xf>
    <xf numFmtId="43" fontId="2" fillId="0" borderId="1" xfId="1" applyFont="1" applyBorder="1" applyAlignment="1">
      <alignment horizontal="center" vertical="top"/>
    </xf>
    <xf numFmtId="166" fontId="0" fillId="0" borderId="0" xfId="0" applyNumberFormat="1"/>
    <xf numFmtId="9" fontId="0" fillId="0" borderId="0" xfId="2" applyFont="1"/>
    <xf numFmtId="9" fontId="2" fillId="0" borderId="1" xfId="2" applyFont="1" applyBorder="1" applyAlignment="1">
      <alignment horizontal="center" vertical="top"/>
    </xf>
    <xf numFmtId="167" fontId="0" fillId="0" borderId="0" xfId="0" applyNumberFormat="1"/>
    <xf numFmtId="10" fontId="0" fillId="0" borderId="0" xfId="2" applyNumberFormat="1" applyFont="1"/>
    <xf numFmtId="10" fontId="2" fillId="0" borderId="1" xfId="2" applyNumberFormat="1" applyFont="1" applyBorder="1" applyAlignment="1">
      <alignment horizontal="center" vertical="top"/>
    </xf>
    <xf numFmtId="168" fontId="0" fillId="0" borderId="0" xfId="0" applyNumberFormat="1"/>
    <xf numFmtId="0" fontId="6" fillId="2" borderId="0" xfId="0" applyFont="1" applyFill="1" applyAlignment="1">
      <alignment horizontal="center"/>
    </xf>
    <xf numFmtId="164" fontId="2" fillId="0" borderId="0" xfId="1" applyNumberFormat="1" applyFont="1"/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43" fontId="2" fillId="0" borderId="0" xfId="1" applyFont="1"/>
    <xf numFmtId="165" fontId="2" fillId="0" borderId="0" xfId="2" applyNumberFormat="1" applyFont="1"/>
    <xf numFmtId="6" fontId="0" fillId="0" borderId="0" xfId="0" applyNumberFormat="1"/>
    <xf numFmtId="0" fontId="0" fillId="0" borderId="0" xfId="0" applyFont="1"/>
    <xf numFmtId="0" fontId="5" fillId="0" borderId="0" xfId="0" applyFont="1"/>
    <xf numFmtId="168" fontId="2" fillId="0" borderId="0" xfId="0" applyNumberFormat="1" applyFont="1"/>
    <xf numFmtId="165" fontId="0" fillId="0" borderId="0" xfId="2" applyNumberFormat="1" applyFont="1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B16A-07D2-46EF-8821-E063CAF5DEAC}">
  <sheetPr>
    <tabColor theme="4" tint="0.39997558519241921"/>
  </sheetPr>
  <dimension ref="A1:P5"/>
  <sheetViews>
    <sheetView tabSelected="1" topLeftCell="C1" zoomScale="82" workbookViewId="0">
      <selection activeCell="G19" sqref="G19"/>
    </sheetView>
  </sheetViews>
  <sheetFormatPr defaultRowHeight="14.4" x14ac:dyDescent="0.3"/>
  <cols>
    <col min="1" max="1" width="26.88671875" bestFit="1" customWidth="1"/>
    <col min="2" max="2" width="11.5546875" bestFit="1" customWidth="1"/>
    <col min="3" max="3" width="16.5546875" bestFit="1" customWidth="1"/>
    <col min="4" max="4" width="13.88671875" bestFit="1" customWidth="1"/>
    <col min="5" max="5" width="26.33203125" bestFit="1" customWidth="1"/>
    <col min="6" max="6" width="15.109375" bestFit="1" customWidth="1"/>
    <col min="7" max="7" width="21.5546875" bestFit="1" customWidth="1"/>
    <col min="8" max="8" width="20.5546875" bestFit="1" customWidth="1"/>
    <col min="9" max="9" width="15.44140625" bestFit="1" customWidth="1"/>
    <col min="10" max="10" width="14.88671875" bestFit="1" customWidth="1"/>
    <col min="11" max="11" width="15.88671875" bestFit="1" customWidth="1"/>
    <col min="12" max="12" width="15.88671875" customWidth="1"/>
    <col min="13" max="13" width="17" bestFit="1" customWidth="1"/>
    <col min="14" max="14" width="9.44140625" bestFit="1" customWidth="1"/>
    <col min="15" max="15" width="17.44140625" bestFit="1" customWidth="1"/>
    <col min="16" max="16" width="10.109375" bestFit="1" customWidth="1"/>
  </cols>
  <sheetData>
    <row r="1" spans="1:16" x14ac:dyDescent="0.3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3">
      <c r="A2" s="1" t="s">
        <v>8</v>
      </c>
      <c r="B2" s="1" t="s">
        <v>9</v>
      </c>
      <c r="C2" s="1" t="s">
        <v>10</v>
      </c>
      <c r="D2" s="1" t="s">
        <v>12</v>
      </c>
      <c r="E2" s="1" t="s">
        <v>29</v>
      </c>
      <c r="F2" s="1" t="s">
        <v>13</v>
      </c>
      <c r="G2" s="1" t="s">
        <v>14</v>
      </c>
      <c r="H2" s="1" t="s">
        <v>15</v>
      </c>
      <c r="I2" s="1" t="s">
        <v>25</v>
      </c>
      <c r="J2" s="1" t="s">
        <v>31</v>
      </c>
      <c r="K2" s="1" t="s">
        <v>32</v>
      </c>
      <c r="L2" s="1" t="s">
        <v>717</v>
      </c>
      <c r="M2" s="1" t="s">
        <v>0</v>
      </c>
      <c r="N2" s="1" t="s">
        <v>1</v>
      </c>
      <c r="O2" s="1" t="s">
        <v>2</v>
      </c>
      <c r="P2" s="1" t="s">
        <v>3</v>
      </c>
    </row>
    <row r="3" spans="1:16" x14ac:dyDescent="0.3">
      <c r="A3" t="s">
        <v>28</v>
      </c>
      <c r="B3" s="2" t="s">
        <v>7</v>
      </c>
      <c r="C3" t="s">
        <v>16</v>
      </c>
      <c r="D3" t="s">
        <v>17</v>
      </c>
      <c r="E3" s="7" t="s">
        <v>30</v>
      </c>
      <c r="F3" t="s">
        <v>18</v>
      </c>
      <c r="G3" t="s">
        <v>19</v>
      </c>
      <c r="H3" t="s">
        <v>20</v>
      </c>
      <c r="I3" s="2" t="s">
        <v>26</v>
      </c>
      <c r="J3" s="5">
        <v>45989</v>
      </c>
      <c r="K3" s="8">
        <v>45961</v>
      </c>
      <c r="L3" s="8">
        <v>46022</v>
      </c>
      <c r="M3" t="s">
        <v>33</v>
      </c>
      <c r="N3" s="2" t="s">
        <v>4</v>
      </c>
      <c r="O3" t="s">
        <v>5</v>
      </c>
      <c r="P3" s="2" t="s">
        <v>6</v>
      </c>
    </row>
    <row r="4" spans="1:16" x14ac:dyDescent="0.3">
      <c r="B4" s="2"/>
      <c r="E4" s="7"/>
      <c r="I4" s="2"/>
      <c r="J4" s="5"/>
      <c r="K4" s="8"/>
      <c r="L4" s="8"/>
      <c r="N4" s="2"/>
      <c r="P4" s="2"/>
    </row>
    <row r="5" spans="1:16" x14ac:dyDescent="0.3">
      <c r="B5" s="2"/>
      <c r="E5" s="7"/>
      <c r="I5" s="2"/>
      <c r="J5" s="5"/>
      <c r="K5" s="8"/>
      <c r="L5" s="8"/>
      <c r="N5" s="2"/>
      <c r="P5" s="2"/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14C8-C2E5-486F-87E6-7A93E03A50D9}">
  <sheetPr>
    <tabColor theme="4" tint="0.39997558519241921"/>
  </sheetPr>
  <dimension ref="A1:M6"/>
  <sheetViews>
    <sheetView zoomScale="67" workbookViewId="0">
      <selection activeCell="I28" sqref="I28"/>
    </sheetView>
  </sheetViews>
  <sheetFormatPr defaultRowHeight="14.4" x14ac:dyDescent="0.3"/>
  <cols>
    <col min="1" max="1" width="19.44140625" bestFit="1" customWidth="1"/>
    <col min="2" max="2" width="25.33203125" bestFit="1" customWidth="1"/>
    <col min="3" max="13" width="20.6640625" customWidth="1"/>
  </cols>
  <sheetData>
    <row r="1" spans="1:13" x14ac:dyDescent="0.3">
      <c r="A1" t="s">
        <v>47</v>
      </c>
      <c r="B1" t="s">
        <v>48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27</v>
      </c>
    </row>
    <row r="2" spans="1:13" x14ac:dyDescent="0.3">
      <c r="A2" t="s">
        <v>35</v>
      </c>
      <c r="B2" t="str">
        <f>A2</f>
        <v>Accounts Receivable</v>
      </c>
      <c r="C2" s="4">
        <v>24026412.32</v>
      </c>
      <c r="D2" s="4">
        <v>-2599691.5499999998</v>
      </c>
      <c r="E2" s="4">
        <f>C2+D2</f>
        <v>21426720.77</v>
      </c>
      <c r="F2" s="6">
        <v>0.9</v>
      </c>
      <c r="G2" s="6">
        <v>1</v>
      </c>
      <c r="H2" s="6">
        <f>F2*G2</f>
        <v>0.9</v>
      </c>
      <c r="I2" s="6">
        <f>'Collateral Limits '!E2</f>
        <v>0.9</v>
      </c>
      <c r="J2" s="42">
        <f>H2</f>
        <v>0.9</v>
      </c>
      <c r="K2" s="4">
        <f>E2*J2</f>
        <v>19284048.693</v>
      </c>
      <c r="L2" s="4">
        <v>-1748856.94</v>
      </c>
      <c r="M2" s="4">
        <f>K2+L2</f>
        <v>17535191.752999999</v>
      </c>
    </row>
    <row r="3" spans="1:13" x14ac:dyDescent="0.3">
      <c r="A3" t="s">
        <v>23</v>
      </c>
      <c r="B3" t="s">
        <v>49</v>
      </c>
      <c r="C3" s="12">
        <f>FG_Inventory_Metrics!D49</f>
        <v>17244591.640000001</v>
      </c>
      <c r="D3" s="12">
        <f>-FG_Inventory_Metrics!E49</f>
        <v>-1379567.36</v>
      </c>
      <c r="E3" s="4">
        <f t="shared" ref="E3:E5" si="0">C3+D3</f>
        <v>15865024.280000001</v>
      </c>
      <c r="F3" s="6">
        <f>NOLV_Table!E22</f>
        <v>0.64271711605447568</v>
      </c>
      <c r="G3" s="6">
        <v>0.85</v>
      </c>
      <c r="H3" s="6">
        <f t="shared" ref="H3:H6" si="1">F3*G3</f>
        <v>0.54630954864630432</v>
      </c>
      <c r="I3" s="6">
        <f>'Collateral Limits '!E3</f>
        <v>1</v>
      </c>
      <c r="J3" s="42">
        <f t="shared" ref="J3:J6" si="2">H3</f>
        <v>0.54630954864630432</v>
      </c>
      <c r="K3" s="4">
        <f t="shared" ref="K3:K6" si="3">E3*J3</f>
        <v>8667214.2536694594</v>
      </c>
      <c r="L3" s="12">
        <v>0</v>
      </c>
      <c r="M3" s="4">
        <f t="shared" ref="M3:M6" si="4">K3+L3</f>
        <v>8667214.2536694594</v>
      </c>
    </row>
    <row r="4" spans="1:13" x14ac:dyDescent="0.3">
      <c r="A4" t="s">
        <v>23</v>
      </c>
      <c r="B4" t="s">
        <v>50</v>
      </c>
      <c r="C4" s="12">
        <f>RM_Inventory_Metrics!D49</f>
        <v>8427622.3499999996</v>
      </c>
      <c r="D4" s="12">
        <f>-RM_Inventory_Metrics!E49</f>
        <v>-1531374.18</v>
      </c>
      <c r="E4" s="4">
        <f t="shared" si="0"/>
        <v>6896248.1699999999</v>
      </c>
      <c r="F4" s="6">
        <f>NOLV_Table!G22</f>
        <v>0.26688733600820558</v>
      </c>
      <c r="G4" s="6">
        <v>0.85</v>
      </c>
      <c r="H4" s="6">
        <f t="shared" si="1"/>
        <v>0.22685423560697474</v>
      </c>
      <c r="I4" s="6">
        <f>'Collateral Limits '!E5</f>
        <v>0.5</v>
      </c>
      <c r="J4" s="42">
        <f t="shared" si="2"/>
        <v>0.22685423560697474</v>
      </c>
      <c r="K4" s="4">
        <f t="shared" si="3"/>
        <v>1564443.1071613485</v>
      </c>
      <c r="L4" s="12">
        <v>0</v>
      </c>
      <c r="M4" s="4">
        <f t="shared" si="4"/>
        <v>1564443.1071613485</v>
      </c>
    </row>
    <row r="5" spans="1:13" x14ac:dyDescent="0.3">
      <c r="A5" t="s">
        <v>23</v>
      </c>
      <c r="B5" t="s">
        <v>51</v>
      </c>
      <c r="C5" s="12">
        <f>WIP_Inventory_Metrics!D49</f>
        <v>2964502.23</v>
      </c>
      <c r="D5" s="12">
        <f>-WIP_Inventory_Metrics!E49</f>
        <v>-507920.76</v>
      </c>
      <c r="E5" s="4">
        <f t="shared" si="0"/>
        <v>2456581.4699999997</v>
      </c>
      <c r="F5" s="6">
        <f>NOLV_Table!I22</f>
        <v>0.10378389117522158</v>
      </c>
      <c r="G5" s="6">
        <v>0.85</v>
      </c>
      <c r="H5" s="6">
        <f t="shared" si="1"/>
        <v>8.8216307498938343E-2</v>
      </c>
      <c r="I5" s="6">
        <f>'Collateral Limits '!E4</f>
        <v>0.4</v>
      </c>
      <c r="J5" s="42">
        <f t="shared" si="2"/>
        <v>8.8216307498938343E-2</v>
      </c>
      <c r="K5" s="4">
        <f t="shared" si="3"/>
        <v>216710.54635371396</v>
      </c>
      <c r="L5" s="12">
        <v>0</v>
      </c>
      <c r="M5" s="4">
        <f t="shared" si="4"/>
        <v>216710.54635371396</v>
      </c>
    </row>
    <row r="6" spans="1:13" x14ac:dyDescent="0.3">
      <c r="A6" t="s">
        <v>36</v>
      </c>
      <c r="B6" t="s">
        <v>52</v>
      </c>
      <c r="C6" s="4">
        <f>E6-D6</f>
        <v>22120000</v>
      </c>
      <c r="D6" s="4">
        <v>-2250000</v>
      </c>
      <c r="E6" s="4">
        <v>19870000</v>
      </c>
      <c r="F6" s="6">
        <v>0.8</v>
      </c>
      <c r="G6" s="6">
        <v>1</v>
      </c>
      <c r="H6" s="6">
        <f t="shared" si="1"/>
        <v>0.8</v>
      </c>
      <c r="I6" s="6">
        <v>0.85</v>
      </c>
      <c r="J6" s="42">
        <f t="shared" si="2"/>
        <v>0.8</v>
      </c>
      <c r="K6" s="4">
        <f t="shared" si="3"/>
        <v>15896000</v>
      </c>
      <c r="L6" s="12">
        <v>0</v>
      </c>
      <c r="M6" s="4">
        <f t="shared" si="4"/>
        <v>15896000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FD18-0B89-460B-9C80-B271A8C90D5E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531-44CA-4612-80AE-F515F015F6BB}">
  <sheetPr>
    <tabColor theme="6" tint="0.39997558519241921"/>
  </sheetPr>
  <dimension ref="A1:L65"/>
  <sheetViews>
    <sheetView zoomScale="64" workbookViewId="0"/>
  </sheetViews>
  <sheetFormatPr defaultRowHeight="14.4" x14ac:dyDescent="0.3"/>
  <cols>
    <col min="1" max="7" width="28.109375" customWidth="1"/>
    <col min="10" max="10" width="17" bestFit="1" customWidth="1"/>
    <col min="11" max="11" width="22.44140625" bestFit="1" customWidth="1"/>
    <col min="12" max="12" width="29.6640625" bestFit="1" customWidth="1"/>
  </cols>
  <sheetData>
    <row r="1" spans="1:12" x14ac:dyDescent="0.3">
      <c r="A1" s="18" t="s">
        <v>53</v>
      </c>
      <c r="B1" s="18" t="s">
        <v>54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J1" s="16" t="s">
        <v>182</v>
      </c>
      <c r="K1" s="16" t="s">
        <v>183</v>
      </c>
      <c r="L1" s="16" t="s">
        <v>184</v>
      </c>
    </row>
    <row r="2" spans="1:12" x14ac:dyDescent="0.3">
      <c r="A2" s="9" t="s">
        <v>60</v>
      </c>
      <c r="B2" s="9" t="s">
        <v>61</v>
      </c>
      <c r="C2" s="9" t="s">
        <v>62</v>
      </c>
      <c r="D2" s="9">
        <v>2019</v>
      </c>
      <c r="E2" s="9" t="s">
        <v>63</v>
      </c>
      <c r="F2" s="15">
        <v>319810</v>
      </c>
      <c r="G2" s="15">
        <v>248940</v>
      </c>
      <c r="J2" s="9">
        <f>COUNTA(A2:A65)</f>
        <v>64</v>
      </c>
      <c r="K2" s="17">
        <f>SUM(F2:F65)</f>
        <v>26415030</v>
      </c>
      <c r="L2" s="17">
        <f>SUM(G2:G65)</f>
        <v>19870000</v>
      </c>
    </row>
    <row r="3" spans="1:12" x14ac:dyDescent="0.3">
      <c r="A3" s="9" t="s">
        <v>64</v>
      </c>
      <c r="B3" s="9" t="s">
        <v>65</v>
      </c>
      <c r="C3" s="9" t="s">
        <v>66</v>
      </c>
      <c r="D3" s="9">
        <v>2021</v>
      </c>
      <c r="E3" s="9" t="s">
        <v>63</v>
      </c>
      <c r="F3" s="15">
        <v>845620</v>
      </c>
      <c r="G3" s="15">
        <v>631890</v>
      </c>
    </row>
    <row r="4" spans="1:12" x14ac:dyDescent="0.3">
      <c r="A4" s="9" t="s">
        <v>67</v>
      </c>
      <c r="B4" s="9" t="s">
        <v>68</v>
      </c>
      <c r="C4" s="9" t="s">
        <v>69</v>
      </c>
      <c r="D4" s="9">
        <v>2019</v>
      </c>
      <c r="E4" s="9" t="s">
        <v>70</v>
      </c>
      <c r="F4" s="15">
        <v>611090</v>
      </c>
      <c r="G4" s="15">
        <v>486520</v>
      </c>
    </row>
    <row r="5" spans="1:12" x14ac:dyDescent="0.3">
      <c r="A5" s="9" t="s">
        <v>71</v>
      </c>
      <c r="B5" s="9" t="s">
        <v>72</v>
      </c>
      <c r="C5" s="9" t="s">
        <v>73</v>
      </c>
      <c r="D5" s="9">
        <v>2020</v>
      </c>
      <c r="E5" s="9" t="s">
        <v>70</v>
      </c>
      <c r="F5" s="15">
        <v>553600</v>
      </c>
      <c r="G5" s="15">
        <v>397900</v>
      </c>
    </row>
    <row r="6" spans="1:12" x14ac:dyDescent="0.3">
      <c r="A6" s="9" t="s">
        <v>74</v>
      </c>
      <c r="B6" s="9" t="s">
        <v>75</v>
      </c>
      <c r="C6" s="9" t="s">
        <v>76</v>
      </c>
      <c r="D6" s="9">
        <v>2019</v>
      </c>
      <c r="E6" s="9" t="s">
        <v>70</v>
      </c>
      <c r="F6" s="15">
        <v>128840</v>
      </c>
      <c r="G6" s="15">
        <v>103700</v>
      </c>
    </row>
    <row r="7" spans="1:12" x14ac:dyDescent="0.3">
      <c r="A7" s="9" t="s">
        <v>77</v>
      </c>
      <c r="B7" s="9" t="s">
        <v>78</v>
      </c>
      <c r="C7" s="9" t="s">
        <v>79</v>
      </c>
      <c r="D7" s="9">
        <v>2017</v>
      </c>
      <c r="E7" s="9" t="s">
        <v>70</v>
      </c>
      <c r="F7" s="15">
        <v>148170</v>
      </c>
      <c r="G7" s="15">
        <v>103680</v>
      </c>
    </row>
    <row r="8" spans="1:12" x14ac:dyDescent="0.3">
      <c r="A8" s="9" t="s">
        <v>80</v>
      </c>
      <c r="B8" s="9" t="s">
        <v>81</v>
      </c>
      <c r="C8" s="9" t="s">
        <v>82</v>
      </c>
      <c r="D8" s="9">
        <v>2017</v>
      </c>
      <c r="E8" s="9" t="s">
        <v>70</v>
      </c>
      <c r="F8" s="15">
        <v>53480</v>
      </c>
      <c r="G8" s="15">
        <v>38610</v>
      </c>
    </row>
    <row r="9" spans="1:12" x14ac:dyDescent="0.3">
      <c r="A9" s="9" t="s">
        <v>83</v>
      </c>
      <c r="B9" s="9" t="s">
        <v>84</v>
      </c>
      <c r="C9" s="9" t="s">
        <v>85</v>
      </c>
      <c r="D9" s="9">
        <v>2017</v>
      </c>
      <c r="E9" s="9" t="s">
        <v>70</v>
      </c>
      <c r="F9" s="15">
        <v>729920</v>
      </c>
      <c r="G9" s="15">
        <v>575700</v>
      </c>
    </row>
    <row r="10" spans="1:12" x14ac:dyDescent="0.3">
      <c r="A10" s="9" t="s">
        <v>86</v>
      </c>
      <c r="B10" s="9" t="s">
        <v>87</v>
      </c>
      <c r="C10" s="9" t="s">
        <v>88</v>
      </c>
      <c r="D10" s="9">
        <v>2020</v>
      </c>
      <c r="E10" s="9" t="s">
        <v>70</v>
      </c>
      <c r="F10" s="15">
        <v>490770</v>
      </c>
      <c r="G10" s="15">
        <v>399530</v>
      </c>
    </row>
    <row r="11" spans="1:12" x14ac:dyDescent="0.3">
      <c r="A11" s="9" t="s">
        <v>89</v>
      </c>
      <c r="B11" s="9" t="s">
        <v>90</v>
      </c>
      <c r="C11" s="9" t="s">
        <v>91</v>
      </c>
      <c r="D11" s="9">
        <v>2018</v>
      </c>
      <c r="E11" s="9" t="s">
        <v>63</v>
      </c>
      <c r="F11" s="15">
        <v>656060</v>
      </c>
      <c r="G11" s="15">
        <v>470620</v>
      </c>
    </row>
    <row r="12" spans="1:12" x14ac:dyDescent="0.3">
      <c r="A12" s="9" t="s">
        <v>92</v>
      </c>
      <c r="B12" s="9" t="s">
        <v>93</v>
      </c>
      <c r="C12" s="9" t="s">
        <v>94</v>
      </c>
      <c r="D12" s="9">
        <v>2017</v>
      </c>
      <c r="E12" s="9" t="s">
        <v>63</v>
      </c>
      <c r="F12" s="15">
        <v>18770</v>
      </c>
      <c r="G12" s="15">
        <v>13680</v>
      </c>
    </row>
    <row r="13" spans="1:12" x14ac:dyDescent="0.3">
      <c r="A13" s="9" t="s">
        <v>95</v>
      </c>
      <c r="B13" s="9" t="s">
        <v>96</v>
      </c>
      <c r="C13" s="9" t="s">
        <v>97</v>
      </c>
      <c r="D13" s="9">
        <v>2017</v>
      </c>
      <c r="E13" s="9" t="s">
        <v>70</v>
      </c>
      <c r="F13" s="15">
        <v>887260</v>
      </c>
      <c r="G13" s="15">
        <v>644650</v>
      </c>
    </row>
    <row r="14" spans="1:12" x14ac:dyDescent="0.3">
      <c r="A14" s="9" t="s">
        <v>98</v>
      </c>
      <c r="B14" s="9" t="s">
        <v>99</v>
      </c>
      <c r="C14" s="9" t="s">
        <v>100</v>
      </c>
      <c r="D14" s="9">
        <v>2017</v>
      </c>
      <c r="E14" s="9" t="s">
        <v>63</v>
      </c>
      <c r="F14" s="15">
        <v>766290</v>
      </c>
      <c r="G14" s="15">
        <v>553280</v>
      </c>
    </row>
    <row r="15" spans="1:12" x14ac:dyDescent="0.3">
      <c r="A15" s="9" t="s">
        <v>101</v>
      </c>
      <c r="B15" s="9" t="s">
        <v>102</v>
      </c>
      <c r="C15" s="9" t="s">
        <v>103</v>
      </c>
      <c r="D15" s="9">
        <v>2017</v>
      </c>
      <c r="E15" s="9" t="s">
        <v>70</v>
      </c>
      <c r="F15" s="15">
        <v>175340</v>
      </c>
      <c r="G15" s="15">
        <v>141130</v>
      </c>
    </row>
    <row r="16" spans="1:12" x14ac:dyDescent="0.3">
      <c r="A16" s="9" t="s">
        <v>104</v>
      </c>
      <c r="B16" s="9" t="s">
        <v>105</v>
      </c>
      <c r="C16" s="9" t="s">
        <v>106</v>
      </c>
      <c r="D16" s="9">
        <v>2018</v>
      </c>
      <c r="E16" s="9" t="s">
        <v>70</v>
      </c>
      <c r="F16" s="15">
        <v>157170</v>
      </c>
      <c r="G16" s="15">
        <v>120850</v>
      </c>
    </row>
    <row r="17" spans="1:7" x14ac:dyDescent="0.3">
      <c r="A17" s="9" t="s">
        <v>107</v>
      </c>
      <c r="B17" s="9" t="s">
        <v>108</v>
      </c>
      <c r="C17" s="9" t="s">
        <v>109</v>
      </c>
      <c r="D17" s="9">
        <v>2021</v>
      </c>
      <c r="E17" s="9" t="s">
        <v>70</v>
      </c>
      <c r="F17" s="15">
        <v>152490</v>
      </c>
      <c r="G17" s="15">
        <v>121900</v>
      </c>
    </row>
    <row r="18" spans="1:7" x14ac:dyDescent="0.3">
      <c r="A18" s="9" t="s">
        <v>110</v>
      </c>
      <c r="B18" s="9" t="s">
        <v>111</v>
      </c>
      <c r="C18" s="9" t="s">
        <v>112</v>
      </c>
      <c r="D18" s="9">
        <v>2017</v>
      </c>
      <c r="E18" s="9" t="s">
        <v>63</v>
      </c>
      <c r="F18" s="15">
        <v>283860</v>
      </c>
      <c r="G18" s="15">
        <v>202210</v>
      </c>
    </row>
    <row r="19" spans="1:7" x14ac:dyDescent="0.3">
      <c r="A19" s="9" t="s">
        <v>113</v>
      </c>
      <c r="B19" s="9" t="s">
        <v>114</v>
      </c>
      <c r="C19" s="9" t="s">
        <v>115</v>
      </c>
      <c r="D19" s="9">
        <v>2019</v>
      </c>
      <c r="E19" s="9" t="s">
        <v>70</v>
      </c>
      <c r="F19" s="15">
        <v>472500</v>
      </c>
      <c r="G19" s="15">
        <v>348780</v>
      </c>
    </row>
    <row r="20" spans="1:7" x14ac:dyDescent="0.3">
      <c r="A20" s="9" t="s">
        <v>116</v>
      </c>
      <c r="B20" s="9" t="s">
        <v>117</v>
      </c>
      <c r="C20" s="9" t="s">
        <v>118</v>
      </c>
      <c r="D20" s="9">
        <v>2018</v>
      </c>
      <c r="E20" s="9" t="s">
        <v>63</v>
      </c>
      <c r="F20" s="15">
        <v>371760</v>
      </c>
      <c r="G20" s="15">
        <v>287090</v>
      </c>
    </row>
    <row r="21" spans="1:7" x14ac:dyDescent="0.3">
      <c r="A21" s="9" t="s">
        <v>119</v>
      </c>
      <c r="B21" s="9" t="s">
        <v>120</v>
      </c>
      <c r="C21" s="9" t="s">
        <v>121</v>
      </c>
      <c r="D21" s="9">
        <v>2020</v>
      </c>
      <c r="E21" s="9" t="s">
        <v>70</v>
      </c>
      <c r="F21" s="15">
        <v>240070</v>
      </c>
      <c r="G21" s="15">
        <v>193560</v>
      </c>
    </row>
    <row r="22" spans="1:7" x14ac:dyDescent="0.3">
      <c r="A22" s="9" t="s">
        <v>122</v>
      </c>
      <c r="B22" s="9" t="s">
        <v>123</v>
      </c>
      <c r="C22" s="9" t="s">
        <v>124</v>
      </c>
      <c r="D22" s="9">
        <v>2020</v>
      </c>
      <c r="E22" s="9" t="s">
        <v>63</v>
      </c>
      <c r="F22" s="15">
        <v>524940</v>
      </c>
      <c r="G22" s="15">
        <v>406670</v>
      </c>
    </row>
    <row r="23" spans="1:7" x14ac:dyDescent="0.3">
      <c r="A23" s="9" t="s">
        <v>125</v>
      </c>
      <c r="B23" s="9" t="s">
        <v>126</v>
      </c>
      <c r="C23" s="9" t="s">
        <v>127</v>
      </c>
      <c r="D23" s="9">
        <v>2019</v>
      </c>
      <c r="E23" s="9" t="s">
        <v>70</v>
      </c>
      <c r="F23" s="15">
        <v>119950</v>
      </c>
      <c r="G23" s="15">
        <v>92710</v>
      </c>
    </row>
    <row r="24" spans="1:7" x14ac:dyDescent="0.3">
      <c r="A24" s="9" t="s">
        <v>128</v>
      </c>
      <c r="B24" s="9" t="s">
        <v>129</v>
      </c>
      <c r="C24" s="9" t="s">
        <v>130</v>
      </c>
      <c r="D24" s="9">
        <v>2019</v>
      </c>
      <c r="E24" s="9" t="s">
        <v>63</v>
      </c>
      <c r="F24" s="15">
        <v>267270</v>
      </c>
      <c r="G24" s="15">
        <v>194170</v>
      </c>
    </row>
    <row r="25" spans="1:7" x14ac:dyDescent="0.3">
      <c r="A25" s="9" t="s">
        <v>131</v>
      </c>
      <c r="B25" s="9" t="s">
        <v>132</v>
      </c>
      <c r="C25" s="9" t="s">
        <v>133</v>
      </c>
      <c r="D25" s="9">
        <v>2021</v>
      </c>
      <c r="E25" s="9" t="s">
        <v>70</v>
      </c>
      <c r="F25" s="15">
        <v>330590</v>
      </c>
      <c r="G25" s="15">
        <v>243500</v>
      </c>
    </row>
    <row r="26" spans="1:7" x14ac:dyDescent="0.3">
      <c r="A26" s="9" t="s">
        <v>134</v>
      </c>
      <c r="B26" s="9" t="s">
        <v>135</v>
      </c>
      <c r="C26" s="9" t="s">
        <v>136</v>
      </c>
      <c r="D26" s="9">
        <v>2018</v>
      </c>
      <c r="E26" s="9" t="s">
        <v>70</v>
      </c>
      <c r="F26" s="15">
        <v>427010</v>
      </c>
      <c r="G26" s="15">
        <v>303130</v>
      </c>
    </row>
    <row r="27" spans="1:7" x14ac:dyDescent="0.3">
      <c r="A27" s="9" t="s">
        <v>137</v>
      </c>
      <c r="B27" s="9" t="s">
        <v>138</v>
      </c>
      <c r="C27" s="9" t="s">
        <v>139</v>
      </c>
      <c r="D27" s="9">
        <v>2019</v>
      </c>
      <c r="E27" s="9" t="s">
        <v>63</v>
      </c>
      <c r="F27" s="15">
        <v>690860</v>
      </c>
      <c r="G27" s="15">
        <v>521860</v>
      </c>
    </row>
    <row r="28" spans="1:7" x14ac:dyDescent="0.3">
      <c r="A28" s="9" t="s">
        <v>140</v>
      </c>
      <c r="B28" s="9" t="s">
        <v>141</v>
      </c>
      <c r="C28" s="9" t="s">
        <v>142</v>
      </c>
      <c r="D28" s="9">
        <v>2017</v>
      </c>
      <c r="E28" s="9" t="s">
        <v>63</v>
      </c>
      <c r="F28" s="15">
        <v>166120</v>
      </c>
      <c r="G28" s="15">
        <v>132710</v>
      </c>
    </row>
    <row r="29" spans="1:7" x14ac:dyDescent="0.3">
      <c r="A29" s="9" t="s">
        <v>143</v>
      </c>
      <c r="B29" s="9" t="s">
        <v>144</v>
      </c>
      <c r="C29" s="9" t="s">
        <v>145</v>
      </c>
      <c r="D29" s="9">
        <v>2020</v>
      </c>
      <c r="E29" s="9" t="s">
        <v>63</v>
      </c>
      <c r="F29" s="15">
        <v>469310</v>
      </c>
      <c r="G29" s="15">
        <v>341780</v>
      </c>
    </row>
    <row r="30" spans="1:7" x14ac:dyDescent="0.3">
      <c r="A30" s="9" t="s">
        <v>60</v>
      </c>
      <c r="B30" s="9" t="s">
        <v>61</v>
      </c>
      <c r="C30" s="9" t="s">
        <v>146</v>
      </c>
      <c r="D30" s="9">
        <v>2021</v>
      </c>
      <c r="E30" s="9" t="s">
        <v>63</v>
      </c>
      <c r="F30" s="15">
        <v>544490</v>
      </c>
      <c r="G30" s="15">
        <v>393750</v>
      </c>
    </row>
    <row r="31" spans="1:7" x14ac:dyDescent="0.3">
      <c r="A31" s="9" t="s">
        <v>64</v>
      </c>
      <c r="B31" s="9" t="s">
        <v>65</v>
      </c>
      <c r="C31" s="9" t="s">
        <v>147</v>
      </c>
      <c r="D31" s="9">
        <v>2020</v>
      </c>
      <c r="E31" s="9" t="s">
        <v>70</v>
      </c>
      <c r="F31" s="15">
        <v>41430</v>
      </c>
      <c r="G31" s="15">
        <v>30870</v>
      </c>
    </row>
    <row r="32" spans="1:7" x14ac:dyDescent="0.3">
      <c r="A32" s="9" t="s">
        <v>67</v>
      </c>
      <c r="B32" s="9" t="s">
        <v>68</v>
      </c>
      <c r="C32" s="9" t="s">
        <v>148</v>
      </c>
      <c r="D32" s="9">
        <v>2019</v>
      </c>
      <c r="E32" s="9" t="s">
        <v>70</v>
      </c>
      <c r="F32" s="15">
        <v>559240</v>
      </c>
      <c r="G32" s="15">
        <v>403800</v>
      </c>
    </row>
    <row r="33" spans="1:7" x14ac:dyDescent="0.3">
      <c r="A33" s="9" t="s">
        <v>71</v>
      </c>
      <c r="B33" s="9" t="s">
        <v>72</v>
      </c>
      <c r="C33" s="9" t="s">
        <v>149</v>
      </c>
      <c r="D33" s="9">
        <v>2019</v>
      </c>
      <c r="E33" s="9" t="s">
        <v>70</v>
      </c>
      <c r="F33" s="15">
        <v>150540</v>
      </c>
      <c r="G33" s="15">
        <v>113340</v>
      </c>
    </row>
    <row r="34" spans="1:7" x14ac:dyDescent="0.3">
      <c r="A34" s="9" t="s">
        <v>74</v>
      </c>
      <c r="B34" s="9" t="s">
        <v>75</v>
      </c>
      <c r="C34" s="9" t="s">
        <v>150</v>
      </c>
      <c r="D34" s="9">
        <v>2019</v>
      </c>
      <c r="E34" s="9" t="s">
        <v>63</v>
      </c>
      <c r="F34" s="15">
        <v>57680</v>
      </c>
      <c r="G34" s="15">
        <v>43240</v>
      </c>
    </row>
    <row r="35" spans="1:7" x14ac:dyDescent="0.3">
      <c r="A35" s="9" t="s">
        <v>77</v>
      </c>
      <c r="B35" s="9" t="s">
        <v>78</v>
      </c>
      <c r="C35" s="9" t="s">
        <v>151</v>
      </c>
      <c r="D35" s="9">
        <v>2019</v>
      </c>
      <c r="E35" s="9" t="s">
        <v>70</v>
      </c>
      <c r="F35" s="15">
        <v>829140</v>
      </c>
      <c r="G35" s="15">
        <v>630670</v>
      </c>
    </row>
    <row r="36" spans="1:7" x14ac:dyDescent="0.3">
      <c r="A36" s="9" t="s">
        <v>80</v>
      </c>
      <c r="B36" s="9" t="s">
        <v>81</v>
      </c>
      <c r="C36" s="9" t="s">
        <v>152</v>
      </c>
      <c r="D36" s="9">
        <v>2020</v>
      </c>
      <c r="E36" s="9" t="s">
        <v>63</v>
      </c>
      <c r="F36" s="15">
        <v>790980</v>
      </c>
      <c r="G36" s="15">
        <v>641800</v>
      </c>
    </row>
    <row r="37" spans="1:7" x14ac:dyDescent="0.3">
      <c r="A37" s="9" t="s">
        <v>83</v>
      </c>
      <c r="B37" s="9" t="s">
        <v>84</v>
      </c>
      <c r="C37" s="9" t="s">
        <v>153</v>
      </c>
      <c r="D37" s="9">
        <v>2017</v>
      </c>
      <c r="E37" s="9" t="s">
        <v>70</v>
      </c>
      <c r="F37" s="15">
        <v>671250</v>
      </c>
      <c r="G37" s="15">
        <v>537300</v>
      </c>
    </row>
    <row r="38" spans="1:7" x14ac:dyDescent="0.3">
      <c r="A38" s="9" t="s">
        <v>86</v>
      </c>
      <c r="B38" s="9" t="s">
        <v>87</v>
      </c>
      <c r="C38" s="9" t="s">
        <v>154</v>
      </c>
      <c r="D38" s="9">
        <v>2018</v>
      </c>
      <c r="E38" s="9" t="s">
        <v>70</v>
      </c>
      <c r="F38" s="15">
        <v>249770</v>
      </c>
      <c r="G38" s="15">
        <v>202460</v>
      </c>
    </row>
    <row r="39" spans="1:7" x14ac:dyDescent="0.3">
      <c r="A39" s="9" t="s">
        <v>89</v>
      </c>
      <c r="B39" s="9" t="s">
        <v>90</v>
      </c>
      <c r="C39" s="9" t="s">
        <v>155</v>
      </c>
      <c r="D39" s="9">
        <v>2017</v>
      </c>
      <c r="E39" s="9" t="s">
        <v>63</v>
      </c>
      <c r="F39" s="15">
        <v>88120</v>
      </c>
      <c r="G39" s="15">
        <v>64920</v>
      </c>
    </row>
    <row r="40" spans="1:7" x14ac:dyDescent="0.3">
      <c r="A40" s="9" t="s">
        <v>92</v>
      </c>
      <c r="B40" s="9" t="s">
        <v>93</v>
      </c>
      <c r="C40" s="9" t="s">
        <v>156</v>
      </c>
      <c r="D40" s="9">
        <v>2020</v>
      </c>
      <c r="E40" s="9" t="s">
        <v>63</v>
      </c>
      <c r="F40" s="15">
        <v>587350</v>
      </c>
      <c r="G40" s="15">
        <v>454770</v>
      </c>
    </row>
    <row r="41" spans="1:7" x14ac:dyDescent="0.3">
      <c r="A41" s="9" t="s">
        <v>95</v>
      </c>
      <c r="B41" s="9" t="s">
        <v>96</v>
      </c>
      <c r="C41" s="9" t="s">
        <v>157</v>
      </c>
      <c r="D41" s="9">
        <v>2017</v>
      </c>
      <c r="E41" s="9" t="s">
        <v>70</v>
      </c>
      <c r="F41" s="15">
        <v>389450</v>
      </c>
      <c r="G41" s="15">
        <v>292550</v>
      </c>
    </row>
    <row r="42" spans="1:7" x14ac:dyDescent="0.3">
      <c r="A42" s="9" t="s">
        <v>98</v>
      </c>
      <c r="B42" s="9" t="s">
        <v>99</v>
      </c>
      <c r="C42" s="9" t="s">
        <v>158</v>
      </c>
      <c r="D42" s="9">
        <v>2018</v>
      </c>
      <c r="E42" s="9" t="s">
        <v>63</v>
      </c>
      <c r="F42" s="15">
        <v>114600</v>
      </c>
      <c r="G42" s="15">
        <v>81110</v>
      </c>
    </row>
    <row r="43" spans="1:7" x14ac:dyDescent="0.3">
      <c r="A43" s="9" t="s">
        <v>101</v>
      </c>
      <c r="B43" s="9" t="s">
        <v>102</v>
      </c>
      <c r="C43" s="9" t="s">
        <v>159</v>
      </c>
      <c r="D43" s="9">
        <v>2020</v>
      </c>
      <c r="E43" s="9" t="s">
        <v>70</v>
      </c>
      <c r="F43" s="15">
        <v>420690</v>
      </c>
      <c r="G43" s="15">
        <v>329120</v>
      </c>
    </row>
    <row r="44" spans="1:7" x14ac:dyDescent="0.3">
      <c r="A44" s="9" t="s">
        <v>104</v>
      </c>
      <c r="B44" s="9" t="s">
        <v>105</v>
      </c>
      <c r="C44" s="9" t="s">
        <v>160</v>
      </c>
      <c r="D44" s="9">
        <v>2018</v>
      </c>
      <c r="E44" s="9" t="s">
        <v>70</v>
      </c>
      <c r="F44" s="15">
        <v>29970</v>
      </c>
      <c r="G44" s="15">
        <v>22860</v>
      </c>
    </row>
    <row r="45" spans="1:7" x14ac:dyDescent="0.3">
      <c r="A45" s="9" t="s">
        <v>107</v>
      </c>
      <c r="B45" s="9" t="s">
        <v>108</v>
      </c>
      <c r="C45" s="9" t="s">
        <v>161</v>
      </c>
      <c r="D45" s="9">
        <v>2017</v>
      </c>
      <c r="E45" s="9" t="s">
        <v>70</v>
      </c>
      <c r="F45" s="15">
        <v>835110</v>
      </c>
      <c r="G45" s="15">
        <v>604380</v>
      </c>
    </row>
    <row r="46" spans="1:7" x14ac:dyDescent="0.3">
      <c r="A46" s="9" t="s">
        <v>110</v>
      </c>
      <c r="B46" s="9" t="s">
        <v>111</v>
      </c>
      <c r="C46" s="9" t="s">
        <v>162</v>
      </c>
      <c r="D46" s="9">
        <v>2020</v>
      </c>
      <c r="E46" s="9" t="s">
        <v>63</v>
      </c>
      <c r="F46" s="15">
        <v>219130</v>
      </c>
      <c r="G46" s="15">
        <v>172000</v>
      </c>
    </row>
    <row r="47" spans="1:7" x14ac:dyDescent="0.3">
      <c r="A47" s="9" t="s">
        <v>113</v>
      </c>
      <c r="B47" s="9" t="s">
        <v>114</v>
      </c>
      <c r="C47" s="9" t="s">
        <v>163</v>
      </c>
      <c r="D47" s="9">
        <v>2018</v>
      </c>
      <c r="E47" s="9" t="s">
        <v>63</v>
      </c>
      <c r="F47" s="15">
        <v>547340</v>
      </c>
      <c r="G47" s="15">
        <v>440340</v>
      </c>
    </row>
    <row r="48" spans="1:7" x14ac:dyDescent="0.3">
      <c r="A48" s="9" t="s">
        <v>116</v>
      </c>
      <c r="B48" s="9" t="s">
        <v>117</v>
      </c>
      <c r="C48" s="9" t="s">
        <v>164</v>
      </c>
      <c r="D48" s="9">
        <v>2020</v>
      </c>
      <c r="E48" s="9" t="s">
        <v>63</v>
      </c>
      <c r="F48" s="15">
        <v>266530</v>
      </c>
      <c r="G48" s="15">
        <v>207180</v>
      </c>
    </row>
    <row r="49" spans="1:7" x14ac:dyDescent="0.3">
      <c r="A49" s="9" t="s">
        <v>119</v>
      </c>
      <c r="B49" s="9" t="s">
        <v>120</v>
      </c>
      <c r="C49" s="9" t="s">
        <v>165</v>
      </c>
      <c r="D49" s="9">
        <v>2021</v>
      </c>
      <c r="E49" s="9" t="s">
        <v>70</v>
      </c>
      <c r="F49" s="15">
        <v>435610</v>
      </c>
      <c r="G49" s="15">
        <v>345660</v>
      </c>
    </row>
    <row r="50" spans="1:7" x14ac:dyDescent="0.3">
      <c r="A50" s="9" t="s">
        <v>122</v>
      </c>
      <c r="B50" s="9" t="s">
        <v>123</v>
      </c>
      <c r="C50" s="9" t="s">
        <v>166</v>
      </c>
      <c r="D50" s="9">
        <v>2019</v>
      </c>
      <c r="E50" s="9" t="s">
        <v>63</v>
      </c>
      <c r="F50" s="15">
        <v>515040</v>
      </c>
      <c r="G50" s="15">
        <v>363370</v>
      </c>
    </row>
    <row r="51" spans="1:7" x14ac:dyDescent="0.3">
      <c r="A51" s="9" t="s">
        <v>125</v>
      </c>
      <c r="B51" s="9" t="s">
        <v>126</v>
      </c>
      <c r="C51" s="9" t="s">
        <v>167</v>
      </c>
      <c r="D51" s="9">
        <v>2017</v>
      </c>
      <c r="E51" s="9" t="s">
        <v>63</v>
      </c>
      <c r="F51" s="15">
        <v>171090</v>
      </c>
      <c r="G51" s="15">
        <v>122860</v>
      </c>
    </row>
    <row r="52" spans="1:7" x14ac:dyDescent="0.3">
      <c r="A52" s="9" t="s">
        <v>128</v>
      </c>
      <c r="B52" s="9" t="s">
        <v>129</v>
      </c>
      <c r="C52" s="9" t="s">
        <v>168</v>
      </c>
      <c r="D52" s="9">
        <v>2019</v>
      </c>
      <c r="E52" s="9" t="s">
        <v>63</v>
      </c>
      <c r="F52" s="15">
        <v>874360</v>
      </c>
      <c r="G52" s="15">
        <v>644430</v>
      </c>
    </row>
    <row r="53" spans="1:7" x14ac:dyDescent="0.3">
      <c r="A53" s="9" t="s">
        <v>131</v>
      </c>
      <c r="B53" s="9" t="s">
        <v>132</v>
      </c>
      <c r="C53" s="9" t="s">
        <v>169</v>
      </c>
      <c r="D53" s="9">
        <v>2019</v>
      </c>
      <c r="E53" s="9" t="s">
        <v>70</v>
      </c>
      <c r="F53" s="15">
        <v>724090</v>
      </c>
      <c r="G53" s="15">
        <v>515190</v>
      </c>
    </row>
    <row r="54" spans="1:7" x14ac:dyDescent="0.3">
      <c r="A54" s="9" t="s">
        <v>134</v>
      </c>
      <c r="B54" s="9" t="s">
        <v>135</v>
      </c>
      <c r="C54" s="9" t="s">
        <v>170</v>
      </c>
      <c r="D54" s="9">
        <v>2017</v>
      </c>
      <c r="E54" s="9" t="s">
        <v>70</v>
      </c>
      <c r="F54" s="15">
        <v>868970</v>
      </c>
      <c r="G54" s="15">
        <v>624440</v>
      </c>
    </row>
    <row r="55" spans="1:7" x14ac:dyDescent="0.3">
      <c r="A55" s="9" t="s">
        <v>137</v>
      </c>
      <c r="B55" s="9" t="s">
        <v>138</v>
      </c>
      <c r="C55" s="9" t="s">
        <v>171</v>
      </c>
      <c r="D55" s="9">
        <v>2020</v>
      </c>
      <c r="E55" s="9" t="s">
        <v>63</v>
      </c>
      <c r="F55" s="15">
        <v>752590</v>
      </c>
      <c r="G55" s="15">
        <v>594740</v>
      </c>
    </row>
    <row r="56" spans="1:7" x14ac:dyDescent="0.3">
      <c r="A56" s="9" t="s">
        <v>140</v>
      </c>
      <c r="B56" s="9" t="s">
        <v>141</v>
      </c>
      <c r="C56" s="9" t="s">
        <v>172</v>
      </c>
      <c r="D56" s="9">
        <v>2017</v>
      </c>
      <c r="E56" s="9" t="s">
        <v>70</v>
      </c>
      <c r="F56" s="15">
        <v>560240</v>
      </c>
      <c r="G56" s="15">
        <v>397390</v>
      </c>
    </row>
    <row r="57" spans="1:7" x14ac:dyDescent="0.3">
      <c r="A57" s="9" t="s">
        <v>143</v>
      </c>
      <c r="B57" s="9" t="s">
        <v>144</v>
      </c>
      <c r="C57" s="9" t="s">
        <v>173</v>
      </c>
      <c r="D57" s="9">
        <v>2020</v>
      </c>
      <c r="E57" s="9" t="s">
        <v>70</v>
      </c>
      <c r="F57" s="15">
        <v>819550</v>
      </c>
      <c r="G57" s="15">
        <v>612720</v>
      </c>
    </row>
    <row r="58" spans="1:7" x14ac:dyDescent="0.3">
      <c r="A58" s="9" t="s">
        <v>60</v>
      </c>
      <c r="B58" s="9" t="s">
        <v>61</v>
      </c>
      <c r="C58" s="9" t="s">
        <v>174</v>
      </c>
      <c r="D58" s="9">
        <v>2020</v>
      </c>
      <c r="E58" s="9" t="s">
        <v>70</v>
      </c>
      <c r="F58" s="15">
        <v>81900</v>
      </c>
      <c r="G58" s="15">
        <v>58820</v>
      </c>
    </row>
    <row r="59" spans="1:7" x14ac:dyDescent="0.3">
      <c r="A59" s="9" t="s">
        <v>64</v>
      </c>
      <c r="B59" s="9" t="s">
        <v>65</v>
      </c>
      <c r="C59" s="9" t="s">
        <v>175</v>
      </c>
      <c r="D59" s="9">
        <v>2019</v>
      </c>
      <c r="E59" s="9" t="s">
        <v>70</v>
      </c>
      <c r="F59" s="15">
        <v>183730</v>
      </c>
      <c r="G59" s="15">
        <v>130260</v>
      </c>
    </row>
    <row r="60" spans="1:7" x14ac:dyDescent="0.3">
      <c r="A60" s="9" t="s">
        <v>67</v>
      </c>
      <c r="B60" s="9" t="s">
        <v>68</v>
      </c>
      <c r="C60" s="9" t="s">
        <v>176</v>
      </c>
      <c r="D60" s="9">
        <v>2017</v>
      </c>
      <c r="E60" s="9" t="s">
        <v>63</v>
      </c>
      <c r="F60" s="15">
        <v>38850</v>
      </c>
      <c r="G60" s="15">
        <v>30060</v>
      </c>
    </row>
    <row r="61" spans="1:7" x14ac:dyDescent="0.3">
      <c r="A61" s="9" t="s">
        <v>71</v>
      </c>
      <c r="B61" s="9" t="s">
        <v>72</v>
      </c>
      <c r="C61" s="9" t="s">
        <v>177</v>
      </c>
      <c r="D61" s="9">
        <v>2017</v>
      </c>
      <c r="E61" s="9" t="s">
        <v>63</v>
      </c>
      <c r="F61" s="15">
        <v>270230</v>
      </c>
      <c r="G61" s="15">
        <v>216230</v>
      </c>
    </row>
    <row r="62" spans="1:7" x14ac:dyDescent="0.3">
      <c r="A62" s="9" t="s">
        <v>74</v>
      </c>
      <c r="B62" s="9" t="s">
        <v>75</v>
      </c>
      <c r="C62" s="9" t="s">
        <v>178</v>
      </c>
      <c r="D62" s="9">
        <v>2018</v>
      </c>
      <c r="E62" s="9" t="s">
        <v>70</v>
      </c>
      <c r="F62" s="15">
        <v>329080</v>
      </c>
      <c r="G62" s="15">
        <v>258330</v>
      </c>
    </row>
    <row r="63" spans="1:7" x14ac:dyDescent="0.3">
      <c r="A63" s="9" t="s">
        <v>77</v>
      </c>
      <c r="B63" s="9" t="s">
        <v>78</v>
      </c>
      <c r="C63" s="9" t="s">
        <v>179</v>
      </c>
      <c r="D63" s="9">
        <v>2018</v>
      </c>
      <c r="E63" s="9" t="s">
        <v>70</v>
      </c>
      <c r="F63" s="15">
        <v>237090</v>
      </c>
      <c r="G63" s="15">
        <v>180350</v>
      </c>
    </row>
    <row r="64" spans="1:7" x14ac:dyDescent="0.3">
      <c r="A64" s="9" t="s">
        <v>80</v>
      </c>
      <c r="B64" s="9" t="s">
        <v>81</v>
      </c>
      <c r="C64" s="9" t="s">
        <v>180</v>
      </c>
      <c r="D64" s="9">
        <v>2019</v>
      </c>
      <c r="E64" s="9" t="s">
        <v>70</v>
      </c>
      <c r="F64" s="15">
        <v>768140</v>
      </c>
      <c r="G64" s="15">
        <v>550820</v>
      </c>
    </row>
    <row r="65" spans="1:7" x14ac:dyDescent="0.3">
      <c r="A65" s="9" t="s">
        <v>83</v>
      </c>
      <c r="B65" s="9" t="s">
        <v>84</v>
      </c>
      <c r="C65" s="9" t="s">
        <v>181</v>
      </c>
      <c r="D65" s="9">
        <v>2021</v>
      </c>
      <c r="E65" s="9" t="s">
        <v>63</v>
      </c>
      <c r="F65" s="15">
        <v>332740</v>
      </c>
      <c r="G65" s="15">
        <v>237120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1DD5-9E12-4AD8-BE2F-6E1757CC8DC5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F93C-935F-4CE0-904C-0C83777B2ED6}">
  <sheetPr>
    <tabColor theme="6" tint="0.39997558519241921"/>
  </sheetPr>
  <dimension ref="A1:E241"/>
  <sheetViews>
    <sheetView workbookViewId="0"/>
  </sheetViews>
  <sheetFormatPr defaultRowHeight="14.4" x14ac:dyDescent="0.3"/>
  <cols>
    <col min="1" max="3" width="24.44140625" style="9" customWidth="1"/>
    <col min="4" max="4" width="24.44140625" style="19" customWidth="1"/>
    <col min="5" max="5" width="24.44140625" style="15" customWidth="1"/>
  </cols>
  <sheetData>
    <row r="1" spans="1:5" x14ac:dyDescent="0.3">
      <c r="A1" s="13" t="s">
        <v>22</v>
      </c>
      <c r="B1" s="13" t="s">
        <v>197</v>
      </c>
      <c r="C1" s="13" t="s">
        <v>196</v>
      </c>
      <c r="D1" s="22" t="s">
        <v>195</v>
      </c>
      <c r="E1" s="21" t="s">
        <v>194</v>
      </c>
    </row>
    <row r="2" spans="1:5" x14ac:dyDescent="0.3">
      <c r="A2" s="9" t="s">
        <v>193</v>
      </c>
      <c r="B2" s="20">
        <v>45657</v>
      </c>
      <c r="C2" s="9" t="s">
        <v>185</v>
      </c>
      <c r="D2" s="19">
        <v>0.77900000000000003</v>
      </c>
      <c r="E2" s="15">
        <v>6021670</v>
      </c>
    </row>
    <row r="3" spans="1:5" x14ac:dyDescent="0.3">
      <c r="A3" s="9" t="s">
        <v>193</v>
      </c>
      <c r="B3" s="20">
        <v>45657</v>
      </c>
      <c r="C3" s="9" t="s">
        <v>190</v>
      </c>
      <c r="D3" s="19">
        <v>8.0363636481241923E-2</v>
      </c>
      <c r="E3" s="15">
        <v>621210.91</v>
      </c>
    </row>
    <row r="4" spans="1:5" x14ac:dyDescent="0.3">
      <c r="A4" s="9" t="s">
        <v>193</v>
      </c>
      <c r="B4" s="20">
        <v>45657</v>
      </c>
      <c r="C4" s="9" t="s">
        <v>189</v>
      </c>
      <c r="D4" s="19">
        <v>6.0272727037516169E-2</v>
      </c>
      <c r="E4" s="15">
        <v>465908.18</v>
      </c>
    </row>
    <row r="5" spans="1:5" x14ac:dyDescent="0.3">
      <c r="A5" s="9" t="s">
        <v>193</v>
      </c>
      <c r="B5" s="20">
        <v>45657</v>
      </c>
      <c r="C5" s="9" t="s">
        <v>188</v>
      </c>
      <c r="D5" s="19">
        <v>4.0181817593790428E-2</v>
      </c>
      <c r="E5" s="15">
        <v>310605.45</v>
      </c>
    </row>
    <row r="6" spans="1:5" x14ac:dyDescent="0.3">
      <c r="A6" s="9" t="s">
        <v>193</v>
      </c>
      <c r="B6" s="20">
        <v>45657</v>
      </c>
      <c r="C6" s="9" t="s">
        <v>187</v>
      </c>
      <c r="D6" s="19">
        <v>4.0181818887451488E-2</v>
      </c>
      <c r="E6" s="15">
        <v>310605.46000000002</v>
      </c>
    </row>
    <row r="7" spans="1:5" x14ac:dyDescent="0.3">
      <c r="A7" s="9" t="s">
        <v>193</v>
      </c>
      <c r="B7" s="20">
        <v>45688</v>
      </c>
      <c r="C7" s="9" t="s">
        <v>185</v>
      </c>
      <c r="D7" s="19">
        <v>0.77600000000000002</v>
      </c>
      <c r="E7" s="15">
        <v>5887512</v>
      </c>
    </row>
    <row r="8" spans="1:5" x14ac:dyDescent="0.3">
      <c r="A8" s="9" t="s">
        <v>193</v>
      </c>
      <c r="B8" s="20">
        <v>45688</v>
      </c>
      <c r="C8" s="9" t="s">
        <v>190</v>
      </c>
      <c r="D8" s="19">
        <v>8.1454545933834194E-2</v>
      </c>
      <c r="E8" s="15">
        <v>617995.64</v>
      </c>
    </row>
    <row r="9" spans="1:5" x14ac:dyDescent="0.3">
      <c r="A9" s="9" t="s">
        <v>193</v>
      </c>
      <c r="B9" s="20">
        <v>45688</v>
      </c>
      <c r="C9" s="9" t="s">
        <v>189</v>
      </c>
      <c r="D9" s="19">
        <v>6.1090909450375638E-2</v>
      </c>
      <c r="E9" s="15">
        <v>463496.73</v>
      </c>
    </row>
    <row r="10" spans="1:5" x14ac:dyDescent="0.3">
      <c r="A10" s="9" t="s">
        <v>193</v>
      </c>
      <c r="B10" s="20">
        <v>45688</v>
      </c>
      <c r="C10" s="9" t="s">
        <v>188</v>
      </c>
      <c r="D10" s="19">
        <v>4.0727272966917097E-2</v>
      </c>
      <c r="E10" s="15">
        <v>308997.82</v>
      </c>
    </row>
    <row r="11" spans="1:5" x14ac:dyDescent="0.3">
      <c r="A11" s="9" t="s">
        <v>193</v>
      </c>
      <c r="B11" s="20">
        <v>45688</v>
      </c>
      <c r="C11" s="9" t="s">
        <v>187</v>
      </c>
      <c r="D11" s="19">
        <v>4.0727271648873069E-2</v>
      </c>
      <c r="E11" s="15">
        <v>308997.81</v>
      </c>
    </row>
    <row r="12" spans="1:5" x14ac:dyDescent="0.3">
      <c r="A12" s="9" t="s">
        <v>193</v>
      </c>
      <c r="B12" s="20">
        <v>45716</v>
      </c>
      <c r="C12" s="9" t="s">
        <v>185</v>
      </c>
      <c r="D12" s="19">
        <v>0.77500000000000002</v>
      </c>
      <c r="E12" s="15">
        <v>5913250</v>
      </c>
    </row>
    <row r="13" spans="1:5" x14ac:dyDescent="0.3">
      <c r="A13" s="9" t="s">
        <v>193</v>
      </c>
      <c r="B13" s="20">
        <v>45716</v>
      </c>
      <c r="C13" s="9" t="s">
        <v>190</v>
      </c>
      <c r="D13" s="19">
        <v>8.1818182175622534E-2</v>
      </c>
      <c r="E13" s="15">
        <v>624272.73</v>
      </c>
    </row>
    <row r="14" spans="1:5" x14ac:dyDescent="0.3">
      <c r="A14" s="9" t="s">
        <v>193</v>
      </c>
      <c r="B14" s="20">
        <v>45716</v>
      </c>
      <c r="C14" s="9" t="s">
        <v>189</v>
      </c>
      <c r="D14" s="19">
        <v>6.1363636959370901E-2</v>
      </c>
      <c r="E14" s="15">
        <v>468204.55</v>
      </c>
    </row>
    <row r="15" spans="1:5" x14ac:dyDescent="0.3">
      <c r="A15" s="9" t="s">
        <v>193</v>
      </c>
      <c r="B15" s="20">
        <v>45716</v>
      </c>
      <c r="C15" s="9" t="s">
        <v>188</v>
      </c>
      <c r="D15" s="19">
        <v>4.0909090432503271E-2</v>
      </c>
      <c r="E15" s="15">
        <v>312136.36</v>
      </c>
    </row>
    <row r="16" spans="1:5" x14ac:dyDescent="0.3">
      <c r="A16" s="9" t="s">
        <v>193</v>
      </c>
      <c r="B16" s="20">
        <v>45716</v>
      </c>
      <c r="C16" s="9" t="s">
        <v>187</v>
      </c>
      <c r="D16" s="19">
        <v>4.0909090432503271E-2</v>
      </c>
      <c r="E16" s="15">
        <v>312136.36</v>
      </c>
    </row>
    <row r="17" spans="1:5" x14ac:dyDescent="0.3">
      <c r="A17" s="9" t="s">
        <v>193</v>
      </c>
      <c r="B17" s="20">
        <v>45747</v>
      </c>
      <c r="C17" s="9" t="s">
        <v>185</v>
      </c>
      <c r="D17" s="19">
        <v>0.77700000000000002</v>
      </c>
      <c r="E17" s="15">
        <v>5923071</v>
      </c>
    </row>
    <row r="18" spans="1:5" x14ac:dyDescent="0.3">
      <c r="A18" s="9" t="s">
        <v>193</v>
      </c>
      <c r="B18" s="20">
        <v>45747</v>
      </c>
      <c r="C18" s="9" t="s">
        <v>190</v>
      </c>
      <c r="D18" s="19">
        <v>8.1090909090909088E-2</v>
      </c>
      <c r="E18" s="15">
        <v>618156</v>
      </c>
    </row>
    <row r="19" spans="1:5" x14ac:dyDescent="0.3">
      <c r="A19" s="9" t="s">
        <v>193</v>
      </c>
      <c r="B19" s="20">
        <v>45747</v>
      </c>
      <c r="C19" s="9" t="s">
        <v>189</v>
      </c>
      <c r="D19" s="19">
        <v>6.081818181818182E-2</v>
      </c>
      <c r="E19" s="15">
        <v>463617</v>
      </c>
    </row>
    <row r="20" spans="1:5" x14ac:dyDescent="0.3">
      <c r="A20" s="9" t="s">
        <v>193</v>
      </c>
      <c r="B20" s="20">
        <v>45747</v>
      </c>
      <c r="C20" s="9" t="s">
        <v>188</v>
      </c>
      <c r="D20" s="19">
        <v>4.0545454545454537E-2</v>
      </c>
      <c r="E20" s="15">
        <v>309078</v>
      </c>
    </row>
    <row r="21" spans="1:5" x14ac:dyDescent="0.3">
      <c r="A21" s="9" t="s">
        <v>193</v>
      </c>
      <c r="B21" s="20">
        <v>45747</v>
      </c>
      <c r="C21" s="9" t="s">
        <v>187</v>
      </c>
      <c r="D21" s="19">
        <v>4.0545454545454537E-2</v>
      </c>
      <c r="E21" s="15">
        <v>309078</v>
      </c>
    </row>
    <row r="22" spans="1:5" x14ac:dyDescent="0.3">
      <c r="A22" s="9" t="s">
        <v>193</v>
      </c>
      <c r="B22" s="20">
        <v>45777</v>
      </c>
      <c r="C22" s="9" t="s">
        <v>185</v>
      </c>
      <c r="D22" s="19">
        <v>0.78200000000000003</v>
      </c>
      <c r="E22" s="15">
        <v>6111330</v>
      </c>
    </row>
    <row r="23" spans="1:5" x14ac:dyDescent="0.3">
      <c r="A23" s="9" t="s">
        <v>193</v>
      </c>
      <c r="B23" s="20">
        <v>45777</v>
      </c>
      <c r="C23" s="9" t="s">
        <v>190</v>
      </c>
      <c r="D23" s="19">
        <v>7.9272726807421617E-2</v>
      </c>
      <c r="E23" s="15">
        <v>619516.36</v>
      </c>
    </row>
    <row r="24" spans="1:5" x14ac:dyDescent="0.3">
      <c r="A24" s="9" t="s">
        <v>193</v>
      </c>
      <c r="B24" s="20">
        <v>45777</v>
      </c>
      <c r="C24" s="9" t="s">
        <v>189</v>
      </c>
      <c r="D24" s="19">
        <v>5.945454510556622E-2</v>
      </c>
      <c r="E24" s="15">
        <v>464637.27</v>
      </c>
    </row>
    <row r="25" spans="1:5" x14ac:dyDescent="0.3">
      <c r="A25" s="9" t="s">
        <v>193</v>
      </c>
      <c r="B25" s="20">
        <v>45777</v>
      </c>
      <c r="C25" s="9" t="s">
        <v>188</v>
      </c>
      <c r="D25" s="19">
        <v>3.9636363403710809E-2</v>
      </c>
      <c r="E25" s="15">
        <v>309758.18</v>
      </c>
    </row>
    <row r="26" spans="1:5" x14ac:dyDescent="0.3">
      <c r="A26" s="9" t="s">
        <v>193</v>
      </c>
      <c r="B26" s="20">
        <v>45777</v>
      </c>
      <c r="C26" s="9" t="s">
        <v>187</v>
      </c>
      <c r="D26" s="19">
        <v>3.9636364683301353E-2</v>
      </c>
      <c r="E26" s="15">
        <v>309758.19</v>
      </c>
    </row>
    <row r="27" spans="1:5" x14ac:dyDescent="0.3">
      <c r="A27" s="9" t="s">
        <v>193</v>
      </c>
      <c r="B27" s="20">
        <v>45808</v>
      </c>
      <c r="C27" s="9" t="s">
        <v>185</v>
      </c>
      <c r="D27" s="19">
        <v>0.78400000000000003</v>
      </c>
      <c r="E27" s="15">
        <v>5956832</v>
      </c>
    </row>
    <row r="28" spans="1:5" x14ac:dyDescent="0.3">
      <c r="A28" s="9" t="s">
        <v>193</v>
      </c>
      <c r="B28" s="20">
        <v>45808</v>
      </c>
      <c r="C28" s="9" t="s">
        <v>190</v>
      </c>
      <c r="D28" s="19">
        <v>7.8545454066859699E-2</v>
      </c>
      <c r="E28" s="15">
        <v>596788.36</v>
      </c>
    </row>
    <row r="29" spans="1:5" x14ac:dyDescent="0.3">
      <c r="A29" s="9" t="s">
        <v>193</v>
      </c>
      <c r="B29" s="20">
        <v>45808</v>
      </c>
      <c r="C29" s="9" t="s">
        <v>189</v>
      </c>
      <c r="D29" s="19">
        <v>5.8909090550144767E-2</v>
      </c>
      <c r="E29" s="15">
        <v>447591.27</v>
      </c>
    </row>
    <row r="30" spans="1:5" x14ac:dyDescent="0.3">
      <c r="A30" s="9" t="s">
        <v>193</v>
      </c>
      <c r="B30" s="20">
        <v>45808</v>
      </c>
      <c r="C30" s="9" t="s">
        <v>188</v>
      </c>
      <c r="D30" s="19">
        <v>3.9272727033429849E-2</v>
      </c>
      <c r="E30" s="15">
        <v>298394.18</v>
      </c>
    </row>
    <row r="31" spans="1:5" x14ac:dyDescent="0.3">
      <c r="A31" s="9" t="s">
        <v>193</v>
      </c>
      <c r="B31" s="20">
        <v>45808</v>
      </c>
      <c r="C31" s="9" t="s">
        <v>187</v>
      </c>
      <c r="D31" s="19">
        <v>3.9272728349565668E-2</v>
      </c>
      <c r="E31" s="15">
        <v>298394.19</v>
      </c>
    </row>
    <row r="32" spans="1:5" x14ac:dyDescent="0.3">
      <c r="A32" s="9" t="s">
        <v>193</v>
      </c>
      <c r="B32" s="20">
        <v>45838</v>
      </c>
      <c r="C32" s="9" t="s">
        <v>185</v>
      </c>
      <c r="D32" s="19">
        <v>0.78500000000000003</v>
      </c>
      <c r="E32" s="15">
        <v>6247030</v>
      </c>
    </row>
    <row r="33" spans="1:5" x14ac:dyDescent="0.3">
      <c r="A33" s="9" t="s">
        <v>193</v>
      </c>
      <c r="B33" s="20">
        <v>45838</v>
      </c>
      <c r="C33" s="9" t="s">
        <v>190</v>
      </c>
      <c r="D33" s="19">
        <v>7.8181818296054292E-2</v>
      </c>
      <c r="E33" s="15">
        <v>622170.91</v>
      </c>
    </row>
    <row r="34" spans="1:5" x14ac:dyDescent="0.3">
      <c r="A34" s="9" t="s">
        <v>193</v>
      </c>
      <c r="B34" s="20">
        <v>45838</v>
      </c>
      <c r="C34" s="9" t="s">
        <v>189</v>
      </c>
      <c r="D34" s="19">
        <v>5.8636363407891433E-2</v>
      </c>
      <c r="E34" s="15">
        <v>466628.18</v>
      </c>
    </row>
    <row r="35" spans="1:5" x14ac:dyDescent="0.3">
      <c r="A35" s="9" t="s">
        <v>193</v>
      </c>
      <c r="B35" s="20">
        <v>45838</v>
      </c>
      <c r="C35" s="9" t="s">
        <v>188</v>
      </c>
      <c r="D35" s="19">
        <v>3.9090908519728573E-2</v>
      </c>
      <c r="E35" s="15">
        <v>311085.45</v>
      </c>
    </row>
    <row r="36" spans="1:5" x14ac:dyDescent="0.3">
      <c r="A36" s="9" t="s">
        <v>193</v>
      </c>
      <c r="B36" s="20">
        <v>45838</v>
      </c>
      <c r="C36" s="9" t="s">
        <v>187</v>
      </c>
      <c r="D36" s="19">
        <v>3.9090909776325712E-2</v>
      </c>
      <c r="E36" s="15">
        <v>311085.46000000002</v>
      </c>
    </row>
    <row r="37" spans="1:5" x14ac:dyDescent="0.3">
      <c r="A37" s="9" t="s">
        <v>193</v>
      </c>
      <c r="B37" s="20">
        <v>45869</v>
      </c>
      <c r="C37" s="9" t="s">
        <v>185</v>
      </c>
      <c r="D37" s="19">
        <v>0.78200000000000003</v>
      </c>
      <c r="E37" s="15">
        <v>6094908</v>
      </c>
    </row>
    <row r="38" spans="1:5" x14ac:dyDescent="0.3">
      <c r="A38" s="9" t="s">
        <v>193</v>
      </c>
      <c r="B38" s="20">
        <v>45869</v>
      </c>
      <c r="C38" s="9" t="s">
        <v>190</v>
      </c>
      <c r="D38" s="19">
        <v>7.9272727739286633E-2</v>
      </c>
      <c r="E38" s="15">
        <v>617851.64</v>
      </c>
    </row>
    <row r="39" spans="1:5" x14ac:dyDescent="0.3">
      <c r="A39" s="9" t="s">
        <v>193</v>
      </c>
      <c r="B39" s="20">
        <v>45869</v>
      </c>
      <c r="C39" s="9" t="s">
        <v>189</v>
      </c>
      <c r="D39" s="19">
        <v>5.9454545804464971E-2</v>
      </c>
      <c r="E39" s="15">
        <v>463388.73</v>
      </c>
    </row>
    <row r="40" spans="1:5" x14ac:dyDescent="0.3">
      <c r="A40" s="9" t="s">
        <v>193</v>
      </c>
      <c r="B40" s="20">
        <v>45869</v>
      </c>
      <c r="C40" s="9" t="s">
        <v>188</v>
      </c>
      <c r="D40" s="19">
        <v>3.9636363869643317E-2</v>
      </c>
      <c r="E40" s="15">
        <v>308925.82</v>
      </c>
    </row>
    <row r="41" spans="1:5" x14ac:dyDescent="0.3">
      <c r="A41" s="9" t="s">
        <v>193</v>
      </c>
      <c r="B41" s="20">
        <v>45869</v>
      </c>
      <c r="C41" s="9" t="s">
        <v>187</v>
      </c>
      <c r="D41" s="19">
        <v>3.9636362586605078E-2</v>
      </c>
      <c r="E41" s="15">
        <v>308925.81</v>
      </c>
    </row>
    <row r="42" spans="1:5" x14ac:dyDescent="0.3">
      <c r="A42" s="9" t="s">
        <v>193</v>
      </c>
      <c r="B42" s="20">
        <v>45900</v>
      </c>
      <c r="C42" s="9" t="s">
        <v>185</v>
      </c>
      <c r="D42" s="19">
        <v>0.77800000000000002</v>
      </c>
      <c r="E42" s="15">
        <v>6158648</v>
      </c>
    </row>
    <row r="43" spans="1:5" x14ac:dyDescent="0.3">
      <c r="A43" s="9" t="s">
        <v>193</v>
      </c>
      <c r="B43" s="20">
        <v>45900</v>
      </c>
      <c r="C43" s="9" t="s">
        <v>190</v>
      </c>
      <c r="D43" s="19">
        <v>8.0727272612430512E-2</v>
      </c>
      <c r="E43" s="15">
        <v>639037.09</v>
      </c>
    </row>
    <row r="44" spans="1:5" x14ac:dyDescent="0.3">
      <c r="A44" s="9" t="s">
        <v>193</v>
      </c>
      <c r="B44" s="20">
        <v>45900</v>
      </c>
      <c r="C44" s="9" t="s">
        <v>189</v>
      </c>
      <c r="D44" s="19">
        <v>6.0545454775138959E-2</v>
      </c>
      <c r="E44" s="15">
        <v>479277.82</v>
      </c>
    </row>
    <row r="45" spans="1:5" x14ac:dyDescent="0.3">
      <c r="A45" s="9" t="s">
        <v>193</v>
      </c>
      <c r="B45" s="20">
        <v>45900</v>
      </c>
      <c r="C45" s="9" t="s">
        <v>188</v>
      </c>
      <c r="D45" s="19">
        <v>4.0363636937847398E-2</v>
      </c>
      <c r="E45" s="15">
        <v>319518.55</v>
      </c>
    </row>
    <row r="46" spans="1:5" x14ac:dyDescent="0.3">
      <c r="A46" s="9" t="s">
        <v>193</v>
      </c>
      <c r="B46" s="20">
        <v>45900</v>
      </c>
      <c r="C46" s="9" t="s">
        <v>187</v>
      </c>
      <c r="D46" s="19">
        <v>4.036363567458312E-2</v>
      </c>
      <c r="E46" s="15">
        <v>319518.53999999998</v>
      </c>
    </row>
    <row r="47" spans="1:5" x14ac:dyDescent="0.3">
      <c r="A47" s="9" t="s">
        <v>193</v>
      </c>
      <c r="B47" s="20">
        <v>45930</v>
      </c>
      <c r="C47" s="9" t="s">
        <v>185</v>
      </c>
      <c r="D47" s="19">
        <v>0.77300000000000002</v>
      </c>
      <c r="E47" s="15">
        <v>6112111</v>
      </c>
    </row>
    <row r="48" spans="1:5" x14ac:dyDescent="0.3">
      <c r="A48" s="9" t="s">
        <v>193</v>
      </c>
      <c r="B48" s="20">
        <v>45930</v>
      </c>
      <c r="C48" s="9" t="s">
        <v>190</v>
      </c>
      <c r="D48" s="19">
        <v>8.2545454660427467E-2</v>
      </c>
      <c r="E48" s="15">
        <v>652686.91</v>
      </c>
    </row>
    <row r="49" spans="1:5" x14ac:dyDescent="0.3">
      <c r="A49" s="9" t="s">
        <v>193</v>
      </c>
      <c r="B49" s="20">
        <v>45930</v>
      </c>
      <c r="C49" s="9" t="s">
        <v>189</v>
      </c>
      <c r="D49" s="19">
        <v>6.190909067914506E-2</v>
      </c>
      <c r="E49" s="15">
        <v>489515.18</v>
      </c>
    </row>
    <row r="50" spans="1:5" x14ac:dyDescent="0.3">
      <c r="A50" s="9" t="s">
        <v>193</v>
      </c>
      <c r="B50" s="20">
        <v>45930</v>
      </c>
      <c r="C50" s="9" t="s">
        <v>188</v>
      </c>
      <c r="D50" s="19">
        <v>4.1272726697862652E-2</v>
      </c>
      <c r="E50" s="15">
        <v>326343.45</v>
      </c>
    </row>
    <row r="51" spans="1:5" x14ac:dyDescent="0.3">
      <c r="A51" s="9" t="s">
        <v>193</v>
      </c>
      <c r="B51" s="20">
        <v>45930</v>
      </c>
      <c r="C51" s="9" t="s">
        <v>187</v>
      </c>
      <c r="D51" s="19">
        <v>4.1272727962564822E-2</v>
      </c>
      <c r="E51" s="15">
        <v>326343.46000000002</v>
      </c>
    </row>
    <row r="52" spans="1:5" x14ac:dyDescent="0.3">
      <c r="A52" s="9" t="s">
        <v>193</v>
      </c>
      <c r="B52" s="20">
        <v>45961</v>
      </c>
      <c r="C52" s="9" t="s">
        <v>185</v>
      </c>
      <c r="D52" s="19">
        <v>0.77200000000000002</v>
      </c>
      <c r="E52" s="15">
        <v>6238532</v>
      </c>
    </row>
    <row r="53" spans="1:5" x14ac:dyDescent="0.3">
      <c r="A53" s="9" t="s">
        <v>193</v>
      </c>
      <c r="B53" s="20">
        <v>45961</v>
      </c>
      <c r="C53" s="9" t="s">
        <v>190</v>
      </c>
      <c r="D53" s="19">
        <v>8.2909090459101595E-2</v>
      </c>
      <c r="E53" s="15">
        <v>669988.36</v>
      </c>
    </row>
    <row r="54" spans="1:5" x14ac:dyDescent="0.3">
      <c r="A54" s="9" t="s">
        <v>193</v>
      </c>
      <c r="B54" s="20">
        <v>45961</v>
      </c>
      <c r="C54" s="9" t="s">
        <v>189</v>
      </c>
      <c r="D54" s="19">
        <v>6.21818178443262E-2</v>
      </c>
      <c r="E54" s="15">
        <v>502491.27</v>
      </c>
    </row>
    <row r="55" spans="1:5" x14ac:dyDescent="0.3">
      <c r="A55" s="9" t="s">
        <v>193</v>
      </c>
      <c r="B55" s="20">
        <v>45961</v>
      </c>
      <c r="C55" s="9" t="s">
        <v>188</v>
      </c>
      <c r="D55" s="19">
        <v>4.1454545229550797E-2</v>
      </c>
      <c r="E55" s="15">
        <v>334994.18</v>
      </c>
    </row>
    <row r="56" spans="1:5" x14ac:dyDescent="0.3">
      <c r="A56" s="9" t="s">
        <v>193</v>
      </c>
      <c r="B56" s="20">
        <v>45961</v>
      </c>
      <c r="C56" s="9" t="s">
        <v>187</v>
      </c>
      <c r="D56" s="19">
        <v>4.1454546467021409E-2</v>
      </c>
      <c r="E56" s="15">
        <v>334994.19</v>
      </c>
    </row>
    <row r="57" spans="1:5" x14ac:dyDescent="0.3">
      <c r="A57" s="9" t="s">
        <v>193</v>
      </c>
      <c r="B57" s="20">
        <v>45991</v>
      </c>
      <c r="C57" s="9" t="s">
        <v>185</v>
      </c>
      <c r="D57" s="19">
        <v>0.78</v>
      </c>
      <c r="E57" s="15">
        <v>6111300</v>
      </c>
    </row>
    <row r="58" spans="1:5" x14ac:dyDescent="0.3">
      <c r="A58" s="9" t="s">
        <v>193</v>
      </c>
      <c r="B58" s="20">
        <v>45991</v>
      </c>
      <c r="C58" s="9" t="s">
        <v>190</v>
      </c>
      <c r="D58" s="19">
        <v>0.08</v>
      </c>
      <c r="E58" s="15">
        <v>626800</v>
      </c>
    </row>
    <row r="59" spans="1:5" x14ac:dyDescent="0.3">
      <c r="A59" s="9" t="s">
        <v>193</v>
      </c>
      <c r="B59" s="20">
        <v>45991</v>
      </c>
      <c r="C59" s="9" t="s">
        <v>189</v>
      </c>
      <c r="D59" s="19">
        <v>0.06</v>
      </c>
      <c r="E59" s="15">
        <v>470100</v>
      </c>
    </row>
    <row r="60" spans="1:5" x14ac:dyDescent="0.3">
      <c r="A60" s="9" t="s">
        <v>193</v>
      </c>
      <c r="B60" s="20">
        <v>45991</v>
      </c>
      <c r="C60" s="9" t="s">
        <v>188</v>
      </c>
      <c r="D60" s="19">
        <v>0.04</v>
      </c>
      <c r="E60" s="15">
        <v>313400</v>
      </c>
    </row>
    <row r="61" spans="1:5" x14ac:dyDescent="0.3">
      <c r="A61" s="9" t="s">
        <v>193</v>
      </c>
      <c r="B61" s="20">
        <v>45991</v>
      </c>
      <c r="C61" s="9" t="s">
        <v>187</v>
      </c>
      <c r="D61" s="19">
        <v>0.04</v>
      </c>
      <c r="E61" s="15">
        <v>313400</v>
      </c>
    </row>
    <row r="62" spans="1:5" x14ac:dyDescent="0.3">
      <c r="A62" s="9" t="s">
        <v>192</v>
      </c>
      <c r="B62" s="20">
        <v>45657</v>
      </c>
      <c r="C62" s="9" t="s">
        <v>185</v>
      </c>
      <c r="D62" s="19">
        <v>0.81899999999999995</v>
      </c>
      <c r="E62" s="15">
        <v>4652739</v>
      </c>
    </row>
    <row r="63" spans="1:5" x14ac:dyDescent="0.3">
      <c r="A63" s="9" t="s">
        <v>192</v>
      </c>
      <c r="B63" s="20">
        <v>45657</v>
      </c>
      <c r="C63" s="9" t="s">
        <v>190</v>
      </c>
      <c r="D63" s="19">
        <v>7.0388889280056335E-2</v>
      </c>
      <c r="E63" s="15">
        <v>399879.28</v>
      </c>
    </row>
    <row r="64" spans="1:5" x14ac:dyDescent="0.3">
      <c r="A64" s="9" t="s">
        <v>192</v>
      </c>
      <c r="B64" s="20">
        <v>45657</v>
      </c>
      <c r="C64" s="9" t="s">
        <v>189</v>
      </c>
      <c r="D64" s="19">
        <v>5.0277778560112653E-2</v>
      </c>
      <c r="E64" s="15">
        <v>285628.06</v>
      </c>
    </row>
    <row r="65" spans="1:5" x14ac:dyDescent="0.3">
      <c r="A65" s="9" t="s">
        <v>192</v>
      </c>
      <c r="B65" s="20">
        <v>45657</v>
      </c>
      <c r="C65" s="9" t="s">
        <v>188</v>
      </c>
      <c r="D65" s="19">
        <v>4.0222221439887337E-2</v>
      </c>
      <c r="E65" s="15">
        <v>228502.44</v>
      </c>
    </row>
    <row r="66" spans="1:5" x14ac:dyDescent="0.3">
      <c r="A66" s="9" t="s">
        <v>192</v>
      </c>
      <c r="B66" s="20">
        <v>45657</v>
      </c>
      <c r="C66" s="9" t="s">
        <v>187</v>
      </c>
      <c r="D66" s="19">
        <v>2.0111110719943669E-2</v>
      </c>
      <c r="E66" s="15">
        <v>114251.22</v>
      </c>
    </row>
    <row r="67" spans="1:5" x14ac:dyDescent="0.3">
      <c r="A67" s="9" t="s">
        <v>192</v>
      </c>
      <c r="B67" s="20">
        <v>45688</v>
      </c>
      <c r="C67" s="9" t="s">
        <v>185</v>
      </c>
      <c r="D67" s="19">
        <v>0.81499999999999995</v>
      </c>
      <c r="E67" s="15">
        <v>4648760</v>
      </c>
    </row>
    <row r="68" spans="1:5" x14ac:dyDescent="0.3">
      <c r="A68" s="9" t="s">
        <v>192</v>
      </c>
      <c r="B68" s="20">
        <v>45688</v>
      </c>
      <c r="C68" s="9" t="s">
        <v>190</v>
      </c>
      <c r="D68" s="19">
        <v>7.1944444249649367E-2</v>
      </c>
      <c r="E68" s="15">
        <v>410371.11</v>
      </c>
    </row>
    <row r="69" spans="1:5" x14ac:dyDescent="0.3">
      <c r="A69" s="9" t="s">
        <v>192</v>
      </c>
      <c r="B69" s="20">
        <v>45688</v>
      </c>
      <c r="C69" s="9" t="s">
        <v>189</v>
      </c>
      <c r="D69" s="19">
        <v>5.1388888499298728E-2</v>
      </c>
      <c r="E69" s="15">
        <v>293122.21999999997</v>
      </c>
    </row>
    <row r="70" spans="1:5" x14ac:dyDescent="0.3">
      <c r="A70" s="9" t="s">
        <v>192</v>
      </c>
      <c r="B70" s="20">
        <v>45688</v>
      </c>
      <c r="C70" s="9" t="s">
        <v>188</v>
      </c>
      <c r="D70" s="19">
        <v>4.1111111500701257E-2</v>
      </c>
      <c r="E70" s="15">
        <v>234497.78</v>
      </c>
    </row>
    <row r="71" spans="1:5" x14ac:dyDescent="0.3">
      <c r="A71" s="9" t="s">
        <v>192</v>
      </c>
      <c r="B71" s="20">
        <v>45688</v>
      </c>
      <c r="C71" s="9" t="s">
        <v>187</v>
      </c>
      <c r="D71" s="19">
        <v>2.0555555750350629E-2</v>
      </c>
      <c r="E71" s="15">
        <v>117248.89</v>
      </c>
    </row>
    <row r="72" spans="1:5" x14ac:dyDescent="0.3">
      <c r="A72" s="9" t="s">
        <v>192</v>
      </c>
      <c r="B72" s="20">
        <v>45716</v>
      </c>
      <c r="C72" s="9" t="s">
        <v>185</v>
      </c>
      <c r="D72" s="19">
        <v>0.81299999999999994</v>
      </c>
      <c r="E72" s="15">
        <v>4734099</v>
      </c>
    </row>
    <row r="73" spans="1:5" x14ac:dyDescent="0.3">
      <c r="A73" s="9" t="s">
        <v>192</v>
      </c>
      <c r="B73" s="20">
        <v>45716</v>
      </c>
      <c r="C73" s="9" t="s">
        <v>190</v>
      </c>
      <c r="D73" s="19">
        <v>7.2722222222222216E-2</v>
      </c>
      <c r="E73" s="15">
        <v>423461.5</v>
      </c>
    </row>
    <row r="74" spans="1:5" x14ac:dyDescent="0.3">
      <c r="A74" s="9" t="s">
        <v>192</v>
      </c>
      <c r="B74" s="20">
        <v>45716</v>
      </c>
      <c r="C74" s="9" t="s">
        <v>189</v>
      </c>
      <c r="D74" s="19">
        <v>5.1944444444444453E-2</v>
      </c>
      <c r="E74" s="15">
        <v>302472.5</v>
      </c>
    </row>
    <row r="75" spans="1:5" x14ac:dyDescent="0.3">
      <c r="A75" s="9" t="s">
        <v>192</v>
      </c>
      <c r="B75" s="20">
        <v>45716</v>
      </c>
      <c r="C75" s="9" t="s">
        <v>188</v>
      </c>
      <c r="D75" s="19">
        <v>4.1555555555555547E-2</v>
      </c>
      <c r="E75" s="15">
        <v>241978</v>
      </c>
    </row>
    <row r="76" spans="1:5" x14ac:dyDescent="0.3">
      <c r="A76" s="9" t="s">
        <v>192</v>
      </c>
      <c r="B76" s="20">
        <v>45716</v>
      </c>
      <c r="C76" s="9" t="s">
        <v>187</v>
      </c>
      <c r="D76" s="19">
        <v>2.077777777777778E-2</v>
      </c>
      <c r="E76" s="15">
        <v>120989</v>
      </c>
    </row>
    <row r="77" spans="1:5" x14ac:dyDescent="0.3">
      <c r="A77" s="9" t="s">
        <v>192</v>
      </c>
      <c r="B77" s="20">
        <v>45747</v>
      </c>
      <c r="C77" s="9" t="s">
        <v>185</v>
      </c>
      <c r="D77" s="19">
        <v>0.82299999999999995</v>
      </c>
      <c r="E77" s="15">
        <v>4704268</v>
      </c>
    </row>
    <row r="78" spans="1:5" x14ac:dyDescent="0.3">
      <c r="A78" s="9" t="s">
        <v>192</v>
      </c>
      <c r="B78" s="20">
        <v>45747</v>
      </c>
      <c r="C78" s="9" t="s">
        <v>190</v>
      </c>
      <c r="D78" s="19">
        <v>6.8833332750174947E-2</v>
      </c>
      <c r="E78" s="15">
        <v>393451.33</v>
      </c>
    </row>
    <row r="79" spans="1:5" x14ac:dyDescent="0.3">
      <c r="A79" s="9" t="s">
        <v>192</v>
      </c>
      <c r="B79" s="20">
        <v>45747</v>
      </c>
      <c r="C79" s="9" t="s">
        <v>189</v>
      </c>
      <c r="D79" s="19">
        <v>4.9166667249825047E-2</v>
      </c>
      <c r="E79" s="15">
        <v>281036.67</v>
      </c>
    </row>
    <row r="80" spans="1:5" x14ac:dyDescent="0.3">
      <c r="A80" s="9" t="s">
        <v>192</v>
      </c>
      <c r="B80" s="20">
        <v>45747</v>
      </c>
      <c r="C80" s="9" t="s">
        <v>188</v>
      </c>
      <c r="D80" s="19">
        <v>3.9333332750174949E-2</v>
      </c>
      <c r="E80" s="15">
        <v>224829.33</v>
      </c>
    </row>
    <row r="81" spans="1:5" x14ac:dyDescent="0.3">
      <c r="A81" s="9" t="s">
        <v>192</v>
      </c>
      <c r="B81" s="20">
        <v>45747</v>
      </c>
      <c r="C81" s="9" t="s">
        <v>187</v>
      </c>
      <c r="D81" s="19">
        <v>1.9666667249825048E-2</v>
      </c>
      <c r="E81" s="15">
        <v>112414.67</v>
      </c>
    </row>
    <row r="82" spans="1:5" x14ac:dyDescent="0.3">
      <c r="A82" s="9" t="s">
        <v>192</v>
      </c>
      <c r="B82" s="20">
        <v>45777</v>
      </c>
      <c r="C82" s="9" t="s">
        <v>185</v>
      </c>
      <c r="D82" s="19">
        <v>0.82499999999999996</v>
      </c>
      <c r="E82" s="15">
        <v>4784175</v>
      </c>
    </row>
    <row r="83" spans="1:5" x14ac:dyDescent="0.3">
      <c r="A83" s="9" t="s">
        <v>192</v>
      </c>
      <c r="B83" s="20">
        <v>45777</v>
      </c>
      <c r="C83" s="9" t="s">
        <v>190</v>
      </c>
      <c r="D83" s="19">
        <v>6.8055556130367303E-2</v>
      </c>
      <c r="E83" s="15">
        <v>394654.17</v>
      </c>
    </row>
    <row r="84" spans="1:5" x14ac:dyDescent="0.3">
      <c r="A84" s="9" t="s">
        <v>192</v>
      </c>
      <c r="B84" s="20">
        <v>45777</v>
      </c>
      <c r="C84" s="9" t="s">
        <v>189</v>
      </c>
      <c r="D84" s="19">
        <v>4.8611110536299372E-2</v>
      </c>
      <c r="E84" s="15">
        <v>281895.83</v>
      </c>
    </row>
    <row r="85" spans="1:5" x14ac:dyDescent="0.3">
      <c r="A85" s="9" t="s">
        <v>192</v>
      </c>
      <c r="B85" s="20">
        <v>45777</v>
      </c>
      <c r="C85" s="9" t="s">
        <v>188</v>
      </c>
      <c r="D85" s="19">
        <v>3.8888889463700643E-2</v>
      </c>
      <c r="E85" s="15">
        <v>225516.67</v>
      </c>
    </row>
    <row r="86" spans="1:5" x14ac:dyDescent="0.3">
      <c r="A86" s="9" t="s">
        <v>192</v>
      </c>
      <c r="B86" s="20">
        <v>45777</v>
      </c>
      <c r="C86" s="9" t="s">
        <v>187</v>
      </c>
      <c r="D86" s="19">
        <v>1.9444443869632691E-2</v>
      </c>
      <c r="E86" s="15">
        <v>112758.33</v>
      </c>
    </row>
    <row r="87" spans="1:5" x14ac:dyDescent="0.3">
      <c r="A87" s="9" t="s">
        <v>192</v>
      </c>
      <c r="B87" s="20">
        <v>45808</v>
      </c>
      <c r="C87" s="9" t="s">
        <v>185</v>
      </c>
      <c r="D87" s="19">
        <v>0.82099999999999995</v>
      </c>
      <c r="E87" s="15">
        <v>4748664</v>
      </c>
    </row>
    <row r="88" spans="1:5" x14ac:dyDescent="0.3">
      <c r="A88" s="9" t="s">
        <v>192</v>
      </c>
      <c r="B88" s="20">
        <v>45808</v>
      </c>
      <c r="C88" s="9" t="s">
        <v>190</v>
      </c>
      <c r="D88" s="19">
        <v>6.9611111687413546E-2</v>
      </c>
      <c r="E88" s="15">
        <v>402630.67</v>
      </c>
    </row>
    <row r="89" spans="1:5" x14ac:dyDescent="0.3">
      <c r="A89" s="9" t="s">
        <v>192</v>
      </c>
      <c r="B89" s="20">
        <v>45808</v>
      </c>
      <c r="C89" s="9" t="s">
        <v>189</v>
      </c>
      <c r="D89" s="19">
        <v>4.972222164591978E-2</v>
      </c>
      <c r="E89" s="15">
        <v>287593.33</v>
      </c>
    </row>
    <row r="90" spans="1:5" x14ac:dyDescent="0.3">
      <c r="A90" s="9" t="s">
        <v>192</v>
      </c>
      <c r="B90" s="20">
        <v>45808</v>
      </c>
      <c r="C90" s="9" t="s">
        <v>188</v>
      </c>
      <c r="D90" s="19">
        <v>3.9777778354080223E-2</v>
      </c>
      <c r="E90" s="15">
        <v>230074.67</v>
      </c>
    </row>
    <row r="91" spans="1:5" x14ac:dyDescent="0.3">
      <c r="A91" s="9" t="s">
        <v>192</v>
      </c>
      <c r="B91" s="20">
        <v>45808</v>
      </c>
      <c r="C91" s="9" t="s">
        <v>187</v>
      </c>
      <c r="D91" s="19">
        <v>1.988888831258645E-2</v>
      </c>
      <c r="E91" s="15">
        <v>115037.33</v>
      </c>
    </row>
    <row r="92" spans="1:5" x14ac:dyDescent="0.3">
      <c r="A92" s="9" t="s">
        <v>192</v>
      </c>
      <c r="B92" s="20">
        <v>45838</v>
      </c>
      <c r="C92" s="9" t="s">
        <v>185</v>
      </c>
      <c r="D92" s="19">
        <v>0.82</v>
      </c>
      <c r="E92" s="15">
        <v>4810120</v>
      </c>
    </row>
    <row r="93" spans="1:5" x14ac:dyDescent="0.3">
      <c r="A93" s="9" t="s">
        <v>192</v>
      </c>
      <c r="B93" s="20">
        <v>45838</v>
      </c>
      <c r="C93" s="9" t="s">
        <v>190</v>
      </c>
      <c r="D93" s="19">
        <v>7.0000000000000007E-2</v>
      </c>
      <c r="E93" s="15">
        <v>410620</v>
      </c>
    </row>
    <row r="94" spans="1:5" x14ac:dyDescent="0.3">
      <c r="A94" s="9" t="s">
        <v>192</v>
      </c>
      <c r="B94" s="20">
        <v>45838</v>
      </c>
      <c r="C94" s="9" t="s">
        <v>189</v>
      </c>
      <c r="D94" s="19">
        <v>0.05</v>
      </c>
      <c r="E94" s="15">
        <v>293300</v>
      </c>
    </row>
    <row r="95" spans="1:5" x14ac:dyDescent="0.3">
      <c r="A95" s="9" t="s">
        <v>192</v>
      </c>
      <c r="B95" s="20">
        <v>45838</v>
      </c>
      <c r="C95" s="9" t="s">
        <v>188</v>
      </c>
      <c r="D95" s="19">
        <v>0.04</v>
      </c>
      <c r="E95" s="15">
        <v>234640</v>
      </c>
    </row>
    <row r="96" spans="1:5" x14ac:dyDescent="0.3">
      <c r="A96" s="9" t="s">
        <v>192</v>
      </c>
      <c r="B96" s="20">
        <v>45838</v>
      </c>
      <c r="C96" s="9" t="s">
        <v>187</v>
      </c>
      <c r="D96" s="19">
        <v>0.02</v>
      </c>
      <c r="E96" s="15">
        <v>117320</v>
      </c>
    </row>
    <row r="97" spans="1:5" x14ac:dyDescent="0.3">
      <c r="A97" s="9" t="s">
        <v>192</v>
      </c>
      <c r="B97" s="20">
        <v>45869</v>
      </c>
      <c r="C97" s="9" t="s">
        <v>185</v>
      </c>
      <c r="D97" s="19">
        <v>0.81599999999999995</v>
      </c>
      <c r="E97" s="15">
        <v>4835616</v>
      </c>
    </row>
    <row r="98" spans="1:5" x14ac:dyDescent="0.3">
      <c r="A98" s="9" t="s">
        <v>192</v>
      </c>
      <c r="B98" s="20">
        <v>45869</v>
      </c>
      <c r="C98" s="9" t="s">
        <v>190</v>
      </c>
      <c r="D98" s="19">
        <v>7.155555518056024E-2</v>
      </c>
      <c r="E98" s="15">
        <v>424038.22</v>
      </c>
    </row>
    <row r="99" spans="1:5" x14ac:dyDescent="0.3">
      <c r="A99" s="9" t="s">
        <v>192</v>
      </c>
      <c r="B99" s="20">
        <v>45869</v>
      </c>
      <c r="C99" s="9" t="s">
        <v>189</v>
      </c>
      <c r="D99" s="19">
        <v>5.1111110361120489E-2</v>
      </c>
      <c r="E99" s="15">
        <v>302884.44</v>
      </c>
    </row>
    <row r="100" spans="1:5" x14ac:dyDescent="0.3">
      <c r="A100" s="9" t="s">
        <v>192</v>
      </c>
      <c r="B100" s="20">
        <v>45869</v>
      </c>
      <c r="C100" s="9" t="s">
        <v>188</v>
      </c>
      <c r="D100" s="19">
        <v>4.0888889638879523E-2</v>
      </c>
      <c r="E100" s="15">
        <v>242307.56</v>
      </c>
    </row>
    <row r="101" spans="1:5" x14ac:dyDescent="0.3">
      <c r="A101" s="9" t="s">
        <v>192</v>
      </c>
      <c r="B101" s="20">
        <v>45869</v>
      </c>
      <c r="C101" s="9" t="s">
        <v>187</v>
      </c>
      <c r="D101" s="19">
        <v>2.0444444819439762E-2</v>
      </c>
      <c r="E101" s="15">
        <v>121153.78</v>
      </c>
    </row>
    <row r="102" spans="1:5" x14ac:dyDescent="0.3">
      <c r="A102" s="9" t="s">
        <v>192</v>
      </c>
      <c r="B102" s="20">
        <v>45900</v>
      </c>
      <c r="C102" s="9" t="s">
        <v>185</v>
      </c>
      <c r="D102" s="19">
        <v>0.81699999999999995</v>
      </c>
      <c r="E102" s="15">
        <v>4781084</v>
      </c>
    </row>
    <row r="103" spans="1:5" x14ac:dyDescent="0.3">
      <c r="A103" s="9" t="s">
        <v>192</v>
      </c>
      <c r="B103" s="20">
        <v>45900</v>
      </c>
      <c r="C103" s="9" t="s">
        <v>190</v>
      </c>
      <c r="D103" s="19">
        <v>7.1166666097060835E-2</v>
      </c>
      <c r="E103" s="15">
        <v>416467.33</v>
      </c>
    </row>
    <row r="104" spans="1:5" x14ac:dyDescent="0.3">
      <c r="A104" s="9" t="s">
        <v>192</v>
      </c>
      <c r="B104" s="20">
        <v>45900</v>
      </c>
      <c r="C104" s="9" t="s">
        <v>189</v>
      </c>
      <c r="D104" s="19">
        <v>5.0833333902939162E-2</v>
      </c>
      <c r="E104" s="15">
        <v>297476.67</v>
      </c>
    </row>
    <row r="105" spans="1:5" x14ac:dyDescent="0.3">
      <c r="A105" s="9" t="s">
        <v>192</v>
      </c>
      <c r="B105" s="20">
        <v>45900</v>
      </c>
      <c r="C105" s="9" t="s">
        <v>188</v>
      </c>
      <c r="D105" s="19">
        <v>4.0666666097060829E-2</v>
      </c>
      <c r="E105" s="15">
        <v>237981.33</v>
      </c>
    </row>
    <row r="106" spans="1:5" x14ac:dyDescent="0.3">
      <c r="A106" s="9" t="s">
        <v>192</v>
      </c>
      <c r="B106" s="20">
        <v>45900</v>
      </c>
      <c r="C106" s="9" t="s">
        <v>187</v>
      </c>
      <c r="D106" s="19">
        <v>2.033333390293917E-2</v>
      </c>
      <c r="E106" s="15">
        <v>118990.67</v>
      </c>
    </row>
    <row r="107" spans="1:5" x14ac:dyDescent="0.3">
      <c r="A107" s="9" t="s">
        <v>192</v>
      </c>
      <c r="B107" s="20">
        <v>45930</v>
      </c>
      <c r="C107" s="9" t="s">
        <v>185</v>
      </c>
      <c r="D107" s="19">
        <v>0.81799999999999995</v>
      </c>
      <c r="E107" s="15">
        <v>4919452</v>
      </c>
    </row>
    <row r="108" spans="1:5" x14ac:dyDescent="0.3">
      <c r="A108" s="9" t="s">
        <v>192</v>
      </c>
      <c r="B108" s="20">
        <v>45930</v>
      </c>
      <c r="C108" s="9" t="s">
        <v>190</v>
      </c>
      <c r="D108" s="19">
        <v>7.0777778516794149E-2</v>
      </c>
      <c r="E108" s="15">
        <v>425657.56</v>
      </c>
    </row>
    <row r="109" spans="1:5" x14ac:dyDescent="0.3">
      <c r="A109" s="9" t="s">
        <v>192</v>
      </c>
      <c r="B109" s="20">
        <v>45930</v>
      </c>
      <c r="C109" s="9" t="s">
        <v>189</v>
      </c>
      <c r="D109" s="19">
        <v>5.0555555370801461E-2</v>
      </c>
      <c r="E109" s="15">
        <v>304041.11</v>
      </c>
    </row>
    <row r="110" spans="1:5" x14ac:dyDescent="0.3">
      <c r="A110" s="9" t="s">
        <v>192</v>
      </c>
      <c r="B110" s="20">
        <v>45930</v>
      </c>
      <c r="C110" s="9" t="s">
        <v>188</v>
      </c>
      <c r="D110" s="19">
        <v>4.0444444629198537E-2</v>
      </c>
      <c r="E110" s="15">
        <v>243232.89</v>
      </c>
    </row>
    <row r="111" spans="1:5" x14ac:dyDescent="0.3">
      <c r="A111" s="9" t="s">
        <v>192</v>
      </c>
      <c r="B111" s="20">
        <v>45930</v>
      </c>
      <c r="C111" s="9" t="s">
        <v>187</v>
      </c>
      <c r="D111" s="19">
        <v>2.0222221483205849E-2</v>
      </c>
      <c r="E111" s="15">
        <v>121616.44</v>
      </c>
    </row>
    <row r="112" spans="1:5" x14ac:dyDescent="0.3">
      <c r="A112" s="9" t="s">
        <v>192</v>
      </c>
      <c r="B112" s="20">
        <v>45961</v>
      </c>
      <c r="C112" s="9" t="s">
        <v>185</v>
      </c>
      <c r="D112" s="19">
        <v>0.81699999999999995</v>
      </c>
      <c r="E112" s="15">
        <v>4924059</v>
      </c>
    </row>
    <row r="113" spans="1:5" x14ac:dyDescent="0.3">
      <c r="A113" s="9" t="s">
        <v>192</v>
      </c>
      <c r="B113" s="20">
        <v>45961</v>
      </c>
      <c r="C113" s="9" t="s">
        <v>190</v>
      </c>
      <c r="D113" s="19">
        <v>7.116666666666667E-2</v>
      </c>
      <c r="E113" s="15">
        <v>428921.5</v>
      </c>
    </row>
    <row r="114" spans="1:5" x14ac:dyDescent="0.3">
      <c r="A114" s="9" t="s">
        <v>192</v>
      </c>
      <c r="B114" s="20">
        <v>45961</v>
      </c>
      <c r="C114" s="9" t="s">
        <v>189</v>
      </c>
      <c r="D114" s="19">
        <v>5.0833333333333328E-2</v>
      </c>
      <c r="E114" s="15">
        <v>306372.5</v>
      </c>
    </row>
    <row r="115" spans="1:5" x14ac:dyDescent="0.3">
      <c r="A115" s="9" t="s">
        <v>192</v>
      </c>
      <c r="B115" s="20">
        <v>45961</v>
      </c>
      <c r="C115" s="9" t="s">
        <v>188</v>
      </c>
      <c r="D115" s="19">
        <v>4.0666666666666663E-2</v>
      </c>
      <c r="E115" s="15">
        <v>245098</v>
      </c>
    </row>
    <row r="116" spans="1:5" x14ac:dyDescent="0.3">
      <c r="A116" s="9" t="s">
        <v>192</v>
      </c>
      <c r="B116" s="20">
        <v>45961</v>
      </c>
      <c r="C116" s="9" t="s">
        <v>187</v>
      </c>
      <c r="D116" s="19">
        <v>2.0333333333333332E-2</v>
      </c>
      <c r="E116" s="15">
        <v>122549</v>
      </c>
    </row>
    <row r="117" spans="1:5" x14ac:dyDescent="0.3">
      <c r="A117" s="9" t="s">
        <v>192</v>
      </c>
      <c r="B117" s="20">
        <v>45991</v>
      </c>
      <c r="C117" s="9" t="s">
        <v>185</v>
      </c>
      <c r="D117" s="19">
        <v>0.82</v>
      </c>
      <c r="E117" s="15">
        <v>4944600</v>
      </c>
    </row>
    <row r="118" spans="1:5" x14ac:dyDescent="0.3">
      <c r="A118" s="9" t="s">
        <v>192</v>
      </c>
      <c r="B118" s="20">
        <v>45991</v>
      </c>
      <c r="C118" s="9" t="s">
        <v>190</v>
      </c>
      <c r="D118" s="19">
        <v>7.0000000000000007E-2</v>
      </c>
      <c r="E118" s="15">
        <v>422100</v>
      </c>
    </row>
    <row r="119" spans="1:5" x14ac:dyDescent="0.3">
      <c r="A119" s="9" t="s">
        <v>192</v>
      </c>
      <c r="B119" s="20">
        <v>45991</v>
      </c>
      <c r="C119" s="9" t="s">
        <v>189</v>
      </c>
      <c r="D119" s="19">
        <v>0.05</v>
      </c>
      <c r="E119" s="15">
        <v>301500</v>
      </c>
    </row>
    <row r="120" spans="1:5" x14ac:dyDescent="0.3">
      <c r="A120" s="9" t="s">
        <v>192</v>
      </c>
      <c r="B120" s="20">
        <v>45991</v>
      </c>
      <c r="C120" s="9" t="s">
        <v>188</v>
      </c>
      <c r="D120" s="19">
        <v>0.04</v>
      </c>
      <c r="E120" s="15">
        <v>241200</v>
      </c>
    </row>
    <row r="121" spans="1:5" x14ac:dyDescent="0.3">
      <c r="A121" s="9" t="s">
        <v>192</v>
      </c>
      <c r="B121" s="20">
        <v>45991</v>
      </c>
      <c r="C121" s="9" t="s">
        <v>187</v>
      </c>
      <c r="D121" s="19">
        <v>0.02</v>
      </c>
      <c r="E121" s="15">
        <v>120600</v>
      </c>
    </row>
    <row r="122" spans="1:5" x14ac:dyDescent="0.3">
      <c r="A122" s="9" t="s">
        <v>191</v>
      </c>
      <c r="B122" s="20">
        <v>45657</v>
      </c>
      <c r="C122" s="9" t="s">
        <v>185</v>
      </c>
      <c r="D122" s="19">
        <v>0.85199999999999998</v>
      </c>
      <c r="E122" s="15">
        <v>3268272</v>
      </c>
    </row>
    <row r="123" spans="1:5" x14ac:dyDescent="0.3">
      <c r="A123" s="9" t="s">
        <v>191</v>
      </c>
      <c r="B123" s="20">
        <v>45657</v>
      </c>
      <c r="C123" s="9" t="s">
        <v>190</v>
      </c>
      <c r="D123" s="19">
        <v>5.9200000000000003E-2</v>
      </c>
      <c r="E123" s="15">
        <v>227091.20000000001</v>
      </c>
    </row>
    <row r="124" spans="1:5" x14ac:dyDescent="0.3">
      <c r="A124" s="9" t="s">
        <v>191</v>
      </c>
      <c r="B124" s="20">
        <v>45657</v>
      </c>
      <c r="C124" s="9" t="s">
        <v>189</v>
      </c>
      <c r="D124" s="19">
        <v>3.9466665797705948E-2</v>
      </c>
      <c r="E124" s="15">
        <v>151394.13</v>
      </c>
    </row>
    <row r="125" spans="1:5" x14ac:dyDescent="0.3">
      <c r="A125" s="9" t="s">
        <v>191</v>
      </c>
      <c r="B125" s="20">
        <v>45657</v>
      </c>
      <c r="C125" s="9" t="s">
        <v>188</v>
      </c>
      <c r="D125" s="19">
        <v>2.9600000000000001E-2</v>
      </c>
      <c r="E125" s="15">
        <v>113545.60000000001</v>
      </c>
    </row>
    <row r="126" spans="1:5" x14ac:dyDescent="0.3">
      <c r="A126" s="9" t="s">
        <v>191</v>
      </c>
      <c r="B126" s="20">
        <v>45657</v>
      </c>
      <c r="C126" s="9" t="s">
        <v>187</v>
      </c>
      <c r="D126" s="19">
        <v>1.9733334202294062E-2</v>
      </c>
      <c r="E126" s="15">
        <v>75697.070000000007</v>
      </c>
    </row>
    <row r="127" spans="1:5" x14ac:dyDescent="0.3">
      <c r="A127" s="9" t="s">
        <v>191</v>
      </c>
      <c r="B127" s="20">
        <v>45688</v>
      </c>
      <c r="C127" s="9" t="s">
        <v>185</v>
      </c>
      <c r="D127" s="19">
        <v>0.85199999999999998</v>
      </c>
      <c r="E127" s="15">
        <v>3229932</v>
      </c>
    </row>
    <row r="128" spans="1:5" x14ac:dyDescent="0.3">
      <c r="A128" s="9" t="s">
        <v>191</v>
      </c>
      <c r="B128" s="20">
        <v>45688</v>
      </c>
      <c r="C128" s="9" t="s">
        <v>190</v>
      </c>
      <c r="D128" s="19">
        <v>5.9200000000000003E-2</v>
      </c>
      <c r="E128" s="15">
        <v>224427.2</v>
      </c>
    </row>
    <row r="129" spans="1:5" x14ac:dyDescent="0.3">
      <c r="A129" s="9" t="s">
        <v>191</v>
      </c>
      <c r="B129" s="20">
        <v>45688</v>
      </c>
      <c r="C129" s="9" t="s">
        <v>189</v>
      </c>
      <c r="D129" s="19">
        <v>3.9466665787391192E-2</v>
      </c>
      <c r="E129" s="15">
        <v>149618.13</v>
      </c>
    </row>
    <row r="130" spans="1:5" x14ac:dyDescent="0.3">
      <c r="A130" s="9" t="s">
        <v>191</v>
      </c>
      <c r="B130" s="20">
        <v>45688</v>
      </c>
      <c r="C130" s="9" t="s">
        <v>188</v>
      </c>
      <c r="D130" s="19">
        <v>2.9600000000000001E-2</v>
      </c>
      <c r="E130" s="15">
        <v>112213.6</v>
      </c>
    </row>
    <row r="131" spans="1:5" x14ac:dyDescent="0.3">
      <c r="A131" s="9" t="s">
        <v>191</v>
      </c>
      <c r="B131" s="20">
        <v>45688</v>
      </c>
      <c r="C131" s="9" t="s">
        <v>187</v>
      </c>
      <c r="D131" s="19">
        <v>1.9733334212608811E-2</v>
      </c>
      <c r="E131" s="15">
        <v>74809.070000000007</v>
      </c>
    </row>
    <row r="132" spans="1:5" x14ac:dyDescent="0.3">
      <c r="A132" s="9" t="s">
        <v>191</v>
      </c>
      <c r="B132" s="20">
        <v>45716</v>
      </c>
      <c r="C132" s="9" t="s">
        <v>185</v>
      </c>
      <c r="D132" s="19">
        <v>0.85499999999999998</v>
      </c>
      <c r="E132" s="15">
        <v>3275505</v>
      </c>
    </row>
    <row r="133" spans="1:5" x14ac:dyDescent="0.3">
      <c r="A133" s="9" t="s">
        <v>191</v>
      </c>
      <c r="B133" s="20">
        <v>45716</v>
      </c>
      <c r="C133" s="9" t="s">
        <v>190</v>
      </c>
      <c r="D133" s="19">
        <v>5.8000000000000003E-2</v>
      </c>
      <c r="E133" s="15">
        <v>222198</v>
      </c>
    </row>
    <row r="134" spans="1:5" x14ac:dyDescent="0.3">
      <c r="A134" s="9" t="s">
        <v>191</v>
      </c>
      <c r="B134" s="20">
        <v>45716</v>
      </c>
      <c r="C134" s="9" t="s">
        <v>189</v>
      </c>
      <c r="D134" s="19">
        <v>3.8666666666666669E-2</v>
      </c>
      <c r="E134" s="15">
        <v>148132</v>
      </c>
    </row>
    <row r="135" spans="1:5" x14ac:dyDescent="0.3">
      <c r="A135" s="9" t="s">
        <v>191</v>
      </c>
      <c r="B135" s="20">
        <v>45716</v>
      </c>
      <c r="C135" s="9" t="s">
        <v>188</v>
      </c>
      <c r="D135" s="19">
        <v>2.9000000000000001E-2</v>
      </c>
      <c r="E135" s="15">
        <v>111099</v>
      </c>
    </row>
    <row r="136" spans="1:5" x14ac:dyDescent="0.3">
      <c r="A136" s="9" t="s">
        <v>191</v>
      </c>
      <c r="B136" s="20">
        <v>45716</v>
      </c>
      <c r="C136" s="9" t="s">
        <v>187</v>
      </c>
      <c r="D136" s="19">
        <v>1.9333333333333331E-2</v>
      </c>
      <c r="E136" s="15">
        <v>74066</v>
      </c>
    </row>
    <row r="137" spans="1:5" x14ac:dyDescent="0.3">
      <c r="A137" s="9" t="s">
        <v>191</v>
      </c>
      <c r="B137" s="20">
        <v>45747</v>
      </c>
      <c r="C137" s="9" t="s">
        <v>185</v>
      </c>
      <c r="D137" s="19">
        <v>0.85099999999999998</v>
      </c>
      <c r="E137" s="15">
        <v>3248267</v>
      </c>
    </row>
    <row r="138" spans="1:5" x14ac:dyDescent="0.3">
      <c r="A138" s="9" t="s">
        <v>191</v>
      </c>
      <c r="B138" s="20">
        <v>45747</v>
      </c>
      <c r="C138" s="9" t="s">
        <v>190</v>
      </c>
      <c r="D138" s="19">
        <v>5.96E-2</v>
      </c>
      <c r="E138" s="15">
        <v>227493.2</v>
      </c>
    </row>
    <row r="139" spans="1:5" x14ac:dyDescent="0.3">
      <c r="A139" s="9" t="s">
        <v>191</v>
      </c>
      <c r="B139" s="20">
        <v>45747</v>
      </c>
      <c r="C139" s="9" t="s">
        <v>189</v>
      </c>
      <c r="D139" s="19">
        <v>3.9733332460047163E-2</v>
      </c>
      <c r="E139" s="15">
        <v>151662.13</v>
      </c>
    </row>
    <row r="140" spans="1:5" x14ac:dyDescent="0.3">
      <c r="A140" s="9" t="s">
        <v>191</v>
      </c>
      <c r="B140" s="20">
        <v>45747</v>
      </c>
      <c r="C140" s="9" t="s">
        <v>188</v>
      </c>
      <c r="D140" s="19">
        <v>2.98E-2</v>
      </c>
      <c r="E140" s="15">
        <v>113746.6</v>
      </c>
    </row>
    <row r="141" spans="1:5" x14ac:dyDescent="0.3">
      <c r="A141" s="9" t="s">
        <v>191</v>
      </c>
      <c r="B141" s="20">
        <v>45747</v>
      </c>
      <c r="C141" s="9" t="s">
        <v>187</v>
      </c>
      <c r="D141" s="19">
        <v>1.986666753995284E-2</v>
      </c>
      <c r="E141" s="15">
        <v>75831.070000000007</v>
      </c>
    </row>
    <row r="142" spans="1:5" x14ac:dyDescent="0.3">
      <c r="A142" s="9" t="s">
        <v>191</v>
      </c>
      <c r="B142" s="20">
        <v>45777</v>
      </c>
      <c r="C142" s="9" t="s">
        <v>185</v>
      </c>
      <c r="D142" s="19">
        <v>0.85299999999999998</v>
      </c>
      <c r="E142" s="15">
        <v>3294286</v>
      </c>
    </row>
    <row r="143" spans="1:5" x14ac:dyDescent="0.3">
      <c r="A143" s="9" t="s">
        <v>191</v>
      </c>
      <c r="B143" s="20">
        <v>45777</v>
      </c>
      <c r="C143" s="9" t="s">
        <v>190</v>
      </c>
      <c r="D143" s="19">
        <v>5.8799999999999998E-2</v>
      </c>
      <c r="E143" s="15">
        <v>227085.6</v>
      </c>
    </row>
    <row r="144" spans="1:5" x14ac:dyDescent="0.3">
      <c r="A144" s="9" t="s">
        <v>191</v>
      </c>
      <c r="B144" s="20">
        <v>45777</v>
      </c>
      <c r="C144" s="9" t="s">
        <v>189</v>
      </c>
      <c r="D144" s="19">
        <v>3.9199999999999999E-2</v>
      </c>
      <c r="E144" s="15">
        <v>151390.39999999999</v>
      </c>
    </row>
    <row r="145" spans="1:5" x14ac:dyDescent="0.3">
      <c r="A145" s="9" t="s">
        <v>191</v>
      </c>
      <c r="B145" s="20">
        <v>45777</v>
      </c>
      <c r="C145" s="9" t="s">
        <v>188</v>
      </c>
      <c r="D145" s="19">
        <v>2.9399999999999999E-2</v>
      </c>
      <c r="E145" s="15">
        <v>113542.8</v>
      </c>
    </row>
    <row r="146" spans="1:5" x14ac:dyDescent="0.3">
      <c r="A146" s="9" t="s">
        <v>191</v>
      </c>
      <c r="B146" s="20">
        <v>45777</v>
      </c>
      <c r="C146" s="9" t="s">
        <v>187</v>
      </c>
      <c r="D146" s="19">
        <v>1.9599999999999999E-2</v>
      </c>
      <c r="E146" s="15">
        <v>75695.199999999997</v>
      </c>
    </row>
    <row r="147" spans="1:5" x14ac:dyDescent="0.3">
      <c r="A147" s="9" t="s">
        <v>191</v>
      </c>
      <c r="B147" s="20">
        <v>45808</v>
      </c>
      <c r="C147" s="9" t="s">
        <v>185</v>
      </c>
      <c r="D147" s="19">
        <v>0.84699999999999998</v>
      </c>
      <c r="E147" s="15">
        <v>3313464</v>
      </c>
    </row>
    <row r="148" spans="1:5" x14ac:dyDescent="0.3">
      <c r="A148" s="9" t="s">
        <v>191</v>
      </c>
      <c r="B148" s="20">
        <v>45808</v>
      </c>
      <c r="C148" s="9" t="s">
        <v>190</v>
      </c>
      <c r="D148" s="19">
        <v>6.1199999999999997E-2</v>
      </c>
      <c r="E148" s="15">
        <v>239414.39999999999</v>
      </c>
    </row>
    <row r="149" spans="1:5" x14ac:dyDescent="0.3">
      <c r="A149" s="9" t="s">
        <v>191</v>
      </c>
      <c r="B149" s="20">
        <v>45808</v>
      </c>
      <c r="C149" s="9" t="s">
        <v>189</v>
      </c>
      <c r="D149" s="19">
        <v>4.0800000000000003E-2</v>
      </c>
      <c r="E149" s="15">
        <v>159609.60000000001</v>
      </c>
    </row>
    <row r="150" spans="1:5" x14ac:dyDescent="0.3">
      <c r="A150" s="9" t="s">
        <v>191</v>
      </c>
      <c r="B150" s="20">
        <v>45808</v>
      </c>
      <c r="C150" s="9" t="s">
        <v>188</v>
      </c>
      <c r="D150" s="19">
        <v>3.0599999999999999E-2</v>
      </c>
      <c r="E150" s="15">
        <v>119707.2</v>
      </c>
    </row>
    <row r="151" spans="1:5" x14ac:dyDescent="0.3">
      <c r="A151" s="9" t="s">
        <v>191</v>
      </c>
      <c r="B151" s="20">
        <v>45808</v>
      </c>
      <c r="C151" s="9" t="s">
        <v>187</v>
      </c>
      <c r="D151" s="19">
        <v>2.0400000000000001E-2</v>
      </c>
      <c r="E151" s="15">
        <v>79804.800000000003</v>
      </c>
    </row>
    <row r="152" spans="1:5" x14ac:dyDescent="0.3">
      <c r="A152" s="9" t="s">
        <v>191</v>
      </c>
      <c r="B152" s="20">
        <v>45838</v>
      </c>
      <c r="C152" s="9" t="s">
        <v>185</v>
      </c>
      <c r="D152" s="19">
        <v>0.84499999999999997</v>
      </c>
      <c r="E152" s="15">
        <v>3279445</v>
      </c>
    </row>
    <row r="153" spans="1:5" x14ac:dyDescent="0.3">
      <c r="A153" s="9" t="s">
        <v>191</v>
      </c>
      <c r="B153" s="20">
        <v>45838</v>
      </c>
      <c r="C153" s="9" t="s">
        <v>190</v>
      </c>
      <c r="D153" s="19">
        <v>6.2E-2</v>
      </c>
      <c r="E153" s="15">
        <v>240622</v>
      </c>
    </row>
    <row r="154" spans="1:5" x14ac:dyDescent="0.3">
      <c r="A154" s="9" t="s">
        <v>191</v>
      </c>
      <c r="B154" s="20">
        <v>45838</v>
      </c>
      <c r="C154" s="9" t="s">
        <v>189</v>
      </c>
      <c r="D154" s="19">
        <v>4.1333334192218497E-2</v>
      </c>
      <c r="E154" s="15">
        <v>160414.67000000001</v>
      </c>
    </row>
    <row r="155" spans="1:5" x14ac:dyDescent="0.3">
      <c r="A155" s="9" t="s">
        <v>191</v>
      </c>
      <c r="B155" s="20">
        <v>45838</v>
      </c>
      <c r="C155" s="9" t="s">
        <v>188</v>
      </c>
      <c r="D155" s="19">
        <v>3.1E-2</v>
      </c>
      <c r="E155" s="15">
        <v>120311</v>
      </c>
    </row>
    <row r="156" spans="1:5" x14ac:dyDescent="0.3">
      <c r="A156" s="9" t="s">
        <v>191</v>
      </c>
      <c r="B156" s="20">
        <v>45838</v>
      </c>
      <c r="C156" s="9" t="s">
        <v>187</v>
      </c>
      <c r="D156" s="19">
        <v>2.0666665807781499E-2</v>
      </c>
      <c r="E156" s="15">
        <v>80207.33</v>
      </c>
    </row>
    <row r="157" spans="1:5" x14ac:dyDescent="0.3">
      <c r="A157" s="9" t="s">
        <v>191</v>
      </c>
      <c r="B157" s="20">
        <v>45869</v>
      </c>
      <c r="C157" s="9" t="s">
        <v>185</v>
      </c>
      <c r="D157" s="19">
        <v>0.84199999999999997</v>
      </c>
      <c r="E157" s="15">
        <v>3293062</v>
      </c>
    </row>
    <row r="158" spans="1:5" x14ac:dyDescent="0.3">
      <c r="A158" s="9" t="s">
        <v>191</v>
      </c>
      <c r="B158" s="20">
        <v>45869</v>
      </c>
      <c r="C158" s="9" t="s">
        <v>190</v>
      </c>
      <c r="D158" s="19">
        <v>6.3200000000000006E-2</v>
      </c>
      <c r="E158" s="15">
        <v>247175.2</v>
      </c>
    </row>
    <row r="159" spans="1:5" x14ac:dyDescent="0.3">
      <c r="A159" s="9" t="s">
        <v>191</v>
      </c>
      <c r="B159" s="20">
        <v>45869</v>
      </c>
      <c r="C159" s="9" t="s">
        <v>189</v>
      </c>
      <c r="D159" s="19">
        <v>4.2133334185630283E-2</v>
      </c>
      <c r="E159" s="15">
        <v>164783.47</v>
      </c>
    </row>
    <row r="160" spans="1:5" x14ac:dyDescent="0.3">
      <c r="A160" s="9" t="s">
        <v>191</v>
      </c>
      <c r="B160" s="20">
        <v>45869</v>
      </c>
      <c r="C160" s="9" t="s">
        <v>188</v>
      </c>
      <c r="D160" s="19">
        <v>3.1600000000000003E-2</v>
      </c>
      <c r="E160" s="15">
        <v>123587.6</v>
      </c>
    </row>
    <row r="161" spans="1:5" x14ac:dyDescent="0.3">
      <c r="A161" s="9" t="s">
        <v>191</v>
      </c>
      <c r="B161" s="20">
        <v>45869</v>
      </c>
      <c r="C161" s="9" t="s">
        <v>187</v>
      </c>
      <c r="D161" s="19">
        <v>2.106666581436973E-2</v>
      </c>
      <c r="E161" s="15">
        <v>82391.73</v>
      </c>
    </row>
    <row r="162" spans="1:5" x14ac:dyDescent="0.3">
      <c r="A162" s="9" t="s">
        <v>191</v>
      </c>
      <c r="B162" s="20">
        <v>45900</v>
      </c>
      <c r="C162" s="9" t="s">
        <v>185</v>
      </c>
      <c r="D162" s="19">
        <v>0.84799999999999998</v>
      </c>
      <c r="E162" s="15">
        <v>3322464</v>
      </c>
    </row>
    <row r="163" spans="1:5" x14ac:dyDescent="0.3">
      <c r="A163" s="9" t="s">
        <v>191</v>
      </c>
      <c r="B163" s="20">
        <v>45900</v>
      </c>
      <c r="C163" s="9" t="s">
        <v>190</v>
      </c>
      <c r="D163" s="19">
        <v>6.08E-2</v>
      </c>
      <c r="E163" s="15">
        <v>238214.39999999999</v>
      </c>
    </row>
    <row r="164" spans="1:5" x14ac:dyDescent="0.3">
      <c r="A164" s="9" t="s">
        <v>191</v>
      </c>
      <c r="B164" s="20">
        <v>45900</v>
      </c>
      <c r="C164" s="9" t="s">
        <v>189</v>
      </c>
      <c r="D164" s="19">
        <v>4.0533333333333338E-2</v>
      </c>
      <c r="E164" s="15">
        <v>158809.60000000001</v>
      </c>
    </row>
    <row r="165" spans="1:5" x14ac:dyDescent="0.3">
      <c r="A165" s="9" t="s">
        <v>191</v>
      </c>
      <c r="B165" s="20">
        <v>45900</v>
      </c>
      <c r="C165" s="9" t="s">
        <v>188</v>
      </c>
      <c r="D165" s="19">
        <v>3.04E-2</v>
      </c>
      <c r="E165" s="15">
        <v>119107.2</v>
      </c>
    </row>
    <row r="166" spans="1:5" x14ac:dyDescent="0.3">
      <c r="A166" s="9" t="s">
        <v>191</v>
      </c>
      <c r="B166" s="20">
        <v>45900</v>
      </c>
      <c r="C166" s="9" t="s">
        <v>187</v>
      </c>
      <c r="D166" s="19">
        <v>2.0266666666666669E-2</v>
      </c>
      <c r="E166" s="15">
        <v>79404.800000000003</v>
      </c>
    </row>
    <row r="167" spans="1:5" x14ac:dyDescent="0.3">
      <c r="A167" s="9" t="s">
        <v>191</v>
      </c>
      <c r="B167" s="20">
        <v>45930</v>
      </c>
      <c r="C167" s="9" t="s">
        <v>185</v>
      </c>
      <c r="D167" s="19">
        <v>0.84699999999999998</v>
      </c>
      <c r="E167" s="15">
        <v>3328710</v>
      </c>
    </row>
    <row r="168" spans="1:5" x14ac:dyDescent="0.3">
      <c r="A168" s="9" t="s">
        <v>191</v>
      </c>
      <c r="B168" s="20">
        <v>45930</v>
      </c>
      <c r="C168" s="9" t="s">
        <v>190</v>
      </c>
      <c r="D168" s="19">
        <v>6.1199999999999997E-2</v>
      </c>
      <c r="E168" s="15">
        <v>240516</v>
      </c>
    </row>
    <row r="169" spans="1:5" x14ac:dyDescent="0.3">
      <c r="A169" s="9" t="s">
        <v>191</v>
      </c>
      <c r="B169" s="20">
        <v>45930</v>
      </c>
      <c r="C169" s="9" t="s">
        <v>189</v>
      </c>
      <c r="D169" s="19">
        <v>4.0800000000000003E-2</v>
      </c>
      <c r="E169" s="15">
        <v>160344</v>
      </c>
    </row>
    <row r="170" spans="1:5" x14ac:dyDescent="0.3">
      <c r="A170" s="9" t="s">
        <v>191</v>
      </c>
      <c r="B170" s="20">
        <v>45930</v>
      </c>
      <c r="C170" s="9" t="s">
        <v>188</v>
      </c>
      <c r="D170" s="19">
        <v>3.0599999999999999E-2</v>
      </c>
      <c r="E170" s="15">
        <v>120258</v>
      </c>
    </row>
    <row r="171" spans="1:5" x14ac:dyDescent="0.3">
      <c r="A171" s="9" t="s">
        <v>191</v>
      </c>
      <c r="B171" s="20">
        <v>45930</v>
      </c>
      <c r="C171" s="9" t="s">
        <v>187</v>
      </c>
      <c r="D171" s="19">
        <v>2.0400000000000001E-2</v>
      </c>
      <c r="E171" s="15">
        <v>80172</v>
      </c>
    </row>
    <row r="172" spans="1:5" x14ac:dyDescent="0.3">
      <c r="A172" s="9" t="s">
        <v>191</v>
      </c>
      <c r="B172" s="20">
        <v>45961</v>
      </c>
      <c r="C172" s="9" t="s">
        <v>185</v>
      </c>
      <c r="D172" s="19">
        <v>0.84299999999999997</v>
      </c>
      <c r="E172" s="15">
        <v>3334065</v>
      </c>
    </row>
    <row r="173" spans="1:5" x14ac:dyDescent="0.3">
      <c r="A173" s="9" t="s">
        <v>191</v>
      </c>
      <c r="B173" s="20">
        <v>45961</v>
      </c>
      <c r="C173" s="9" t="s">
        <v>190</v>
      </c>
      <c r="D173" s="19">
        <v>6.2799999999999995E-2</v>
      </c>
      <c r="E173" s="15">
        <v>248374</v>
      </c>
    </row>
    <row r="174" spans="1:5" x14ac:dyDescent="0.3">
      <c r="A174" s="9" t="s">
        <v>191</v>
      </c>
      <c r="B174" s="20">
        <v>45961</v>
      </c>
      <c r="C174" s="9" t="s">
        <v>189</v>
      </c>
      <c r="D174" s="19">
        <v>4.1866667509481682E-2</v>
      </c>
      <c r="E174" s="15">
        <v>165582.67000000001</v>
      </c>
    </row>
    <row r="175" spans="1:5" x14ac:dyDescent="0.3">
      <c r="A175" s="9" t="s">
        <v>191</v>
      </c>
      <c r="B175" s="20">
        <v>45961</v>
      </c>
      <c r="C175" s="9" t="s">
        <v>188</v>
      </c>
      <c r="D175" s="19">
        <v>3.1399999999999997E-2</v>
      </c>
      <c r="E175" s="15">
        <v>124187</v>
      </c>
    </row>
    <row r="176" spans="1:5" x14ac:dyDescent="0.3">
      <c r="A176" s="9" t="s">
        <v>191</v>
      </c>
      <c r="B176" s="20">
        <v>45961</v>
      </c>
      <c r="C176" s="9" t="s">
        <v>187</v>
      </c>
      <c r="D176" s="19">
        <v>2.093333249051833E-2</v>
      </c>
      <c r="E176" s="15">
        <v>82791.33</v>
      </c>
    </row>
    <row r="177" spans="1:5" x14ac:dyDescent="0.3">
      <c r="A177" s="9" t="s">
        <v>191</v>
      </c>
      <c r="B177" s="20">
        <v>45991</v>
      </c>
      <c r="C177" s="9" t="s">
        <v>185</v>
      </c>
      <c r="D177" s="19">
        <v>0.85</v>
      </c>
      <c r="E177" s="15">
        <v>3399150</v>
      </c>
    </row>
    <row r="178" spans="1:5" x14ac:dyDescent="0.3">
      <c r="A178" s="9" t="s">
        <v>191</v>
      </c>
      <c r="B178" s="20">
        <v>45991</v>
      </c>
      <c r="C178" s="9" t="s">
        <v>190</v>
      </c>
      <c r="D178" s="19">
        <v>0.06</v>
      </c>
      <c r="E178" s="15">
        <v>239940</v>
      </c>
    </row>
    <row r="179" spans="1:5" x14ac:dyDescent="0.3">
      <c r="A179" s="9" t="s">
        <v>191</v>
      </c>
      <c r="B179" s="20">
        <v>45991</v>
      </c>
      <c r="C179" s="9" t="s">
        <v>189</v>
      </c>
      <c r="D179" s="19">
        <v>0.04</v>
      </c>
      <c r="E179" s="15">
        <v>159960</v>
      </c>
    </row>
    <row r="180" spans="1:5" x14ac:dyDescent="0.3">
      <c r="A180" s="9" t="s">
        <v>191</v>
      </c>
      <c r="B180" s="20">
        <v>45991</v>
      </c>
      <c r="C180" s="9" t="s">
        <v>188</v>
      </c>
      <c r="D180" s="19">
        <v>0.03</v>
      </c>
      <c r="E180" s="15">
        <v>119970</v>
      </c>
    </row>
    <row r="181" spans="1:5" x14ac:dyDescent="0.3">
      <c r="A181" s="9" t="s">
        <v>191</v>
      </c>
      <c r="B181" s="20">
        <v>45991</v>
      </c>
      <c r="C181" s="9" t="s">
        <v>187</v>
      </c>
      <c r="D181" s="19">
        <v>0.02</v>
      </c>
      <c r="E181" s="15">
        <v>79980</v>
      </c>
    </row>
    <row r="182" spans="1:5" x14ac:dyDescent="0.3">
      <c r="A182" s="9" t="s">
        <v>186</v>
      </c>
      <c r="B182" s="20">
        <v>45657</v>
      </c>
      <c r="C182" s="9" t="s">
        <v>190</v>
      </c>
      <c r="D182" s="19">
        <v>7.2370927697570586E-2</v>
      </c>
      <c r="E182" s="15">
        <v>1248181.3899999999</v>
      </c>
    </row>
    <row r="183" spans="1:5" x14ac:dyDescent="0.3">
      <c r="A183" s="9" t="s">
        <v>186</v>
      </c>
      <c r="B183" s="20">
        <v>45657</v>
      </c>
      <c r="C183" s="9" t="s">
        <v>189</v>
      </c>
      <c r="D183" s="19">
        <v>5.2352894416420249E-2</v>
      </c>
      <c r="E183" s="15">
        <v>902930.37</v>
      </c>
    </row>
    <row r="184" spans="1:5" x14ac:dyDescent="0.3">
      <c r="A184" s="9" t="s">
        <v>186</v>
      </c>
      <c r="B184" s="20">
        <v>45657</v>
      </c>
      <c r="C184" s="9" t="s">
        <v>188</v>
      </c>
      <c r="D184" s="19">
        <v>3.7841566069461353E-2</v>
      </c>
      <c r="E184" s="15">
        <v>652653.49</v>
      </c>
    </row>
    <row r="185" spans="1:5" x14ac:dyDescent="0.3">
      <c r="A185" s="9" t="s">
        <v>186</v>
      </c>
      <c r="B185" s="20">
        <v>45657</v>
      </c>
      <c r="C185" s="9" t="s">
        <v>187</v>
      </c>
      <c r="D185" s="19">
        <v>2.9022656114106801E-2</v>
      </c>
      <c r="E185" s="15">
        <v>500553.75</v>
      </c>
    </row>
    <row r="186" spans="1:5" x14ac:dyDescent="0.3">
      <c r="A186" s="9" t="s">
        <v>186</v>
      </c>
      <c r="B186" s="20">
        <v>45657</v>
      </c>
      <c r="C186" s="9" t="s">
        <v>185</v>
      </c>
      <c r="D186" s="19">
        <v>0.80841195570244095</v>
      </c>
      <c r="E186" s="15">
        <v>13942681</v>
      </c>
    </row>
    <row r="187" spans="1:5" x14ac:dyDescent="0.3">
      <c r="A187" s="9" t="s">
        <v>186</v>
      </c>
      <c r="B187" s="20">
        <v>45688</v>
      </c>
      <c r="C187" s="9" t="s">
        <v>190</v>
      </c>
      <c r="D187" s="19">
        <v>7.3340004097880801E-2</v>
      </c>
      <c r="E187" s="15">
        <v>1252793.95</v>
      </c>
    </row>
    <row r="188" spans="1:5" x14ac:dyDescent="0.3">
      <c r="A188" s="9" t="s">
        <v>186</v>
      </c>
      <c r="B188" s="20">
        <v>45688</v>
      </c>
      <c r="C188" s="9" t="s">
        <v>189</v>
      </c>
      <c r="D188" s="19">
        <v>5.3052164851890883E-2</v>
      </c>
      <c r="E188" s="15">
        <v>906237.08</v>
      </c>
    </row>
    <row r="189" spans="1:5" x14ac:dyDescent="0.3">
      <c r="A189" s="9" t="s">
        <v>186</v>
      </c>
      <c r="B189" s="20">
        <v>45688</v>
      </c>
      <c r="C189" s="9" t="s">
        <v>188</v>
      </c>
      <c r="D189" s="19">
        <v>3.8385973539398197E-2</v>
      </c>
      <c r="E189" s="15">
        <v>655709.19999999995</v>
      </c>
    </row>
    <row r="190" spans="1:5" x14ac:dyDescent="0.3">
      <c r="A190" s="9" t="s">
        <v>186</v>
      </c>
      <c r="B190" s="20">
        <v>45688</v>
      </c>
      <c r="C190" s="9" t="s">
        <v>187</v>
      </c>
      <c r="D190" s="19">
        <v>2.9332383210396908E-2</v>
      </c>
      <c r="E190" s="15">
        <v>501055.77</v>
      </c>
    </row>
    <row r="191" spans="1:5" x14ac:dyDescent="0.3">
      <c r="A191" s="9" t="s">
        <v>186</v>
      </c>
      <c r="B191" s="20">
        <v>45688</v>
      </c>
      <c r="C191" s="9" t="s">
        <v>185</v>
      </c>
      <c r="D191" s="19">
        <v>0.80588947430043323</v>
      </c>
      <c r="E191" s="15">
        <v>13766204</v>
      </c>
    </row>
    <row r="192" spans="1:5" x14ac:dyDescent="0.3">
      <c r="A192" s="9" t="s">
        <v>186</v>
      </c>
      <c r="B192" s="20">
        <v>45716</v>
      </c>
      <c r="C192" s="9" t="s">
        <v>190</v>
      </c>
      <c r="D192" s="19">
        <v>7.3474440523027082E-2</v>
      </c>
      <c r="E192" s="15">
        <v>1269932.23</v>
      </c>
    </row>
    <row r="193" spans="1:5" x14ac:dyDescent="0.3">
      <c r="A193" s="9" t="s">
        <v>186</v>
      </c>
      <c r="B193" s="20">
        <v>45716</v>
      </c>
      <c r="C193" s="9" t="s">
        <v>189</v>
      </c>
      <c r="D193" s="19">
        <v>5.3159514579958343E-2</v>
      </c>
      <c r="E193" s="15">
        <v>918809.05</v>
      </c>
    </row>
    <row r="194" spans="1:5" x14ac:dyDescent="0.3">
      <c r="A194" s="9" t="s">
        <v>186</v>
      </c>
      <c r="B194" s="20">
        <v>45716</v>
      </c>
      <c r="C194" s="9" t="s">
        <v>188</v>
      </c>
      <c r="D194" s="19">
        <v>3.848723443647304E-2</v>
      </c>
      <c r="E194" s="15">
        <v>665213.36</v>
      </c>
    </row>
    <row r="195" spans="1:5" x14ac:dyDescent="0.3">
      <c r="A195" s="9" t="s">
        <v>186</v>
      </c>
      <c r="B195" s="20">
        <v>45716</v>
      </c>
      <c r="C195" s="9" t="s">
        <v>187</v>
      </c>
      <c r="D195" s="19">
        <v>2.9344559129831058E-2</v>
      </c>
      <c r="E195" s="15">
        <v>507191.36</v>
      </c>
    </row>
    <row r="196" spans="1:5" x14ac:dyDescent="0.3">
      <c r="A196" s="9" t="s">
        <v>186</v>
      </c>
      <c r="B196" s="20">
        <v>45716</v>
      </c>
      <c r="C196" s="9" t="s">
        <v>185</v>
      </c>
      <c r="D196" s="19">
        <v>0.80553425133071044</v>
      </c>
      <c r="E196" s="15">
        <v>13922854</v>
      </c>
    </row>
    <row r="197" spans="1:5" x14ac:dyDescent="0.3">
      <c r="A197" s="9" t="s">
        <v>186</v>
      </c>
      <c r="B197" s="20">
        <v>45747</v>
      </c>
      <c r="C197" s="9" t="s">
        <v>190</v>
      </c>
      <c r="D197" s="19">
        <v>7.2225491373280493E-2</v>
      </c>
      <c r="E197" s="15">
        <v>1239100.53</v>
      </c>
    </row>
    <row r="198" spans="1:5" x14ac:dyDescent="0.3">
      <c r="A198" s="9" t="s">
        <v>186</v>
      </c>
      <c r="B198" s="20">
        <v>45747</v>
      </c>
      <c r="C198" s="9" t="s">
        <v>189</v>
      </c>
      <c r="D198" s="19">
        <v>5.2245033807414319E-2</v>
      </c>
      <c r="E198" s="15">
        <v>896315.8</v>
      </c>
    </row>
    <row r="199" spans="1:5" x14ac:dyDescent="0.3">
      <c r="A199" s="9" t="s">
        <v>186</v>
      </c>
      <c r="B199" s="20">
        <v>45747</v>
      </c>
      <c r="C199" s="9" t="s">
        <v>188</v>
      </c>
      <c r="D199" s="19">
        <v>3.7750870249475398E-2</v>
      </c>
      <c r="E199" s="15">
        <v>647653.93000000005</v>
      </c>
    </row>
    <row r="200" spans="1:5" x14ac:dyDescent="0.3">
      <c r="A200" s="9" t="s">
        <v>186</v>
      </c>
      <c r="B200" s="20">
        <v>45747</v>
      </c>
      <c r="C200" s="9" t="s">
        <v>187</v>
      </c>
      <c r="D200" s="19">
        <v>2.8988327115877829E-2</v>
      </c>
      <c r="E200" s="15">
        <v>497323.74</v>
      </c>
    </row>
    <row r="201" spans="1:5" x14ac:dyDescent="0.3">
      <c r="A201" s="9" t="s">
        <v>186</v>
      </c>
      <c r="B201" s="20">
        <v>45747</v>
      </c>
      <c r="C201" s="9" t="s">
        <v>185</v>
      </c>
      <c r="D201" s="19">
        <v>0.80879027745395193</v>
      </c>
      <c r="E201" s="15">
        <v>13875606</v>
      </c>
    </row>
    <row r="202" spans="1:5" x14ac:dyDescent="0.3">
      <c r="A202" s="9" t="s">
        <v>186</v>
      </c>
      <c r="B202" s="20">
        <v>45777</v>
      </c>
      <c r="C202" s="9" t="s">
        <v>190</v>
      </c>
      <c r="D202" s="19">
        <v>7.1026329251544965E-2</v>
      </c>
      <c r="E202" s="15">
        <v>1241256.1299999999</v>
      </c>
    </row>
    <row r="203" spans="1:5" x14ac:dyDescent="0.3">
      <c r="A203" s="9" t="s">
        <v>186</v>
      </c>
      <c r="B203" s="20">
        <v>45777</v>
      </c>
      <c r="C203" s="9" t="s">
        <v>189</v>
      </c>
      <c r="D203" s="19">
        <v>5.1380378805218577E-2</v>
      </c>
      <c r="E203" s="15">
        <v>897923.5</v>
      </c>
    </row>
    <row r="204" spans="1:5" x14ac:dyDescent="0.3">
      <c r="A204" s="9" t="s">
        <v>186</v>
      </c>
      <c r="B204" s="20">
        <v>45777</v>
      </c>
      <c r="C204" s="9" t="s">
        <v>188</v>
      </c>
      <c r="D204" s="19">
        <v>3.7126210231174177E-2</v>
      </c>
      <c r="E204" s="15">
        <v>648817.65</v>
      </c>
    </row>
    <row r="205" spans="1:5" x14ac:dyDescent="0.3">
      <c r="A205" s="9" t="s">
        <v>186</v>
      </c>
      <c r="B205" s="20">
        <v>45777</v>
      </c>
      <c r="C205" s="9" t="s">
        <v>187</v>
      </c>
      <c r="D205" s="19">
        <v>2.850833829251545E-2</v>
      </c>
      <c r="E205" s="15">
        <v>498211.72</v>
      </c>
    </row>
    <row r="206" spans="1:5" x14ac:dyDescent="0.3">
      <c r="A206" s="9" t="s">
        <v>186</v>
      </c>
      <c r="B206" s="20">
        <v>45777</v>
      </c>
      <c r="C206" s="9" t="s">
        <v>185</v>
      </c>
      <c r="D206" s="19">
        <v>0.81195874341954677</v>
      </c>
      <c r="E206" s="15">
        <v>14189791</v>
      </c>
    </row>
    <row r="207" spans="1:5" x14ac:dyDescent="0.3">
      <c r="A207" s="9" t="s">
        <v>186</v>
      </c>
      <c r="B207" s="20">
        <v>45808</v>
      </c>
      <c r="C207" s="9" t="s">
        <v>190</v>
      </c>
      <c r="D207" s="19">
        <v>7.1633712848386724E-2</v>
      </c>
      <c r="E207" s="15">
        <v>1238833.43</v>
      </c>
    </row>
    <row r="208" spans="1:5" x14ac:dyDescent="0.3">
      <c r="A208" s="9" t="s">
        <v>186</v>
      </c>
      <c r="B208" s="20">
        <v>45808</v>
      </c>
      <c r="C208" s="9" t="s">
        <v>189</v>
      </c>
      <c r="D208" s="19">
        <v>5.1740152654099682E-2</v>
      </c>
      <c r="E208" s="15">
        <v>894794.2</v>
      </c>
    </row>
    <row r="209" spans="1:5" x14ac:dyDescent="0.3">
      <c r="A209" s="9" t="s">
        <v>186</v>
      </c>
      <c r="B209" s="20">
        <v>45808</v>
      </c>
      <c r="C209" s="9" t="s">
        <v>188</v>
      </c>
      <c r="D209" s="19">
        <v>3.7479822481785587E-2</v>
      </c>
      <c r="E209" s="15">
        <v>648176.05000000005</v>
      </c>
    </row>
    <row r="210" spans="1:5" x14ac:dyDescent="0.3">
      <c r="A210" s="9" t="s">
        <v>186</v>
      </c>
      <c r="B210" s="20">
        <v>45808</v>
      </c>
      <c r="C210" s="9" t="s">
        <v>187</v>
      </c>
      <c r="D210" s="19">
        <v>2.8520661501098651E-2</v>
      </c>
      <c r="E210" s="15">
        <v>493236.32</v>
      </c>
    </row>
    <row r="211" spans="1:5" x14ac:dyDescent="0.3">
      <c r="A211" s="9" t="s">
        <v>186</v>
      </c>
      <c r="B211" s="20">
        <v>45808</v>
      </c>
      <c r="C211" s="9" t="s">
        <v>185</v>
      </c>
      <c r="D211" s="19">
        <v>0.81062565051462931</v>
      </c>
      <c r="E211" s="15">
        <v>14018960</v>
      </c>
    </row>
    <row r="212" spans="1:5" x14ac:dyDescent="0.3">
      <c r="A212" s="9" t="s">
        <v>186</v>
      </c>
      <c r="B212" s="20">
        <v>45838</v>
      </c>
      <c r="C212" s="9" t="s">
        <v>190</v>
      </c>
      <c r="D212" s="19">
        <v>7.1923914713357809E-2</v>
      </c>
      <c r="E212" s="15">
        <v>1273412.9099999999</v>
      </c>
    </row>
    <row r="213" spans="1:5" x14ac:dyDescent="0.3">
      <c r="A213" s="9" t="s">
        <v>186</v>
      </c>
      <c r="B213" s="20">
        <v>45838</v>
      </c>
      <c r="C213" s="9" t="s">
        <v>189</v>
      </c>
      <c r="D213" s="19">
        <v>5.1982086981078791E-2</v>
      </c>
      <c r="E213" s="15">
        <v>920342.85</v>
      </c>
    </row>
    <row r="214" spans="1:5" x14ac:dyDescent="0.3">
      <c r="A214" s="9" t="s">
        <v>186</v>
      </c>
      <c r="B214" s="20">
        <v>45838</v>
      </c>
      <c r="C214" s="9" t="s">
        <v>188</v>
      </c>
      <c r="D214" s="19">
        <v>3.7618551256707142E-2</v>
      </c>
      <c r="E214" s="15">
        <v>666036.44999999995</v>
      </c>
    </row>
    <row r="215" spans="1:5" x14ac:dyDescent="0.3">
      <c r="A215" s="9" t="s">
        <v>186</v>
      </c>
      <c r="B215" s="20">
        <v>45838</v>
      </c>
      <c r="C215" s="9" t="s">
        <v>187</v>
      </c>
      <c r="D215" s="19">
        <v>2.8727070883931088E-2</v>
      </c>
      <c r="E215" s="15">
        <v>508612.79</v>
      </c>
    </row>
    <row r="216" spans="1:5" x14ac:dyDescent="0.3">
      <c r="A216" s="9" t="s">
        <v>186</v>
      </c>
      <c r="B216" s="20">
        <v>45838</v>
      </c>
      <c r="C216" s="9" t="s">
        <v>185</v>
      </c>
      <c r="D216" s="19">
        <v>0.80974837616492512</v>
      </c>
      <c r="E216" s="15">
        <v>14336595</v>
      </c>
    </row>
    <row r="217" spans="1:5" x14ac:dyDescent="0.3">
      <c r="A217" s="9" t="s">
        <v>186</v>
      </c>
      <c r="B217" s="20">
        <v>45869</v>
      </c>
      <c r="C217" s="9" t="s">
        <v>190</v>
      </c>
      <c r="D217" s="19">
        <v>7.3113553400260906E-2</v>
      </c>
      <c r="E217" s="15">
        <v>1289065.06</v>
      </c>
    </row>
    <row r="218" spans="1:5" x14ac:dyDescent="0.3">
      <c r="A218" s="9" t="s">
        <v>186</v>
      </c>
      <c r="B218" s="20">
        <v>45869</v>
      </c>
      <c r="C218" s="9" t="s">
        <v>189</v>
      </c>
      <c r="D218" s="19">
        <v>5.2807931484317387E-2</v>
      </c>
      <c r="E218" s="15">
        <v>931056.64000000001</v>
      </c>
    </row>
    <row r="219" spans="1:5" x14ac:dyDescent="0.3">
      <c r="A219" s="9" t="s">
        <v>186</v>
      </c>
      <c r="B219" s="20">
        <v>45869</v>
      </c>
      <c r="C219" s="9" t="s">
        <v>188</v>
      </c>
      <c r="D219" s="19">
        <v>3.8274685497135717E-2</v>
      </c>
      <c r="E219" s="15">
        <v>674820.98</v>
      </c>
    </row>
    <row r="220" spans="1:5" x14ac:dyDescent="0.3">
      <c r="A220" s="9" t="s">
        <v>186</v>
      </c>
      <c r="B220" s="20">
        <v>45869</v>
      </c>
      <c r="C220" s="9" t="s">
        <v>187</v>
      </c>
      <c r="D220" s="19">
        <v>2.906649197436334E-2</v>
      </c>
      <c r="E220" s="15">
        <v>512471.32</v>
      </c>
    </row>
    <row r="221" spans="1:5" x14ac:dyDescent="0.3">
      <c r="A221" s="9" t="s">
        <v>186</v>
      </c>
      <c r="B221" s="20">
        <v>45869</v>
      </c>
      <c r="C221" s="9" t="s">
        <v>185</v>
      </c>
      <c r="D221" s="19">
        <v>0.80673733764392264</v>
      </c>
      <c r="E221" s="15">
        <v>14223586</v>
      </c>
    </row>
    <row r="222" spans="1:5" x14ac:dyDescent="0.3">
      <c r="A222" s="9" t="s">
        <v>186</v>
      </c>
      <c r="B222" s="20">
        <v>45900</v>
      </c>
      <c r="C222" s="9" t="s">
        <v>190</v>
      </c>
      <c r="D222" s="19">
        <v>7.3149316973877651E-2</v>
      </c>
      <c r="E222" s="15">
        <v>1293718.82</v>
      </c>
    </row>
    <row r="223" spans="1:5" x14ac:dyDescent="0.3">
      <c r="A223" s="9" t="s">
        <v>186</v>
      </c>
      <c r="B223" s="20">
        <v>45900</v>
      </c>
      <c r="C223" s="9" t="s">
        <v>189</v>
      </c>
      <c r="D223" s="19">
        <v>5.2898568924573112E-2</v>
      </c>
      <c r="E223" s="15">
        <v>935564.09</v>
      </c>
    </row>
    <row r="224" spans="1:5" x14ac:dyDescent="0.3">
      <c r="A224" s="9" t="s">
        <v>186</v>
      </c>
      <c r="B224" s="20">
        <v>45900</v>
      </c>
      <c r="C224" s="9" t="s">
        <v>188</v>
      </c>
      <c r="D224" s="19">
        <v>3.8256648196313463E-2</v>
      </c>
      <c r="E224" s="15">
        <v>676607.08</v>
      </c>
    </row>
    <row r="225" spans="1:5" x14ac:dyDescent="0.3">
      <c r="A225" s="9" t="s">
        <v>186</v>
      </c>
      <c r="B225" s="20">
        <v>45900</v>
      </c>
      <c r="C225" s="9" t="s">
        <v>187</v>
      </c>
      <c r="D225" s="19">
        <v>2.928384089110031E-2</v>
      </c>
      <c r="E225" s="15">
        <v>517914.01</v>
      </c>
    </row>
    <row r="226" spans="1:5" x14ac:dyDescent="0.3">
      <c r="A226" s="9" t="s">
        <v>186</v>
      </c>
      <c r="B226" s="20">
        <v>45900</v>
      </c>
      <c r="C226" s="9" t="s">
        <v>185</v>
      </c>
      <c r="D226" s="19">
        <v>0.80641162501413544</v>
      </c>
      <c r="E226" s="15">
        <v>14262196</v>
      </c>
    </row>
    <row r="227" spans="1:5" x14ac:dyDescent="0.3">
      <c r="A227" s="9" t="s">
        <v>186</v>
      </c>
      <c r="B227" s="20">
        <v>45930</v>
      </c>
      <c r="C227" s="9" t="s">
        <v>190</v>
      </c>
      <c r="D227" s="19">
        <v>7.3881601590947282E-2</v>
      </c>
      <c r="E227" s="15">
        <v>1318860.47</v>
      </c>
    </row>
    <row r="228" spans="1:5" x14ac:dyDescent="0.3">
      <c r="A228" s="9" t="s">
        <v>186</v>
      </c>
      <c r="B228" s="20">
        <v>45930</v>
      </c>
      <c r="C228" s="9" t="s">
        <v>189</v>
      </c>
      <c r="D228" s="19">
        <v>5.3436798498683553E-2</v>
      </c>
      <c r="E228" s="15">
        <v>953900.29</v>
      </c>
    </row>
    <row r="229" spans="1:5" x14ac:dyDescent="0.3">
      <c r="A229" s="9" t="s">
        <v>186</v>
      </c>
      <c r="B229" s="20">
        <v>45930</v>
      </c>
      <c r="C229" s="9" t="s">
        <v>188</v>
      </c>
      <c r="D229" s="19">
        <v>3.8644016581704098E-2</v>
      </c>
      <c r="E229" s="15">
        <v>689834.34</v>
      </c>
    </row>
    <row r="230" spans="1:5" x14ac:dyDescent="0.3">
      <c r="A230" s="9" t="s">
        <v>186</v>
      </c>
      <c r="B230" s="20">
        <v>45930</v>
      </c>
      <c r="C230" s="9" t="s">
        <v>187</v>
      </c>
      <c r="D230" s="19">
        <v>2.958556383395888E-2</v>
      </c>
      <c r="E230" s="15">
        <v>528131.9</v>
      </c>
    </row>
    <row r="231" spans="1:5" x14ac:dyDescent="0.3">
      <c r="A231" s="9" t="s">
        <v>186</v>
      </c>
      <c r="B231" s="20">
        <v>45930</v>
      </c>
      <c r="C231" s="9" t="s">
        <v>185</v>
      </c>
      <c r="D231" s="19">
        <v>0.80445201949470613</v>
      </c>
      <c r="E231" s="15">
        <v>14360273</v>
      </c>
    </row>
    <row r="232" spans="1:5" x14ac:dyDescent="0.3">
      <c r="A232" s="9" t="s">
        <v>186</v>
      </c>
      <c r="B232" s="20">
        <v>45961</v>
      </c>
      <c r="C232" s="9" t="s">
        <v>190</v>
      </c>
      <c r="D232" s="19">
        <v>7.4588045175220066E-2</v>
      </c>
      <c r="E232" s="15">
        <v>1347283.86</v>
      </c>
    </row>
    <row r="233" spans="1:5" x14ac:dyDescent="0.3">
      <c r="A233" s="9" t="s">
        <v>186</v>
      </c>
      <c r="B233" s="20">
        <v>45961</v>
      </c>
      <c r="C233" s="9" t="s">
        <v>189</v>
      </c>
      <c r="D233" s="19">
        <v>5.3947098488623148E-2</v>
      </c>
      <c r="E233" s="15">
        <v>974446.44</v>
      </c>
    </row>
    <row r="234" spans="1:5" x14ac:dyDescent="0.3">
      <c r="A234" s="9" t="s">
        <v>186</v>
      </c>
      <c r="B234" s="20">
        <v>45961</v>
      </c>
      <c r="C234" s="9" t="s">
        <v>188</v>
      </c>
      <c r="D234" s="19">
        <v>3.8990155566627917E-2</v>
      </c>
      <c r="E234" s="15">
        <v>704279.18</v>
      </c>
    </row>
    <row r="235" spans="1:5" x14ac:dyDescent="0.3">
      <c r="A235" s="9" t="s">
        <v>186</v>
      </c>
      <c r="B235" s="20">
        <v>45961</v>
      </c>
      <c r="C235" s="9" t="s">
        <v>187</v>
      </c>
      <c r="D235" s="19">
        <v>2.9913885843990479E-2</v>
      </c>
      <c r="E235" s="15">
        <v>540334.52</v>
      </c>
    </row>
    <row r="236" spans="1:5" x14ac:dyDescent="0.3">
      <c r="A236" s="9" t="s">
        <v>186</v>
      </c>
      <c r="B236" s="20">
        <v>45961</v>
      </c>
      <c r="C236" s="9" t="s">
        <v>185</v>
      </c>
      <c r="D236" s="19">
        <v>0.80256081492553843</v>
      </c>
      <c r="E236" s="15">
        <v>14496656</v>
      </c>
    </row>
    <row r="237" spans="1:5" x14ac:dyDescent="0.3">
      <c r="A237" s="9" t="s">
        <v>186</v>
      </c>
      <c r="B237" s="20">
        <v>45991</v>
      </c>
      <c r="C237" s="9" t="s">
        <v>190</v>
      </c>
      <c r="D237" s="19">
        <v>7.2147335423197498E-2</v>
      </c>
      <c r="E237" s="15">
        <v>1288840</v>
      </c>
    </row>
    <row r="238" spans="1:5" x14ac:dyDescent="0.3">
      <c r="A238" s="9" t="s">
        <v>186</v>
      </c>
      <c r="B238" s="20">
        <v>45991</v>
      </c>
      <c r="C238" s="9" t="s">
        <v>189</v>
      </c>
      <c r="D238" s="19">
        <v>5.2147335423197487E-2</v>
      </c>
      <c r="E238" s="15">
        <v>931560</v>
      </c>
    </row>
    <row r="239" spans="1:5" x14ac:dyDescent="0.3">
      <c r="A239" s="9" t="s">
        <v>186</v>
      </c>
      <c r="B239" s="20">
        <v>45991</v>
      </c>
      <c r="C239" s="9" t="s">
        <v>188</v>
      </c>
      <c r="D239" s="19">
        <v>3.776141961486789E-2</v>
      </c>
      <c r="E239" s="15">
        <v>674570</v>
      </c>
    </row>
    <row r="240" spans="1:5" x14ac:dyDescent="0.3">
      <c r="A240" s="9" t="s">
        <v>186</v>
      </c>
      <c r="B240" s="20">
        <v>45991</v>
      </c>
      <c r="C240" s="9" t="s">
        <v>187</v>
      </c>
      <c r="D240" s="19">
        <v>2.8771831616659201E-2</v>
      </c>
      <c r="E240" s="15">
        <v>513980</v>
      </c>
    </row>
    <row r="241" spans="1:5" x14ac:dyDescent="0.3">
      <c r="A241" s="9" t="s">
        <v>186</v>
      </c>
      <c r="B241" s="20">
        <v>45991</v>
      </c>
      <c r="C241" s="9" t="s">
        <v>185</v>
      </c>
      <c r="D241" s="19">
        <v>0.8091720779220779</v>
      </c>
      <c r="E241" s="15">
        <v>14455050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BCA3-AEEC-4B7E-B3FC-62F623065933}">
  <sheetPr>
    <tabColor theme="6" tint="0.39997558519241921"/>
  </sheetPr>
  <dimension ref="A1:G49"/>
  <sheetViews>
    <sheetView workbookViewId="0">
      <selection activeCell="K14" sqref="K14"/>
    </sheetView>
  </sheetViews>
  <sheetFormatPr defaultRowHeight="14.4" x14ac:dyDescent="0.3"/>
  <cols>
    <col min="1" max="7" width="17" customWidth="1"/>
  </cols>
  <sheetData>
    <row r="1" spans="1:7" x14ac:dyDescent="0.3">
      <c r="A1" s="13" t="s">
        <v>22</v>
      </c>
      <c r="B1" s="13" t="s">
        <v>197</v>
      </c>
      <c r="C1" s="13" t="s">
        <v>202</v>
      </c>
      <c r="D1" s="13" t="s">
        <v>201</v>
      </c>
      <c r="E1" s="13" t="s">
        <v>200</v>
      </c>
      <c r="F1" s="13" t="s">
        <v>199</v>
      </c>
      <c r="G1" s="13" t="s">
        <v>198</v>
      </c>
    </row>
    <row r="2" spans="1:7" x14ac:dyDescent="0.3">
      <c r="A2" s="9" t="s">
        <v>186</v>
      </c>
      <c r="B2" s="20">
        <v>45657</v>
      </c>
      <c r="C2" s="9">
        <v>17247000</v>
      </c>
      <c r="D2" s="23">
        <v>40</v>
      </c>
      <c r="E2" s="19">
        <v>0.192</v>
      </c>
      <c r="F2" s="15">
        <v>13942681</v>
      </c>
      <c r="G2" s="15">
        <v>3304319</v>
      </c>
    </row>
    <row r="3" spans="1:7" x14ac:dyDescent="0.3">
      <c r="A3" s="9" t="s">
        <v>186</v>
      </c>
      <c r="B3" s="20">
        <v>45688</v>
      </c>
      <c r="C3" s="9">
        <v>17082000</v>
      </c>
      <c r="D3" s="23">
        <v>42.8</v>
      </c>
      <c r="E3" s="19">
        <v>0.19400000000000001</v>
      </c>
      <c r="F3" s="15">
        <v>13766204</v>
      </c>
      <c r="G3" s="15">
        <v>3315796</v>
      </c>
    </row>
    <row r="4" spans="1:7" x14ac:dyDescent="0.3">
      <c r="A4" s="9" t="s">
        <v>186</v>
      </c>
      <c r="B4" s="20">
        <v>45716</v>
      </c>
      <c r="C4" s="9">
        <v>17284000</v>
      </c>
      <c r="D4" s="23">
        <v>43.6</v>
      </c>
      <c r="E4" s="19">
        <v>0.19400000000000001</v>
      </c>
      <c r="F4" s="15">
        <v>13922854</v>
      </c>
      <c r="G4" s="15">
        <v>3361146</v>
      </c>
    </row>
    <row r="5" spans="1:7" x14ac:dyDescent="0.3">
      <c r="A5" s="9" t="s">
        <v>186</v>
      </c>
      <c r="B5" s="20">
        <v>45747</v>
      </c>
      <c r="C5" s="9">
        <v>17156000</v>
      </c>
      <c r="D5" s="23">
        <v>43.1</v>
      </c>
      <c r="E5" s="19">
        <v>0.191</v>
      </c>
      <c r="F5" s="15">
        <v>13875606</v>
      </c>
      <c r="G5" s="15">
        <v>3280394</v>
      </c>
    </row>
    <row r="6" spans="1:7" x14ac:dyDescent="0.3">
      <c r="A6" s="9" t="s">
        <v>186</v>
      </c>
      <c r="B6" s="20">
        <v>45777</v>
      </c>
      <c r="C6" s="9">
        <v>17476000</v>
      </c>
      <c r="D6" s="23">
        <v>43</v>
      </c>
      <c r="E6" s="19">
        <v>0.188</v>
      </c>
      <c r="F6" s="15">
        <v>14189791</v>
      </c>
      <c r="G6" s="15">
        <v>3286209</v>
      </c>
    </row>
    <row r="7" spans="1:7" x14ac:dyDescent="0.3">
      <c r="A7" s="9" t="s">
        <v>186</v>
      </c>
      <c r="B7" s="20">
        <v>45808</v>
      </c>
      <c r="C7" s="9">
        <v>17294000</v>
      </c>
      <c r="D7" s="23">
        <v>42.8</v>
      </c>
      <c r="E7" s="19">
        <v>0.189</v>
      </c>
      <c r="F7" s="15">
        <v>14018960</v>
      </c>
      <c r="G7" s="15">
        <v>3275040</v>
      </c>
    </row>
    <row r="8" spans="1:7" x14ac:dyDescent="0.3">
      <c r="A8" s="9" t="s">
        <v>186</v>
      </c>
      <c r="B8" s="20">
        <v>45838</v>
      </c>
      <c r="C8" s="9">
        <v>17705000</v>
      </c>
      <c r="D8" s="23">
        <v>44.2</v>
      </c>
      <c r="E8" s="19">
        <v>0.19</v>
      </c>
      <c r="F8" s="15">
        <v>14336595</v>
      </c>
      <c r="G8" s="15">
        <v>3368405</v>
      </c>
    </row>
    <row r="9" spans="1:7" x14ac:dyDescent="0.3">
      <c r="A9" s="9" t="s">
        <v>186</v>
      </c>
      <c r="B9" s="20">
        <v>45869</v>
      </c>
      <c r="C9" s="9">
        <v>17631000</v>
      </c>
      <c r="D9" s="23">
        <v>46.5</v>
      </c>
      <c r="E9" s="19">
        <v>0.193</v>
      </c>
      <c r="F9" s="15">
        <v>14223586</v>
      </c>
      <c r="G9" s="15">
        <v>3407414</v>
      </c>
    </row>
    <row r="10" spans="1:7" x14ac:dyDescent="0.3">
      <c r="A10" s="9" t="s">
        <v>186</v>
      </c>
      <c r="B10" s="20">
        <v>45900</v>
      </c>
      <c r="C10" s="9">
        <v>17686000</v>
      </c>
      <c r="D10" s="23">
        <v>45.6</v>
      </c>
      <c r="E10" s="19">
        <v>0.19400000000000001</v>
      </c>
      <c r="F10" s="15">
        <v>14262196</v>
      </c>
      <c r="G10" s="15">
        <v>3423804</v>
      </c>
    </row>
    <row r="11" spans="1:7" x14ac:dyDescent="0.3">
      <c r="A11" s="9" t="s">
        <v>186</v>
      </c>
      <c r="B11" s="20">
        <v>45930</v>
      </c>
      <c r="C11" s="9">
        <v>17851000</v>
      </c>
      <c r="D11" s="23">
        <v>42.8</v>
      </c>
      <c r="E11" s="19">
        <v>0.19600000000000001</v>
      </c>
      <c r="F11" s="15">
        <v>14360273</v>
      </c>
      <c r="G11" s="15">
        <v>3490727</v>
      </c>
    </row>
    <row r="12" spans="1:7" x14ac:dyDescent="0.3">
      <c r="A12" s="9" t="s">
        <v>186</v>
      </c>
      <c r="B12" s="20">
        <v>45961</v>
      </c>
      <c r="C12" s="9">
        <v>18063000</v>
      </c>
      <c r="D12" s="23">
        <v>44.4</v>
      </c>
      <c r="E12" s="19">
        <v>0.19700000000000001</v>
      </c>
      <c r="F12" s="15">
        <v>14496656</v>
      </c>
      <c r="G12" s="15">
        <v>3566344</v>
      </c>
    </row>
    <row r="13" spans="1:7" x14ac:dyDescent="0.3">
      <c r="A13" s="9" t="s">
        <v>186</v>
      </c>
      <c r="B13" s="20">
        <v>45991</v>
      </c>
      <c r="C13" s="9">
        <v>17864000</v>
      </c>
      <c r="D13" s="23">
        <v>46.8</v>
      </c>
      <c r="E13" s="19">
        <v>0.191</v>
      </c>
      <c r="F13" s="15">
        <v>14455050</v>
      </c>
      <c r="G13" s="15">
        <v>3408950</v>
      </c>
    </row>
    <row r="14" spans="1:7" x14ac:dyDescent="0.3">
      <c r="A14" s="9" t="s">
        <v>192</v>
      </c>
      <c r="B14" s="20">
        <v>45657</v>
      </c>
      <c r="C14" s="9">
        <v>5681000</v>
      </c>
      <c r="D14" s="23">
        <v>38.5</v>
      </c>
      <c r="E14" s="19">
        <v>0.18099999999999999</v>
      </c>
      <c r="F14" s="15">
        <v>4652739</v>
      </c>
      <c r="G14" s="15">
        <v>1028261</v>
      </c>
    </row>
    <row r="15" spans="1:7" x14ac:dyDescent="0.3">
      <c r="A15" s="9" t="s">
        <v>192</v>
      </c>
      <c r="B15" s="20">
        <v>45688</v>
      </c>
      <c r="C15" s="9">
        <v>5704000</v>
      </c>
      <c r="D15" s="23">
        <v>42.9</v>
      </c>
      <c r="E15" s="19">
        <v>0.185</v>
      </c>
      <c r="F15" s="15">
        <v>4648760</v>
      </c>
      <c r="G15" s="15">
        <v>1055240</v>
      </c>
    </row>
    <row r="16" spans="1:7" x14ac:dyDescent="0.3">
      <c r="A16" s="9" t="s">
        <v>192</v>
      </c>
      <c r="B16" s="20">
        <v>45716</v>
      </c>
      <c r="C16" s="9">
        <v>5823000</v>
      </c>
      <c r="D16" s="23">
        <v>41.8</v>
      </c>
      <c r="E16" s="19">
        <v>0.187</v>
      </c>
      <c r="F16" s="15">
        <v>4734099</v>
      </c>
      <c r="G16" s="15">
        <v>1088901</v>
      </c>
    </row>
    <row r="17" spans="1:7" x14ac:dyDescent="0.3">
      <c r="A17" s="9" t="s">
        <v>192</v>
      </c>
      <c r="B17" s="20">
        <v>45747</v>
      </c>
      <c r="C17" s="9">
        <v>5716000</v>
      </c>
      <c r="D17" s="23">
        <v>40.5</v>
      </c>
      <c r="E17" s="19">
        <v>0.17699999999999999</v>
      </c>
      <c r="F17" s="15">
        <v>4704268</v>
      </c>
      <c r="G17" s="15">
        <v>1011732</v>
      </c>
    </row>
    <row r="18" spans="1:7" x14ac:dyDescent="0.3">
      <c r="A18" s="9" t="s">
        <v>192</v>
      </c>
      <c r="B18" s="20">
        <v>45777</v>
      </c>
      <c r="C18" s="9">
        <v>5799000</v>
      </c>
      <c r="D18" s="23">
        <v>42.4</v>
      </c>
      <c r="E18" s="19">
        <v>0.17499999999999999</v>
      </c>
      <c r="F18" s="15">
        <v>4784175</v>
      </c>
      <c r="G18" s="15">
        <v>1014825</v>
      </c>
    </row>
    <row r="19" spans="1:7" x14ac:dyDescent="0.3">
      <c r="A19" s="9" t="s">
        <v>192</v>
      </c>
      <c r="B19" s="20">
        <v>45808</v>
      </c>
      <c r="C19" s="9">
        <v>5784000</v>
      </c>
      <c r="D19" s="23">
        <v>41.7</v>
      </c>
      <c r="E19" s="19">
        <v>0.17899999999999999</v>
      </c>
      <c r="F19" s="15">
        <v>4748664</v>
      </c>
      <c r="G19" s="15">
        <v>1035336</v>
      </c>
    </row>
    <row r="20" spans="1:7" x14ac:dyDescent="0.3">
      <c r="A20" s="9" t="s">
        <v>192</v>
      </c>
      <c r="B20" s="20">
        <v>45838</v>
      </c>
      <c r="C20" s="9">
        <v>5866000</v>
      </c>
      <c r="D20" s="23">
        <v>44.4</v>
      </c>
      <c r="E20" s="19">
        <v>0.18</v>
      </c>
      <c r="F20" s="15">
        <v>4810120</v>
      </c>
      <c r="G20" s="15">
        <v>1055880</v>
      </c>
    </row>
    <row r="21" spans="1:7" x14ac:dyDescent="0.3">
      <c r="A21" s="9" t="s">
        <v>192</v>
      </c>
      <c r="B21" s="20">
        <v>45869</v>
      </c>
      <c r="C21" s="9">
        <v>5926000</v>
      </c>
      <c r="D21" s="23">
        <v>45.6</v>
      </c>
      <c r="E21" s="19">
        <v>0.184</v>
      </c>
      <c r="F21" s="15">
        <v>4835616</v>
      </c>
      <c r="G21" s="15">
        <v>1090384</v>
      </c>
    </row>
    <row r="22" spans="1:7" x14ac:dyDescent="0.3">
      <c r="A22" s="9" t="s">
        <v>192</v>
      </c>
      <c r="B22" s="20">
        <v>45900</v>
      </c>
      <c r="C22" s="9">
        <v>5852000</v>
      </c>
      <c r="D22" s="23">
        <v>47.3</v>
      </c>
      <c r="E22" s="19">
        <v>0.183</v>
      </c>
      <c r="F22" s="15">
        <v>4781084</v>
      </c>
      <c r="G22" s="15">
        <v>1070916</v>
      </c>
    </row>
    <row r="23" spans="1:7" x14ac:dyDescent="0.3">
      <c r="A23" s="9" t="s">
        <v>192</v>
      </c>
      <c r="B23" s="20">
        <v>45930</v>
      </c>
      <c r="C23" s="9">
        <v>6014000</v>
      </c>
      <c r="D23" s="23">
        <v>40.5</v>
      </c>
      <c r="E23" s="19">
        <v>0.182</v>
      </c>
      <c r="F23" s="15">
        <v>4919452</v>
      </c>
      <c r="G23" s="15">
        <v>1094548</v>
      </c>
    </row>
    <row r="24" spans="1:7" x14ac:dyDescent="0.3">
      <c r="A24" s="9" t="s">
        <v>192</v>
      </c>
      <c r="B24" s="20">
        <v>45961</v>
      </c>
      <c r="C24" s="9">
        <v>6027000</v>
      </c>
      <c r="D24" s="23">
        <v>40.700000000000003</v>
      </c>
      <c r="E24" s="19">
        <v>0.183</v>
      </c>
      <c r="F24" s="15">
        <v>4924059</v>
      </c>
      <c r="G24" s="15">
        <v>1102941</v>
      </c>
    </row>
    <row r="25" spans="1:7" x14ac:dyDescent="0.3">
      <c r="A25" s="9" t="s">
        <v>192</v>
      </c>
      <c r="B25" s="20">
        <v>45991</v>
      </c>
      <c r="C25" s="9">
        <v>6030000</v>
      </c>
      <c r="D25" s="23">
        <v>43</v>
      </c>
      <c r="E25" s="19">
        <v>0.18</v>
      </c>
      <c r="F25" s="15">
        <v>4944600</v>
      </c>
      <c r="G25" s="15">
        <v>1085400</v>
      </c>
    </row>
    <row r="26" spans="1:7" x14ac:dyDescent="0.3">
      <c r="A26" s="9" t="s">
        <v>191</v>
      </c>
      <c r="B26" s="20">
        <v>45657</v>
      </c>
      <c r="C26" s="9">
        <v>3836000</v>
      </c>
      <c r="D26" s="23">
        <v>34.4</v>
      </c>
      <c r="E26" s="19">
        <v>0.14799999999999999</v>
      </c>
      <c r="F26" s="15">
        <v>3268272</v>
      </c>
      <c r="G26" s="15">
        <v>567728</v>
      </c>
    </row>
    <row r="27" spans="1:7" x14ac:dyDescent="0.3">
      <c r="A27" s="9" t="s">
        <v>191</v>
      </c>
      <c r="B27" s="20">
        <v>45688</v>
      </c>
      <c r="C27" s="9">
        <v>3791000</v>
      </c>
      <c r="D27" s="23">
        <v>34.6</v>
      </c>
      <c r="E27" s="19">
        <v>0.14799999999999999</v>
      </c>
      <c r="F27" s="15">
        <v>3229932</v>
      </c>
      <c r="G27" s="15">
        <v>561068</v>
      </c>
    </row>
    <row r="28" spans="1:7" x14ac:dyDescent="0.3">
      <c r="A28" s="9" t="s">
        <v>191</v>
      </c>
      <c r="B28" s="20">
        <v>45716</v>
      </c>
      <c r="C28" s="9">
        <v>3831000</v>
      </c>
      <c r="D28" s="23">
        <v>33.4</v>
      </c>
      <c r="E28" s="19">
        <v>0.14499999999999999</v>
      </c>
      <c r="F28" s="15">
        <v>3275505</v>
      </c>
      <c r="G28" s="15">
        <v>555495</v>
      </c>
    </row>
    <row r="29" spans="1:7" x14ac:dyDescent="0.3">
      <c r="A29" s="9" t="s">
        <v>191</v>
      </c>
      <c r="B29" s="20">
        <v>45747</v>
      </c>
      <c r="C29" s="9">
        <v>3817000</v>
      </c>
      <c r="D29" s="23">
        <v>35.799999999999997</v>
      </c>
      <c r="E29" s="19">
        <v>0.14899999999999999</v>
      </c>
      <c r="F29" s="15">
        <v>3248267</v>
      </c>
      <c r="G29" s="15">
        <v>568733</v>
      </c>
    </row>
    <row r="30" spans="1:7" x14ac:dyDescent="0.3">
      <c r="A30" s="9" t="s">
        <v>191</v>
      </c>
      <c r="B30" s="20">
        <v>45777</v>
      </c>
      <c r="C30" s="9">
        <v>3862000</v>
      </c>
      <c r="D30" s="23">
        <v>35.700000000000003</v>
      </c>
      <c r="E30" s="19">
        <v>0.14699999999999999</v>
      </c>
      <c r="F30" s="15">
        <v>3294286</v>
      </c>
      <c r="G30" s="15">
        <v>567714</v>
      </c>
    </row>
    <row r="31" spans="1:7" x14ac:dyDescent="0.3">
      <c r="A31" s="9" t="s">
        <v>191</v>
      </c>
      <c r="B31" s="20">
        <v>45808</v>
      </c>
      <c r="C31" s="9">
        <v>3912000</v>
      </c>
      <c r="D31" s="23">
        <v>38.1</v>
      </c>
      <c r="E31" s="19">
        <v>0.153</v>
      </c>
      <c r="F31" s="15">
        <v>3313464</v>
      </c>
      <c r="G31" s="15">
        <v>598536</v>
      </c>
    </row>
    <row r="32" spans="1:7" x14ac:dyDescent="0.3">
      <c r="A32" s="9" t="s">
        <v>191</v>
      </c>
      <c r="B32" s="20">
        <v>45838</v>
      </c>
      <c r="C32" s="9">
        <v>3881000</v>
      </c>
      <c r="D32" s="23">
        <v>38.6</v>
      </c>
      <c r="E32" s="19">
        <v>0.155</v>
      </c>
      <c r="F32" s="15">
        <v>3279445</v>
      </c>
      <c r="G32" s="15">
        <v>601555</v>
      </c>
    </row>
    <row r="33" spans="1:7" x14ac:dyDescent="0.3">
      <c r="A33" s="9" t="s">
        <v>191</v>
      </c>
      <c r="B33" s="20">
        <v>45869</v>
      </c>
      <c r="C33" s="9">
        <v>3911000</v>
      </c>
      <c r="D33" s="23">
        <v>36.9</v>
      </c>
      <c r="E33" s="19">
        <v>0.158</v>
      </c>
      <c r="F33" s="15">
        <v>3293062</v>
      </c>
      <c r="G33" s="15">
        <v>617938</v>
      </c>
    </row>
    <row r="34" spans="1:7" x14ac:dyDescent="0.3">
      <c r="A34" s="9" t="s">
        <v>191</v>
      </c>
      <c r="B34" s="20">
        <v>45900</v>
      </c>
      <c r="C34" s="9">
        <v>3918000</v>
      </c>
      <c r="D34" s="23">
        <v>36.200000000000003</v>
      </c>
      <c r="E34" s="19">
        <v>0.152</v>
      </c>
      <c r="F34" s="15">
        <v>3322464</v>
      </c>
      <c r="G34" s="15">
        <v>595536</v>
      </c>
    </row>
    <row r="35" spans="1:7" x14ac:dyDescent="0.3">
      <c r="A35" s="9" t="s">
        <v>191</v>
      </c>
      <c r="B35" s="20">
        <v>45930</v>
      </c>
      <c r="C35" s="9">
        <v>3930000</v>
      </c>
      <c r="D35" s="23">
        <v>36</v>
      </c>
      <c r="E35" s="19">
        <v>0.153</v>
      </c>
      <c r="F35" s="15">
        <v>3328710</v>
      </c>
      <c r="G35" s="15">
        <v>601290</v>
      </c>
    </row>
    <row r="36" spans="1:7" x14ac:dyDescent="0.3">
      <c r="A36" s="9" t="s">
        <v>191</v>
      </c>
      <c r="B36" s="20">
        <v>45961</v>
      </c>
      <c r="C36" s="9">
        <v>3955000</v>
      </c>
      <c r="D36" s="23">
        <v>38.5</v>
      </c>
      <c r="E36" s="19">
        <v>0.157</v>
      </c>
      <c r="F36" s="15">
        <v>3334065</v>
      </c>
      <c r="G36" s="15">
        <v>620935</v>
      </c>
    </row>
    <row r="37" spans="1:7" x14ac:dyDescent="0.3">
      <c r="A37" s="9" t="s">
        <v>191</v>
      </c>
      <c r="B37" s="20">
        <v>45991</v>
      </c>
      <c r="C37" s="9">
        <v>3999000</v>
      </c>
      <c r="D37" s="23">
        <v>38.200000000000003</v>
      </c>
      <c r="E37" s="19">
        <v>0.15</v>
      </c>
      <c r="F37" s="15">
        <v>3399150</v>
      </c>
      <c r="G37" s="15">
        <v>599850</v>
      </c>
    </row>
    <row r="38" spans="1:7" x14ac:dyDescent="0.3">
      <c r="A38" s="9" t="s">
        <v>193</v>
      </c>
      <c r="B38" s="20">
        <v>45657</v>
      </c>
      <c r="C38" s="9">
        <v>7730000</v>
      </c>
      <c r="D38" s="23">
        <v>43.8</v>
      </c>
      <c r="E38" s="19">
        <v>0.221</v>
      </c>
      <c r="F38" s="15">
        <v>6021670</v>
      </c>
      <c r="G38" s="15">
        <v>1708330</v>
      </c>
    </row>
    <row r="39" spans="1:7" x14ac:dyDescent="0.3">
      <c r="A39" s="9" t="s">
        <v>193</v>
      </c>
      <c r="B39" s="20">
        <v>45688</v>
      </c>
      <c r="C39" s="9">
        <v>7587000</v>
      </c>
      <c r="D39" s="23">
        <v>46.8</v>
      </c>
      <c r="E39" s="19">
        <v>0.224</v>
      </c>
      <c r="F39" s="15">
        <v>5887512</v>
      </c>
      <c r="G39" s="15">
        <v>1699488</v>
      </c>
    </row>
    <row r="40" spans="1:7" x14ac:dyDescent="0.3">
      <c r="A40" s="9" t="s">
        <v>193</v>
      </c>
      <c r="B40" s="20">
        <v>45716</v>
      </c>
      <c r="C40" s="9">
        <v>7630000</v>
      </c>
      <c r="D40" s="23">
        <v>50</v>
      </c>
      <c r="E40" s="19">
        <v>0.22500000000000001</v>
      </c>
      <c r="F40" s="15">
        <v>5913250</v>
      </c>
      <c r="G40" s="15">
        <v>1716750</v>
      </c>
    </row>
    <row r="41" spans="1:7" x14ac:dyDescent="0.3">
      <c r="A41" s="9" t="s">
        <v>193</v>
      </c>
      <c r="B41" s="20">
        <v>45747</v>
      </c>
      <c r="C41" s="9">
        <v>7623000</v>
      </c>
      <c r="D41" s="23">
        <v>48.6</v>
      </c>
      <c r="E41" s="19">
        <v>0.223</v>
      </c>
      <c r="F41" s="15">
        <v>5923071</v>
      </c>
      <c r="G41" s="15">
        <v>1699929</v>
      </c>
    </row>
    <row r="42" spans="1:7" x14ac:dyDescent="0.3">
      <c r="A42" s="9" t="s">
        <v>193</v>
      </c>
      <c r="B42" s="20">
        <v>45777</v>
      </c>
      <c r="C42" s="9">
        <v>7815000</v>
      </c>
      <c r="D42" s="23">
        <v>47.1</v>
      </c>
      <c r="E42" s="19">
        <v>0.218</v>
      </c>
      <c r="F42" s="15">
        <v>6111330</v>
      </c>
      <c r="G42" s="15">
        <v>1703670</v>
      </c>
    </row>
    <row r="43" spans="1:7" x14ac:dyDescent="0.3">
      <c r="A43" s="9" t="s">
        <v>193</v>
      </c>
      <c r="B43" s="20">
        <v>45808</v>
      </c>
      <c r="C43" s="9">
        <v>7598000</v>
      </c>
      <c r="D43" s="23">
        <v>46</v>
      </c>
      <c r="E43" s="19">
        <v>0.216</v>
      </c>
      <c r="F43" s="15">
        <v>5956832</v>
      </c>
      <c r="G43" s="15">
        <v>1641168</v>
      </c>
    </row>
    <row r="44" spans="1:7" x14ac:dyDescent="0.3">
      <c r="A44" s="9" t="s">
        <v>193</v>
      </c>
      <c r="B44" s="20">
        <v>45838</v>
      </c>
      <c r="C44" s="9">
        <v>7958000</v>
      </c>
      <c r="D44" s="23">
        <v>46.7</v>
      </c>
      <c r="E44" s="19">
        <v>0.215</v>
      </c>
      <c r="F44" s="15">
        <v>6247030</v>
      </c>
      <c r="G44" s="15">
        <v>1710970</v>
      </c>
    </row>
    <row r="45" spans="1:7" x14ac:dyDescent="0.3">
      <c r="A45" s="9" t="s">
        <v>193</v>
      </c>
      <c r="B45" s="20">
        <v>45869</v>
      </c>
      <c r="C45" s="9">
        <v>7794000</v>
      </c>
      <c r="D45" s="23">
        <v>51.9</v>
      </c>
      <c r="E45" s="19">
        <v>0.218</v>
      </c>
      <c r="F45" s="15">
        <v>6094908</v>
      </c>
      <c r="G45" s="15">
        <v>1699092</v>
      </c>
    </row>
    <row r="46" spans="1:7" x14ac:dyDescent="0.3">
      <c r="A46" s="9" t="s">
        <v>193</v>
      </c>
      <c r="B46" s="20">
        <v>45900</v>
      </c>
      <c r="C46" s="9">
        <v>7916000</v>
      </c>
      <c r="D46" s="23">
        <v>49</v>
      </c>
      <c r="E46" s="19">
        <v>0.222</v>
      </c>
      <c r="F46" s="15">
        <v>6158648</v>
      </c>
      <c r="G46" s="15">
        <v>1757352</v>
      </c>
    </row>
    <row r="47" spans="1:7" x14ac:dyDescent="0.3">
      <c r="A47" s="9" t="s">
        <v>193</v>
      </c>
      <c r="B47" s="20">
        <v>45930</v>
      </c>
      <c r="C47" s="9">
        <v>7907000</v>
      </c>
      <c r="D47" s="23">
        <v>48</v>
      </c>
      <c r="E47" s="19">
        <v>0.22700000000000001</v>
      </c>
      <c r="F47" s="15">
        <v>6112111</v>
      </c>
      <c r="G47" s="15">
        <v>1794889</v>
      </c>
    </row>
    <row r="48" spans="1:7" x14ac:dyDescent="0.3">
      <c r="A48" s="9" t="s">
        <v>193</v>
      </c>
      <c r="B48" s="20">
        <v>45961</v>
      </c>
      <c r="C48" s="9">
        <v>8081000</v>
      </c>
      <c r="D48" s="23">
        <v>50</v>
      </c>
      <c r="E48" s="19">
        <v>0.22800000000000001</v>
      </c>
      <c r="F48" s="15">
        <v>6238532</v>
      </c>
      <c r="G48" s="15">
        <v>1842468</v>
      </c>
    </row>
    <row r="49" spans="1:7" x14ac:dyDescent="0.3">
      <c r="A49" s="9" t="s">
        <v>193</v>
      </c>
      <c r="B49" s="20">
        <v>45991</v>
      </c>
      <c r="C49" s="9">
        <v>7835000</v>
      </c>
      <c r="D49" s="23">
        <v>54.2</v>
      </c>
      <c r="E49" s="19">
        <v>0.22</v>
      </c>
      <c r="F49" s="15">
        <v>6111300</v>
      </c>
      <c r="G49" s="15">
        <v>1723700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7BDD-6479-4AC4-BF60-801D446C31F1}">
  <sheetPr>
    <tabColor theme="6" tint="0.39997558519241921"/>
  </sheetPr>
  <dimension ref="A1:J961"/>
  <sheetViews>
    <sheetView workbookViewId="0">
      <selection activeCell="J2" sqref="J2"/>
    </sheetView>
  </sheetViews>
  <sheetFormatPr defaultRowHeight="14.4" x14ac:dyDescent="0.3"/>
  <cols>
    <col min="1" max="3" width="31.5546875" style="9" customWidth="1"/>
    <col min="4" max="9" width="18.44140625" style="14" customWidth="1"/>
    <col min="10" max="10" width="26.5546875" style="9" customWidth="1"/>
  </cols>
  <sheetData>
    <row r="1" spans="1:10" x14ac:dyDescent="0.3">
      <c r="A1" s="13" t="s">
        <v>22</v>
      </c>
      <c r="B1" s="13" t="s">
        <v>197</v>
      </c>
      <c r="C1" s="13" t="s">
        <v>262</v>
      </c>
      <c r="D1" s="24" t="s">
        <v>185</v>
      </c>
      <c r="E1" s="24" t="s">
        <v>261</v>
      </c>
      <c r="F1" s="24" t="s">
        <v>189</v>
      </c>
      <c r="G1" s="24" t="s">
        <v>188</v>
      </c>
      <c r="H1" s="24" t="s">
        <v>260</v>
      </c>
      <c r="I1" s="24" t="s">
        <v>259</v>
      </c>
      <c r="J1" s="13" t="s">
        <v>263</v>
      </c>
    </row>
    <row r="2" spans="1:10" x14ac:dyDescent="0.3">
      <c r="A2" s="9" t="s">
        <v>186</v>
      </c>
      <c r="B2" s="20">
        <v>45657</v>
      </c>
      <c r="C2" s="9" t="s">
        <v>256</v>
      </c>
      <c r="D2" s="14">
        <v>574172.79</v>
      </c>
      <c r="E2" s="14">
        <v>54431.83</v>
      </c>
      <c r="F2" s="14">
        <v>4497.21</v>
      </c>
      <c r="G2" s="14">
        <v>22526.02</v>
      </c>
      <c r="H2" s="14">
        <v>32310.080000000002</v>
      </c>
      <c r="I2" s="14">
        <v>687937.93</v>
      </c>
      <c r="J2" s="19">
        <v>0.51907707234348932</v>
      </c>
    </row>
    <row r="3" spans="1:10" x14ac:dyDescent="0.3">
      <c r="A3" s="9" t="s">
        <v>186</v>
      </c>
      <c r="B3" s="20">
        <v>45657</v>
      </c>
      <c r="C3" s="9" t="s">
        <v>206</v>
      </c>
      <c r="D3" s="14">
        <v>313818.36</v>
      </c>
      <c r="E3" s="14">
        <v>37362.089999999997</v>
      </c>
      <c r="F3" s="14">
        <v>12409.61</v>
      </c>
      <c r="G3" s="14">
        <v>4179.57</v>
      </c>
      <c r="H3" s="14">
        <v>18935.169999999998</v>
      </c>
      <c r="I3" s="14">
        <v>386704.8</v>
      </c>
      <c r="J3" s="19">
        <v>0.51907707234348932</v>
      </c>
    </row>
    <row r="4" spans="1:10" x14ac:dyDescent="0.3">
      <c r="A4" s="9" t="s">
        <v>186</v>
      </c>
      <c r="B4" s="20">
        <v>45657</v>
      </c>
      <c r="C4" s="9" t="s">
        <v>223</v>
      </c>
      <c r="D4" s="14">
        <v>517234.58</v>
      </c>
      <c r="E4" s="14">
        <v>34883.449999999997</v>
      </c>
      <c r="F4" s="14">
        <v>30241.51</v>
      </c>
      <c r="G4" s="14">
        <v>49766.879999999997</v>
      </c>
      <c r="H4" s="14">
        <v>6015.85</v>
      </c>
      <c r="I4" s="14">
        <v>638142.26</v>
      </c>
      <c r="J4" s="19">
        <v>0.51907707234348932</v>
      </c>
    </row>
    <row r="5" spans="1:10" x14ac:dyDescent="0.3">
      <c r="A5" s="9" t="s">
        <v>186</v>
      </c>
      <c r="B5" s="20">
        <v>45657</v>
      </c>
      <c r="C5" s="9" t="s">
        <v>245</v>
      </c>
      <c r="D5" s="14">
        <v>668724.06999999995</v>
      </c>
      <c r="E5" s="14">
        <v>56713.78</v>
      </c>
      <c r="F5" s="14">
        <v>34858.769999999997</v>
      </c>
      <c r="G5" s="14">
        <v>93482.53</v>
      </c>
      <c r="H5" s="14">
        <v>8869.74</v>
      </c>
      <c r="I5" s="14">
        <v>862648.89</v>
      </c>
      <c r="J5" s="19">
        <v>0.51907707234348932</v>
      </c>
    </row>
    <row r="6" spans="1:10" x14ac:dyDescent="0.3">
      <c r="A6" s="9" t="s">
        <v>186</v>
      </c>
      <c r="B6" s="20">
        <v>45657</v>
      </c>
      <c r="C6" s="9" t="s">
        <v>212</v>
      </c>
      <c r="D6" s="14">
        <v>395302.47</v>
      </c>
      <c r="E6" s="14">
        <v>22656.81</v>
      </c>
      <c r="F6" s="14">
        <v>16491</v>
      </c>
      <c r="G6" s="14">
        <v>31189.66</v>
      </c>
      <c r="H6" s="14">
        <v>9347.64</v>
      </c>
      <c r="I6" s="14">
        <v>474987.58</v>
      </c>
      <c r="J6" s="19">
        <v>0.51907707234348932</v>
      </c>
    </row>
    <row r="7" spans="1:10" x14ac:dyDescent="0.3">
      <c r="A7" s="9" t="s">
        <v>186</v>
      </c>
      <c r="B7" s="20">
        <v>45657</v>
      </c>
      <c r="C7" s="9" t="s">
        <v>255</v>
      </c>
      <c r="D7" s="14">
        <v>372937.59</v>
      </c>
      <c r="E7" s="14">
        <v>32417.39</v>
      </c>
      <c r="F7" s="14">
        <v>18066.740000000002</v>
      </c>
      <c r="G7" s="14">
        <v>18246.830000000002</v>
      </c>
      <c r="H7" s="14">
        <v>351.55</v>
      </c>
      <c r="I7" s="14">
        <v>442020.09</v>
      </c>
      <c r="J7" s="19">
        <v>0.51907707234348932</v>
      </c>
    </row>
    <row r="8" spans="1:10" x14ac:dyDescent="0.3">
      <c r="A8" s="9" t="s">
        <v>186</v>
      </c>
      <c r="B8" s="20">
        <v>45657</v>
      </c>
      <c r="C8" s="9" t="s">
        <v>231</v>
      </c>
      <c r="D8" s="14">
        <v>48640.95</v>
      </c>
      <c r="E8" s="14">
        <v>5876.95</v>
      </c>
      <c r="F8" s="14">
        <v>7331.69</v>
      </c>
      <c r="G8" s="14">
        <v>1503.26</v>
      </c>
      <c r="H8" s="14">
        <v>200.83</v>
      </c>
      <c r="I8" s="14">
        <v>63553.68</v>
      </c>
      <c r="J8" s="19">
        <v>0.51907707234348932</v>
      </c>
    </row>
    <row r="9" spans="1:10" x14ac:dyDescent="0.3">
      <c r="A9" s="9" t="s">
        <v>186</v>
      </c>
      <c r="B9" s="20">
        <v>45657</v>
      </c>
      <c r="C9" s="9" t="s">
        <v>224</v>
      </c>
      <c r="D9" s="14">
        <v>190302.03</v>
      </c>
      <c r="E9" s="14">
        <v>16650.93</v>
      </c>
      <c r="F9" s="14">
        <v>6263.19</v>
      </c>
      <c r="G9" s="14">
        <v>15325.97</v>
      </c>
      <c r="H9" s="14">
        <v>8238.1200000000008</v>
      </c>
      <c r="I9" s="14">
        <v>236780.24</v>
      </c>
      <c r="J9" s="19">
        <v>0.51907707234348932</v>
      </c>
    </row>
    <row r="10" spans="1:10" x14ac:dyDescent="0.3">
      <c r="A10" s="9" t="s">
        <v>186</v>
      </c>
      <c r="B10" s="20">
        <v>45657</v>
      </c>
      <c r="C10" s="9" t="s">
        <v>228</v>
      </c>
      <c r="D10" s="14">
        <v>325646</v>
      </c>
      <c r="E10" s="14">
        <v>32574.68</v>
      </c>
      <c r="F10" s="14">
        <v>2444.29</v>
      </c>
      <c r="G10" s="14">
        <v>76651.789999999994</v>
      </c>
      <c r="H10" s="14">
        <v>3611.37</v>
      </c>
      <c r="I10" s="14">
        <v>440928.13</v>
      </c>
      <c r="J10" s="19">
        <v>0.51907707234348932</v>
      </c>
    </row>
    <row r="11" spans="1:10" x14ac:dyDescent="0.3">
      <c r="A11" s="9" t="s">
        <v>186</v>
      </c>
      <c r="B11" s="20">
        <v>45657</v>
      </c>
      <c r="C11" s="9" t="s">
        <v>254</v>
      </c>
      <c r="D11" s="14">
        <v>481310.22</v>
      </c>
      <c r="E11" s="14">
        <v>66347.070000000007</v>
      </c>
      <c r="F11" s="14">
        <v>15544.37</v>
      </c>
      <c r="G11" s="14">
        <v>32226.15</v>
      </c>
      <c r="H11" s="14">
        <v>3696.21</v>
      </c>
      <c r="I11" s="14">
        <v>599124.02</v>
      </c>
      <c r="J11" s="19">
        <v>0.51907707234348932</v>
      </c>
    </row>
    <row r="12" spans="1:10" x14ac:dyDescent="0.3">
      <c r="A12" s="9" t="s">
        <v>186</v>
      </c>
      <c r="B12" s="20">
        <v>45657</v>
      </c>
      <c r="C12" s="9" t="s">
        <v>253</v>
      </c>
      <c r="D12" s="14">
        <v>525261.6</v>
      </c>
      <c r="E12" s="14">
        <v>75004.960000000006</v>
      </c>
      <c r="F12" s="14">
        <v>46878.82</v>
      </c>
      <c r="G12" s="14">
        <v>10870.02</v>
      </c>
      <c r="H12" s="14">
        <v>50933.5</v>
      </c>
      <c r="I12" s="14">
        <v>708948.9</v>
      </c>
      <c r="J12" s="19">
        <v>0.51907707234348932</v>
      </c>
    </row>
    <row r="13" spans="1:10" x14ac:dyDescent="0.3">
      <c r="A13" s="9" t="s">
        <v>186</v>
      </c>
      <c r="B13" s="20">
        <v>45657</v>
      </c>
      <c r="C13" s="9" t="s">
        <v>252</v>
      </c>
      <c r="D13" s="14">
        <v>267815.42</v>
      </c>
      <c r="E13" s="14">
        <v>14758.84</v>
      </c>
      <c r="F13" s="14">
        <v>39137.519999999997</v>
      </c>
      <c r="G13" s="14">
        <v>5765.38</v>
      </c>
      <c r="H13" s="14">
        <v>8537.1200000000008</v>
      </c>
      <c r="I13" s="14">
        <v>336014.29</v>
      </c>
      <c r="J13" s="19">
        <v>0.51907707234348932</v>
      </c>
    </row>
    <row r="14" spans="1:10" x14ac:dyDescent="0.3">
      <c r="A14" s="9" t="s">
        <v>186</v>
      </c>
      <c r="B14" s="20">
        <v>45657</v>
      </c>
      <c r="C14" s="9" t="s">
        <v>251</v>
      </c>
      <c r="D14" s="14">
        <v>47849.58</v>
      </c>
      <c r="E14" s="14">
        <v>3291.69</v>
      </c>
      <c r="F14" s="14">
        <v>4442.09</v>
      </c>
      <c r="G14" s="14">
        <v>2567.7600000000002</v>
      </c>
      <c r="H14" s="14">
        <v>8.93</v>
      </c>
      <c r="I14" s="14">
        <v>58160.05</v>
      </c>
      <c r="J14" s="19">
        <v>0.51907707234348932</v>
      </c>
    </row>
    <row r="15" spans="1:10" x14ac:dyDescent="0.3">
      <c r="A15" s="9" t="s">
        <v>186</v>
      </c>
      <c r="B15" s="20">
        <v>45657</v>
      </c>
      <c r="C15" s="9" t="s">
        <v>250</v>
      </c>
      <c r="D15" s="14">
        <v>210043.22</v>
      </c>
      <c r="E15" s="14">
        <v>17951.560000000001</v>
      </c>
      <c r="F15" s="14">
        <v>17052.189999999999</v>
      </c>
      <c r="G15" s="14">
        <v>7662.22</v>
      </c>
      <c r="H15" s="14">
        <v>1453.54</v>
      </c>
      <c r="I15" s="14">
        <v>254162.73</v>
      </c>
      <c r="J15" s="19">
        <v>0.51907707234348932</v>
      </c>
    </row>
    <row r="16" spans="1:10" x14ac:dyDescent="0.3">
      <c r="A16" s="9" t="s">
        <v>186</v>
      </c>
      <c r="B16" s="20">
        <v>45657</v>
      </c>
      <c r="C16" s="9" t="s">
        <v>209</v>
      </c>
      <c r="D16" s="14">
        <v>665378.84</v>
      </c>
      <c r="E16" s="14">
        <v>51140.42</v>
      </c>
      <c r="F16" s="14">
        <v>51650.22</v>
      </c>
      <c r="G16" s="14">
        <v>10637.31</v>
      </c>
      <c r="H16" s="14">
        <v>23512.5</v>
      </c>
      <c r="I16" s="14">
        <v>802319.29</v>
      </c>
      <c r="J16" s="19">
        <v>0.51907707234348932</v>
      </c>
    </row>
    <row r="17" spans="1:10" x14ac:dyDescent="0.3">
      <c r="A17" s="9" t="s">
        <v>186</v>
      </c>
      <c r="B17" s="20">
        <v>45657</v>
      </c>
      <c r="C17" s="9" t="s">
        <v>229</v>
      </c>
      <c r="D17" s="14">
        <v>142080.26</v>
      </c>
      <c r="E17" s="14">
        <v>19318.259999999998</v>
      </c>
      <c r="F17" s="14">
        <v>13466.42</v>
      </c>
      <c r="G17" s="14">
        <v>7480.66</v>
      </c>
      <c r="H17" s="14">
        <v>5873.84</v>
      </c>
      <c r="I17" s="14">
        <v>188219.44</v>
      </c>
      <c r="J17" s="19">
        <v>0.51907707234348932</v>
      </c>
    </row>
    <row r="18" spans="1:10" x14ac:dyDescent="0.3">
      <c r="A18" s="9" t="s">
        <v>186</v>
      </c>
      <c r="B18" s="20">
        <v>45657</v>
      </c>
      <c r="C18" s="9" t="s">
        <v>249</v>
      </c>
      <c r="D18" s="14">
        <v>318037.8</v>
      </c>
      <c r="E18" s="14">
        <v>15901.83</v>
      </c>
      <c r="F18" s="14">
        <v>43115.040000000001</v>
      </c>
      <c r="G18" s="14">
        <v>20829.29</v>
      </c>
      <c r="H18" s="14">
        <v>918.11</v>
      </c>
      <c r="I18" s="14">
        <v>398802.06</v>
      </c>
      <c r="J18" s="19">
        <v>0.51907707234348932</v>
      </c>
    </row>
    <row r="19" spans="1:10" x14ac:dyDescent="0.3">
      <c r="A19" s="9" t="s">
        <v>186</v>
      </c>
      <c r="B19" s="20">
        <v>45657</v>
      </c>
      <c r="C19" s="9" t="s">
        <v>243</v>
      </c>
      <c r="D19" s="14">
        <v>621383.56000000006</v>
      </c>
      <c r="E19" s="14">
        <v>94918.99</v>
      </c>
      <c r="F19" s="14">
        <v>29992.28</v>
      </c>
      <c r="G19" s="14">
        <v>44970.31</v>
      </c>
      <c r="H19" s="14">
        <v>30117.74</v>
      </c>
      <c r="I19" s="14">
        <v>821382.88</v>
      </c>
      <c r="J19" s="19">
        <v>0.51907707234348932</v>
      </c>
    </row>
    <row r="20" spans="1:10" x14ac:dyDescent="0.3">
      <c r="A20" s="9" t="s">
        <v>186</v>
      </c>
      <c r="B20" s="20">
        <v>45657</v>
      </c>
      <c r="C20" s="9" t="s">
        <v>237</v>
      </c>
      <c r="D20" s="14">
        <v>18638.669999999998</v>
      </c>
      <c r="E20" s="14">
        <v>775.99</v>
      </c>
      <c r="F20" s="14">
        <v>1498.85</v>
      </c>
      <c r="G20" s="14">
        <v>591.58000000000004</v>
      </c>
      <c r="H20" s="14">
        <v>457.61</v>
      </c>
      <c r="I20" s="14">
        <v>21962.7</v>
      </c>
      <c r="J20" s="19">
        <v>0.51907707234348932</v>
      </c>
    </row>
    <row r="21" spans="1:10" x14ac:dyDescent="0.3">
      <c r="A21" s="9" t="s">
        <v>186</v>
      </c>
      <c r="B21" s="20">
        <v>45657</v>
      </c>
      <c r="C21" s="9" t="s">
        <v>248</v>
      </c>
      <c r="D21" s="14">
        <v>408323.74</v>
      </c>
      <c r="E21" s="14">
        <v>14222.64</v>
      </c>
      <c r="F21" s="14">
        <v>47860.23</v>
      </c>
      <c r="G21" s="14">
        <v>7106.05</v>
      </c>
      <c r="H21" s="14">
        <v>52209.65</v>
      </c>
      <c r="I21" s="14">
        <v>529722.31000000006</v>
      </c>
      <c r="J21" s="19">
        <v>0.51907707234348932</v>
      </c>
    </row>
    <row r="22" spans="1:10" x14ac:dyDescent="0.3">
      <c r="A22" s="9" t="s">
        <v>186</v>
      </c>
      <c r="B22" s="20">
        <v>45688</v>
      </c>
      <c r="C22" s="9" t="s">
        <v>256</v>
      </c>
      <c r="D22" s="14">
        <v>811635.69</v>
      </c>
      <c r="E22" s="14">
        <v>46070.13</v>
      </c>
      <c r="F22" s="14">
        <v>11140.18</v>
      </c>
      <c r="G22" s="14">
        <v>87930.52</v>
      </c>
      <c r="H22" s="14">
        <v>49897.77</v>
      </c>
      <c r="I22" s="14">
        <v>1006674.29</v>
      </c>
      <c r="J22" s="19">
        <v>0.73400615535154712</v>
      </c>
    </row>
    <row r="23" spans="1:10" x14ac:dyDescent="0.3">
      <c r="A23" s="9" t="s">
        <v>186</v>
      </c>
      <c r="B23" s="20">
        <v>45688</v>
      </c>
      <c r="C23" s="9" t="s">
        <v>206</v>
      </c>
      <c r="D23" s="14">
        <v>91110.69</v>
      </c>
      <c r="E23" s="14">
        <v>9676.92</v>
      </c>
      <c r="F23" s="14">
        <v>12154.52</v>
      </c>
      <c r="G23" s="14">
        <v>4271.59</v>
      </c>
      <c r="H23" s="14">
        <v>529.66</v>
      </c>
      <c r="I23" s="14">
        <v>117743.38</v>
      </c>
      <c r="J23" s="19">
        <v>0.73400615535154712</v>
      </c>
    </row>
    <row r="24" spans="1:10" x14ac:dyDescent="0.3">
      <c r="A24" s="9" t="s">
        <v>186</v>
      </c>
      <c r="B24" s="20">
        <v>45688</v>
      </c>
      <c r="C24" s="9" t="s">
        <v>223</v>
      </c>
      <c r="D24" s="14">
        <v>192432.9</v>
      </c>
      <c r="E24" s="14">
        <v>23372.560000000001</v>
      </c>
      <c r="F24" s="14">
        <v>986.12</v>
      </c>
      <c r="G24" s="14">
        <v>3494.28</v>
      </c>
      <c r="H24" s="14">
        <v>25138.48</v>
      </c>
      <c r="I24" s="14">
        <v>245424.34</v>
      </c>
      <c r="J24" s="19">
        <v>0.73400615535154712</v>
      </c>
    </row>
    <row r="25" spans="1:10" x14ac:dyDescent="0.3">
      <c r="A25" s="9" t="s">
        <v>186</v>
      </c>
      <c r="B25" s="20">
        <v>45688</v>
      </c>
      <c r="C25" s="9" t="s">
        <v>245</v>
      </c>
      <c r="D25" s="14">
        <v>391099.43</v>
      </c>
      <c r="E25" s="14">
        <v>36804.269999999997</v>
      </c>
      <c r="F25" s="14">
        <v>28468.86</v>
      </c>
      <c r="G25" s="14">
        <v>32854.15</v>
      </c>
      <c r="H25" s="14">
        <v>364.2</v>
      </c>
      <c r="I25" s="14">
        <v>489590.92</v>
      </c>
      <c r="J25" s="19">
        <v>0.73400615535154712</v>
      </c>
    </row>
    <row r="26" spans="1:10" x14ac:dyDescent="0.3">
      <c r="A26" s="9" t="s">
        <v>186</v>
      </c>
      <c r="B26" s="20">
        <v>45688</v>
      </c>
      <c r="C26" s="9" t="s">
        <v>212</v>
      </c>
      <c r="D26" s="14">
        <v>601470.34</v>
      </c>
      <c r="E26" s="14">
        <v>77692.37</v>
      </c>
      <c r="F26" s="14">
        <v>25699.64</v>
      </c>
      <c r="G26" s="14">
        <v>58959.199999999997</v>
      </c>
      <c r="H26" s="14">
        <v>2595.83</v>
      </c>
      <c r="I26" s="14">
        <v>766417.38</v>
      </c>
      <c r="J26" s="19">
        <v>0.73400615535154712</v>
      </c>
    </row>
    <row r="27" spans="1:10" x14ac:dyDescent="0.3">
      <c r="A27" s="9" t="s">
        <v>186</v>
      </c>
      <c r="B27" s="20">
        <v>45688</v>
      </c>
      <c r="C27" s="9" t="s">
        <v>255</v>
      </c>
      <c r="D27" s="14">
        <v>367147.04</v>
      </c>
      <c r="E27" s="14">
        <v>17566.16</v>
      </c>
      <c r="F27" s="14">
        <v>51384.4</v>
      </c>
      <c r="G27" s="14">
        <v>7084.21</v>
      </c>
      <c r="H27" s="14">
        <v>15351.76</v>
      </c>
      <c r="I27" s="14">
        <v>458533.56</v>
      </c>
      <c r="J27" s="19">
        <v>0.73400615535154712</v>
      </c>
    </row>
    <row r="28" spans="1:10" x14ac:dyDescent="0.3">
      <c r="A28" s="9" t="s">
        <v>186</v>
      </c>
      <c r="B28" s="20">
        <v>45688</v>
      </c>
      <c r="C28" s="9" t="s">
        <v>231</v>
      </c>
      <c r="D28" s="14">
        <v>246839.69</v>
      </c>
      <c r="E28" s="14">
        <v>22498.53</v>
      </c>
      <c r="F28" s="14">
        <v>11355.94</v>
      </c>
      <c r="G28" s="14">
        <v>4600.9799999999996</v>
      </c>
      <c r="H28" s="14">
        <v>13159.99</v>
      </c>
      <c r="I28" s="14">
        <v>298455.13</v>
      </c>
      <c r="J28" s="19">
        <v>0.73400615535154712</v>
      </c>
    </row>
    <row r="29" spans="1:10" x14ac:dyDescent="0.3">
      <c r="A29" s="9" t="s">
        <v>186</v>
      </c>
      <c r="B29" s="20">
        <v>45688</v>
      </c>
      <c r="C29" s="9" t="s">
        <v>224</v>
      </c>
      <c r="D29" s="14">
        <v>321762.65000000002</v>
      </c>
      <c r="E29" s="14">
        <v>36807.440000000002</v>
      </c>
      <c r="F29" s="14">
        <v>25607.99</v>
      </c>
      <c r="G29" s="14">
        <v>12921.25</v>
      </c>
      <c r="H29" s="14">
        <v>11725</v>
      </c>
      <c r="I29" s="14">
        <v>408824.33</v>
      </c>
      <c r="J29" s="19">
        <v>0.73400615535154712</v>
      </c>
    </row>
    <row r="30" spans="1:10" x14ac:dyDescent="0.3">
      <c r="A30" s="9" t="s">
        <v>186</v>
      </c>
      <c r="B30" s="20">
        <v>45688</v>
      </c>
      <c r="C30" s="9" t="s">
        <v>228</v>
      </c>
      <c r="D30" s="14">
        <v>203279.27</v>
      </c>
      <c r="E30" s="14">
        <v>8349.11</v>
      </c>
      <c r="F30" s="14">
        <v>19239.39</v>
      </c>
      <c r="G30" s="14">
        <v>3663.76</v>
      </c>
      <c r="H30" s="14">
        <v>7463.34</v>
      </c>
      <c r="I30" s="14">
        <v>241994.87</v>
      </c>
      <c r="J30" s="19">
        <v>0.73400615535154712</v>
      </c>
    </row>
    <row r="31" spans="1:10" x14ac:dyDescent="0.3">
      <c r="A31" s="9" t="s">
        <v>186</v>
      </c>
      <c r="B31" s="20">
        <v>45688</v>
      </c>
      <c r="C31" s="9" t="s">
        <v>254</v>
      </c>
      <c r="D31" s="14">
        <v>856598.18</v>
      </c>
      <c r="E31" s="14">
        <v>93545.37</v>
      </c>
      <c r="F31" s="14">
        <v>13859.54</v>
      </c>
      <c r="G31" s="14">
        <v>11967.96</v>
      </c>
      <c r="H31" s="14">
        <v>46349.7</v>
      </c>
      <c r="I31" s="14">
        <v>1022320.76</v>
      </c>
      <c r="J31" s="19">
        <v>0.73400615535154712</v>
      </c>
    </row>
    <row r="32" spans="1:10" x14ac:dyDescent="0.3">
      <c r="A32" s="9" t="s">
        <v>186</v>
      </c>
      <c r="B32" s="20">
        <v>45688</v>
      </c>
      <c r="C32" s="9" t="s">
        <v>253</v>
      </c>
      <c r="D32" s="14">
        <v>662882.63</v>
      </c>
      <c r="E32" s="14">
        <v>41611.660000000003</v>
      </c>
      <c r="F32" s="14">
        <v>44145.14</v>
      </c>
      <c r="G32" s="14">
        <v>57866.63</v>
      </c>
      <c r="H32" s="14">
        <v>20553.25</v>
      </c>
      <c r="I32" s="14">
        <v>827059.32</v>
      </c>
      <c r="J32" s="19">
        <v>0.73400615535154712</v>
      </c>
    </row>
    <row r="33" spans="1:10" x14ac:dyDescent="0.3">
      <c r="A33" s="9" t="s">
        <v>186</v>
      </c>
      <c r="B33" s="20">
        <v>45688</v>
      </c>
      <c r="C33" s="9" t="s">
        <v>252</v>
      </c>
      <c r="D33" s="14">
        <v>395766.82</v>
      </c>
      <c r="E33" s="14">
        <v>42152.22</v>
      </c>
      <c r="F33" s="14">
        <v>31516.55</v>
      </c>
      <c r="G33" s="14">
        <v>10445.92</v>
      </c>
      <c r="H33" s="14">
        <v>7669.03</v>
      </c>
      <c r="I33" s="14">
        <v>487550.54</v>
      </c>
      <c r="J33" s="19">
        <v>0.73400615535154712</v>
      </c>
    </row>
    <row r="34" spans="1:10" x14ac:dyDescent="0.3">
      <c r="A34" s="9" t="s">
        <v>186</v>
      </c>
      <c r="B34" s="20">
        <v>45688</v>
      </c>
      <c r="C34" s="9" t="s">
        <v>251</v>
      </c>
      <c r="D34" s="14">
        <v>621135.35999999999</v>
      </c>
      <c r="E34" s="14">
        <v>29927.95</v>
      </c>
      <c r="F34" s="14">
        <v>54738.39</v>
      </c>
      <c r="G34" s="14">
        <v>105103.29</v>
      </c>
      <c r="H34" s="14">
        <v>19926.009999999998</v>
      </c>
      <c r="I34" s="14">
        <v>830831</v>
      </c>
      <c r="J34" s="19">
        <v>0.73400615535154712</v>
      </c>
    </row>
    <row r="35" spans="1:10" x14ac:dyDescent="0.3">
      <c r="A35" s="9" t="s">
        <v>186</v>
      </c>
      <c r="B35" s="20">
        <v>45688</v>
      </c>
      <c r="C35" s="9" t="s">
        <v>250</v>
      </c>
      <c r="D35" s="14">
        <v>515949.89</v>
      </c>
      <c r="E35" s="14">
        <v>40351.730000000003</v>
      </c>
      <c r="F35" s="14">
        <v>23850.83</v>
      </c>
      <c r="G35" s="14">
        <v>28265.200000000001</v>
      </c>
      <c r="H35" s="14">
        <v>8069.87</v>
      </c>
      <c r="I35" s="14">
        <v>616487.51</v>
      </c>
      <c r="J35" s="19">
        <v>0.73400615535154712</v>
      </c>
    </row>
    <row r="36" spans="1:10" x14ac:dyDescent="0.3">
      <c r="A36" s="9" t="s">
        <v>186</v>
      </c>
      <c r="B36" s="20">
        <v>45688</v>
      </c>
      <c r="C36" s="9" t="s">
        <v>209</v>
      </c>
      <c r="D36" s="14">
        <v>470432.46</v>
      </c>
      <c r="E36" s="14">
        <v>79427.55</v>
      </c>
      <c r="F36" s="14">
        <v>15128.35</v>
      </c>
      <c r="G36" s="14">
        <v>59245.09</v>
      </c>
      <c r="H36" s="14">
        <v>3.19</v>
      </c>
      <c r="I36" s="14">
        <v>624236.64</v>
      </c>
      <c r="J36" s="19">
        <v>0.73400615535154712</v>
      </c>
    </row>
    <row r="37" spans="1:10" x14ac:dyDescent="0.3">
      <c r="A37" s="9" t="s">
        <v>186</v>
      </c>
      <c r="B37" s="20">
        <v>45688</v>
      </c>
      <c r="C37" s="9" t="s">
        <v>229</v>
      </c>
      <c r="D37" s="14">
        <v>347817.73</v>
      </c>
      <c r="E37" s="14">
        <v>39650.129999999997</v>
      </c>
      <c r="F37" s="14">
        <v>23281.35</v>
      </c>
      <c r="G37" s="14">
        <v>12023.29</v>
      </c>
      <c r="H37" s="14">
        <v>12973.83</v>
      </c>
      <c r="I37" s="14">
        <v>435746.34</v>
      </c>
      <c r="J37" s="19">
        <v>0.73400615535154712</v>
      </c>
    </row>
    <row r="38" spans="1:10" x14ac:dyDescent="0.3">
      <c r="A38" s="9" t="s">
        <v>186</v>
      </c>
      <c r="B38" s="20">
        <v>45688</v>
      </c>
      <c r="C38" s="9" t="s">
        <v>249</v>
      </c>
      <c r="D38" s="14">
        <v>494586.14</v>
      </c>
      <c r="E38" s="14">
        <v>44473.03</v>
      </c>
      <c r="F38" s="14">
        <v>15965.42</v>
      </c>
      <c r="G38" s="14">
        <v>6470.44</v>
      </c>
      <c r="H38" s="14">
        <v>17615.11</v>
      </c>
      <c r="I38" s="14">
        <v>579110.15</v>
      </c>
      <c r="J38" s="19">
        <v>0.73400615535154712</v>
      </c>
    </row>
    <row r="39" spans="1:10" x14ac:dyDescent="0.3">
      <c r="A39" s="9" t="s">
        <v>186</v>
      </c>
      <c r="B39" s="20">
        <v>45688</v>
      </c>
      <c r="C39" s="9" t="s">
        <v>243</v>
      </c>
      <c r="D39" s="14">
        <v>962962.06</v>
      </c>
      <c r="E39" s="14">
        <v>90212.2</v>
      </c>
      <c r="F39" s="14">
        <v>35806.53</v>
      </c>
      <c r="G39" s="14">
        <v>67260.350000000006</v>
      </c>
      <c r="H39" s="14">
        <v>12749.02</v>
      </c>
      <c r="I39" s="14">
        <v>1168990.1599999999</v>
      </c>
      <c r="J39" s="19">
        <v>0.73400615535154712</v>
      </c>
    </row>
    <row r="40" spans="1:10" x14ac:dyDescent="0.3">
      <c r="A40" s="9" t="s">
        <v>186</v>
      </c>
      <c r="B40" s="20">
        <v>45688</v>
      </c>
      <c r="C40" s="9" t="s">
        <v>237</v>
      </c>
      <c r="D40" s="14">
        <v>787006.17</v>
      </c>
      <c r="E40" s="14">
        <v>71686.3</v>
      </c>
      <c r="F40" s="14">
        <v>34834.300000000003</v>
      </c>
      <c r="G40" s="14">
        <v>12681.69</v>
      </c>
      <c r="H40" s="14">
        <v>24300.51</v>
      </c>
      <c r="I40" s="14">
        <v>930508.98</v>
      </c>
      <c r="J40" s="19">
        <v>0.73400615535154712</v>
      </c>
    </row>
    <row r="41" spans="1:10" x14ac:dyDescent="0.3">
      <c r="A41" s="9" t="s">
        <v>186</v>
      </c>
      <c r="B41" s="20">
        <v>45688</v>
      </c>
      <c r="C41" s="9" t="s">
        <v>248</v>
      </c>
      <c r="D41" s="14">
        <v>793103.86</v>
      </c>
      <c r="E41" s="14">
        <v>32179.1</v>
      </c>
      <c r="F41" s="14">
        <v>103801.15</v>
      </c>
      <c r="G41" s="14">
        <v>28719.29</v>
      </c>
      <c r="H41" s="14">
        <v>23990.15</v>
      </c>
      <c r="I41" s="14">
        <v>981793.56</v>
      </c>
      <c r="J41" s="19">
        <v>0.73400615535154712</v>
      </c>
    </row>
    <row r="42" spans="1:10" x14ac:dyDescent="0.3">
      <c r="A42" s="9" t="s">
        <v>186</v>
      </c>
      <c r="B42" s="20">
        <v>45716</v>
      </c>
      <c r="C42" s="9" t="s">
        <v>256</v>
      </c>
      <c r="D42" s="14">
        <v>183826.84</v>
      </c>
      <c r="E42" s="14">
        <v>12518.1</v>
      </c>
      <c r="F42" s="14">
        <v>2209.6999999999998</v>
      </c>
      <c r="G42" s="14">
        <v>32516.37</v>
      </c>
      <c r="H42" s="14">
        <v>2285.65</v>
      </c>
      <c r="I42" s="14">
        <v>233356.66</v>
      </c>
      <c r="J42" s="19">
        <v>0.53660915710820956</v>
      </c>
    </row>
    <row r="43" spans="1:10" x14ac:dyDescent="0.3">
      <c r="A43" s="9" t="s">
        <v>186</v>
      </c>
      <c r="B43" s="20">
        <v>45716</v>
      </c>
      <c r="C43" s="9" t="s">
        <v>206</v>
      </c>
      <c r="D43" s="14">
        <v>473960.62</v>
      </c>
      <c r="E43" s="14">
        <v>67264.45</v>
      </c>
      <c r="F43" s="14">
        <v>22576.3</v>
      </c>
      <c r="G43" s="14">
        <v>23266.31</v>
      </c>
      <c r="H43" s="14">
        <v>20938.43</v>
      </c>
      <c r="I43" s="14">
        <v>608006.11</v>
      </c>
      <c r="J43" s="19">
        <v>0.53660915710820956</v>
      </c>
    </row>
    <row r="44" spans="1:10" x14ac:dyDescent="0.3">
      <c r="A44" s="9" t="s">
        <v>186</v>
      </c>
      <c r="B44" s="20">
        <v>45716</v>
      </c>
      <c r="C44" s="9" t="s">
        <v>223</v>
      </c>
      <c r="D44" s="14">
        <v>76654.990000000005</v>
      </c>
      <c r="E44" s="14">
        <v>1546.91</v>
      </c>
      <c r="F44" s="14">
        <v>3715.3</v>
      </c>
      <c r="G44" s="14">
        <v>3033.19</v>
      </c>
      <c r="H44" s="14">
        <v>6059.18</v>
      </c>
      <c r="I44" s="14">
        <v>91009.57</v>
      </c>
      <c r="J44" s="19">
        <v>0.53660915710820956</v>
      </c>
    </row>
    <row r="45" spans="1:10" x14ac:dyDescent="0.3">
      <c r="A45" s="9" t="s">
        <v>186</v>
      </c>
      <c r="B45" s="20">
        <v>45716</v>
      </c>
      <c r="C45" s="9" t="s">
        <v>245</v>
      </c>
      <c r="D45" s="14">
        <v>355156.53</v>
      </c>
      <c r="E45" s="14">
        <v>14920.67</v>
      </c>
      <c r="F45" s="14">
        <v>10904.46</v>
      </c>
      <c r="G45" s="14">
        <v>24012.09</v>
      </c>
      <c r="H45" s="14">
        <v>3015.29</v>
      </c>
      <c r="I45" s="14">
        <v>408009.04</v>
      </c>
      <c r="J45" s="19">
        <v>0.53660915710820956</v>
      </c>
    </row>
    <row r="46" spans="1:10" x14ac:dyDescent="0.3">
      <c r="A46" s="9" t="s">
        <v>186</v>
      </c>
      <c r="B46" s="20">
        <v>45716</v>
      </c>
      <c r="C46" s="9" t="s">
        <v>212</v>
      </c>
      <c r="D46" s="14">
        <v>175594.88</v>
      </c>
      <c r="E46" s="14">
        <v>7498.06</v>
      </c>
      <c r="F46" s="14">
        <v>24600.880000000001</v>
      </c>
      <c r="G46" s="14">
        <v>3905.2</v>
      </c>
      <c r="H46" s="14">
        <v>1359.99</v>
      </c>
      <c r="I46" s="14">
        <v>212959.01</v>
      </c>
      <c r="J46" s="19">
        <v>0.53660915710820956</v>
      </c>
    </row>
    <row r="47" spans="1:10" x14ac:dyDescent="0.3">
      <c r="A47" s="9" t="s">
        <v>186</v>
      </c>
      <c r="B47" s="20">
        <v>45716</v>
      </c>
      <c r="C47" s="9" t="s">
        <v>255</v>
      </c>
      <c r="D47" s="14">
        <v>410578.71</v>
      </c>
      <c r="E47" s="14">
        <v>47995.34</v>
      </c>
      <c r="F47" s="14">
        <v>17873.099999999999</v>
      </c>
      <c r="G47" s="14">
        <v>16356.92</v>
      </c>
      <c r="H47" s="14">
        <v>519.99</v>
      </c>
      <c r="I47" s="14">
        <v>493324.06</v>
      </c>
      <c r="J47" s="19">
        <v>0.53660915710820956</v>
      </c>
    </row>
    <row r="48" spans="1:10" x14ac:dyDescent="0.3">
      <c r="A48" s="9" t="s">
        <v>186</v>
      </c>
      <c r="B48" s="20">
        <v>45716</v>
      </c>
      <c r="C48" s="9" t="s">
        <v>231</v>
      </c>
      <c r="D48" s="14">
        <v>98925.25</v>
      </c>
      <c r="E48" s="14">
        <v>17647.080000000002</v>
      </c>
      <c r="F48" s="14">
        <v>4517.84</v>
      </c>
      <c r="G48" s="14">
        <v>3910.34</v>
      </c>
      <c r="H48" s="14">
        <v>12.87</v>
      </c>
      <c r="I48" s="14">
        <v>125013.37</v>
      </c>
      <c r="J48" s="19">
        <v>0.53660915710820956</v>
      </c>
    </row>
    <row r="49" spans="1:10" x14ac:dyDescent="0.3">
      <c r="A49" s="9" t="s">
        <v>186</v>
      </c>
      <c r="B49" s="20">
        <v>45716</v>
      </c>
      <c r="C49" s="9" t="s">
        <v>224</v>
      </c>
      <c r="D49" s="14">
        <v>535822.97</v>
      </c>
      <c r="E49" s="14">
        <v>111331.26</v>
      </c>
      <c r="F49" s="14">
        <v>37638.17</v>
      </c>
      <c r="G49" s="14">
        <v>12138.92</v>
      </c>
      <c r="H49" s="14">
        <v>2778.15</v>
      </c>
      <c r="I49" s="14">
        <v>699709.47</v>
      </c>
      <c r="J49" s="19">
        <v>0.53660915710820956</v>
      </c>
    </row>
    <row r="50" spans="1:10" x14ac:dyDescent="0.3">
      <c r="A50" s="9" t="s">
        <v>186</v>
      </c>
      <c r="B50" s="20">
        <v>45716</v>
      </c>
      <c r="C50" s="9" t="s">
        <v>228</v>
      </c>
      <c r="D50" s="14">
        <v>667175.79</v>
      </c>
      <c r="E50" s="14">
        <v>56185.66</v>
      </c>
      <c r="F50" s="14">
        <v>58157.72</v>
      </c>
      <c r="G50" s="14">
        <v>22473.03</v>
      </c>
      <c r="H50" s="14">
        <v>31277.25</v>
      </c>
      <c r="I50" s="14">
        <v>835269.44</v>
      </c>
      <c r="J50" s="19">
        <v>0.53660915710820956</v>
      </c>
    </row>
    <row r="51" spans="1:10" x14ac:dyDescent="0.3">
      <c r="A51" s="9" t="s">
        <v>186</v>
      </c>
      <c r="B51" s="20">
        <v>45716</v>
      </c>
      <c r="C51" s="9" t="s">
        <v>254</v>
      </c>
      <c r="D51" s="14">
        <v>245568.05</v>
      </c>
      <c r="E51" s="14">
        <v>18837</v>
      </c>
      <c r="F51" s="14">
        <v>8977</v>
      </c>
      <c r="G51" s="14">
        <v>11468.65</v>
      </c>
      <c r="H51" s="14">
        <v>3868.17</v>
      </c>
      <c r="I51" s="14">
        <v>288718.87</v>
      </c>
      <c r="J51" s="19">
        <v>0.53660915710820956</v>
      </c>
    </row>
    <row r="52" spans="1:10" x14ac:dyDescent="0.3">
      <c r="A52" s="9" t="s">
        <v>186</v>
      </c>
      <c r="B52" s="20">
        <v>45716</v>
      </c>
      <c r="C52" s="9" t="s">
        <v>253</v>
      </c>
      <c r="D52" s="14">
        <v>240261.99</v>
      </c>
      <c r="E52" s="14">
        <v>25873.85</v>
      </c>
      <c r="F52" s="14">
        <v>31454.32</v>
      </c>
      <c r="G52" s="14">
        <v>20750.599999999999</v>
      </c>
      <c r="H52" s="14">
        <v>2128</v>
      </c>
      <c r="I52" s="14">
        <v>320468.76</v>
      </c>
      <c r="J52" s="19">
        <v>0.53660915710820956</v>
      </c>
    </row>
    <row r="53" spans="1:10" x14ac:dyDescent="0.3">
      <c r="A53" s="9" t="s">
        <v>186</v>
      </c>
      <c r="B53" s="20">
        <v>45716</v>
      </c>
      <c r="C53" s="9" t="s">
        <v>252</v>
      </c>
      <c r="D53" s="14">
        <v>427520.06</v>
      </c>
      <c r="E53" s="14">
        <v>53164.639999999999</v>
      </c>
      <c r="F53" s="14">
        <v>46439.6</v>
      </c>
      <c r="G53" s="14">
        <v>3449.31</v>
      </c>
      <c r="H53" s="14">
        <v>10129.42</v>
      </c>
      <c r="I53" s="14">
        <v>540703.03</v>
      </c>
      <c r="J53" s="19">
        <v>0.53660915710820956</v>
      </c>
    </row>
    <row r="54" spans="1:10" x14ac:dyDescent="0.3">
      <c r="A54" s="9" t="s">
        <v>186</v>
      </c>
      <c r="B54" s="20">
        <v>45716</v>
      </c>
      <c r="C54" s="9" t="s">
        <v>251</v>
      </c>
      <c r="D54" s="14">
        <v>499679.93</v>
      </c>
      <c r="E54" s="14">
        <v>82235.990000000005</v>
      </c>
      <c r="F54" s="14">
        <v>33016.720000000001</v>
      </c>
      <c r="G54" s="14">
        <v>42003.94</v>
      </c>
      <c r="H54" s="14">
        <v>10997.18</v>
      </c>
      <c r="I54" s="14">
        <v>667933.74</v>
      </c>
      <c r="J54" s="19">
        <v>0.53660915710820956</v>
      </c>
    </row>
    <row r="55" spans="1:10" x14ac:dyDescent="0.3">
      <c r="A55" s="9" t="s">
        <v>186</v>
      </c>
      <c r="B55" s="20">
        <v>45716</v>
      </c>
      <c r="C55" s="9" t="s">
        <v>250</v>
      </c>
      <c r="D55" s="14">
        <v>42608.85</v>
      </c>
      <c r="E55" s="14">
        <v>4092.51</v>
      </c>
      <c r="F55" s="14">
        <v>3601.62</v>
      </c>
      <c r="G55" s="14">
        <v>913.01</v>
      </c>
      <c r="H55" s="14">
        <v>1466.71</v>
      </c>
      <c r="I55" s="14">
        <v>52682.720000000001</v>
      </c>
      <c r="J55" s="19">
        <v>0.53660915710820956</v>
      </c>
    </row>
    <row r="56" spans="1:10" x14ac:dyDescent="0.3">
      <c r="A56" s="9" t="s">
        <v>186</v>
      </c>
      <c r="B56" s="20">
        <v>45716</v>
      </c>
      <c r="C56" s="9" t="s">
        <v>209</v>
      </c>
      <c r="D56" s="14">
        <v>507406.02</v>
      </c>
      <c r="E56" s="14">
        <v>48044.63</v>
      </c>
      <c r="F56" s="14">
        <v>34025.160000000003</v>
      </c>
      <c r="G56" s="14">
        <v>11328.17</v>
      </c>
      <c r="H56" s="14">
        <v>9233.84</v>
      </c>
      <c r="I56" s="14">
        <v>610037.81999999995</v>
      </c>
      <c r="J56" s="19">
        <v>0.53660915710820956</v>
      </c>
    </row>
    <row r="57" spans="1:10" x14ac:dyDescent="0.3">
      <c r="A57" s="9" t="s">
        <v>186</v>
      </c>
      <c r="B57" s="20">
        <v>45716</v>
      </c>
      <c r="C57" s="9" t="s">
        <v>229</v>
      </c>
      <c r="D57" s="14">
        <v>565530.99</v>
      </c>
      <c r="E57" s="14">
        <v>59808.22</v>
      </c>
      <c r="F57" s="14">
        <v>83836.539999999994</v>
      </c>
      <c r="G57" s="14">
        <v>3929</v>
      </c>
      <c r="H57" s="14">
        <v>23021.91</v>
      </c>
      <c r="I57" s="14">
        <v>736126.66</v>
      </c>
      <c r="J57" s="19">
        <v>0.53660915710820956</v>
      </c>
    </row>
    <row r="58" spans="1:10" x14ac:dyDescent="0.3">
      <c r="A58" s="9" t="s">
        <v>186</v>
      </c>
      <c r="B58" s="20">
        <v>45716</v>
      </c>
      <c r="C58" s="9" t="s">
        <v>249</v>
      </c>
      <c r="D58" s="14">
        <v>568352.88</v>
      </c>
      <c r="E58" s="14">
        <v>46776.2</v>
      </c>
      <c r="F58" s="14">
        <v>51432.88</v>
      </c>
      <c r="G58" s="14">
        <v>16288.44</v>
      </c>
      <c r="H58" s="14">
        <v>33633.79</v>
      </c>
      <c r="I58" s="14">
        <v>716484.19</v>
      </c>
      <c r="J58" s="19">
        <v>0.53660915710820956</v>
      </c>
    </row>
    <row r="59" spans="1:10" x14ac:dyDescent="0.3">
      <c r="A59" s="9" t="s">
        <v>186</v>
      </c>
      <c r="B59" s="20">
        <v>45716</v>
      </c>
      <c r="C59" s="9" t="s">
        <v>243</v>
      </c>
      <c r="D59" s="14">
        <v>335181.46999999997</v>
      </c>
      <c r="E59" s="14">
        <v>26946.71</v>
      </c>
      <c r="F59" s="14">
        <v>4274.7700000000004</v>
      </c>
      <c r="G59" s="14">
        <v>13816.73</v>
      </c>
      <c r="H59" s="14">
        <v>16300.88</v>
      </c>
      <c r="I59" s="14">
        <v>396520.56</v>
      </c>
      <c r="J59" s="19">
        <v>0.53660915710820956</v>
      </c>
    </row>
    <row r="60" spans="1:10" x14ac:dyDescent="0.3">
      <c r="A60" s="9" t="s">
        <v>186</v>
      </c>
      <c r="B60" s="20">
        <v>45716</v>
      </c>
      <c r="C60" s="9" t="s">
        <v>237</v>
      </c>
      <c r="D60" s="14">
        <v>597207.39</v>
      </c>
      <c r="E60" s="14">
        <v>41538.730000000003</v>
      </c>
      <c r="F60" s="14">
        <v>71122.539999999994</v>
      </c>
      <c r="G60" s="14">
        <v>32539.26</v>
      </c>
      <c r="H60" s="14">
        <v>1423.28</v>
      </c>
      <c r="I60" s="14">
        <v>743831.21</v>
      </c>
      <c r="J60" s="19">
        <v>0.53660915710820956</v>
      </c>
    </row>
    <row r="61" spans="1:10" x14ac:dyDescent="0.3">
      <c r="A61" s="9" t="s">
        <v>186</v>
      </c>
      <c r="B61" s="20">
        <v>45716</v>
      </c>
      <c r="C61" s="9" t="s">
        <v>248</v>
      </c>
      <c r="D61" s="14">
        <v>380020.38</v>
      </c>
      <c r="E61" s="14">
        <v>65761.94</v>
      </c>
      <c r="F61" s="14">
        <v>11029.5</v>
      </c>
      <c r="G61" s="14">
        <v>34413.22</v>
      </c>
      <c r="H61" s="14">
        <v>3363.35</v>
      </c>
      <c r="I61" s="14">
        <v>494588.4</v>
      </c>
      <c r="J61" s="19">
        <v>0.53660915710820956</v>
      </c>
    </row>
    <row r="62" spans="1:10" x14ac:dyDescent="0.3">
      <c r="A62" s="9" t="s">
        <v>186</v>
      </c>
      <c r="B62" s="20">
        <v>45747</v>
      </c>
      <c r="C62" s="9" t="s">
        <v>256</v>
      </c>
      <c r="D62" s="14">
        <v>880709.76</v>
      </c>
      <c r="E62" s="14">
        <v>92281.87</v>
      </c>
      <c r="F62" s="14">
        <v>14275.28</v>
      </c>
      <c r="G62" s="14">
        <v>21440.6</v>
      </c>
      <c r="H62" s="14">
        <v>13356.79</v>
      </c>
      <c r="I62" s="14">
        <v>1022064.3</v>
      </c>
      <c r="J62" s="19">
        <v>0.5399836673775269</v>
      </c>
    </row>
    <row r="63" spans="1:10" x14ac:dyDescent="0.3">
      <c r="A63" s="9" t="s">
        <v>186</v>
      </c>
      <c r="B63" s="20">
        <v>45747</v>
      </c>
      <c r="C63" s="9" t="s">
        <v>206</v>
      </c>
      <c r="D63" s="14">
        <v>529252.44999999995</v>
      </c>
      <c r="E63" s="14">
        <v>52573.06</v>
      </c>
      <c r="F63" s="14">
        <v>38115.980000000003</v>
      </c>
      <c r="G63" s="14">
        <v>8410.6</v>
      </c>
      <c r="H63" s="14">
        <v>9909.27</v>
      </c>
      <c r="I63" s="14">
        <v>638261.35</v>
      </c>
      <c r="J63" s="19">
        <v>0.5399836673775269</v>
      </c>
    </row>
    <row r="64" spans="1:10" x14ac:dyDescent="0.3">
      <c r="A64" s="9" t="s">
        <v>186</v>
      </c>
      <c r="B64" s="20">
        <v>45747</v>
      </c>
      <c r="C64" s="9" t="s">
        <v>223</v>
      </c>
      <c r="D64" s="14">
        <v>561162.73</v>
      </c>
      <c r="E64" s="14">
        <v>30584.59</v>
      </c>
      <c r="F64" s="14">
        <v>33031.21</v>
      </c>
      <c r="G64" s="14">
        <v>36831.21</v>
      </c>
      <c r="H64" s="14">
        <v>71694.399999999994</v>
      </c>
      <c r="I64" s="14">
        <v>733304.14</v>
      </c>
      <c r="J64" s="19">
        <v>0.5399836673775269</v>
      </c>
    </row>
    <row r="65" spans="1:10" x14ac:dyDescent="0.3">
      <c r="A65" s="9" t="s">
        <v>186</v>
      </c>
      <c r="B65" s="20">
        <v>45747</v>
      </c>
      <c r="C65" s="9" t="s">
        <v>245</v>
      </c>
      <c r="D65" s="14">
        <v>167709.51</v>
      </c>
      <c r="E65" s="14">
        <v>26139.82</v>
      </c>
      <c r="F65" s="14">
        <v>716.51</v>
      </c>
      <c r="G65" s="14">
        <v>9710.4500000000007</v>
      </c>
      <c r="H65" s="14">
        <v>886.51</v>
      </c>
      <c r="I65" s="14">
        <v>205162.8</v>
      </c>
      <c r="J65" s="19">
        <v>0.5399836673775269</v>
      </c>
    </row>
    <row r="66" spans="1:10" x14ac:dyDescent="0.3">
      <c r="A66" s="9" t="s">
        <v>186</v>
      </c>
      <c r="B66" s="20">
        <v>45747</v>
      </c>
      <c r="C66" s="9" t="s">
        <v>212</v>
      </c>
      <c r="D66" s="14">
        <v>600066.37</v>
      </c>
      <c r="E66" s="14">
        <v>63313.58</v>
      </c>
      <c r="F66" s="14">
        <v>47177.36</v>
      </c>
      <c r="G66" s="14">
        <v>40856.93</v>
      </c>
      <c r="H66" s="14">
        <v>6270.79</v>
      </c>
      <c r="I66" s="14">
        <v>757685.04</v>
      </c>
      <c r="J66" s="19">
        <v>0.5399836673775269</v>
      </c>
    </row>
    <row r="67" spans="1:10" x14ac:dyDescent="0.3">
      <c r="A67" s="9" t="s">
        <v>186</v>
      </c>
      <c r="B67" s="20">
        <v>45747</v>
      </c>
      <c r="C67" s="9" t="s">
        <v>255</v>
      </c>
      <c r="D67" s="14">
        <v>225892.12</v>
      </c>
      <c r="E67" s="14">
        <v>19136.84</v>
      </c>
      <c r="F67" s="14">
        <v>21310.91</v>
      </c>
      <c r="G67" s="14">
        <v>11949.67</v>
      </c>
      <c r="H67" s="14">
        <v>9227.6200000000008</v>
      </c>
      <c r="I67" s="14">
        <v>287517.15999999997</v>
      </c>
      <c r="J67" s="19">
        <v>0.5399836673775269</v>
      </c>
    </row>
    <row r="68" spans="1:10" x14ac:dyDescent="0.3">
      <c r="A68" s="9" t="s">
        <v>186</v>
      </c>
      <c r="B68" s="20">
        <v>45747</v>
      </c>
      <c r="C68" s="9" t="s">
        <v>231</v>
      </c>
      <c r="D68" s="14">
        <v>718438.48</v>
      </c>
      <c r="E68" s="14">
        <v>38789.64</v>
      </c>
      <c r="F68" s="14">
        <v>72984.22</v>
      </c>
      <c r="G68" s="14">
        <v>43084</v>
      </c>
      <c r="H68" s="14">
        <v>46322.39</v>
      </c>
      <c r="I68" s="14">
        <v>919618.73</v>
      </c>
      <c r="J68" s="19">
        <v>0.5399836673775269</v>
      </c>
    </row>
    <row r="69" spans="1:10" x14ac:dyDescent="0.3">
      <c r="A69" s="9" t="s">
        <v>186</v>
      </c>
      <c r="B69" s="20">
        <v>45747</v>
      </c>
      <c r="C69" s="9" t="s">
        <v>224</v>
      </c>
      <c r="D69" s="14">
        <v>24647.4</v>
      </c>
      <c r="E69" s="14">
        <v>2400.54</v>
      </c>
      <c r="F69" s="14">
        <v>1524</v>
      </c>
      <c r="G69" s="14">
        <v>2783.77</v>
      </c>
      <c r="H69" s="14">
        <v>1959.9</v>
      </c>
      <c r="I69" s="14">
        <v>33315.620000000003</v>
      </c>
      <c r="J69" s="19">
        <v>0.5399836673775269</v>
      </c>
    </row>
    <row r="70" spans="1:10" x14ac:dyDescent="0.3">
      <c r="A70" s="9" t="s">
        <v>186</v>
      </c>
      <c r="B70" s="20">
        <v>45747</v>
      </c>
      <c r="C70" s="9" t="s">
        <v>228</v>
      </c>
      <c r="D70" s="14">
        <v>125569.35</v>
      </c>
      <c r="E70" s="14">
        <v>10010.219999999999</v>
      </c>
      <c r="F70" s="14">
        <v>10328.67</v>
      </c>
      <c r="G70" s="14">
        <v>853.92</v>
      </c>
      <c r="H70" s="14">
        <v>3322.61</v>
      </c>
      <c r="I70" s="14">
        <v>150084.76999999999</v>
      </c>
      <c r="J70" s="19">
        <v>0.5399836673775269</v>
      </c>
    </row>
    <row r="71" spans="1:10" x14ac:dyDescent="0.3">
      <c r="A71" s="9" t="s">
        <v>186</v>
      </c>
      <c r="B71" s="20">
        <v>45747</v>
      </c>
      <c r="C71" s="9" t="s">
        <v>254</v>
      </c>
      <c r="D71" s="14">
        <v>195444.43</v>
      </c>
      <c r="E71" s="14">
        <v>14220.2</v>
      </c>
      <c r="F71" s="14">
        <v>5813.15</v>
      </c>
      <c r="G71" s="14">
        <v>13461.3</v>
      </c>
      <c r="H71" s="14">
        <v>25744.28</v>
      </c>
      <c r="I71" s="14">
        <v>254683.36</v>
      </c>
      <c r="J71" s="19">
        <v>0.5399836673775269</v>
      </c>
    </row>
    <row r="72" spans="1:10" x14ac:dyDescent="0.3">
      <c r="A72" s="9" t="s">
        <v>186</v>
      </c>
      <c r="B72" s="20">
        <v>45747</v>
      </c>
      <c r="C72" s="9" t="s">
        <v>253</v>
      </c>
      <c r="D72" s="14">
        <v>377774.53</v>
      </c>
      <c r="E72" s="14">
        <v>71175.360000000001</v>
      </c>
      <c r="F72" s="14">
        <v>14843.1</v>
      </c>
      <c r="G72" s="14">
        <v>19726.13</v>
      </c>
      <c r="H72" s="14">
        <v>127.94</v>
      </c>
      <c r="I72" s="14">
        <v>483647.05</v>
      </c>
      <c r="J72" s="19">
        <v>0.5399836673775269</v>
      </c>
    </row>
    <row r="73" spans="1:10" x14ac:dyDescent="0.3">
      <c r="A73" s="9" t="s">
        <v>186</v>
      </c>
      <c r="B73" s="20">
        <v>45747</v>
      </c>
      <c r="C73" s="9" t="s">
        <v>252</v>
      </c>
      <c r="D73" s="14">
        <v>874792.87</v>
      </c>
      <c r="E73" s="14">
        <v>33181.31</v>
      </c>
      <c r="F73" s="14">
        <v>34467.760000000002</v>
      </c>
      <c r="G73" s="14">
        <v>43609.53</v>
      </c>
      <c r="H73" s="14">
        <v>64217.279999999999</v>
      </c>
      <c r="I73" s="14">
        <v>1050268.75</v>
      </c>
      <c r="J73" s="19">
        <v>0.5399836673775269</v>
      </c>
    </row>
    <row r="74" spans="1:10" x14ac:dyDescent="0.3">
      <c r="A74" s="9" t="s">
        <v>186</v>
      </c>
      <c r="B74" s="20">
        <v>45747</v>
      </c>
      <c r="C74" s="9" t="s">
        <v>251</v>
      </c>
      <c r="D74" s="14">
        <v>6745.17</v>
      </c>
      <c r="E74" s="14">
        <v>342.58</v>
      </c>
      <c r="F74" s="14">
        <v>259.52999999999997</v>
      </c>
      <c r="G74" s="14">
        <v>610.25</v>
      </c>
      <c r="H74" s="14">
        <v>248.32</v>
      </c>
      <c r="I74" s="14">
        <v>8205.85</v>
      </c>
      <c r="J74" s="19">
        <v>0.5399836673775269</v>
      </c>
    </row>
    <row r="75" spans="1:10" x14ac:dyDescent="0.3">
      <c r="A75" s="9" t="s">
        <v>186</v>
      </c>
      <c r="B75" s="20">
        <v>45747</v>
      </c>
      <c r="C75" s="9" t="s">
        <v>250</v>
      </c>
      <c r="D75" s="14">
        <v>533176.29</v>
      </c>
      <c r="E75" s="14">
        <v>66437</v>
      </c>
      <c r="F75" s="14">
        <v>21180.76</v>
      </c>
      <c r="G75" s="14">
        <v>45789.54</v>
      </c>
      <c r="H75" s="14">
        <v>4022.02</v>
      </c>
      <c r="I75" s="14">
        <v>670605.6</v>
      </c>
      <c r="J75" s="19">
        <v>0.5399836673775269</v>
      </c>
    </row>
    <row r="76" spans="1:10" x14ac:dyDescent="0.3">
      <c r="A76" s="9" t="s">
        <v>186</v>
      </c>
      <c r="B76" s="20">
        <v>45747</v>
      </c>
      <c r="C76" s="9" t="s">
        <v>209</v>
      </c>
      <c r="D76" s="14">
        <v>34692.79</v>
      </c>
      <c r="E76" s="14">
        <v>4239.92</v>
      </c>
      <c r="F76" s="14">
        <v>2085.7800000000002</v>
      </c>
      <c r="G76" s="14">
        <v>1285.79</v>
      </c>
      <c r="H76" s="14">
        <v>1127.97</v>
      </c>
      <c r="I76" s="14">
        <v>43432.25</v>
      </c>
      <c r="J76" s="19">
        <v>0.5399836673775269</v>
      </c>
    </row>
    <row r="77" spans="1:10" x14ac:dyDescent="0.3">
      <c r="A77" s="9" t="s">
        <v>186</v>
      </c>
      <c r="B77" s="20">
        <v>45747</v>
      </c>
      <c r="C77" s="9" t="s">
        <v>229</v>
      </c>
      <c r="D77" s="14">
        <v>369218.97</v>
      </c>
      <c r="E77" s="14">
        <v>50018.35</v>
      </c>
      <c r="F77" s="14">
        <v>13820.53</v>
      </c>
      <c r="G77" s="14">
        <v>15657.93</v>
      </c>
      <c r="H77" s="14">
        <v>9202.43</v>
      </c>
      <c r="I77" s="14">
        <v>457918.21</v>
      </c>
      <c r="J77" s="19">
        <v>0.5399836673775269</v>
      </c>
    </row>
    <row r="78" spans="1:10" x14ac:dyDescent="0.3">
      <c r="A78" s="9" t="s">
        <v>186</v>
      </c>
      <c r="B78" s="20">
        <v>45747</v>
      </c>
      <c r="C78" s="9" t="s">
        <v>249</v>
      </c>
      <c r="D78" s="14">
        <v>296572.59000000003</v>
      </c>
      <c r="E78" s="14">
        <v>29207.279999999999</v>
      </c>
      <c r="F78" s="14">
        <v>14249.71</v>
      </c>
      <c r="G78" s="14">
        <v>10682.8</v>
      </c>
      <c r="H78" s="14">
        <v>8950.26</v>
      </c>
      <c r="I78" s="14">
        <v>359662.63</v>
      </c>
      <c r="J78" s="19">
        <v>0.5399836673775269</v>
      </c>
    </row>
    <row r="79" spans="1:10" x14ac:dyDescent="0.3">
      <c r="A79" s="9" t="s">
        <v>186</v>
      </c>
      <c r="B79" s="20">
        <v>45747</v>
      </c>
      <c r="C79" s="9" t="s">
        <v>243</v>
      </c>
      <c r="D79" s="14">
        <v>146467.57</v>
      </c>
      <c r="E79" s="14">
        <v>14673.25</v>
      </c>
      <c r="F79" s="14">
        <v>4716.62</v>
      </c>
      <c r="G79" s="14">
        <v>29942.62</v>
      </c>
      <c r="H79" s="14">
        <v>2196.5700000000002</v>
      </c>
      <c r="I79" s="14">
        <v>197996.64</v>
      </c>
      <c r="J79" s="19">
        <v>0.5399836673775269</v>
      </c>
    </row>
    <row r="80" spans="1:10" x14ac:dyDescent="0.3">
      <c r="A80" s="9" t="s">
        <v>186</v>
      </c>
      <c r="B80" s="20">
        <v>45747</v>
      </c>
      <c r="C80" s="9" t="s">
        <v>237</v>
      </c>
      <c r="D80" s="14">
        <v>500083.17</v>
      </c>
      <c r="E80" s="14">
        <v>46087.79</v>
      </c>
      <c r="F80" s="14">
        <v>4311.34</v>
      </c>
      <c r="G80" s="14">
        <v>18991.46</v>
      </c>
      <c r="H80" s="14">
        <v>8727.26</v>
      </c>
      <c r="I80" s="14">
        <v>578201.01</v>
      </c>
      <c r="J80" s="19">
        <v>0.5399836673775269</v>
      </c>
    </row>
    <row r="81" spans="1:10" x14ac:dyDescent="0.3">
      <c r="A81" s="9" t="s">
        <v>186</v>
      </c>
      <c r="B81" s="20">
        <v>45747</v>
      </c>
      <c r="C81" s="9" t="s">
        <v>248</v>
      </c>
      <c r="D81" s="14">
        <v>330175.24</v>
      </c>
      <c r="E81" s="14">
        <v>27775.65</v>
      </c>
      <c r="F81" s="14">
        <v>39858.32</v>
      </c>
      <c r="G81" s="14">
        <v>916.96</v>
      </c>
      <c r="H81" s="14">
        <v>13598.34</v>
      </c>
      <c r="I81" s="14">
        <v>412324.52</v>
      </c>
      <c r="J81" s="19">
        <v>0.5399836673775269</v>
      </c>
    </row>
    <row r="82" spans="1:10" x14ac:dyDescent="0.3">
      <c r="A82" s="9" t="s">
        <v>186</v>
      </c>
      <c r="B82" s="20">
        <v>45777</v>
      </c>
      <c r="C82" s="9" t="s">
        <v>256</v>
      </c>
      <c r="D82" s="14">
        <v>478669.2</v>
      </c>
      <c r="E82" s="14">
        <v>44328.89</v>
      </c>
      <c r="F82" s="14">
        <v>73937.83</v>
      </c>
      <c r="G82" s="14">
        <v>13595.29</v>
      </c>
      <c r="H82" s="14">
        <v>1550.25</v>
      </c>
      <c r="I82" s="14">
        <v>612081.46</v>
      </c>
      <c r="J82" s="19">
        <v>0.51655928926097072</v>
      </c>
    </row>
    <row r="83" spans="1:10" x14ac:dyDescent="0.3">
      <c r="A83" s="9" t="s">
        <v>186</v>
      </c>
      <c r="B83" s="20">
        <v>45777</v>
      </c>
      <c r="C83" s="9" t="s">
        <v>206</v>
      </c>
      <c r="D83" s="14">
        <v>99806.48</v>
      </c>
      <c r="E83" s="14">
        <v>17848.16</v>
      </c>
      <c r="F83" s="14">
        <v>536.70000000000005</v>
      </c>
      <c r="G83" s="14">
        <v>871.24</v>
      </c>
      <c r="H83" s="14">
        <v>2170.1</v>
      </c>
      <c r="I83" s="14">
        <v>121232.68</v>
      </c>
      <c r="J83" s="19">
        <v>0.51655928926097072</v>
      </c>
    </row>
    <row r="84" spans="1:10" x14ac:dyDescent="0.3">
      <c r="A84" s="9" t="s">
        <v>186</v>
      </c>
      <c r="B84" s="20">
        <v>45777</v>
      </c>
      <c r="C84" s="9" t="s">
        <v>223</v>
      </c>
      <c r="D84" s="14">
        <v>181017.22</v>
      </c>
      <c r="E84" s="14">
        <v>14506.78</v>
      </c>
      <c r="F84" s="14">
        <v>8771.14</v>
      </c>
      <c r="G84" s="14">
        <v>25359.35</v>
      </c>
      <c r="H84" s="14">
        <v>2922.11</v>
      </c>
      <c r="I84" s="14">
        <v>232576.6</v>
      </c>
      <c r="J84" s="19">
        <v>0.51655928926097072</v>
      </c>
    </row>
    <row r="85" spans="1:10" x14ac:dyDescent="0.3">
      <c r="A85" s="9" t="s">
        <v>186</v>
      </c>
      <c r="B85" s="20">
        <v>45777</v>
      </c>
      <c r="C85" s="9" t="s">
        <v>245</v>
      </c>
      <c r="D85" s="14">
        <v>66934.929999999993</v>
      </c>
      <c r="E85" s="14">
        <v>6296.63</v>
      </c>
      <c r="F85" s="14">
        <v>3725.82</v>
      </c>
      <c r="G85" s="14">
        <v>141.87</v>
      </c>
      <c r="H85" s="14">
        <v>1664.75</v>
      </c>
      <c r="I85" s="14">
        <v>78764.009999999995</v>
      </c>
      <c r="J85" s="19">
        <v>0.51655928926097072</v>
      </c>
    </row>
    <row r="86" spans="1:10" x14ac:dyDescent="0.3">
      <c r="A86" s="9" t="s">
        <v>186</v>
      </c>
      <c r="B86" s="20">
        <v>45777</v>
      </c>
      <c r="C86" s="9" t="s">
        <v>212</v>
      </c>
      <c r="D86" s="14">
        <v>97366.68</v>
      </c>
      <c r="E86" s="14">
        <v>7477.28</v>
      </c>
      <c r="F86" s="14">
        <v>3824.36</v>
      </c>
      <c r="G86" s="14">
        <v>10874.45</v>
      </c>
      <c r="H86" s="14">
        <v>1185.75</v>
      </c>
      <c r="I86" s="14">
        <v>120728.53</v>
      </c>
      <c r="J86" s="19">
        <v>0.51655928926097072</v>
      </c>
    </row>
    <row r="87" spans="1:10" x14ac:dyDescent="0.3">
      <c r="A87" s="9" t="s">
        <v>186</v>
      </c>
      <c r="B87" s="20">
        <v>45777</v>
      </c>
      <c r="C87" s="9" t="s">
        <v>255</v>
      </c>
      <c r="D87" s="14">
        <v>406399.41</v>
      </c>
      <c r="E87" s="14">
        <v>27962.39</v>
      </c>
      <c r="F87" s="14">
        <v>2984.67</v>
      </c>
      <c r="G87" s="14">
        <v>17574.91</v>
      </c>
      <c r="H87" s="14">
        <v>31594.74</v>
      </c>
      <c r="I87" s="14">
        <v>486516.12</v>
      </c>
      <c r="J87" s="19">
        <v>0.51655928926097072</v>
      </c>
    </row>
    <row r="88" spans="1:10" x14ac:dyDescent="0.3">
      <c r="A88" s="9" t="s">
        <v>186</v>
      </c>
      <c r="B88" s="20">
        <v>45777</v>
      </c>
      <c r="C88" s="9" t="s">
        <v>231</v>
      </c>
      <c r="D88" s="14">
        <v>139838.91</v>
      </c>
      <c r="E88" s="14">
        <v>20201.88</v>
      </c>
      <c r="F88" s="14">
        <v>13466.06</v>
      </c>
      <c r="G88" s="14">
        <v>3822.1</v>
      </c>
      <c r="H88" s="14">
        <v>2401.81</v>
      </c>
      <c r="I88" s="14">
        <v>179730.77</v>
      </c>
      <c r="J88" s="19">
        <v>0.51655928926097072</v>
      </c>
    </row>
    <row r="89" spans="1:10" x14ac:dyDescent="0.3">
      <c r="A89" s="9" t="s">
        <v>186</v>
      </c>
      <c r="B89" s="20">
        <v>45777</v>
      </c>
      <c r="C89" s="9" t="s">
        <v>224</v>
      </c>
      <c r="D89" s="14">
        <v>269752.59999999998</v>
      </c>
      <c r="E89" s="14">
        <v>32097.56</v>
      </c>
      <c r="F89" s="14">
        <v>15462.89</v>
      </c>
      <c r="G89" s="14">
        <v>23341.38</v>
      </c>
      <c r="H89" s="14">
        <v>447.83</v>
      </c>
      <c r="I89" s="14">
        <v>341102.26</v>
      </c>
      <c r="J89" s="19">
        <v>0.51655928926097072</v>
      </c>
    </row>
    <row r="90" spans="1:10" x14ac:dyDescent="0.3">
      <c r="A90" s="9" t="s">
        <v>186</v>
      </c>
      <c r="B90" s="20">
        <v>45777</v>
      </c>
      <c r="C90" s="9" t="s">
        <v>228</v>
      </c>
      <c r="D90" s="14">
        <v>379561.19</v>
      </c>
      <c r="E90" s="14">
        <v>40284.06</v>
      </c>
      <c r="F90" s="14">
        <v>17351.7</v>
      </c>
      <c r="G90" s="14">
        <v>7688.19</v>
      </c>
      <c r="H90" s="14">
        <v>27240.54</v>
      </c>
      <c r="I90" s="14">
        <v>472125.69</v>
      </c>
      <c r="J90" s="19">
        <v>0.51655928926097072</v>
      </c>
    </row>
    <row r="91" spans="1:10" x14ac:dyDescent="0.3">
      <c r="A91" s="9" t="s">
        <v>186</v>
      </c>
      <c r="B91" s="20">
        <v>45777</v>
      </c>
      <c r="C91" s="9" t="s">
        <v>254</v>
      </c>
      <c r="D91" s="14">
        <v>173670.43</v>
      </c>
      <c r="E91" s="14">
        <v>16378.41</v>
      </c>
      <c r="F91" s="14">
        <v>6714.48</v>
      </c>
      <c r="G91" s="14">
        <v>4843.74</v>
      </c>
      <c r="H91" s="14">
        <v>8995.7199999999993</v>
      </c>
      <c r="I91" s="14">
        <v>210602.78</v>
      </c>
      <c r="J91" s="19">
        <v>0.51655928926097072</v>
      </c>
    </row>
    <row r="92" spans="1:10" x14ac:dyDescent="0.3">
      <c r="A92" s="9" t="s">
        <v>186</v>
      </c>
      <c r="B92" s="20">
        <v>45777</v>
      </c>
      <c r="C92" s="9" t="s">
        <v>253</v>
      </c>
      <c r="D92" s="14">
        <v>120645.03</v>
      </c>
      <c r="E92" s="14">
        <v>12014.52</v>
      </c>
      <c r="F92" s="14">
        <v>806.62</v>
      </c>
      <c r="G92" s="14">
        <v>4431.07</v>
      </c>
      <c r="H92" s="14">
        <v>8445.16</v>
      </c>
      <c r="I92" s="14">
        <v>146342.39999999999</v>
      </c>
      <c r="J92" s="19">
        <v>0.51655928926097072</v>
      </c>
    </row>
    <row r="93" spans="1:10" x14ac:dyDescent="0.3">
      <c r="A93" s="9" t="s">
        <v>186</v>
      </c>
      <c r="B93" s="20">
        <v>45777</v>
      </c>
      <c r="C93" s="9" t="s">
        <v>252</v>
      </c>
      <c r="D93" s="14">
        <v>134254.99</v>
      </c>
      <c r="E93" s="14">
        <v>18818.259999999998</v>
      </c>
      <c r="F93" s="14">
        <v>648.29999999999995</v>
      </c>
      <c r="G93" s="14">
        <v>4293.18</v>
      </c>
      <c r="H93" s="14">
        <v>2343.36</v>
      </c>
      <c r="I93" s="14">
        <v>160358.09</v>
      </c>
      <c r="J93" s="19">
        <v>0.51655928926097072</v>
      </c>
    </row>
    <row r="94" spans="1:10" x14ac:dyDescent="0.3">
      <c r="A94" s="9" t="s">
        <v>186</v>
      </c>
      <c r="B94" s="20">
        <v>45777</v>
      </c>
      <c r="C94" s="9" t="s">
        <v>251</v>
      </c>
      <c r="D94" s="14">
        <v>798755.39</v>
      </c>
      <c r="E94" s="14">
        <v>57671.82</v>
      </c>
      <c r="F94" s="14">
        <v>99287</v>
      </c>
      <c r="G94" s="14">
        <v>57225.71</v>
      </c>
      <c r="H94" s="14">
        <v>8283.67</v>
      </c>
      <c r="I94" s="14">
        <v>1021223.59</v>
      </c>
      <c r="J94" s="19">
        <v>0.51655928926097072</v>
      </c>
    </row>
    <row r="95" spans="1:10" x14ac:dyDescent="0.3">
      <c r="A95" s="9" t="s">
        <v>186</v>
      </c>
      <c r="B95" s="20">
        <v>45777</v>
      </c>
      <c r="C95" s="9" t="s">
        <v>250</v>
      </c>
      <c r="D95" s="14">
        <v>309162.03999999998</v>
      </c>
      <c r="E95" s="14">
        <v>22640.18</v>
      </c>
      <c r="F95" s="14">
        <v>8779.6299999999992</v>
      </c>
      <c r="G95" s="14">
        <v>25609.66</v>
      </c>
      <c r="H95" s="14">
        <v>12136.25</v>
      </c>
      <c r="I95" s="14">
        <v>378327.77</v>
      </c>
      <c r="J95" s="19">
        <v>0.51655928926097072</v>
      </c>
    </row>
    <row r="96" spans="1:10" x14ac:dyDescent="0.3">
      <c r="A96" s="9" t="s">
        <v>186</v>
      </c>
      <c r="B96" s="20">
        <v>45777</v>
      </c>
      <c r="C96" s="9" t="s">
        <v>209</v>
      </c>
      <c r="D96" s="14">
        <v>414319.34</v>
      </c>
      <c r="E96" s="14">
        <v>20551.04</v>
      </c>
      <c r="F96" s="14">
        <v>46577.95</v>
      </c>
      <c r="G96" s="14">
        <v>7288.74</v>
      </c>
      <c r="H96" s="14">
        <v>5574.11</v>
      </c>
      <c r="I96" s="14">
        <v>494311.17</v>
      </c>
      <c r="J96" s="19">
        <v>0.51655928926097072</v>
      </c>
    </row>
    <row r="97" spans="1:10" x14ac:dyDescent="0.3">
      <c r="A97" s="9" t="s">
        <v>186</v>
      </c>
      <c r="B97" s="20">
        <v>45777</v>
      </c>
      <c r="C97" s="9" t="s">
        <v>229</v>
      </c>
      <c r="D97" s="14">
        <v>698871.85</v>
      </c>
      <c r="E97" s="14">
        <v>65733.63</v>
      </c>
      <c r="F97" s="14">
        <v>32349.119999999999</v>
      </c>
      <c r="G97" s="14">
        <v>11636.96</v>
      </c>
      <c r="H97" s="14">
        <v>8308.01</v>
      </c>
      <c r="I97" s="14">
        <v>816899.57</v>
      </c>
      <c r="J97" s="19">
        <v>0.51655928926097072</v>
      </c>
    </row>
    <row r="98" spans="1:10" x14ac:dyDescent="0.3">
      <c r="A98" s="9" t="s">
        <v>186</v>
      </c>
      <c r="B98" s="20">
        <v>45777</v>
      </c>
      <c r="C98" s="9" t="s">
        <v>249</v>
      </c>
      <c r="D98" s="14">
        <v>666663.05000000005</v>
      </c>
      <c r="E98" s="14">
        <v>36155.919999999998</v>
      </c>
      <c r="F98" s="14">
        <v>103686.5</v>
      </c>
      <c r="G98" s="14">
        <v>18822.09</v>
      </c>
      <c r="H98" s="14">
        <v>28709.88</v>
      </c>
      <c r="I98" s="14">
        <v>854037.44</v>
      </c>
      <c r="J98" s="19">
        <v>0.51655928926097072</v>
      </c>
    </row>
    <row r="99" spans="1:10" x14ac:dyDescent="0.3">
      <c r="A99" s="9" t="s">
        <v>186</v>
      </c>
      <c r="B99" s="20">
        <v>45777</v>
      </c>
      <c r="C99" s="9" t="s">
        <v>243</v>
      </c>
      <c r="D99" s="14">
        <v>642835.05000000005</v>
      </c>
      <c r="E99" s="14">
        <v>37945.97</v>
      </c>
      <c r="F99" s="14">
        <v>22426.09</v>
      </c>
      <c r="G99" s="14">
        <v>20312.990000000002</v>
      </c>
      <c r="H99" s="14">
        <v>31298.78</v>
      </c>
      <c r="I99" s="14">
        <v>754818.89</v>
      </c>
      <c r="J99" s="19">
        <v>0.51655928926097072</v>
      </c>
    </row>
    <row r="100" spans="1:10" x14ac:dyDescent="0.3">
      <c r="A100" s="9" t="s">
        <v>186</v>
      </c>
      <c r="B100" s="20">
        <v>45777</v>
      </c>
      <c r="C100" s="9" t="s">
        <v>237</v>
      </c>
      <c r="D100" s="14">
        <v>729562.95</v>
      </c>
      <c r="E100" s="14">
        <v>35572.69</v>
      </c>
      <c r="F100" s="14">
        <v>186807.42</v>
      </c>
      <c r="G100" s="14">
        <v>13359.44</v>
      </c>
      <c r="H100" s="14">
        <v>2405.83</v>
      </c>
      <c r="I100" s="14">
        <v>967708.33</v>
      </c>
      <c r="J100" s="19">
        <v>0.51655928926097072</v>
      </c>
    </row>
    <row r="101" spans="1:10" x14ac:dyDescent="0.3">
      <c r="A101" s="9" t="s">
        <v>186</v>
      </c>
      <c r="B101" s="20">
        <v>45777</v>
      </c>
      <c r="C101" s="9" t="s">
        <v>248</v>
      </c>
      <c r="D101" s="14">
        <v>447282.1</v>
      </c>
      <c r="E101" s="14">
        <v>53936.92</v>
      </c>
      <c r="F101" s="14">
        <v>25012.16</v>
      </c>
      <c r="G101" s="14">
        <v>15547.05</v>
      </c>
      <c r="H101" s="14">
        <v>36123.769999999997</v>
      </c>
      <c r="I101" s="14">
        <v>577902</v>
      </c>
      <c r="J101" s="19">
        <v>0.51655928926097072</v>
      </c>
    </row>
    <row r="102" spans="1:10" x14ac:dyDescent="0.3">
      <c r="A102" s="9" t="s">
        <v>186</v>
      </c>
      <c r="B102" s="20">
        <v>45808</v>
      </c>
      <c r="C102" s="9" t="s">
        <v>256</v>
      </c>
      <c r="D102" s="14">
        <v>497209.36</v>
      </c>
      <c r="E102" s="14">
        <v>35958.839999999997</v>
      </c>
      <c r="F102" s="14">
        <v>55659.25</v>
      </c>
      <c r="G102" s="14">
        <v>24517.47</v>
      </c>
      <c r="H102" s="14">
        <v>15281.2</v>
      </c>
      <c r="I102" s="14">
        <v>628626.13</v>
      </c>
      <c r="J102" s="19">
        <v>0.60790783182158059</v>
      </c>
    </row>
    <row r="103" spans="1:10" x14ac:dyDescent="0.3">
      <c r="A103" s="9" t="s">
        <v>186</v>
      </c>
      <c r="B103" s="20">
        <v>45808</v>
      </c>
      <c r="C103" s="9" t="s">
        <v>206</v>
      </c>
      <c r="D103" s="14">
        <v>488282.52</v>
      </c>
      <c r="E103" s="14">
        <v>59308.59</v>
      </c>
      <c r="F103" s="14">
        <v>58114.98</v>
      </c>
      <c r="G103" s="14">
        <v>15843.63</v>
      </c>
      <c r="H103" s="14">
        <v>7583.31</v>
      </c>
      <c r="I103" s="14">
        <v>629133.03</v>
      </c>
      <c r="J103" s="19">
        <v>0.60790783182158059</v>
      </c>
    </row>
    <row r="104" spans="1:10" x14ac:dyDescent="0.3">
      <c r="A104" s="9" t="s">
        <v>186</v>
      </c>
      <c r="B104" s="20">
        <v>45808</v>
      </c>
      <c r="C104" s="9" t="s">
        <v>223</v>
      </c>
      <c r="D104" s="14">
        <v>283279.2</v>
      </c>
      <c r="E104" s="14">
        <v>42286.07</v>
      </c>
      <c r="F104" s="14">
        <v>18113.650000000001</v>
      </c>
      <c r="G104" s="14">
        <v>5453.1</v>
      </c>
      <c r="H104" s="14">
        <v>11639.47</v>
      </c>
      <c r="I104" s="14">
        <v>360771.5</v>
      </c>
      <c r="J104" s="19">
        <v>0.60790783182158059</v>
      </c>
    </row>
    <row r="105" spans="1:10" x14ac:dyDescent="0.3">
      <c r="A105" s="9" t="s">
        <v>186</v>
      </c>
      <c r="B105" s="20">
        <v>45808</v>
      </c>
      <c r="C105" s="9" t="s">
        <v>245</v>
      </c>
      <c r="D105" s="14">
        <v>886434.82</v>
      </c>
      <c r="E105" s="14">
        <v>111627.19</v>
      </c>
      <c r="F105" s="14">
        <v>27899.759999999998</v>
      </c>
      <c r="G105" s="14">
        <v>51161.61</v>
      </c>
      <c r="H105" s="14">
        <v>2322.58</v>
      </c>
      <c r="I105" s="14">
        <v>1079445.96</v>
      </c>
      <c r="J105" s="19">
        <v>0.60790783182158059</v>
      </c>
    </row>
    <row r="106" spans="1:10" x14ac:dyDescent="0.3">
      <c r="A106" s="9" t="s">
        <v>186</v>
      </c>
      <c r="B106" s="20">
        <v>45808</v>
      </c>
      <c r="C106" s="9" t="s">
        <v>212</v>
      </c>
      <c r="D106" s="14">
        <v>432250.67</v>
      </c>
      <c r="E106" s="14">
        <v>71153.429999999993</v>
      </c>
      <c r="F106" s="14">
        <v>24345.8</v>
      </c>
      <c r="G106" s="14">
        <v>4722.54</v>
      </c>
      <c r="H106" s="14">
        <v>21397.7</v>
      </c>
      <c r="I106" s="14">
        <v>553870.14</v>
      </c>
      <c r="J106" s="19">
        <v>0.60790783182158059</v>
      </c>
    </row>
    <row r="107" spans="1:10" x14ac:dyDescent="0.3">
      <c r="A107" s="9" t="s">
        <v>186</v>
      </c>
      <c r="B107" s="20">
        <v>45808</v>
      </c>
      <c r="C107" s="9" t="s">
        <v>255</v>
      </c>
      <c r="D107" s="14">
        <v>171610.22</v>
      </c>
      <c r="E107" s="14">
        <v>14182.61</v>
      </c>
      <c r="F107" s="14">
        <v>14193.33</v>
      </c>
      <c r="G107" s="14">
        <v>6948.6</v>
      </c>
      <c r="H107" s="14">
        <v>7818.13</v>
      </c>
      <c r="I107" s="14">
        <v>214752.89</v>
      </c>
      <c r="J107" s="19">
        <v>0.60790783182158059</v>
      </c>
    </row>
    <row r="108" spans="1:10" x14ac:dyDescent="0.3">
      <c r="A108" s="9" t="s">
        <v>186</v>
      </c>
      <c r="B108" s="20">
        <v>45808</v>
      </c>
      <c r="C108" s="9" t="s">
        <v>231</v>
      </c>
      <c r="D108" s="14">
        <v>557405.04</v>
      </c>
      <c r="E108" s="14">
        <v>56064.09</v>
      </c>
      <c r="F108" s="14">
        <v>3550.65</v>
      </c>
      <c r="G108" s="14">
        <v>42231.83</v>
      </c>
      <c r="H108" s="14">
        <v>23433.17</v>
      </c>
      <c r="I108" s="14">
        <v>682684.77</v>
      </c>
      <c r="J108" s="19">
        <v>0.60790783182158059</v>
      </c>
    </row>
    <row r="109" spans="1:10" x14ac:dyDescent="0.3">
      <c r="A109" s="9" t="s">
        <v>186</v>
      </c>
      <c r="B109" s="20">
        <v>45808</v>
      </c>
      <c r="C109" s="9" t="s">
        <v>224</v>
      </c>
      <c r="D109" s="14">
        <v>113381.44</v>
      </c>
      <c r="E109" s="14">
        <v>19050.43</v>
      </c>
      <c r="F109" s="14">
        <v>3073.19</v>
      </c>
      <c r="G109" s="14">
        <v>795.13</v>
      </c>
      <c r="H109" s="14">
        <v>1592.93</v>
      </c>
      <c r="I109" s="14">
        <v>137893.13</v>
      </c>
      <c r="J109" s="19">
        <v>0.60790783182158059</v>
      </c>
    </row>
    <row r="110" spans="1:10" x14ac:dyDescent="0.3">
      <c r="A110" s="9" t="s">
        <v>186</v>
      </c>
      <c r="B110" s="20">
        <v>45808</v>
      </c>
      <c r="C110" s="9" t="s">
        <v>228</v>
      </c>
      <c r="D110" s="14">
        <v>672979.2</v>
      </c>
      <c r="E110" s="14">
        <v>64422.42</v>
      </c>
      <c r="F110" s="14">
        <v>28602.49</v>
      </c>
      <c r="G110" s="14">
        <v>27686.27</v>
      </c>
      <c r="H110" s="14">
        <v>25747.53</v>
      </c>
      <c r="I110" s="14">
        <v>819437.91</v>
      </c>
      <c r="J110" s="19">
        <v>0.60790783182158059</v>
      </c>
    </row>
    <row r="111" spans="1:10" x14ac:dyDescent="0.3">
      <c r="A111" s="9" t="s">
        <v>186</v>
      </c>
      <c r="B111" s="20">
        <v>45808</v>
      </c>
      <c r="C111" s="9" t="s">
        <v>254</v>
      </c>
      <c r="D111" s="14">
        <v>174041.44</v>
      </c>
      <c r="E111" s="14">
        <v>17288.849999999999</v>
      </c>
      <c r="F111" s="14">
        <v>11665.58</v>
      </c>
      <c r="G111" s="14">
        <v>8560.76</v>
      </c>
      <c r="H111" s="14">
        <v>643.54999999999995</v>
      </c>
      <c r="I111" s="14">
        <v>212200.18</v>
      </c>
      <c r="J111" s="19">
        <v>0.60790783182158059</v>
      </c>
    </row>
    <row r="112" spans="1:10" x14ac:dyDescent="0.3">
      <c r="A112" s="9" t="s">
        <v>186</v>
      </c>
      <c r="B112" s="20">
        <v>45808</v>
      </c>
      <c r="C112" s="9" t="s">
        <v>253</v>
      </c>
      <c r="D112" s="14">
        <v>883087.55</v>
      </c>
      <c r="E112" s="14">
        <v>88755.01</v>
      </c>
      <c r="F112" s="14">
        <v>45484.79</v>
      </c>
      <c r="G112" s="14">
        <v>33876.97</v>
      </c>
      <c r="H112" s="14">
        <v>38731.89</v>
      </c>
      <c r="I112" s="14">
        <v>1089936.21</v>
      </c>
      <c r="J112" s="19">
        <v>0.60790783182158059</v>
      </c>
    </row>
    <row r="113" spans="1:10" x14ac:dyDescent="0.3">
      <c r="A113" s="9" t="s">
        <v>186</v>
      </c>
      <c r="B113" s="20">
        <v>45808</v>
      </c>
      <c r="C113" s="9" t="s">
        <v>252</v>
      </c>
      <c r="D113" s="14">
        <v>84199.89</v>
      </c>
      <c r="E113" s="14">
        <v>3967.73</v>
      </c>
      <c r="F113" s="14">
        <v>2273.6799999999998</v>
      </c>
      <c r="G113" s="14">
        <v>3855.1</v>
      </c>
      <c r="H113" s="14">
        <v>1677.88</v>
      </c>
      <c r="I113" s="14">
        <v>95974.28</v>
      </c>
      <c r="J113" s="19">
        <v>0.60790783182158059</v>
      </c>
    </row>
    <row r="114" spans="1:10" x14ac:dyDescent="0.3">
      <c r="A114" s="9" t="s">
        <v>186</v>
      </c>
      <c r="B114" s="20">
        <v>45808</v>
      </c>
      <c r="C114" s="9" t="s">
        <v>251</v>
      </c>
      <c r="D114" s="14">
        <v>285018.15000000002</v>
      </c>
      <c r="E114" s="14">
        <v>58510.22</v>
      </c>
      <c r="F114" s="14">
        <v>6736.72</v>
      </c>
      <c r="G114" s="14">
        <v>12126.97</v>
      </c>
      <c r="H114" s="14">
        <v>16876.990000000002</v>
      </c>
      <c r="I114" s="14">
        <v>379269.04</v>
      </c>
      <c r="J114" s="19">
        <v>0.60790783182158059</v>
      </c>
    </row>
    <row r="115" spans="1:10" x14ac:dyDescent="0.3">
      <c r="A115" s="9" t="s">
        <v>186</v>
      </c>
      <c r="B115" s="20">
        <v>45808</v>
      </c>
      <c r="C115" s="9" t="s">
        <v>250</v>
      </c>
      <c r="D115" s="14">
        <v>222338.6</v>
      </c>
      <c r="E115" s="14">
        <v>19143.66</v>
      </c>
      <c r="F115" s="14">
        <v>5534.75</v>
      </c>
      <c r="G115" s="14">
        <v>10691.85</v>
      </c>
      <c r="H115" s="14">
        <v>6466.62</v>
      </c>
      <c r="I115" s="14">
        <v>264175.48</v>
      </c>
      <c r="J115" s="19">
        <v>0.60790783182158059</v>
      </c>
    </row>
    <row r="116" spans="1:10" x14ac:dyDescent="0.3">
      <c r="A116" s="9" t="s">
        <v>186</v>
      </c>
      <c r="B116" s="20">
        <v>45808</v>
      </c>
      <c r="C116" s="9" t="s">
        <v>209</v>
      </c>
      <c r="D116" s="14">
        <v>554283.86</v>
      </c>
      <c r="E116" s="14">
        <v>41245.74</v>
      </c>
      <c r="F116" s="14">
        <v>9568.2800000000007</v>
      </c>
      <c r="G116" s="14">
        <v>73558.31</v>
      </c>
      <c r="H116" s="14">
        <v>18664.169999999998</v>
      </c>
      <c r="I116" s="14">
        <v>697320.36</v>
      </c>
      <c r="J116" s="19">
        <v>0.60790783182158059</v>
      </c>
    </row>
    <row r="117" spans="1:10" x14ac:dyDescent="0.3">
      <c r="A117" s="9" t="s">
        <v>186</v>
      </c>
      <c r="B117" s="20">
        <v>45808</v>
      </c>
      <c r="C117" s="9" t="s">
        <v>229</v>
      </c>
      <c r="D117" s="14">
        <v>402548.77</v>
      </c>
      <c r="E117" s="14">
        <v>47321.46</v>
      </c>
      <c r="F117" s="14">
        <v>21932.3</v>
      </c>
      <c r="G117" s="14">
        <v>4033.89</v>
      </c>
      <c r="H117" s="14">
        <v>20258.009999999998</v>
      </c>
      <c r="I117" s="14">
        <v>496094.43</v>
      </c>
      <c r="J117" s="19">
        <v>0.60790783182158059</v>
      </c>
    </row>
    <row r="118" spans="1:10" x14ac:dyDescent="0.3">
      <c r="A118" s="9" t="s">
        <v>186</v>
      </c>
      <c r="B118" s="20">
        <v>45808</v>
      </c>
      <c r="C118" s="9" t="s">
        <v>249</v>
      </c>
      <c r="D118" s="14">
        <v>493679.27</v>
      </c>
      <c r="E118" s="14">
        <v>21002.35</v>
      </c>
      <c r="F118" s="14">
        <v>23853.98</v>
      </c>
      <c r="G118" s="14">
        <v>9101.41</v>
      </c>
      <c r="H118" s="14">
        <v>6008.59</v>
      </c>
      <c r="I118" s="14">
        <v>553645.61</v>
      </c>
      <c r="J118" s="19">
        <v>0.60790783182158059</v>
      </c>
    </row>
    <row r="119" spans="1:10" x14ac:dyDescent="0.3">
      <c r="A119" s="9" t="s">
        <v>186</v>
      </c>
      <c r="B119" s="20">
        <v>45808</v>
      </c>
      <c r="C119" s="9" t="s">
        <v>243</v>
      </c>
      <c r="D119" s="14">
        <v>469572.68</v>
      </c>
      <c r="E119" s="14">
        <v>50938.42</v>
      </c>
      <c r="F119" s="14">
        <v>16889.5</v>
      </c>
      <c r="G119" s="14">
        <v>5756.65</v>
      </c>
      <c r="H119" s="14">
        <v>5050.6899999999996</v>
      </c>
      <c r="I119" s="14">
        <v>548207.93000000005</v>
      </c>
      <c r="J119" s="19">
        <v>0.60790783182158059</v>
      </c>
    </row>
    <row r="120" spans="1:10" x14ac:dyDescent="0.3">
      <c r="A120" s="9" t="s">
        <v>186</v>
      </c>
      <c r="B120" s="20">
        <v>45808</v>
      </c>
      <c r="C120" s="9" t="s">
        <v>237</v>
      </c>
      <c r="D120" s="14">
        <v>596984.81999999995</v>
      </c>
      <c r="E120" s="14">
        <v>106181.46</v>
      </c>
      <c r="F120" s="14">
        <v>19865.78</v>
      </c>
      <c r="G120" s="14">
        <v>14549.48</v>
      </c>
      <c r="H120" s="14">
        <v>11466.01</v>
      </c>
      <c r="I120" s="14">
        <v>749047.56</v>
      </c>
      <c r="J120" s="19">
        <v>0.60790783182158059</v>
      </c>
    </row>
    <row r="121" spans="1:10" x14ac:dyDescent="0.3">
      <c r="A121" s="9" t="s">
        <v>186</v>
      </c>
      <c r="B121" s="20">
        <v>45808</v>
      </c>
      <c r="C121" s="9" t="s">
        <v>248</v>
      </c>
      <c r="D121" s="14">
        <v>261832.19</v>
      </c>
      <c r="E121" s="14">
        <v>20002.09</v>
      </c>
      <c r="F121" s="14">
        <v>12673.68</v>
      </c>
      <c r="G121" s="14">
        <v>5700.2</v>
      </c>
      <c r="H121" s="14">
        <v>20463.36</v>
      </c>
      <c r="I121" s="14">
        <v>320671.52</v>
      </c>
      <c r="J121" s="19">
        <v>0.60790783182158059</v>
      </c>
    </row>
    <row r="122" spans="1:10" x14ac:dyDescent="0.3">
      <c r="A122" s="9" t="s">
        <v>186</v>
      </c>
      <c r="B122" s="20">
        <v>45838</v>
      </c>
      <c r="C122" s="9" t="s">
        <v>256</v>
      </c>
      <c r="D122" s="14">
        <v>286722.2</v>
      </c>
      <c r="E122" s="14">
        <v>32098.09</v>
      </c>
      <c r="F122" s="14">
        <v>9244.01</v>
      </c>
      <c r="G122" s="14">
        <v>7537.05</v>
      </c>
      <c r="H122" s="14">
        <v>2101.9</v>
      </c>
      <c r="I122" s="14">
        <v>337703.24</v>
      </c>
      <c r="J122" s="19">
        <v>0.69398354680330543</v>
      </c>
    </row>
    <row r="123" spans="1:10" x14ac:dyDescent="0.3">
      <c r="A123" s="9" t="s">
        <v>186</v>
      </c>
      <c r="B123" s="20">
        <v>45838</v>
      </c>
      <c r="C123" s="9" t="s">
        <v>206</v>
      </c>
      <c r="D123" s="14">
        <v>474027.18</v>
      </c>
      <c r="E123" s="14">
        <v>30185.13</v>
      </c>
      <c r="F123" s="14">
        <v>1541.68</v>
      </c>
      <c r="G123" s="14">
        <v>65492.25</v>
      </c>
      <c r="H123" s="14">
        <v>27481.7</v>
      </c>
      <c r="I123" s="14">
        <v>598727.93999999994</v>
      </c>
      <c r="J123" s="19">
        <v>0.69398354680330543</v>
      </c>
    </row>
    <row r="124" spans="1:10" x14ac:dyDescent="0.3">
      <c r="A124" s="9" t="s">
        <v>186</v>
      </c>
      <c r="B124" s="20">
        <v>45838</v>
      </c>
      <c r="C124" s="9" t="s">
        <v>223</v>
      </c>
      <c r="D124" s="14">
        <v>253947.01</v>
      </c>
      <c r="E124" s="14">
        <v>24462.2</v>
      </c>
      <c r="F124" s="14">
        <v>4118.88</v>
      </c>
      <c r="G124" s="14">
        <v>901.55</v>
      </c>
      <c r="H124" s="14">
        <v>6342.34</v>
      </c>
      <c r="I124" s="14">
        <v>289771.96999999997</v>
      </c>
      <c r="J124" s="19">
        <v>0.69398354680330543</v>
      </c>
    </row>
    <row r="125" spans="1:10" x14ac:dyDescent="0.3">
      <c r="A125" s="9" t="s">
        <v>186</v>
      </c>
      <c r="B125" s="20">
        <v>45838</v>
      </c>
      <c r="C125" s="9" t="s">
        <v>245</v>
      </c>
      <c r="D125" s="14">
        <v>574637.05000000005</v>
      </c>
      <c r="E125" s="14">
        <v>108014.93</v>
      </c>
      <c r="F125" s="14">
        <v>45079.05</v>
      </c>
      <c r="G125" s="14">
        <v>10008.280000000001</v>
      </c>
      <c r="H125" s="14">
        <v>10417.94</v>
      </c>
      <c r="I125" s="14">
        <v>748157.25</v>
      </c>
      <c r="J125" s="19">
        <v>0.69398354680330543</v>
      </c>
    </row>
    <row r="126" spans="1:10" x14ac:dyDescent="0.3">
      <c r="A126" s="9" t="s">
        <v>186</v>
      </c>
      <c r="B126" s="20">
        <v>45838</v>
      </c>
      <c r="C126" s="9" t="s">
        <v>212</v>
      </c>
      <c r="D126" s="14">
        <v>162521.25</v>
      </c>
      <c r="E126" s="14">
        <v>13541.01</v>
      </c>
      <c r="F126" s="14">
        <v>9000.49</v>
      </c>
      <c r="G126" s="14">
        <v>8951.69</v>
      </c>
      <c r="H126" s="14">
        <v>7013.17</v>
      </c>
      <c r="I126" s="14">
        <v>201027.62</v>
      </c>
      <c r="J126" s="19">
        <v>0.69398354680330543</v>
      </c>
    </row>
    <row r="127" spans="1:10" x14ac:dyDescent="0.3">
      <c r="A127" s="9" t="s">
        <v>186</v>
      </c>
      <c r="B127" s="20">
        <v>45838</v>
      </c>
      <c r="C127" s="9" t="s">
        <v>255</v>
      </c>
      <c r="D127" s="14">
        <v>60058.52</v>
      </c>
      <c r="E127" s="14">
        <v>4849.5200000000004</v>
      </c>
      <c r="F127" s="14">
        <v>5256.1</v>
      </c>
      <c r="G127" s="14">
        <v>2093.2600000000002</v>
      </c>
      <c r="H127" s="14">
        <v>134.44999999999999</v>
      </c>
      <c r="I127" s="14">
        <v>72391.850000000006</v>
      </c>
      <c r="J127" s="19">
        <v>0.69398354680330543</v>
      </c>
    </row>
    <row r="128" spans="1:10" x14ac:dyDescent="0.3">
      <c r="A128" s="9" t="s">
        <v>186</v>
      </c>
      <c r="B128" s="20">
        <v>45838</v>
      </c>
      <c r="C128" s="9" t="s">
        <v>231</v>
      </c>
      <c r="D128" s="14">
        <v>578500.77</v>
      </c>
      <c r="E128" s="14">
        <v>87211.71</v>
      </c>
      <c r="F128" s="14">
        <v>29750.45</v>
      </c>
      <c r="G128" s="14">
        <v>1460.33</v>
      </c>
      <c r="H128" s="14">
        <v>26377.13</v>
      </c>
      <c r="I128" s="14">
        <v>723300.39</v>
      </c>
      <c r="J128" s="19">
        <v>0.69398354680330543</v>
      </c>
    </row>
    <row r="129" spans="1:10" x14ac:dyDescent="0.3">
      <c r="A129" s="9" t="s">
        <v>186</v>
      </c>
      <c r="B129" s="20">
        <v>45838</v>
      </c>
      <c r="C129" s="9" t="s">
        <v>224</v>
      </c>
      <c r="D129" s="14">
        <v>466632.67</v>
      </c>
      <c r="E129" s="14">
        <v>26899.83</v>
      </c>
      <c r="F129" s="14">
        <v>50821.85</v>
      </c>
      <c r="G129" s="14">
        <v>19849.32</v>
      </c>
      <c r="H129" s="14">
        <v>6246.53</v>
      </c>
      <c r="I129" s="14">
        <v>570450.19999999995</v>
      </c>
      <c r="J129" s="19">
        <v>0.69398354680330543</v>
      </c>
    </row>
    <row r="130" spans="1:10" x14ac:dyDescent="0.3">
      <c r="A130" s="9" t="s">
        <v>186</v>
      </c>
      <c r="B130" s="20">
        <v>45838</v>
      </c>
      <c r="C130" s="9" t="s">
        <v>228</v>
      </c>
      <c r="D130" s="14">
        <v>606461.37</v>
      </c>
      <c r="E130" s="14">
        <v>79070.149999999994</v>
      </c>
      <c r="F130" s="14">
        <v>35494.089999999997</v>
      </c>
      <c r="G130" s="14">
        <v>25759.34</v>
      </c>
      <c r="H130" s="14">
        <v>4362.8</v>
      </c>
      <c r="I130" s="14">
        <v>751147.76</v>
      </c>
      <c r="J130" s="19">
        <v>0.69398354680330543</v>
      </c>
    </row>
    <row r="131" spans="1:10" x14ac:dyDescent="0.3">
      <c r="A131" s="9" t="s">
        <v>186</v>
      </c>
      <c r="B131" s="20">
        <v>45838</v>
      </c>
      <c r="C131" s="9" t="s">
        <v>254</v>
      </c>
      <c r="D131" s="14">
        <v>73267.460000000006</v>
      </c>
      <c r="E131" s="14">
        <v>7288.86</v>
      </c>
      <c r="F131" s="14">
        <v>2474.42</v>
      </c>
      <c r="G131" s="14">
        <v>4266.29</v>
      </c>
      <c r="H131" s="14">
        <v>2783.23</v>
      </c>
      <c r="I131" s="14">
        <v>90080.27</v>
      </c>
      <c r="J131" s="19">
        <v>0.69398354680330543</v>
      </c>
    </row>
    <row r="132" spans="1:10" x14ac:dyDescent="0.3">
      <c r="A132" s="9" t="s">
        <v>186</v>
      </c>
      <c r="B132" s="20">
        <v>45838</v>
      </c>
      <c r="C132" s="9" t="s">
        <v>253</v>
      </c>
      <c r="D132" s="14">
        <v>692467.11</v>
      </c>
      <c r="E132" s="14">
        <v>110418.54</v>
      </c>
      <c r="F132" s="14">
        <v>66209.14</v>
      </c>
      <c r="G132" s="14">
        <v>12965.44</v>
      </c>
      <c r="H132" s="14">
        <v>15023.07</v>
      </c>
      <c r="I132" s="14">
        <v>897083.29</v>
      </c>
      <c r="J132" s="19">
        <v>0.69398354680330543</v>
      </c>
    </row>
    <row r="133" spans="1:10" x14ac:dyDescent="0.3">
      <c r="A133" s="9" t="s">
        <v>186</v>
      </c>
      <c r="B133" s="20">
        <v>45838</v>
      </c>
      <c r="C133" s="9" t="s">
        <v>252</v>
      </c>
      <c r="D133" s="14">
        <v>47491.96</v>
      </c>
      <c r="E133" s="14">
        <v>3217.31</v>
      </c>
      <c r="F133" s="14">
        <v>3760.75</v>
      </c>
      <c r="G133" s="14">
        <v>714.52</v>
      </c>
      <c r="H133" s="14">
        <v>559.24</v>
      </c>
      <c r="I133" s="14">
        <v>55743.79</v>
      </c>
      <c r="J133" s="19">
        <v>0.69398354680330543</v>
      </c>
    </row>
    <row r="134" spans="1:10" x14ac:dyDescent="0.3">
      <c r="A134" s="9" t="s">
        <v>186</v>
      </c>
      <c r="B134" s="20">
        <v>45838</v>
      </c>
      <c r="C134" s="9" t="s">
        <v>251</v>
      </c>
      <c r="D134" s="14">
        <v>928187.13</v>
      </c>
      <c r="E134" s="14">
        <v>95882.67</v>
      </c>
      <c r="F134" s="14">
        <v>35174.230000000003</v>
      </c>
      <c r="G134" s="14">
        <v>7238.75</v>
      </c>
      <c r="H134" s="14">
        <v>37029.980000000003</v>
      </c>
      <c r="I134" s="14">
        <v>1103512.77</v>
      </c>
      <c r="J134" s="19">
        <v>0.69398354680330543</v>
      </c>
    </row>
    <row r="135" spans="1:10" x14ac:dyDescent="0.3">
      <c r="A135" s="9" t="s">
        <v>186</v>
      </c>
      <c r="B135" s="20">
        <v>45838</v>
      </c>
      <c r="C135" s="9" t="s">
        <v>250</v>
      </c>
      <c r="D135" s="14">
        <v>897481.55</v>
      </c>
      <c r="E135" s="14">
        <v>26462.959999999999</v>
      </c>
      <c r="F135" s="14">
        <v>41185.42</v>
      </c>
      <c r="G135" s="14">
        <v>67564.460000000006</v>
      </c>
      <c r="H135" s="14">
        <v>51092.91</v>
      </c>
      <c r="I135" s="14">
        <v>1083787.3</v>
      </c>
      <c r="J135" s="19">
        <v>0.69398354680330543</v>
      </c>
    </row>
    <row r="136" spans="1:10" x14ac:dyDescent="0.3">
      <c r="A136" s="9" t="s">
        <v>186</v>
      </c>
      <c r="B136" s="20">
        <v>45838</v>
      </c>
      <c r="C136" s="9" t="s">
        <v>209</v>
      </c>
      <c r="D136" s="14">
        <v>768522.38</v>
      </c>
      <c r="E136" s="14">
        <v>16045.49</v>
      </c>
      <c r="F136" s="14">
        <v>81432.23</v>
      </c>
      <c r="G136" s="14">
        <v>39237.51</v>
      </c>
      <c r="H136" s="14">
        <v>18889.849999999999</v>
      </c>
      <c r="I136" s="14">
        <v>924127.45</v>
      </c>
      <c r="J136" s="19">
        <v>0.69398354680330543</v>
      </c>
    </row>
    <row r="137" spans="1:10" x14ac:dyDescent="0.3">
      <c r="A137" s="9" t="s">
        <v>186</v>
      </c>
      <c r="B137" s="20">
        <v>45838</v>
      </c>
      <c r="C137" s="9" t="s">
        <v>229</v>
      </c>
      <c r="D137" s="14">
        <v>299170.78999999998</v>
      </c>
      <c r="E137" s="14">
        <v>44550.64</v>
      </c>
      <c r="F137" s="14">
        <v>8276.34</v>
      </c>
      <c r="G137" s="14">
        <v>6968.47</v>
      </c>
      <c r="H137" s="14">
        <v>1999.36</v>
      </c>
      <c r="I137" s="14">
        <v>360965.6</v>
      </c>
      <c r="J137" s="19">
        <v>0.69398354680330543</v>
      </c>
    </row>
    <row r="138" spans="1:10" x14ac:dyDescent="0.3">
      <c r="A138" s="9" t="s">
        <v>186</v>
      </c>
      <c r="B138" s="20">
        <v>45838</v>
      </c>
      <c r="C138" s="9" t="s">
        <v>249</v>
      </c>
      <c r="D138" s="14">
        <v>583612.93000000005</v>
      </c>
      <c r="E138" s="14">
        <v>90711.07</v>
      </c>
      <c r="F138" s="14">
        <v>23157.65</v>
      </c>
      <c r="G138" s="14">
        <v>42334.6</v>
      </c>
      <c r="H138" s="14">
        <v>5188.45</v>
      </c>
      <c r="I138" s="14">
        <v>745004.71</v>
      </c>
      <c r="J138" s="19">
        <v>0.69398354680330543</v>
      </c>
    </row>
    <row r="139" spans="1:10" x14ac:dyDescent="0.3">
      <c r="A139" s="9" t="s">
        <v>186</v>
      </c>
      <c r="B139" s="20">
        <v>45838</v>
      </c>
      <c r="C139" s="9" t="s">
        <v>243</v>
      </c>
      <c r="D139" s="14">
        <v>989565.47</v>
      </c>
      <c r="E139" s="14">
        <v>100811.47</v>
      </c>
      <c r="F139" s="14">
        <v>31846.77</v>
      </c>
      <c r="G139" s="14">
        <v>16086.61</v>
      </c>
      <c r="H139" s="14">
        <v>6141.65</v>
      </c>
      <c r="I139" s="14">
        <v>1144451.98</v>
      </c>
      <c r="J139" s="19">
        <v>0.69398354680330543</v>
      </c>
    </row>
    <row r="140" spans="1:10" x14ac:dyDescent="0.3">
      <c r="A140" s="9" t="s">
        <v>186</v>
      </c>
      <c r="B140" s="20">
        <v>45838</v>
      </c>
      <c r="C140" s="9" t="s">
        <v>237</v>
      </c>
      <c r="D140" s="14">
        <v>678288.96</v>
      </c>
      <c r="E140" s="14">
        <v>52045.84</v>
      </c>
      <c r="F140" s="14">
        <v>36455.440000000002</v>
      </c>
      <c r="G140" s="14">
        <v>17619.169999999998</v>
      </c>
      <c r="H140" s="14">
        <v>42973.78</v>
      </c>
      <c r="I140" s="14">
        <v>827383.19</v>
      </c>
      <c r="J140" s="19">
        <v>0.69398354680330543</v>
      </c>
    </row>
    <row r="141" spans="1:10" x14ac:dyDescent="0.3">
      <c r="A141" s="9" t="s">
        <v>186</v>
      </c>
      <c r="B141" s="20">
        <v>45838</v>
      </c>
      <c r="C141" s="9" t="s">
        <v>248</v>
      </c>
      <c r="D141" s="14">
        <v>645683.28</v>
      </c>
      <c r="E141" s="14">
        <v>48305.599999999999</v>
      </c>
      <c r="F141" s="14">
        <v>42372.84</v>
      </c>
      <c r="G141" s="14">
        <v>20460.37</v>
      </c>
      <c r="H141" s="14">
        <v>5338.07</v>
      </c>
      <c r="I141" s="14">
        <v>762160.16</v>
      </c>
      <c r="J141" s="19">
        <v>0.69398354680330543</v>
      </c>
    </row>
    <row r="142" spans="1:10" x14ac:dyDescent="0.3">
      <c r="A142" s="9" t="s">
        <v>186</v>
      </c>
      <c r="B142" s="20">
        <v>45869</v>
      </c>
      <c r="C142" s="9" t="s">
        <v>256</v>
      </c>
      <c r="D142" s="14">
        <v>488169.86</v>
      </c>
      <c r="E142" s="14">
        <v>81384.31</v>
      </c>
      <c r="F142" s="14">
        <v>40910.19</v>
      </c>
      <c r="G142" s="14">
        <v>9405.2099999999991</v>
      </c>
      <c r="H142" s="14">
        <v>16743.23</v>
      </c>
      <c r="I142" s="14">
        <v>636612.79</v>
      </c>
      <c r="J142" s="19">
        <v>0.52384580115713908</v>
      </c>
    </row>
    <row r="143" spans="1:10" x14ac:dyDescent="0.3">
      <c r="A143" s="9" t="s">
        <v>186</v>
      </c>
      <c r="B143" s="20">
        <v>45869</v>
      </c>
      <c r="C143" s="9" t="s">
        <v>206</v>
      </c>
      <c r="D143" s="14">
        <v>626693.07999999996</v>
      </c>
      <c r="E143" s="14">
        <v>13498.62</v>
      </c>
      <c r="F143" s="14">
        <v>52600.66</v>
      </c>
      <c r="G143" s="14">
        <v>12181.9</v>
      </c>
      <c r="H143" s="14">
        <v>42005.88</v>
      </c>
      <c r="I143" s="14">
        <v>746980.14</v>
      </c>
      <c r="J143" s="19">
        <v>0.52384580115713908</v>
      </c>
    </row>
    <row r="144" spans="1:10" x14ac:dyDescent="0.3">
      <c r="A144" s="9" t="s">
        <v>186</v>
      </c>
      <c r="B144" s="20">
        <v>45869</v>
      </c>
      <c r="C144" s="9" t="s">
        <v>223</v>
      </c>
      <c r="D144" s="14">
        <v>705367.75</v>
      </c>
      <c r="E144" s="14">
        <v>20278.61</v>
      </c>
      <c r="F144" s="14">
        <v>45264.28</v>
      </c>
      <c r="G144" s="14">
        <v>72962.83</v>
      </c>
      <c r="H144" s="14">
        <v>24579.119999999999</v>
      </c>
      <c r="I144" s="14">
        <v>868452.6</v>
      </c>
      <c r="J144" s="19">
        <v>0.52384580115713908</v>
      </c>
    </row>
    <row r="145" spans="1:10" x14ac:dyDescent="0.3">
      <c r="A145" s="9" t="s">
        <v>186</v>
      </c>
      <c r="B145" s="20">
        <v>45869</v>
      </c>
      <c r="C145" s="9" t="s">
        <v>245</v>
      </c>
      <c r="D145" s="14">
        <v>371130.22</v>
      </c>
      <c r="E145" s="14">
        <v>24840.61</v>
      </c>
      <c r="F145" s="14">
        <v>33504.160000000003</v>
      </c>
      <c r="G145" s="14">
        <v>24385.02</v>
      </c>
      <c r="H145" s="14">
        <v>5481.86</v>
      </c>
      <c r="I145" s="14">
        <v>459341.87</v>
      </c>
      <c r="J145" s="19">
        <v>0.52384580115713908</v>
      </c>
    </row>
    <row r="146" spans="1:10" x14ac:dyDescent="0.3">
      <c r="A146" s="9" t="s">
        <v>186</v>
      </c>
      <c r="B146" s="20">
        <v>45869</v>
      </c>
      <c r="C146" s="9" t="s">
        <v>212</v>
      </c>
      <c r="D146" s="14">
        <v>19999.91</v>
      </c>
      <c r="E146" s="14">
        <v>1435.49</v>
      </c>
      <c r="F146" s="14">
        <v>1701.69</v>
      </c>
      <c r="G146" s="14">
        <v>996.06</v>
      </c>
      <c r="H146" s="14">
        <v>2147.46</v>
      </c>
      <c r="I146" s="14">
        <v>26280.61</v>
      </c>
      <c r="J146" s="19">
        <v>0.52384580115713908</v>
      </c>
    </row>
    <row r="147" spans="1:10" x14ac:dyDescent="0.3">
      <c r="A147" s="9" t="s">
        <v>186</v>
      </c>
      <c r="B147" s="20">
        <v>45869</v>
      </c>
      <c r="C147" s="9" t="s">
        <v>255</v>
      </c>
      <c r="D147" s="14">
        <v>163094.97</v>
      </c>
      <c r="E147" s="14">
        <v>5993.21</v>
      </c>
      <c r="F147" s="14">
        <v>14345.8</v>
      </c>
      <c r="G147" s="14">
        <v>2779.23</v>
      </c>
      <c r="H147" s="14">
        <v>4121.97</v>
      </c>
      <c r="I147" s="14">
        <v>190335.18</v>
      </c>
      <c r="J147" s="19">
        <v>0.52384580115713908</v>
      </c>
    </row>
    <row r="148" spans="1:10" x14ac:dyDescent="0.3">
      <c r="A148" s="9" t="s">
        <v>186</v>
      </c>
      <c r="B148" s="20">
        <v>45869</v>
      </c>
      <c r="C148" s="9" t="s">
        <v>231</v>
      </c>
      <c r="D148" s="14">
        <v>618979.32999999996</v>
      </c>
      <c r="E148" s="14">
        <v>30406.43</v>
      </c>
      <c r="F148" s="14">
        <v>62426.25</v>
      </c>
      <c r="G148" s="14">
        <v>14704.51</v>
      </c>
      <c r="H148" s="14">
        <v>10243.049999999999</v>
      </c>
      <c r="I148" s="14">
        <v>736759.57</v>
      </c>
      <c r="J148" s="19">
        <v>0.52384580115713908</v>
      </c>
    </row>
    <row r="149" spans="1:10" x14ac:dyDescent="0.3">
      <c r="A149" s="9" t="s">
        <v>186</v>
      </c>
      <c r="B149" s="20">
        <v>45869</v>
      </c>
      <c r="C149" s="9" t="s">
        <v>224</v>
      </c>
      <c r="D149" s="14">
        <v>112727.11</v>
      </c>
      <c r="E149" s="14">
        <v>11299.45</v>
      </c>
      <c r="F149" s="14">
        <v>6947.51</v>
      </c>
      <c r="G149" s="14">
        <v>3400.25</v>
      </c>
      <c r="H149" s="14">
        <v>1378.31</v>
      </c>
      <c r="I149" s="14">
        <v>135752.64000000001</v>
      </c>
      <c r="J149" s="19">
        <v>0.52384580115713908</v>
      </c>
    </row>
    <row r="150" spans="1:10" x14ac:dyDescent="0.3">
      <c r="A150" s="9" t="s">
        <v>186</v>
      </c>
      <c r="B150" s="20">
        <v>45869</v>
      </c>
      <c r="C150" s="9" t="s">
        <v>228</v>
      </c>
      <c r="D150" s="14">
        <v>441776.6</v>
      </c>
      <c r="E150" s="14">
        <v>55140.9</v>
      </c>
      <c r="F150" s="14">
        <v>44004.91</v>
      </c>
      <c r="G150" s="14">
        <v>16628.66</v>
      </c>
      <c r="H150" s="14">
        <v>11811.55</v>
      </c>
      <c r="I150" s="14">
        <v>569362.62</v>
      </c>
      <c r="J150" s="19">
        <v>0.52384580115713908</v>
      </c>
    </row>
    <row r="151" spans="1:10" x14ac:dyDescent="0.3">
      <c r="A151" s="9" t="s">
        <v>186</v>
      </c>
      <c r="B151" s="20">
        <v>45869</v>
      </c>
      <c r="C151" s="9" t="s">
        <v>254</v>
      </c>
      <c r="D151" s="14">
        <v>494036.9</v>
      </c>
      <c r="E151" s="14">
        <v>11190.85</v>
      </c>
      <c r="F151" s="14">
        <v>60124.18</v>
      </c>
      <c r="G151" s="14">
        <v>29715.32</v>
      </c>
      <c r="H151" s="14">
        <v>2570.06</v>
      </c>
      <c r="I151" s="14">
        <v>597637.31000000006</v>
      </c>
      <c r="J151" s="19">
        <v>0.52384580115713908</v>
      </c>
    </row>
    <row r="152" spans="1:10" x14ac:dyDescent="0.3">
      <c r="A152" s="9" t="s">
        <v>186</v>
      </c>
      <c r="B152" s="20">
        <v>45869</v>
      </c>
      <c r="C152" s="9" t="s">
        <v>253</v>
      </c>
      <c r="D152" s="14">
        <v>343119.16</v>
      </c>
      <c r="E152" s="14">
        <v>20951.560000000001</v>
      </c>
      <c r="F152" s="14">
        <v>16011.45</v>
      </c>
      <c r="G152" s="14">
        <v>19278.88</v>
      </c>
      <c r="H152" s="14">
        <v>7363.36</v>
      </c>
      <c r="I152" s="14">
        <v>406724.41</v>
      </c>
      <c r="J152" s="19">
        <v>0.52384580115713908</v>
      </c>
    </row>
    <row r="153" spans="1:10" x14ac:dyDescent="0.3">
      <c r="A153" s="9" t="s">
        <v>186</v>
      </c>
      <c r="B153" s="20">
        <v>45869</v>
      </c>
      <c r="C153" s="9" t="s">
        <v>252</v>
      </c>
      <c r="D153" s="14">
        <v>574329.74</v>
      </c>
      <c r="E153" s="14">
        <v>77095.72</v>
      </c>
      <c r="F153" s="14">
        <v>52587.96</v>
      </c>
      <c r="G153" s="14">
        <v>10332.07</v>
      </c>
      <c r="H153" s="14">
        <v>4042.89</v>
      </c>
      <c r="I153" s="14">
        <v>718388.37</v>
      </c>
      <c r="J153" s="19">
        <v>0.52384580115713908</v>
      </c>
    </row>
    <row r="154" spans="1:10" x14ac:dyDescent="0.3">
      <c r="A154" s="9" t="s">
        <v>186</v>
      </c>
      <c r="B154" s="20">
        <v>45869</v>
      </c>
      <c r="C154" s="9" t="s">
        <v>251</v>
      </c>
      <c r="D154" s="14">
        <v>90134.44</v>
      </c>
      <c r="E154" s="14">
        <v>10023.84</v>
      </c>
      <c r="F154" s="14">
        <v>4313.87</v>
      </c>
      <c r="G154" s="14">
        <v>1019.69</v>
      </c>
      <c r="H154" s="14">
        <v>6922.06</v>
      </c>
      <c r="I154" s="14">
        <v>112413.9</v>
      </c>
      <c r="J154" s="19">
        <v>0.52384580115713908</v>
      </c>
    </row>
    <row r="155" spans="1:10" x14ac:dyDescent="0.3">
      <c r="A155" s="9" t="s">
        <v>186</v>
      </c>
      <c r="B155" s="20">
        <v>45869</v>
      </c>
      <c r="C155" s="9" t="s">
        <v>250</v>
      </c>
      <c r="D155" s="14">
        <v>451070.44</v>
      </c>
      <c r="E155" s="14">
        <v>32960.6</v>
      </c>
      <c r="F155" s="14">
        <v>16294.16</v>
      </c>
      <c r="G155" s="14">
        <v>45170.6</v>
      </c>
      <c r="H155" s="14">
        <v>21838.69</v>
      </c>
      <c r="I155" s="14">
        <v>567334.49</v>
      </c>
      <c r="J155" s="19">
        <v>0.52384580115713908</v>
      </c>
    </row>
    <row r="156" spans="1:10" x14ac:dyDescent="0.3">
      <c r="A156" s="9" t="s">
        <v>186</v>
      </c>
      <c r="B156" s="20">
        <v>45869</v>
      </c>
      <c r="C156" s="9" t="s">
        <v>209</v>
      </c>
      <c r="D156" s="14">
        <v>287981.73</v>
      </c>
      <c r="E156" s="14">
        <v>17480.099999999999</v>
      </c>
      <c r="F156" s="14">
        <v>22658.76</v>
      </c>
      <c r="G156" s="14">
        <v>19065.77</v>
      </c>
      <c r="H156" s="14">
        <v>929.3</v>
      </c>
      <c r="I156" s="14">
        <v>348115.65</v>
      </c>
      <c r="J156" s="19">
        <v>0.52384580115713908</v>
      </c>
    </row>
    <row r="157" spans="1:10" x14ac:dyDescent="0.3">
      <c r="A157" s="9" t="s">
        <v>186</v>
      </c>
      <c r="B157" s="20">
        <v>45869</v>
      </c>
      <c r="C157" s="9" t="s">
        <v>229</v>
      </c>
      <c r="D157" s="14">
        <v>629375.32999999996</v>
      </c>
      <c r="E157" s="14">
        <v>72492.960000000006</v>
      </c>
      <c r="F157" s="14">
        <v>21826.73</v>
      </c>
      <c r="G157" s="14">
        <v>59955.95</v>
      </c>
      <c r="H157" s="14">
        <v>934.59</v>
      </c>
      <c r="I157" s="14">
        <v>784585.56</v>
      </c>
      <c r="J157" s="19">
        <v>0.52384580115713908</v>
      </c>
    </row>
    <row r="158" spans="1:10" x14ac:dyDescent="0.3">
      <c r="A158" s="9" t="s">
        <v>186</v>
      </c>
      <c r="B158" s="20">
        <v>45869</v>
      </c>
      <c r="C158" s="9" t="s">
        <v>249</v>
      </c>
      <c r="D158" s="14">
        <v>289962.45</v>
      </c>
      <c r="E158" s="14">
        <v>47245.07</v>
      </c>
      <c r="F158" s="14">
        <v>19791.73</v>
      </c>
      <c r="G158" s="14">
        <v>5500.44</v>
      </c>
      <c r="H158" s="14">
        <v>73.16</v>
      </c>
      <c r="I158" s="14">
        <v>362572.84</v>
      </c>
      <c r="J158" s="19">
        <v>0.52384580115713908</v>
      </c>
    </row>
    <row r="159" spans="1:10" x14ac:dyDescent="0.3">
      <c r="A159" s="9" t="s">
        <v>186</v>
      </c>
      <c r="B159" s="20">
        <v>45869</v>
      </c>
      <c r="C159" s="9" t="s">
        <v>243</v>
      </c>
      <c r="D159" s="14">
        <v>132294.34</v>
      </c>
      <c r="E159" s="14">
        <v>7269.9</v>
      </c>
      <c r="F159" s="14">
        <v>15219.16</v>
      </c>
      <c r="G159" s="14">
        <v>11921.92</v>
      </c>
      <c r="H159" s="14">
        <v>6087.13</v>
      </c>
      <c r="I159" s="14">
        <v>172792.46</v>
      </c>
      <c r="J159" s="19">
        <v>0.52384580115713908</v>
      </c>
    </row>
    <row r="160" spans="1:10" x14ac:dyDescent="0.3">
      <c r="A160" s="9" t="s">
        <v>186</v>
      </c>
      <c r="B160" s="20">
        <v>45869</v>
      </c>
      <c r="C160" s="9" t="s">
        <v>237</v>
      </c>
      <c r="D160" s="14">
        <v>239329.12</v>
      </c>
      <c r="E160" s="14">
        <v>42103.82</v>
      </c>
      <c r="F160" s="14">
        <v>9199.7000000000007</v>
      </c>
      <c r="G160" s="14">
        <v>16966.02</v>
      </c>
      <c r="H160" s="14">
        <v>7570.76</v>
      </c>
      <c r="I160" s="14">
        <v>315169.42</v>
      </c>
      <c r="J160" s="19">
        <v>0.52384580115713908</v>
      </c>
    </row>
    <row r="161" spans="1:10" x14ac:dyDescent="0.3">
      <c r="A161" s="9" t="s">
        <v>186</v>
      </c>
      <c r="B161" s="20">
        <v>45869</v>
      </c>
      <c r="C161" s="9" t="s">
        <v>248</v>
      </c>
      <c r="D161" s="14">
        <v>402201.13</v>
      </c>
      <c r="E161" s="14">
        <v>19591.63</v>
      </c>
      <c r="F161" s="14">
        <v>12363.64</v>
      </c>
      <c r="G161" s="14">
        <v>39193.879999999997</v>
      </c>
      <c r="H161" s="14">
        <v>6962.62</v>
      </c>
      <c r="I161" s="14">
        <v>480312.91</v>
      </c>
      <c r="J161" s="19">
        <v>0.52384580115713908</v>
      </c>
    </row>
    <row r="162" spans="1:10" x14ac:dyDescent="0.3">
      <c r="A162" s="9" t="s">
        <v>186</v>
      </c>
      <c r="B162" s="20">
        <v>45900</v>
      </c>
      <c r="C162" s="9" t="s">
        <v>256</v>
      </c>
      <c r="D162" s="14">
        <v>757337.86</v>
      </c>
      <c r="E162" s="14">
        <v>20471.32</v>
      </c>
      <c r="F162" s="14">
        <v>62247.040000000001</v>
      </c>
      <c r="G162" s="14">
        <v>21570.26</v>
      </c>
      <c r="H162" s="14">
        <v>17635.439999999999</v>
      </c>
      <c r="I162" s="14">
        <v>879261.92</v>
      </c>
      <c r="J162" s="19">
        <v>0.58327713871287679</v>
      </c>
    </row>
    <row r="163" spans="1:10" x14ac:dyDescent="0.3">
      <c r="A163" s="9" t="s">
        <v>186</v>
      </c>
      <c r="B163" s="20">
        <v>45900</v>
      </c>
      <c r="C163" s="9" t="s">
        <v>206</v>
      </c>
      <c r="D163" s="14">
        <v>203200.56</v>
      </c>
      <c r="E163" s="14">
        <v>7204.11</v>
      </c>
      <c r="F163" s="14">
        <v>17764.759999999998</v>
      </c>
      <c r="G163" s="14">
        <v>8671.36</v>
      </c>
      <c r="H163" s="14">
        <v>9271.09</v>
      </c>
      <c r="I163" s="14">
        <v>246111.88</v>
      </c>
      <c r="J163" s="19">
        <v>0.58327713871287679</v>
      </c>
    </row>
    <row r="164" spans="1:10" x14ac:dyDescent="0.3">
      <c r="A164" s="9" t="s">
        <v>186</v>
      </c>
      <c r="B164" s="20">
        <v>45900</v>
      </c>
      <c r="C164" s="9" t="s">
        <v>223</v>
      </c>
      <c r="D164" s="14">
        <v>511320.62</v>
      </c>
      <c r="E164" s="14">
        <v>44741.61</v>
      </c>
      <c r="F164" s="14">
        <v>42120.47</v>
      </c>
      <c r="G164" s="14">
        <v>15493.15</v>
      </c>
      <c r="H164" s="14">
        <v>1661.58</v>
      </c>
      <c r="I164" s="14">
        <v>615337.42000000004</v>
      </c>
      <c r="J164" s="19">
        <v>0.58327713871287679</v>
      </c>
    </row>
    <row r="165" spans="1:10" x14ac:dyDescent="0.3">
      <c r="A165" s="9" t="s">
        <v>186</v>
      </c>
      <c r="B165" s="20">
        <v>45900</v>
      </c>
      <c r="C165" s="9" t="s">
        <v>245</v>
      </c>
      <c r="D165" s="14">
        <v>19828.830000000002</v>
      </c>
      <c r="E165" s="14">
        <v>454.9</v>
      </c>
      <c r="F165" s="14">
        <v>2992.28</v>
      </c>
      <c r="G165" s="14">
        <v>1549.66</v>
      </c>
      <c r="H165" s="14">
        <v>726.45</v>
      </c>
      <c r="I165" s="14">
        <v>25552.12</v>
      </c>
      <c r="J165" s="19">
        <v>0.58327713871287679</v>
      </c>
    </row>
    <row r="166" spans="1:10" x14ac:dyDescent="0.3">
      <c r="A166" s="9" t="s">
        <v>186</v>
      </c>
      <c r="B166" s="20">
        <v>45900</v>
      </c>
      <c r="C166" s="9" t="s">
        <v>212</v>
      </c>
      <c r="D166" s="14">
        <v>737455.19</v>
      </c>
      <c r="E166" s="14">
        <v>45693.34</v>
      </c>
      <c r="F166" s="14">
        <v>96559.85</v>
      </c>
      <c r="G166" s="14">
        <v>23485.13</v>
      </c>
      <c r="H166" s="14">
        <v>35451.06</v>
      </c>
      <c r="I166" s="14">
        <v>938644.58</v>
      </c>
      <c r="J166" s="19">
        <v>0.58327713871287679</v>
      </c>
    </row>
    <row r="167" spans="1:10" x14ac:dyDescent="0.3">
      <c r="A167" s="9" t="s">
        <v>186</v>
      </c>
      <c r="B167" s="20">
        <v>45900</v>
      </c>
      <c r="C167" s="9" t="s">
        <v>255</v>
      </c>
      <c r="D167" s="14">
        <v>663158.37</v>
      </c>
      <c r="E167" s="14">
        <v>33783.94</v>
      </c>
      <c r="F167" s="14">
        <v>44670.2</v>
      </c>
      <c r="G167" s="14">
        <v>32583.78</v>
      </c>
      <c r="H167" s="14">
        <v>7218.03</v>
      </c>
      <c r="I167" s="14">
        <v>781414.32</v>
      </c>
      <c r="J167" s="19">
        <v>0.58327713871287679</v>
      </c>
    </row>
    <row r="168" spans="1:10" x14ac:dyDescent="0.3">
      <c r="A168" s="9" t="s">
        <v>186</v>
      </c>
      <c r="B168" s="20">
        <v>45900</v>
      </c>
      <c r="C168" s="9" t="s">
        <v>231</v>
      </c>
      <c r="D168" s="14">
        <v>518401.21</v>
      </c>
      <c r="E168" s="14">
        <v>72829.509999999995</v>
      </c>
      <c r="F168" s="14">
        <v>19276.87</v>
      </c>
      <c r="G168" s="14">
        <v>46952.47</v>
      </c>
      <c r="H168" s="14">
        <v>14351.6</v>
      </c>
      <c r="I168" s="14">
        <v>671811.65</v>
      </c>
      <c r="J168" s="19">
        <v>0.58327713871287679</v>
      </c>
    </row>
    <row r="169" spans="1:10" x14ac:dyDescent="0.3">
      <c r="A169" s="9" t="s">
        <v>186</v>
      </c>
      <c r="B169" s="20">
        <v>45900</v>
      </c>
      <c r="C169" s="9" t="s">
        <v>224</v>
      </c>
      <c r="D169" s="14">
        <v>409226.54</v>
      </c>
      <c r="E169" s="14">
        <v>48977.43</v>
      </c>
      <c r="F169" s="14">
        <v>17301.37</v>
      </c>
      <c r="G169" s="14">
        <v>21298.12</v>
      </c>
      <c r="H169" s="14">
        <v>8698.82</v>
      </c>
      <c r="I169" s="14">
        <v>505502.29</v>
      </c>
      <c r="J169" s="19">
        <v>0.58327713871287679</v>
      </c>
    </row>
    <row r="170" spans="1:10" x14ac:dyDescent="0.3">
      <c r="A170" s="9" t="s">
        <v>186</v>
      </c>
      <c r="B170" s="20">
        <v>45900</v>
      </c>
      <c r="C170" s="9" t="s">
        <v>228</v>
      </c>
      <c r="D170" s="14">
        <v>269787.95</v>
      </c>
      <c r="E170" s="14">
        <v>34489.94</v>
      </c>
      <c r="F170" s="14">
        <v>4474.84</v>
      </c>
      <c r="G170" s="14">
        <v>41656.31</v>
      </c>
      <c r="H170" s="14">
        <v>364.21</v>
      </c>
      <c r="I170" s="14">
        <v>350773.25</v>
      </c>
      <c r="J170" s="19">
        <v>0.58327713871287679</v>
      </c>
    </row>
    <row r="171" spans="1:10" x14ac:dyDescent="0.3">
      <c r="A171" s="9" t="s">
        <v>186</v>
      </c>
      <c r="B171" s="20">
        <v>45900</v>
      </c>
      <c r="C171" s="9" t="s">
        <v>254</v>
      </c>
      <c r="D171" s="14">
        <v>359041.97</v>
      </c>
      <c r="E171" s="14">
        <v>4635.75</v>
      </c>
      <c r="F171" s="14">
        <v>19601.2</v>
      </c>
      <c r="G171" s="14">
        <v>11576.37</v>
      </c>
      <c r="H171" s="14">
        <v>29644.63</v>
      </c>
      <c r="I171" s="14">
        <v>424499.92</v>
      </c>
      <c r="J171" s="19">
        <v>0.58327713871287679</v>
      </c>
    </row>
    <row r="172" spans="1:10" x14ac:dyDescent="0.3">
      <c r="A172" s="9" t="s">
        <v>186</v>
      </c>
      <c r="B172" s="20">
        <v>45900</v>
      </c>
      <c r="C172" s="9" t="s">
        <v>253</v>
      </c>
      <c r="D172" s="14">
        <v>505172.26</v>
      </c>
      <c r="E172" s="14">
        <v>74117.100000000006</v>
      </c>
      <c r="F172" s="14">
        <v>38962.93</v>
      </c>
      <c r="G172" s="14">
        <v>8488.7900000000009</v>
      </c>
      <c r="H172" s="14">
        <v>15563.9</v>
      </c>
      <c r="I172" s="14">
        <v>642304.99</v>
      </c>
      <c r="J172" s="19">
        <v>0.58327713871287679</v>
      </c>
    </row>
    <row r="173" spans="1:10" x14ac:dyDescent="0.3">
      <c r="A173" s="9" t="s">
        <v>186</v>
      </c>
      <c r="B173" s="20">
        <v>45900</v>
      </c>
      <c r="C173" s="9" t="s">
        <v>252</v>
      </c>
      <c r="D173" s="14">
        <v>385245.9</v>
      </c>
      <c r="E173" s="14">
        <v>15654.97</v>
      </c>
      <c r="F173" s="14">
        <v>15113.47</v>
      </c>
      <c r="G173" s="14">
        <v>62800.11</v>
      </c>
      <c r="H173" s="14">
        <v>16858.189999999999</v>
      </c>
      <c r="I173" s="14">
        <v>495672.64</v>
      </c>
      <c r="J173" s="19">
        <v>0.58327713871287679</v>
      </c>
    </row>
    <row r="174" spans="1:10" x14ac:dyDescent="0.3">
      <c r="A174" s="9" t="s">
        <v>186</v>
      </c>
      <c r="B174" s="20">
        <v>45900</v>
      </c>
      <c r="C174" s="9" t="s">
        <v>251</v>
      </c>
      <c r="D174" s="14">
        <v>712510.07</v>
      </c>
      <c r="E174" s="14">
        <v>24805.72</v>
      </c>
      <c r="F174" s="14">
        <v>90577.03</v>
      </c>
      <c r="G174" s="14">
        <v>14624.49</v>
      </c>
      <c r="H174" s="14">
        <v>28098.3</v>
      </c>
      <c r="I174" s="14">
        <v>870615.61</v>
      </c>
      <c r="J174" s="19">
        <v>0.58327713871287679</v>
      </c>
    </row>
    <row r="175" spans="1:10" x14ac:dyDescent="0.3">
      <c r="A175" s="9" t="s">
        <v>186</v>
      </c>
      <c r="B175" s="20">
        <v>45900</v>
      </c>
      <c r="C175" s="9" t="s">
        <v>250</v>
      </c>
      <c r="D175" s="14">
        <v>264356.78000000003</v>
      </c>
      <c r="E175" s="14">
        <v>30515.66</v>
      </c>
      <c r="F175" s="14">
        <v>8357.2800000000007</v>
      </c>
      <c r="G175" s="14">
        <v>6237.88</v>
      </c>
      <c r="H175" s="14">
        <v>6998.43</v>
      </c>
      <c r="I175" s="14">
        <v>316466.03999999998</v>
      </c>
      <c r="J175" s="19">
        <v>0.58327713871287679</v>
      </c>
    </row>
    <row r="176" spans="1:10" x14ac:dyDescent="0.3">
      <c r="A176" s="9" t="s">
        <v>186</v>
      </c>
      <c r="B176" s="20">
        <v>45900</v>
      </c>
      <c r="C176" s="9" t="s">
        <v>209</v>
      </c>
      <c r="D176" s="14">
        <v>663122.48</v>
      </c>
      <c r="E176" s="14">
        <v>83149.2</v>
      </c>
      <c r="F176" s="14">
        <v>41774.730000000003</v>
      </c>
      <c r="G176" s="14">
        <v>36589.839999999997</v>
      </c>
      <c r="H176" s="14">
        <v>16394.43</v>
      </c>
      <c r="I176" s="14">
        <v>841030.68</v>
      </c>
      <c r="J176" s="19">
        <v>0.58327713871287679</v>
      </c>
    </row>
    <row r="177" spans="1:10" x14ac:dyDescent="0.3">
      <c r="A177" s="9" t="s">
        <v>186</v>
      </c>
      <c r="B177" s="20">
        <v>45900</v>
      </c>
      <c r="C177" s="9" t="s">
        <v>229</v>
      </c>
      <c r="D177" s="14">
        <v>236666.65</v>
      </c>
      <c r="E177" s="14">
        <v>24702.82</v>
      </c>
      <c r="F177" s="14">
        <v>16483.849999999999</v>
      </c>
      <c r="G177" s="14">
        <v>7948.25</v>
      </c>
      <c r="H177" s="14">
        <v>7364.18</v>
      </c>
      <c r="I177" s="14">
        <v>293165.76</v>
      </c>
      <c r="J177" s="19">
        <v>0.58327713871287679</v>
      </c>
    </row>
    <row r="178" spans="1:10" x14ac:dyDescent="0.3">
      <c r="A178" s="9" t="s">
        <v>186</v>
      </c>
      <c r="B178" s="20">
        <v>45900</v>
      </c>
      <c r="C178" s="9" t="s">
        <v>249</v>
      </c>
      <c r="D178" s="14">
        <v>118215.95</v>
      </c>
      <c r="E178" s="14">
        <v>10196.59</v>
      </c>
      <c r="F178" s="14">
        <v>6677.89</v>
      </c>
      <c r="G178" s="14">
        <v>1012.94</v>
      </c>
      <c r="H178" s="14">
        <v>5181.1099999999997</v>
      </c>
      <c r="I178" s="14">
        <v>141284.48000000001</v>
      </c>
      <c r="J178" s="19">
        <v>0.58327713871287679</v>
      </c>
    </row>
    <row r="179" spans="1:10" x14ac:dyDescent="0.3">
      <c r="A179" s="9" t="s">
        <v>186</v>
      </c>
      <c r="B179" s="20">
        <v>45900</v>
      </c>
      <c r="C179" s="9" t="s">
        <v>243</v>
      </c>
      <c r="D179" s="14">
        <v>98161.26</v>
      </c>
      <c r="E179" s="14">
        <v>14000.34</v>
      </c>
      <c r="F179" s="14">
        <v>1454.85</v>
      </c>
      <c r="G179" s="14">
        <v>4424.0200000000004</v>
      </c>
      <c r="H179" s="14">
        <v>5932.96</v>
      </c>
      <c r="I179" s="14">
        <v>123973.43</v>
      </c>
      <c r="J179" s="19">
        <v>0.58327713871287679</v>
      </c>
    </row>
    <row r="180" spans="1:10" x14ac:dyDescent="0.3">
      <c r="A180" s="9" t="s">
        <v>186</v>
      </c>
      <c r="B180" s="20">
        <v>45900</v>
      </c>
      <c r="C180" s="9" t="s">
        <v>237</v>
      </c>
      <c r="D180" s="14">
        <v>213042.96</v>
      </c>
      <c r="E180" s="14">
        <v>24904.01</v>
      </c>
      <c r="F180" s="14">
        <v>14443.76</v>
      </c>
      <c r="G180" s="14">
        <v>6268.63</v>
      </c>
      <c r="H180" s="14">
        <v>221.98</v>
      </c>
      <c r="I180" s="14">
        <v>258881.34</v>
      </c>
      <c r="J180" s="19">
        <v>0.58327713871287679</v>
      </c>
    </row>
    <row r="181" spans="1:10" x14ac:dyDescent="0.3">
      <c r="A181" s="9" t="s">
        <v>186</v>
      </c>
      <c r="B181" s="20">
        <v>45900</v>
      </c>
      <c r="C181" s="9" t="s">
        <v>248</v>
      </c>
      <c r="D181" s="14">
        <v>766953.63</v>
      </c>
      <c r="E181" s="14">
        <v>53421.41</v>
      </c>
      <c r="F181" s="14">
        <v>48198.91</v>
      </c>
      <c r="G181" s="14">
        <v>17829.509999999998</v>
      </c>
      <c r="H181" s="14">
        <v>7131.66</v>
      </c>
      <c r="I181" s="14">
        <v>893535.12</v>
      </c>
      <c r="J181" s="19">
        <v>0.58327713871287679</v>
      </c>
    </row>
    <row r="182" spans="1:10" x14ac:dyDescent="0.3">
      <c r="A182" s="9" t="s">
        <v>186</v>
      </c>
      <c r="B182" s="20">
        <v>45930</v>
      </c>
      <c r="C182" s="9" t="s">
        <v>256</v>
      </c>
      <c r="D182" s="14">
        <v>263858.15000000002</v>
      </c>
      <c r="E182" s="14">
        <v>28134.91</v>
      </c>
      <c r="F182" s="14">
        <v>13067.83</v>
      </c>
      <c r="G182" s="14">
        <v>28372.55</v>
      </c>
      <c r="H182" s="14">
        <v>15097.14</v>
      </c>
      <c r="I182" s="14">
        <v>348530.59</v>
      </c>
      <c r="J182" s="19">
        <v>0.71454690376889385</v>
      </c>
    </row>
    <row r="183" spans="1:10" x14ac:dyDescent="0.3">
      <c r="A183" s="9" t="s">
        <v>186</v>
      </c>
      <c r="B183" s="20">
        <v>45930</v>
      </c>
      <c r="C183" s="9" t="s">
        <v>206</v>
      </c>
      <c r="D183" s="14">
        <v>928727.69</v>
      </c>
      <c r="E183" s="14">
        <v>94316.63</v>
      </c>
      <c r="F183" s="14">
        <v>30506.11</v>
      </c>
      <c r="G183" s="14">
        <v>6450.86</v>
      </c>
      <c r="H183" s="14">
        <v>24766.11</v>
      </c>
      <c r="I183" s="14">
        <v>1084767.4099999999</v>
      </c>
      <c r="J183" s="19">
        <v>0.71454690376889385</v>
      </c>
    </row>
    <row r="184" spans="1:10" x14ac:dyDescent="0.3">
      <c r="A184" s="9" t="s">
        <v>186</v>
      </c>
      <c r="B184" s="20">
        <v>45930</v>
      </c>
      <c r="C184" s="9" t="s">
        <v>223</v>
      </c>
      <c r="D184" s="14">
        <v>55595.21</v>
      </c>
      <c r="E184" s="14">
        <v>5050.5600000000004</v>
      </c>
      <c r="F184" s="14">
        <v>1836.08</v>
      </c>
      <c r="G184" s="14">
        <v>2617.63</v>
      </c>
      <c r="H184" s="14">
        <v>2312.17</v>
      </c>
      <c r="I184" s="14">
        <v>67411.649999999994</v>
      </c>
      <c r="J184" s="19">
        <v>0.71454690376889385</v>
      </c>
    </row>
    <row r="185" spans="1:10" x14ac:dyDescent="0.3">
      <c r="A185" s="9" t="s">
        <v>186</v>
      </c>
      <c r="B185" s="20">
        <v>45930</v>
      </c>
      <c r="C185" s="9" t="s">
        <v>245</v>
      </c>
      <c r="D185" s="14">
        <v>52851.54</v>
      </c>
      <c r="E185" s="14">
        <v>3142.07</v>
      </c>
      <c r="F185" s="14">
        <v>3559.02</v>
      </c>
      <c r="G185" s="14">
        <v>1790.28</v>
      </c>
      <c r="H185" s="14">
        <v>3617.61</v>
      </c>
      <c r="I185" s="14">
        <v>64960.52</v>
      </c>
      <c r="J185" s="19">
        <v>0.71454690376889385</v>
      </c>
    </row>
    <row r="186" spans="1:10" x14ac:dyDescent="0.3">
      <c r="A186" s="9" t="s">
        <v>186</v>
      </c>
      <c r="B186" s="20">
        <v>45930</v>
      </c>
      <c r="C186" s="9" t="s">
        <v>212</v>
      </c>
      <c r="D186" s="14">
        <v>426073.04</v>
      </c>
      <c r="E186" s="14">
        <v>60457.47</v>
      </c>
      <c r="F186" s="14">
        <v>32874.050000000003</v>
      </c>
      <c r="G186" s="14">
        <v>5456</v>
      </c>
      <c r="H186" s="14">
        <v>5085.68</v>
      </c>
      <c r="I186" s="14">
        <v>529946.24</v>
      </c>
      <c r="J186" s="19">
        <v>0.71454690376889385</v>
      </c>
    </row>
    <row r="187" spans="1:10" x14ac:dyDescent="0.3">
      <c r="A187" s="9" t="s">
        <v>186</v>
      </c>
      <c r="B187" s="20">
        <v>45930</v>
      </c>
      <c r="C187" s="9" t="s">
        <v>255</v>
      </c>
      <c r="D187" s="14">
        <v>310268.45</v>
      </c>
      <c r="E187" s="14">
        <v>33792.800000000003</v>
      </c>
      <c r="F187" s="14">
        <v>16307.28</v>
      </c>
      <c r="G187" s="14">
        <v>3907.57</v>
      </c>
      <c r="H187" s="14">
        <v>10638.81</v>
      </c>
      <c r="I187" s="14">
        <v>374914.9</v>
      </c>
      <c r="J187" s="19">
        <v>0.71454690376889385</v>
      </c>
    </row>
    <row r="188" spans="1:10" x14ac:dyDescent="0.3">
      <c r="A188" s="9" t="s">
        <v>186</v>
      </c>
      <c r="B188" s="20">
        <v>45930</v>
      </c>
      <c r="C188" s="9" t="s">
        <v>231</v>
      </c>
      <c r="D188" s="14">
        <v>737895.87</v>
      </c>
      <c r="E188" s="14">
        <v>50062.53</v>
      </c>
      <c r="F188" s="14">
        <v>61673.93</v>
      </c>
      <c r="G188" s="14">
        <v>47300.12</v>
      </c>
      <c r="H188" s="14">
        <v>61275.35</v>
      </c>
      <c r="I188" s="14">
        <v>958207.81</v>
      </c>
      <c r="J188" s="19">
        <v>0.71454690376889385</v>
      </c>
    </row>
    <row r="189" spans="1:10" x14ac:dyDescent="0.3">
      <c r="A189" s="9" t="s">
        <v>186</v>
      </c>
      <c r="B189" s="20">
        <v>45930</v>
      </c>
      <c r="C189" s="9" t="s">
        <v>224</v>
      </c>
      <c r="D189" s="14">
        <v>22102.07</v>
      </c>
      <c r="E189" s="14">
        <v>3694.32</v>
      </c>
      <c r="F189" s="14">
        <v>755.98</v>
      </c>
      <c r="G189" s="14">
        <v>1352.34</v>
      </c>
      <c r="H189" s="14">
        <v>94.01</v>
      </c>
      <c r="I189" s="14">
        <v>27998.720000000001</v>
      </c>
      <c r="J189" s="19">
        <v>0.71454690376889385</v>
      </c>
    </row>
    <row r="190" spans="1:10" x14ac:dyDescent="0.3">
      <c r="A190" s="9" t="s">
        <v>186</v>
      </c>
      <c r="B190" s="20">
        <v>45930</v>
      </c>
      <c r="C190" s="9" t="s">
        <v>228</v>
      </c>
      <c r="D190" s="14">
        <v>752923.19</v>
      </c>
      <c r="E190" s="14">
        <v>70379.070000000007</v>
      </c>
      <c r="F190" s="14">
        <v>74074.59</v>
      </c>
      <c r="G190" s="14">
        <v>47923.28</v>
      </c>
      <c r="H190" s="14">
        <v>28049.88</v>
      </c>
      <c r="I190" s="14">
        <v>973350</v>
      </c>
      <c r="J190" s="19">
        <v>0.71454690376889385</v>
      </c>
    </row>
    <row r="191" spans="1:10" x14ac:dyDescent="0.3">
      <c r="A191" s="9" t="s">
        <v>186</v>
      </c>
      <c r="B191" s="20">
        <v>45930</v>
      </c>
      <c r="C191" s="9" t="s">
        <v>254</v>
      </c>
      <c r="D191" s="14">
        <v>242751.28</v>
      </c>
      <c r="E191" s="14">
        <v>9364.84</v>
      </c>
      <c r="F191" s="14">
        <v>16339.99</v>
      </c>
      <c r="G191" s="14">
        <v>25984</v>
      </c>
      <c r="H191" s="14">
        <v>16858.830000000002</v>
      </c>
      <c r="I191" s="14">
        <v>311298.94</v>
      </c>
      <c r="J191" s="19">
        <v>0.71454690376889385</v>
      </c>
    </row>
    <row r="192" spans="1:10" x14ac:dyDescent="0.3">
      <c r="A192" s="9" t="s">
        <v>186</v>
      </c>
      <c r="B192" s="20">
        <v>45930</v>
      </c>
      <c r="C192" s="9" t="s">
        <v>253</v>
      </c>
      <c r="D192" s="14">
        <v>744306.42</v>
      </c>
      <c r="E192" s="14">
        <v>26089.49</v>
      </c>
      <c r="F192" s="14">
        <v>13959.13</v>
      </c>
      <c r="G192" s="14">
        <v>8927.68</v>
      </c>
      <c r="H192" s="14">
        <v>77278.03</v>
      </c>
      <c r="I192" s="14">
        <v>870560.75</v>
      </c>
      <c r="J192" s="19">
        <v>0.71454690376889385</v>
      </c>
    </row>
    <row r="193" spans="1:10" x14ac:dyDescent="0.3">
      <c r="A193" s="9" t="s">
        <v>186</v>
      </c>
      <c r="B193" s="20">
        <v>45930</v>
      </c>
      <c r="C193" s="9" t="s">
        <v>252</v>
      </c>
      <c r="D193" s="14">
        <v>15123.39</v>
      </c>
      <c r="E193" s="14">
        <v>589.79</v>
      </c>
      <c r="F193" s="14">
        <v>1935.57</v>
      </c>
      <c r="G193" s="14">
        <v>112.75</v>
      </c>
      <c r="H193" s="14">
        <v>230.41</v>
      </c>
      <c r="I193" s="14">
        <v>17991.91</v>
      </c>
      <c r="J193" s="19">
        <v>0.71454690376889385</v>
      </c>
    </row>
    <row r="194" spans="1:10" x14ac:dyDescent="0.3">
      <c r="A194" s="9" t="s">
        <v>186</v>
      </c>
      <c r="B194" s="20">
        <v>45930</v>
      </c>
      <c r="C194" s="9" t="s">
        <v>251</v>
      </c>
      <c r="D194" s="14">
        <v>851803.83</v>
      </c>
      <c r="E194" s="14">
        <v>66338.87</v>
      </c>
      <c r="F194" s="14">
        <v>32481.59</v>
      </c>
      <c r="G194" s="14">
        <v>47791.78</v>
      </c>
      <c r="H194" s="14">
        <v>9507.58</v>
      </c>
      <c r="I194" s="14">
        <v>1007923.64</v>
      </c>
      <c r="J194" s="19">
        <v>0.71454690376889385</v>
      </c>
    </row>
    <row r="195" spans="1:10" x14ac:dyDescent="0.3">
      <c r="A195" s="9" t="s">
        <v>186</v>
      </c>
      <c r="B195" s="20">
        <v>45930</v>
      </c>
      <c r="C195" s="9" t="s">
        <v>250</v>
      </c>
      <c r="D195" s="14">
        <v>742256.25</v>
      </c>
      <c r="E195" s="14">
        <v>16566.11</v>
      </c>
      <c r="F195" s="14">
        <v>10874.05</v>
      </c>
      <c r="G195" s="14">
        <v>131010.06</v>
      </c>
      <c r="H195" s="14">
        <v>10288.57</v>
      </c>
      <c r="I195" s="14">
        <v>910995.04</v>
      </c>
      <c r="J195" s="19">
        <v>0.71454690376889385</v>
      </c>
    </row>
    <row r="196" spans="1:10" x14ac:dyDescent="0.3">
      <c r="A196" s="9" t="s">
        <v>186</v>
      </c>
      <c r="B196" s="20">
        <v>45930</v>
      </c>
      <c r="C196" s="9" t="s">
        <v>209</v>
      </c>
      <c r="D196" s="14">
        <v>503699.92</v>
      </c>
      <c r="E196" s="14">
        <v>85079.8</v>
      </c>
      <c r="F196" s="14">
        <v>32523.9</v>
      </c>
      <c r="G196" s="14">
        <v>8807.51</v>
      </c>
      <c r="H196" s="14">
        <v>12444.8</v>
      </c>
      <c r="I196" s="14">
        <v>642555.92000000004</v>
      </c>
      <c r="J196" s="19">
        <v>0.71454690376889385</v>
      </c>
    </row>
    <row r="197" spans="1:10" x14ac:dyDescent="0.3">
      <c r="A197" s="9" t="s">
        <v>186</v>
      </c>
      <c r="B197" s="20">
        <v>45930</v>
      </c>
      <c r="C197" s="9" t="s">
        <v>229</v>
      </c>
      <c r="D197" s="14">
        <v>722152.3</v>
      </c>
      <c r="E197" s="14">
        <v>123436.71</v>
      </c>
      <c r="F197" s="14">
        <v>53050.37</v>
      </c>
      <c r="G197" s="14">
        <v>12863.67</v>
      </c>
      <c r="H197" s="14">
        <v>5384.14</v>
      </c>
      <c r="I197" s="14">
        <v>916887.19</v>
      </c>
      <c r="J197" s="19">
        <v>0.71454690376889385</v>
      </c>
    </row>
    <row r="198" spans="1:10" x14ac:dyDescent="0.3">
      <c r="A198" s="9" t="s">
        <v>186</v>
      </c>
      <c r="B198" s="20">
        <v>45930</v>
      </c>
      <c r="C198" s="9" t="s">
        <v>249</v>
      </c>
      <c r="D198" s="14">
        <v>666853.79</v>
      </c>
      <c r="E198" s="14">
        <v>126632.61</v>
      </c>
      <c r="F198" s="14">
        <v>25900.53</v>
      </c>
      <c r="G198" s="14">
        <v>38333.25</v>
      </c>
      <c r="H198" s="14">
        <v>25623.48</v>
      </c>
      <c r="I198" s="14">
        <v>883343.66</v>
      </c>
      <c r="J198" s="19">
        <v>0.71454690376889385</v>
      </c>
    </row>
    <row r="199" spans="1:10" x14ac:dyDescent="0.3">
      <c r="A199" s="9" t="s">
        <v>186</v>
      </c>
      <c r="B199" s="20">
        <v>45930</v>
      </c>
      <c r="C199" s="9" t="s">
        <v>243</v>
      </c>
      <c r="D199" s="14">
        <v>690871.17</v>
      </c>
      <c r="E199" s="14">
        <v>20537.16</v>
      </c>
      <c r="F199" s="14">
        <v>70334.42</v>
      </c>
      <c r="G199" s="14">
        <v>62550.34</v>
      </c>
      <c r="H199" s="14">
        <v>97627.24</v>
      </c>
      <c r="I199" s="14">
        <v>941920.33</v>
      </c>
      <c r="J199" s="19">
        <v>0.71454690376889385</v>
      </c>
    </row>
    <row r="200" spans="1:10" x14ac:dyDescent="0.3">
      <c r="A200" s="9" t="s">
        <v>186</v>
      </c>
      <c r="B200" s="20">
        <v>45930</v>
      </c>
      <c r="C200" s="9" t="s">
        <v>237</v>
      </c>
      <c r="D200" s="14">
        <v>611764.85</v>
      </c>
      <c r="E200" s="14">
        <v>85857.38</v>
      </c>
      <c r="F200" s="14">
        <v>25688.36</v>
      </c>
      <c r="G200" s="14">
        <v>17282.740000000002</v>
      </c>
      <c r="H200" s="14">
        <v>12561.62</v>
      </c>
      <c r="I200" s="14">
        <v>753154.95</v>
      </c>
      <c r="J200" s="19">
        <v>0.71454690376889385</v>
      </c>
    </row>
    <row r="201" spans="1:10" x14ac:dyDescent="0.3">
      <c r="A201" s="9" t="s">
        <v>186</v>
      </c>
      <c r="B201" s="20">
        <v>45930</v>
      </c>
      <c r="C201" s="9" t="s">
        <v>248</v>
      </c>
      <c r="D201" s="14">
        <v>836574.31</v>
      </c>
      <c r="E201" s="14">
        <v>66553.34</v>
      </c>
      <c r="F201" s="14">
        <v>56762.69</v>
      </c>
      <c r="G201" s="14">
        <v>77149.3</v>
      </c>
      <c r="H201" s="14">
        <v>31616.95</v>
      </c>
      <c r="I201" s="14">
        <v>1068656.5900000001</v>
      </c>
      <c r="J201" s="19">
        <v>0.71454690376889385</v>
      </c>
    </row>
    <row r="202" spans="1:10" x14ac:dyDescent="0.3">
      <c r="A202" s="9" t="s">
        <v>186</v>
      </c>
      <c r="B202" s="20">
        <v>45961</v>
      </c>
      <c r="C202" s="9" t="s">
        <v>256</v>
      </c>
      <c r="D202" s="14">
        <v>472706.65</v>
      </c>
      <c r="E202" s="14">
        <v>80965.320000000007</v>
      </c>
      <c r="F202" s="14">
        <v>4427.53</v>
      </c>
      <c r="G202" s="14">
        <v>35990.800000000003</v>
      </c>
      <c r="H202" s="14">
        <v>2274.89</v>
      </c>
      <c r="I202" s="14">
        <v>596365.18999999994</v>
      </c>
      <c r="J202" s="19">
        <v>0.56252947979050272</v>
      </c>
    </row>
    <row r="203" spans="1:10" x14ac:dyDescent="0.3">
      <c r="A203" s="9" t="s">
        <v>186</v>
      </c>
      <c r="B203" s="20">
        <v>45961</v>
      </c>
      <c r="C203" s="9" t="s">
        <v>206</v>
      </c>
      <c r="D203" s="14">
        <v>179779.39</v>
      </c>
      <c r="E203" s="14">
        <v>19676.689999999999</v>
      </c>
      <c r="F203" s="14">
        <v>10169.09</v>
      </c>
      <c r="G203" s="14">
        <v>4195.26</v>
      </c>
      <c r="H203" s="14">
        <v>10902.1</v>
      </c>
      <c r="I203" s="14">
        <v>224722.53</v>
      </c>
      <c r="J203" s="19">
        <v>0.56252947979050272</v>
      </c>
    </row>
    <row r="204" spans="1:10" x14ac:dyDescent="0.3">
      <c r="A204" s="9" t="s">
        <v>186</v>
      </c>
      <c r="B204" s="20">
        <v>45961</v>
      </c>
      <c r="C204" s="9" t="s">
        <v>223</v>
      </c>
      <c r="D204" s="14">
        <v>71015.600000000006</v>
      </c>
      <c r="E204" s="14">
        <v>5782.35</v>
      </c>
      <c r="F204" s="14">
        <v>4004.71</v>
      </c>
      <c r="G204" s="14">
        <v>4455.66</v>
      </c>
      <c r="H204" s="14">
        <v>1243.99</v>
      </c>
      <c r="I204" s="14">
        <v>86502.31</v>
      </c>
      <c r="J204" s="19">
        <v>0.56252947979050272</v>
      </c>
    </row>
    <row r="205" spans="1:10" x14ac:dyDescent="0.3">
      <c r="A205" s="9" t="s">
        <v>186</v>
      </c>
      <c r="B205" s="20">
        <v>45961</v>
      </c>
      <c r="C205" s="9" t="s">
        <v>245</v>
      </c>
      <c r="D205" s="14">
        <v>929095.22</v>
      </c>
      <c r="E205" s="14">
        <v>91911.7</v>
      </c>
      <c r="F205" s="14">
        <v>70616.210000000006</v>
      </c>
      <c r="G205" s="14">
        <v>23425.35</v>
      </c>
      <c r="H205" s="14">
        <v>6911.19</v>
      </c>
      <c r="I205" s="14">
        <v>1121959.67</v>
      </c>
      <c r="J205" s="19">
        <v>0.56252947979050272</v>
      </c>
    </row>
    <row r="206" spans="1:10" x14ac:dyDescent="0.3">
      <c r="A206" s="9" t="s">
        <v>186</v>
      </c>
      <c r="B206" s="20">
        <v>45961</v>
      </c>
      <c r="C206" s="9" t="s">
        <v>212</v>
      </c>
      <c r="D206" s="14">
        <v>559222.96</v>
      </c>
      <c r="E206" s="14">
        <v>35000.49</v>
      </c>
      <c r="F206" s="14">
        <v>55119.28</v>
      </c>
      <c r="G206" s="14">
        <v>53746.11</v>
      </c>
      <c r="H206" s="14">
        <v>1682.54</v>
      </c>
      <c r="I206" s="14">
        <v>704771.37</v>
      </c>
      <c r="J206" s="19">
        <v>0.56252947979050272</v>
      </c>
    </row>
    <row r="207" spans="1:10" x14ac:dyDescent="0.3">
      <c r="A207" s="9" t="s">
        <v>186</v>
      </c>
      <c r="B207" s="20">
        <v>45961</v>
      </c>
      <c r="C207" s="9" t="s">
        <v>255</v>
      </c>
      <c r="D207" s="14">
        <v>16486.07</v>
      </c>
      <c r="E207" s="14">
        <v>2303.8200000000002</v>
      </c>
      <c r="F207" s="14">
        <v>715.09</v>
      </c>
      <c r="G207" s="14">
        <v>477.52</v>
      </c>
      <c r="H207" s="14">
        <v>68.67</v>
      </c>
      <c r="I207" s="14">
        <v>20051.169999999998</v>
      </c>
      <c r="J207" s="19">
        <v>0.56252947979050272</v>
      </c>
    </row>
    <row r="208" spans="1:10" x14ac:dyDescent="0.3">
      <c r="A208" s="9" t="s">
        <v>186</v>
      </c>
      <c r="B208" s="20">
        <v>45961</v>
      </c>
      <c r="C208" s="9" t="s">
        <v>231</v>
      </c>
      <c r="D208" s="14">
        <v>675390.4</v>
      </c>
      <c r="E208" s="14">
        <v>23994.44</v>
      </c>
      <c r="F208" s="14">
        <v>43742.09</v>
      </c>
      <c r="G208" s="14">
        <v>59367.81</v>
      </c>
      <c r="H208" s="14">
        <v>28499.759999999998</v>
      </c>
      <c r="I208" s="14">
        <v>830994.5</v>
      </c>
      <c r="J208" s="19">
        <v>0.56252947979050272</v>
      </c>
    </row>
    <row r="209" spans="1:10" x14ac:dyDescent="0.3">
      <c r="A209" s="9" t="s">
        <v>186</v>
      </c>
      <c r="B209" s="20">
        <v>45961</v>
      </c>
      <c r="C209" s="9" t="s">
        <v>224</v>
      </c>
      <c r="D209" s="14">
        <v>167073.10999999999</v>
      </c>
      <c r="E209" s="14">
        <v>26963.25</v>
      </c>
      <c r="F209" s="14">
        <v>14390.17</v>
      </c>
      <c r="G209" s="14">
        <v>2274.42</v>
      </c>
      <c r="H209" s="14">
        <v>249.69</v>
      </c>
      <c r="I209" s="14">
        <v>210950.64</v>
      </c>
      <c r="J209" s="19">
        <v>0.56252947979050272</v>
      </c>
    </row>
    <row r="210" spans="1:10" x14ac:dyDescent="0.3">
      <c r="A210" s="9" t="s">
        <v>186</v>
      </c>
      <c r="B210" s="20">
        <v>45961</v>
      </c>
      <c r="C210" s="9" t="s">
        <v>228</v>
      </c>
      <c r="D210" s="14">
        <v>367959.19</v>
      </c>
      <c r="E210" s="14">
        <v>36899.64</v>
      </c>
      <c r="F210" s="14">
        <v>20181.259999999998</v>
      </c>
      <c r="G210" s="14">
        <v>15785.13</v>
      </c>
      <c r="H210" s="14">
        <v>18627.25</v>
      </c>
      <c r="I210" s="14">
        <v>459452.47</v>
      </c>
      <c r="J210" s="19">
        <v>0.56252947979050272</v>
      </c>
    </row>
    <row r="211" spans="1:10" x14ac:dyDescent="0.3">
      <c r="A211" s="9" t="s">
        <v>186</v>
      </c>
      <c r="B211" s="20">
        <v>45961</v>
      </c>
      <c r="C211" s="9" t="s">
        <v>254</v>
      </c>
      <c r="D211" s="14">
        <v>493833.04</v>
      </c>
      <c r="E211" s="14">
        <v>85163.43</v>
      </c>
      <c r="F211" s="14">
        <v>45573.42</v>
      </c>
      <c r="G211" s="14">
        <v>10549.86</v>
      </c>
      <c r="H211" s="14">
        <v>2839.62</v>
      </c>
      <c r="I211" s="14">
        <v>637959.37</v>
      </c>
      <c r="J211" s="19">
        <v>0.56252947979050272</v>
      </c>
    </row>
    <row r="212" spans="1:10" x14ac:dyDescent="0.3">
      <c r="A212" s="9" t="s">
        <v>186</v>
      </c>
      <c r="B212" s="20">
        <v>45961</v>
      </c>
      <c r="C212" s="9" t="s">
        <v>253</v>
      </c>
      <c r="D212" s="14">
        <v>667000.37</v>
      </c>
      <c r="E212" s="14">
        <v>94555.39</v>
      </c>
      <c r="F212" s="14">
        <v>33049.120000000003</v>
      </c>
      <c r="G212" s="14">
        <v>56450.6</v>
      </c>
      <c r="H212" s="14">
        <v>394.65</v>
      </c>
      <c r="I212" s="14">
        <v>851450.13</v>
      </c>
      <c r="J212" s="19">
        <v>0.56252947979050272</v>
      </c>
    </row>
    <row r="213" spans="1:10" x14ac:dyDescent="0.3">
      <c r="A213" s="9" t="s">
        <v>186</v>
      </c>
      <c r="B213" s="20">
        <v>45961</v>
      </c>
      <c r="C213" s="9" t="s">
        <v>252</v>
      </c>
      <c r="D213" s="14">
        <v>942312.34</v>
      </c>
      <c r="E213" s="14">
        <v>67858.649999999994</v>
      </c>
      <c r="F213" s="14">
        <v>21030.22</v>
      </c>
      <c r="G213" s="14">
        <v>76820.81</v>
      </c>
      <c r="H213" s="14">
        <v>11357.48</v>
      </c>
      <c r="I213" s="14">
        <v>1119379.5</v>
      </c>
      <c r="J213" s="19">
        <v>0.56252947979050272</v>
      </c>
    </row>
    <row r="214" spans="1:10" x14ac:dyDescent="0.3">
      <c r="A214" s="9" t="s">
        <v>186</v>
      </c>
      <c r="B214" s="20">
        <v>45961</v>
      </c>
      <c r="C214" s="9" t="s">
        <v>251</v>
      </c>
      <c r="D214" s="14">
        <v>249648.15</v>
      </c>
      <c r="E214" s="14">
        <v>15352.08</v>
      </c>
      <c r="F214" s="14">
        <v>7485.12</v>
      </c>
      <c r="G214" s="14">
        <v>10048.52</v>
      </c>
      <c r="H214" s="14">
        <v>9386.3799999999992</v>
      </c>
      <c r="I214" s="14">
        <v>291920.25</v>
      </c>
      <c r="J214" s="19">
        <v>0.56252947979050272</v>
      </c>
    </row>
    <row r="215" spans="1:10" x14ac:dyDescent="0.3">
      <c r="A215" s="9" t="s">
        <v>186</v>
      </c>
      <c r="B215" s="20">
        <v>45961</v>
      </c>
      <c r="C215" s="9" t="s">
        <v>250</v>
      </c>
      <c r="D215" s="14">
        <v>37396.06</v>
      </c>
      <c r="E215" s="14">
        <v>4045.28</v>
      </c>
      <c r="F215" s="14">
        <v>1549.61</v>
      </c>
      <c r="G215" s="14">
        <v>1095.74</v>
      </c>
      <c r="H215" s="14">
        <v>2250.75</v>
      </c>
      <c r="I215" s="14">
        <v>46337.43</v>
      </c>
      <c r="J215" s="19">
        <v>0.56252947979050272</v>
      </c>
    </row>
    <row r="216" spans="1:10" x14ac:dyDescent="0.3">
      <c r="A216" s="9" t="s">
        <v>186</v>
      </c>
      <c r="B216" s="20">
        <v>45961</v>
      </c>
      <c r="C216" s="9" t="s">
        <v>209</v>
      </c>
      <c r="D216" s="14">
        <v>185316.84</v>
      </c>
      <c r="E216" s="14">
        <v>34108.78</v>
      </c>
      <c r="F216" s="14">
        <v>4685.5</v>
      </c>
      <c r="G216" s="14">
        <v>1776.87</v>
      </c>
      <c r="H216" s="14">
        <v>6696.67</v>
      </c>
      <c r="I216" s="14">
        <v>232584.66</v>
      </c>
      <c r="J216" s="19">
        <v>0.56252947979050272</v>
      </c>
    </row>
    <row r="217" spans="1:10" x14ac:dyDescent="0.3">
      <c r="A217" s="9" t="s">
        <v>186</v>
      </c>
      <c r="B217" s="20">
        <v>45961</v>
      </c>
      <c r="C217" s="9" t="s">
        <v>229</v>
      </c>
      <c r="D217" s="14">
        <v>297906.19</v>
      </c>
      <c r="E217" s="14">
        <v>8419.17</v>
      </c>
      <c r="F217" s="14">
        <v>5537.29</v>
      </c>
      <c r="G217" s="14">
        <v>32039.15</v>
      </c>
      <c r="H217" s="14">
        <v>39026.29</v>
      </c>
      <c r="I217" s="14">
        <v>382928.09</v>
      </c>
      <c r="J217" s="19">
        <v>0.56252947979050272</v>
      </c>
    </row>
    <row r="218" spans="1:10" x14ac:dyDescent="0.3">
      <c r="A218" s="9" t="s">
        <v>186</v>
      </c>
      <c r="B218" s="20">
        <v>45961</v>
      </c>
      <c r="C218" s="9" t="s">
        <v>249</v>
      </c>
      <c r="D218" s="14">
        <v>215638.3</v>
      </c>
      <c r="E218" s="14">
        <v>21400.97</v>
      </c>
      <c r="F218" s="14">
        <v>3747.65</v>
      </c>
      <c r="G218" s="14">
        <v>10007.99</v>
      </c>
      <c r="H218" s="14">
        <v>1594</v>
      </c>
      <c r="I218" s="14">
        <v>252388.91</v>
      </c>
      <c r="J218" s="19">
        <v>0.56252947979050272</v>
      </c>
    </row>
    <row r="219" spans="1:10" x14ac:dyDescent="0.3">
      <c r="A219" s="9" t="s">
        <v>186</v>
      </c>
      <c r="B219" s="20">
        <v>45961</v>
      </c>
      <c r="C219" s="9" t="s">
        <v>243</v>
      </c>
      <c r="D219" s="14">
        <v>374685.38</v>
      </c>
      <c r="E219" s="14">
        <v>52099.37</v>
      </c>
      <c r="F219" s="14">
        <v>13183.1</v>
      </c>
      <c r="G219" s="14">
        <v>25558.66</v>
      </c>
      <c r="H219" s="14">
        <v>25461.55</v>
      </c>
      <c r="I219" s="14">
        <v>490988.06</v>
      </c>
      <c r="J219" s="19">
        <v>0.56252947979050272</v>
      </c>
    </row>
    <row r="220" spans="1:10" x14ac:dyDescent="0.3">
      <c r="A220" s="9" t="s">
        <v>186</v>
      </c>
      <c r="B220" s="20">
        <v>45961</v>
      </c>
      <c r="C220" s="9" t="s">
        <v>237</v>
      </c>
      <c r="D220" s="14">
        <v>362017.53</v>
      </c>
      <c r="E220" s="14">
        <v>53782.87</v>
      </c>
      <c r="F220" s="14">
        <v>26196.04</v>
      </c>
      <c r="G220" s="14">
        <v>15588.3</v>
      </c>
      <c r="H220" s="14">
        <v>39570.370000000003</v>
      </c>
      <c r="I220" s="14">
        <v>497155.11</v>
      </c>
      <c r="J220" s="19">
        <v>0.56252947979050272</v>
      </c>
    </row>
    <row r="221" spans="1:10" x14ac:dyDescent="0.3">
      <c r="A221" s="9" t="s">
        <v>186</v>
      </c>
      <c r="B221" s="20">
        <v>45961</v>
      </c>
      <c r="C221" s="9" t="s">
        <v>248</v>
      </c>
      <c r="D221" s="14">
        <v>879803.31</v>
      </c>
      <c r="E221" s="14">
        <v>163915.10999999999</v>
      </c>
      <c r="F221" s="14">
        <v>6980.25</v>
      </c>
      <c r="G221" s="14">
        <v>40004.769999999997</v>
      </c>
      <c r="H221" s="14">
        <v>11405.2</v>
      </c>
      <c r="I221" s="14">
        <v>1102108.6399999999</v>
      </c>
      <c r="J221" s="19">
        <v>0.56252947979050272</v>
      </c>
    </row>
    <row r="222" spans="1:10" x14ac:dyDescent="0.3">
      <c r="A222" s="9" t="s">
        <v>186</v>
      </c>
      <c r="B222" s="20">
        <v>45991</v>
      </c>
      <c r="C222" s="9" t="s">
        <v>256</v>
      </c>
      <c r="D222" s="14">
        <v>411915.13</v>
      </c>
      <c r="E222" s="14">
        <v>14015.75</v>
      </c>
      <c r="F222" s="14">
        <v>42519.23</v>
      </c>
      <c r="G222" s="14">
        <v>6971.86</v>
      </c>
      <c r="H222" s="14">
        <v>1784.82</v>
      </c>
      <c r="I222" s="14">
        <v>477206.78</v>
      </c>
      <c r="J222" s="19">
        <v>0.52114752754013316</v>
      </c>
    </row>
    <row r="223" spans="1:10" x14ac:dyDescent="0.3">
      <c r="A223" s="9" t="s">
        <v>186</v>
      </c>
      <c r="B223" s="20">
        <v>45991</v>
      </c>
      <c r="C223" s="9" t="s">
        <v>206</v>
      </c>
      <c r="D223" s="14">
        <v>508425.39</v>
      </c>
      <c r="E223" s="14">
        <v>39402.1</v>
      </c>
      <c r="F223" s="14">
        <v>34429.9</v>
      </c>
      <c r="G223" s="14">
        <v>6561.12</v>
      </c>
      <c r="H223" s="14">
        <v>7833.45</v>
      </c>
      <c r="I223" s="14">
        <v>596651.96</v>
      </c>
      <c r="J223" s="19">
        <v>0.52114752754013316</v>
      </c>
    </row>
    <row r="224" spans="1:10" x14ac:dyDescent="0.3">
      <c r="A224" s="9" t="s">
        <v>186</v>
      </c>
      <c r="B224" s="20">
        <v>45991</v>
      </c>
      <c r="C224" s="9" t="s">
        <v>223</v>
      </c>
      <c r="D224" s="14">
        <v>483108.73</v>
      </c>
      <c r="E224" s="14">
        <v>37952.959999999999</v>
      </c>
      <c r="F224" s="14">
        <v>28883.39</v>
      </c>
      <c r="G224" s="14">
        <v>16291.18</v>
      </c>
      <c r="H224" s="14">
        <v>30502.94</v>
      </c>
      <c r="I224" s="14">
        <v>596739.21</v>
      </c>
      <c r="J224" s="19">
        <v>0.52114752754013316</v>
      </c>
    </row>
    <row r="225" spans="1:10" x14ac:dyDescent="0.3">
      <c r="A225" s="9" t="s">
        <v>186</v>
      </c>
      <c r="B225" s="20">
        <v>45991</v>
      </c>
      <c r="C225" s="9" t="s">
        <v>245</v>
      </c>
      <c r="D225" s="14">
        <v>255060.56</v>
      </c>
      <c r="E225" s="14">
        <v>34407.18</v>
      </c>
      <c r="F225" s="14">
        <v>14091.34</v>
      </c>
      <c r="G225" s="14">
        <v>24344.28</v>
      </c>
      <c r="H225" s="14">
        <v>1246.21</v>
      </c>
      <c r="I225" s="14">
        <v>329149.56</v>
      </c>
      <c r="J225" s="19">
        <v>0.52114752754013316</v>
      </c>
    </row>
    <row r="226" spans="1:10" x14ac:dyDescent="0.3">
      <c r="A226" s="9" t="s">
        <v>186</v>
      </c>
      <c r="B226" s="20">
        <v>45991</v>
      </c>
      <c r="C226" s="9" t="s">
        <v>212</v>
      </c>
      <c r="D226" s="14">
        <v>240231.41</v>
      </c>
      <c r="E226" s="14">
        <v>8096.28</v>
      </c>
      <c r="F226" s="14">
        <v>31136.12</v>
      </c>
      <c r="G226" s="14">
        <v>9045.76</v>
      </c>
      <c r="H226" s="14">
        <v>1199.28</v>
      </c>
      <c r="I226" s="14">
        <v>289708.84000000003</v>
      </c>
      <c r="J226" s="19">
        <v>0.52114752754013316</v>
      </c>
    </row>
    <row r="227" spans="1:10" x14ac:dyDescent="0.3">
      <c r="A227" s="9" t="s">
        <v>186</v>
      </c>
      <c r="B227" s="20">
        <v>45991</v>
      </c>
      <c r="C227" s="9" t="s">
        <v>255</v>
      </c>
      <c r="D227" s="14">
        <v>758027.18</v>
      </c>
      <c r="E227" s="14">
        <v>36502.339999999997</v>
      </c>
      <c r="F227" s="14">
        <v>93155.71</v>
      </c>
      <c r="G227" s="14">
        <v>21837.77</v>
      </c>
      <c r="H227" s="14">
        <v>46216.79</v>
      </c>
      <c r="I227" s="14">
        <v>955739.79</v>
      </c>
      <c r="J227" s="19">
        <v>0.52114752754013316</v>
      </c>
    </row>
    <row r="228" spans="1:10" x14ac:dyDescent="0.3">
      <c r="A228" s="9" t="s">
        <v>186</v>
      </c>
      <c r="B228" s="20">
        <v>45991</v>
      </c>
      <c r="C228" s="9" t="s">
        <v>231</v>
      </c>
      <c r="D228" s="14">
        <v>109866.78</v>
      </c>
      <c r="E228" s="14">
        <v>9971.67</v>
      </c>
      <c r="F228" s="14">
        <v>7650.33</v>
      </c>
      <c r="G228" s="14">
        <v>180.25</v>
      </c>
      <c r="H228" s="14">
        <v>808.2</v>
      </c>
      <c r="I228" s="14">
        <v>128477.23</v>
      </c>
      <c r="J228" s="19">
        <v>0.52114752754013316</v>
      </c>
    </row>
    <row r="229" spans="1:10" x14ac:dyDescent="0.3">
      <c r="A229" s="9" t="s">
        <v>186</v>
      </c>
      <c r="B229" s="20">
        <v>45991</v>
      </c>
      <c r="C229" s="9" t="s">
        <v>224</v>
      </c>
      <c r="D229" s="14">
        <v>476482.36</v>
      </c>
      <c r="E229" s="14">
        <v>40189.65</v>
      </c>
      <c r="F229" s="14">
        <v>29418.29</v>
      </c>
      <c r="G229" s="14">
        <v>30607.56</v>
      </c>
      <c r="H229" s="14">
        <v>44378.91</v>
      </c>
      <c r="I229" s="14">
        <v>621076.78</v>
      </c>
      <c r="J229" s="19">
        <v>0.52114752754013316</v>
      </c>
    </row>
    <row r="230" spans="1:10" x14ac:dyDescent="0.3">
      <c r="A230" s="9" t="s">
        <v>186</v>
      </c>
      <c r="B230" s="20">
        <v>45991</v>
      </c>
      <c r="C230" s="9" t="s">
        <v>228</v>
      </c>
      <c r="D230" s="14">
        <v>521048.41</v>
      </c>
      <c r="E230" s="14">
        <v>57650.47</v>
      </c>
      <c r="F230" s="14">
        <v>33023.11</v>
      </c>
      <c r="G230" s="14">
        <v>18110.02</v>
      </c>
      <c r="H230" s="14">
        <v>23100.85</v>
      </c>
      <c r="I230" s="14">
        <v>652932.85</v>
      </c>
      <c r="J230" s="19">
        <v>0.52114752754013316</v>
      </c>
    </row>
    <row r="231" spans="1:10" x14ac:dyDescent="0.3">
      <c r="A231" s="9" t="s">
        <v>186</v>
      </c>
      <c r="B231" s="20">
        <v>45991</v>
      </c>
      <c r="C231" s="9" t="s">
        <v>254</v>
      </c>
      <c r="D231" s="14">
        <v>178168.19</v>
      </c>
      <c r="E231" s="14">
        <v>16541.18</v>
      </c>
      <c r="F231" s="14">
        <v>3509.16</v>
      </c>
      <c r="G231" s="14">
        <v>2285.9699999999998</v>
      </c>
      <c r="H231" s="14">
        <v>7767.63</v>
      </c>
      <c r="I231" s="14">
        <v>208272.12</v>
      </c>
      <c r="J231" s="19">
        <v>0.52114752754013316</v>
      </c>
    </row>
    <row r="232" spans="1:10" x14ac:dyDescent="0.3">
      <c r="A232" s="9" t="s">
        <v>186</v>
      </c>
      <c r="B232" s="20">
        <v>45991</v>
      </c>
      <c r="C232" s="9" t="s">
        <v>253</v>
      </c>
      <c r="D232" s="14">
        <v>21385.46</v>
      </c>
      <c r="E232" s="14">
        <v>1687.35</v>
      </c>
      <c r="F232" s="14">
        <v>2152.56</v>
      </c>
      <c r="G232" s="14">
        <v>283.25</v>
      </c>
      <c r="H232" s="14">
        <v>872.19</v>
      </c>
      <c r="I232" s="14">
        <v>26380.81</v>
      </c>
      <c r="J232" s="19">
        <v>0.52114752754013316</v>
      </c>
    </row>
    <row r="233" spans="1:10" x14ac:dyDescent="0.3">
      <c r="A233" s="9" t="s">
        <v>186</v>
      </c>
      <c r="B233" s="20">
        <v>45991</v>
      </c>
      <c r="C233" s="9" t="s">
        <v>252</v>
      </c>
      <c r="D233" s="14">
        <v>490627.37</v>
      </c>
      <c r="E233" s="14">
        <v>13868.38</v>
      </c>
      <c r="F233" s="14">
        <v>17175.36</v>
      </c>
      <c r="G233" s="14">
        <v>33006.36</v>
      </c>
      <c r="H233" s="14">
        <v>35262.959999999999</v>
      </c>
      <c r="I233" s="14">
        <v>589940.43000000005</v>
      </c>
      <c r="J233" s="19">
        <v>0.52114752754013316</v>
      </c>
    </row>
    <row r="234" spans="1:10" x14ac:dyDescent="0.3">
      <c r="A234" s="9" t="s">
        <v>186</v>
      </c>
      <c r="B234" s="20">
        <v>45991</v>
      </c>
      <c r="C234" s="9" t="s">
        <v>251</v>
      </c>
      <c r="D234" s="14">
        <v>525456.91</v>
      </c>
      <c r="E234" s="14">
        <v>33274.25</v>
      </c>
      <c r="F234" s="14">
        <v>46784.14</v>
      </c>
      <c r="G234" s="14">
        <v>4709.74</v>
      </c>
      <c r="H234" s="14">
        <v>23071.89</v>
      </c>
      <c r="I234" s="14">
        <v>633296.93999999994</v>
      </c>
      <c r="J234" s="19">
        <v>0.52114752754013316</v>
      </c>
    </row>
    <row r="235" spans="1:10" x14ac:dyDescent="0.3">
      <c r="A235" s="9" t="s">
        <v>186</v>
      </c>
      <c r="B235" s="20">
        <v>45991</v>
      </c>
      <c r="C235" s="9" t="s">
        <v>250</v>
      </c>
      <c r="D235" s="14">
        <v>145649.28</v>
      </c>
      <c r="E235" s="14">
        <v>13591.31</v>
      </c>
      <c r="F235" s="14">
        <v>6606.4</v>
      </c>
      <c r="G235" s="14">
        <v>8107.08</v>
      </c>
      <c r="H235" s="14">
        <v>8986.24</v>
      </c>
      <c r="I235" s="14">
        <v>182940.31</v>
      </c>
      <c r="J235" s="19">
        <v>0.52114752754013316</v>
      </c>
    </row>
    <row r="236" spans="1:10" x14ac:dyDescent="0.3">
      <c r="A236" s="9" t="s">
        <v>186</v>
      </c>
      <c r="B236" s="20">
        <v>45991</v>
      </c>
      <c r="C236" s="9" t="s">
        <v>209</v>
      </c>
      <c r="D236" s="14">
        <v>4417.26</v>
      </c>
      <c r="E236" s="14">
        <v>350.89</v>
      </c>
      <c r="F236" s="14">
        <v>218.95</v>
      </c>
      <c r="G236" s="14">
        <v>216.91</v>
      </c>
      <c r="H236" s="14">
        <v>86.57</v>
      </c>
      <c r="I236" s="14">
        <v>5290.59</v>
      </c>
      <c r="J236" s="19">
        <v>0.52114752754013316</v>
      </c>
    </row>
    <row r="237" spans="1:10" x14ac:dyDescent="0.3">
      <c r="A237" s="9" t="s">
        <v>186</v>
      </c>
      <c r="B237" s="20">
        <v>45991</v>
      </c>
      <c r="C237" s="9" t="s">
        <v>229</v>
      </c>
      <c r="D237" s="14">
        <v>479780.53</v>
      </c>
      <c r="E237" s="14">
        <v>23706.22</v>
      </c>
      <c r="F237" s="14">
        <v>33810.53</v>
      </c>
      <c r="G237" s="14">
        <v>33400.85</v>
      </c>
      <c r="H237" s="14">
        <v>40494.53</v>
      </c>
      <c r="I237" s="14">
        <v>611192.66</v>
      </c>
      <c r="J237" s="19">
        <v>0.52114752754013316</v>
      </c>
    </row>
    <row r="238" spans="1:10" x14ac:dyDescent="0.3">
      <c r="A238" s="9" t="s">
        <v>186</v>
      </c>
      <c r="B238" s="20">
        <v>45991</v>
      </c>
      <c r="C238" s="9" t="s">
        <v>249</v>
      </c>
      <c r="D238" s="14">
        <v>16957.419999999998</v>
      </c>
      <c r="E238" s="14">
        <v>1113.8</v>
      </c>
      <c r="F238" s="14">
        <v>1682.51</v>
      </c>
      <c r="G238" s="14">
        <v>977.97</v>
      </c>
      <c r="H238" s="14">
        <v>441.83</v>
      </c>
      <c r="I238" s="14">
        <v>21173.53</v>
      </c>
      <c r="J238" s="19">
        <v>0.52114752754013316</v>
      </c>
    </row>
    <row r="239" spans="1:10" x14ac:dyDescent="0.3">
      <c r="A239" s="9" t="s">
        <v>186</v>
      </c>
      <c r="B239" s="20">
        <v>45991</v>
      </c>
      <c r="C239" s="9" t="s">
        <v>243</v>
      </c>
      <c r="D239" s="14">
        <v>426652.34</v>
      </c>
      <c r="E239" s="14">
        <v>16596.259999999998</v>
      </c>
      <c r="F239" s="14">
        <v>17553.13</v>
      </c>
      <c r="G239" s="14">
        <v>9213.4699999999993</v>
      </c>
      <c r="H239" s="14">
        <v>19161.91</v>
      </c>
      <c r="I239" s="14">
        <v>489177.11</v>
      </c>
      <c r="J239" s="19">
        <v>0.52114752754013316</v>
      </c>
    </row>
    <row r="240" spans="1:10" x14ac:dyDescent="0.3">
      <c r="A240" s="9" t="s">
        <v>186</v>
      </c>
      <c r="B240" s="20">
        <v>45991</v>
      </c>
      <c r="C240" s="9" t="s">
        <v>237</v>
      </c>
      <c r="D240" s="14">
        <v>727264.38</v>
      </c>
      <c r="E240" s="14">
        <v>66952.28</v>
      </c>
      <c r="F240" s="14">
        <v>46075.05</v>
      </c>
      <c r="G240" s="14">
        <v>56108.21</v>
      </c>
      <c r="H240" s="14">
        <v>7077.6</v>
      </c>
      <c r="I240" s="14">
        <v>903477.52</v>
      </c>
      <c r="J240" s="19">
        <v>0.52114752754013316</v>
      </c>
    </row>
    <row r="241" spans="1:10" x14ac:dyDescent="0.3">
      <c r="A241" s="9" t="s">
        <v>186</v>
      </c>
      <c r="B241" s="20">
        <v>45991</v>
      </c>
      <c r="C241" s="9" t="s">
        <v>248</v>
      </c>
      <c r="D241" s="14">
        <v>813629.04</v>
      </c>
      <c r="E241" s="14">
        <v>74727.62</v>
      </c>
      <c r="F241" s="14">
        <v>15552.98</v>
      </c>
      <c r="G241" s="14">
        <v>54787.13</v>
      </c>
      <c r="H241" s="14">
        <v>32257.65</v>
      </c>
      <c r="I241" s="14">
        <v>990954.42</v>
      </c>
      <c r="J241" s="19">
        <v>0.52114752754013316</v>
      </c>
    </row>
    <row r="242" spans="1:10" x14ac:dyDescent="0.3">
      <c r="A242" s="9" t="s">
        <v>192</v>
      </c>
      <c r="B242" s="20">
        <v>45657</v>
      </c>
      <c r="C242" s="9" t="s">
        <v>228</v>
      </c>
      <c r="D242" s="14">
        <v>134450.29999999999</v>
      </c>
      <c r="E242" s="14">
        <v>5939.71</v>
      </c>
      <c r="F242" s="14">
        <v>8494.7800000000007</v>
      </c>
      <c r="G242" s="14">
        <v>6871.66</v>
      </c>
      <c r="H242" s="14">
        <v>6633.67</v>
      </c>
      <c r="I242" s="14">
        <v>162390.10999999999</v>
      </c>
      <c r="J242" s="19">
        <v>0.7034396011070323</v>
      </c>
    </row>
    <row r="243" spans="1:10" x14ac:dyDescent="0.3">
      <c r="A243" s="9" t="s">
        <v>192</v>
      </c>
      <c r="B243" s="20">
        <v>45657</v>
      </c>
      <c r="C243" s="9" t="s">
        <v>207</v>
      </c>
      <c r="D243" s="14">
        <v>91147.85</v>
      </c>
      <c r="E243" s="14">
        <v>4235.57</v>
      </c>
      <c r="F243" s="14">
        <v>6456.64</v>
      </c>
      <c r="G243" s="14">
        <v>4375.76</v>
      </c>
      <c r="H243" s="14">
        <v>4056.43</v>
      </c>
      <c r="I243" s="14">
        <v>110272.26</v>
      </c>
      <c r="J243" s="19">
        <v>0.7034396011070323</v>
      </c>
    </row>
    <row r="244" spans="1:10" x14ac:dyDescent="0.3">
      <c r="A244" s="9" t="s">
        <v>192</v>
      </c>
      <c r="B244" s="20">
        <v>45657</v>
      </c>
      <c r="C244" s="9" t="s">
        <v>211</v>
      </c>
      <c r="D244" s="14">
        <v>41768.949999999997</v>
      </c>
      <c r="E244" s="14">
        <v>4756.8999999999996</v>
      </c>
      <c r="F244" s="14">
        <v>1661.41</v>
      </c>
      <c r="G244" s="14">
        <v>1406.31</v>
      </c>
      <c r="H244" s="14">
        <v>703.64</v>
      </c>
      <c r="I244" s="14">
        <v>50297.21</v>
      </c>
      <c r="J244" s="19">
        <v>0.7034396011070323</v>
      </c>
    </row>
    <row r="245" spans="1:10" x14ac:dyDescent="0.3">
      <c r="A245" s="9" t="s">
        <v>192</v>
      </c>
      <c r="B245" s="20">
        <v>45657</v>
      </c>
      <c r="C245" s="9" t="s">
        <v>247</v>
      </c>
      <c r="D245" s="14">
        <v>288518.32</v>
      </c>
      <c r="E245" s="14">
        <v>17133.37</v>
      </c>
      <c r="F245" s="14">
        <v>34871.26</v>
      </c>
      <c r="G245" s="14">
        <v>8946.59</v>
      </c>
      <c r="H245" s="14">
        <v>4509.8900000000003</v>
      </c>
      <c r="I245" s="14">
        <v>353979.43</v>
      </c>
      <c r="J245" s="19">
        <v>0.7034396011070323</v>
      </c>
    </row>
    <row r="246" spans="1:10" x14ac:dyDescent="0.3">
      <c r="A246" s="9" t="s">
        <v>192</v>
      </c>
      <c r="B246" s="20">
        <v>45657</v>
      </c>
      <c r="C246" s="9" t="s">
        <v>234</v>
      </c>
      <c r="D246" s="14">
        <v>90477.38</v>
      </c>
      <c r="E246" s="14">
        <v>10087.129999999999</v>
      </c>
      <c r="F246" s="14">
        <v>13449.82</v>
      </c>
      <c r="G246" s="14">
        <v>7549.32</v>
      </c>
      <c r="H246" s="14">
        <v>52.91</v>
      </c>
      <c r="I246" s="14">
        <v>121616.55</v>
      </c>
      <c r="J246" s="19">
        <v>0.7034396011070323</v>
      </c>
    </row>
    <row r="247" spans="1:10" x14ac:dyDescent="0.3">
      <c r="A247" s="9" t="s">
        <v>192</v>
      </c>
      <c r="B247" s="20">
        <v>45657</v>
      </c>
      <c r="C247" s="9" t="s">
        <v>246</v>
      </c>
      <c r="D247" s="14">
        <v>211247.9</v>
      </c>
      <c r="E247" s="14">
        <v>12665.54</v>
      </c>
      <c r="F247" s="14">
        <v>16705.38</v>
      </c>
      <c r="G247" s="14">
        <v>9506.4</v>
      </c>
      <c r="H247" s="14">
        <v>5907.15</v>
      </c>
      <c r="I247" s="14">
        <v>256032.37</v>
      </c>
      <c r="J247" s="19">
        <v>0.7034396011070323</v>
      </c>
    </row>
    <row r="248" spans="1:10" x14ac:dyDescent="0.3">
      <c r="A248" s="9" t="s">
        <v>192</v>
      </c>
      <c r="B248" s="20">
        <v>45657</v>
      </c>
      <c r="C248" s="9" t="s">
        <v>219</v>
      </c>
      <c r="D248" s="14">
        <v>150385.25</v>
      </c>
      <c r="E248" s="14">
        <v>4105.29</v>
      </c>
      <c r="F248" s="14">
        <v>8012.7</v>
      </c>
      <c r="G248" s="14">
        <v>18645.8</v>
      </c>
      <c r="H248" s="14">
        <v>3058.14</v>
      </c>
      <c r="I248" s="14">
        <v>184207.18</v>
      </c>
      <c r="J248" s="19">
        <v>0.7034396011070323</v>
      </c>
    </row>
    <row r="249" spans="1:10" x14ac:dyDescent="0.3">
      <c r="A249" s="9" t="s">
        <v>192</v>
      </c>
      <c r="B249" s="20">
        <v>45657</v>
      </c>
      <c r="C249" s="9" t="s">
        <v>223</v>
      </c>
      <c r="D249" s="14">
        <v>261755.42</v>
      </c>
      <c r="E249" s="14">
        <v>6993.33</v>
      </c>
      <c r="F249" s="14">
        <v>17421.650000000001</v>
      </c>
      <c r="G249" s="14">
        <v>12854.17</v>
      </c>
      <c r="H249" s="14">
        <v>23432.62</v>
      </c>
      <c r="I249" s="14">
        <v>322457.2</v>
      </c>
      <c r="J249" s="19">
        <v>0.7034396011070323</v>
      </c>
    </row>
    <row r="250" spans="1:10" x14ac:dyDescent="0.3">
      <c r="A250" s="9" t="s">
        <v>192</v>
      </c>
      <c r="B250" s="20">
        <v>45657</v>
      </c>
      <c r="C250" s="9" t="s">
        <v>245</v>
      </c>
      <c r="D250" s="14">
        <v>104304.04</v>
      </c>
      <c r="E250" s="14">
        <v>4345.93</v>
      </c>
      <c r="F250" s="14">
        <v>11753.13</v>
      </c>
      <c r="G250" s="14">
        <v>2671.14</v>
      </c>
      <c r="H250" s="14">
        <v>2230.7800000000002</v>
      </c>
      <c r="I250" s="14">
        <v>125305.02</v>
      </c>
      <c r="J250" s="19">
        <v>0.7034396011070323</v>
      </c>
    </row>
    <row r="251" spans="1:10" x14ac:dyDescent="0.3">
      <c r="A251" s="9" t="s">
        <v>192</v>
      </c>
      <c r="B251" s="20">
        <v>45657</v>
      </c>
      <c r="C251" s="9" t="s">
        <v>244</v>
      </c>
      <c r="D251" s="14">
        <v>271577.83</v>
      </c>
      <c r="E251" s="14">
        <v>12572.23</v>
      </c>
      <c r="F251" s="14">
        <v>20209.04</v>
      </c>
      <c r="G251" s="14">
        <v>14812.92</v>
      </c>
      <c r="H251" s="14">
        <v>3856.27</v>
      </c>
      <c r="I251" s="14">
        <v>323028.28999999998</v>
      </c>
      <c r="J251" s="19">
        <v>0.7034396011070323</v>
      </c>
    </row>
    <row r="252" spans="1:10" x14ac:dyDescent="0.3">
      <c r="A252" s="9" t="s">
        <v>192</v>
      </c>
      <c r="B252" s="20">
        <v>45657</v>
      </c>
      <c r="C252" s="9" t="s">
        <v>243</v>
      </c>
      <c r="D252" s="14">
        <v>286992.23</v>
      </c>
      <c r="E252" s="14">
        <v>29681.09</v>
      </c>
      <c r="F252" s="14">
        <v>2238.19</v>
      </c>
      <c r="G252" s="14">
        <v>18577.22</v>
      </c>
      <c r="H252" s="14">
        <v>10761.71</v>
      </c>
      <c r="I252" s="14">
        <v>348250.45</v>
      </c>
      <c r="J252" s="19">
        <v>0.7034396011070323</v>
      </c>
    </row>
    <row r="253" spans="1:10" x14ac:dyDescent="0.3">
      <c r="A253" s="9" t="s">
        <v>192</v>
      </c>
      <c r="B253" s="20">
        <v>45657</v>
      </c>
      <c r="C253" s="9" t="s">
        <v>242</v>
      </c>
      <c r="D253" s="14">
        <v>277317.84999999998</v>
      </c>
      <c r="E253" s="14">
        <v>15994.88</v>
      </c>
      <c r="F253" s="14">
        <v>16509.45</v>
      </c>
      <c r="G253" s="14">
        <v>7235.74</v>
      </c>
      <c r="H253" s="14">
        <v>4399.8999999999996</v>
      </c>
      <c r="I253" s="14">
        <v>321457.82</v>
      </c>
      <c r="J253" s="19">
        <v>0.7034396011070323</v>
      </c>
    </row>
    <row r="254" spans="1:10" x14ac:dyDescent="0.3">
      <c r="A254" s="9" t="s">
        <v>192</v>
      </c>
      <c r="B254" s="20">
        <v>45657</v>
      </c>
      <c r="C254" s="9" t="s">
        <v>241</v>
      </c>
      <c r="D254" s="14">
        <v>110056.57</v>
      </c>
      <c r="E254" s="14">
        <v>3017.38</v>
      </c>
      <c r="F254" s="14">
        <v>8039.97</v>
      </c>
      <c r="G254" s="14">
        <v>3408.35</v>
      </c>
      <c r="H254" s="14">
        <v>44.33</v>
      </c>
      <c r="I254" s="14">
        <v>124566.6</v>
      </c>
      <c r="J254" s="19">
        <v>0.7034396011070323</v>
      </c>
    </row>
    <row r="255" spans="1:10" x14ac:dyDescent="0.3">
      <c r="A255" s="9" t="s">
        <v>192</v>
      </c>
      <c r="B255" s="20">
        <v>45657</v>
      </c>
      <c r="C255" s="9" t="s">
        <v>209</v>
      </c>
      <c r="D255" s="14">
        <v>95063.31</v>
      </c>
      <c r="E255" s="14">
        <v>13563.88</v>
      </c>
      <c r="F255" s="14">
        <v>217.16</v>
      </c>
      <c r="G255" s="14">
        <v>2716.87</v>
      </c>
      <c r="H255" s="14">
        <v>3489.04</v>
      </c>
      <c r="I255" s="14">
        <v>115050.26</v>
      </c>
      <c r="J255" s="19">
        <v>0.7034396011070323</v>
      </c>
    </row>
    <row r="256" spans="1:10" x14ac:dyDescent="0.3">
      <c r="A256" s="9" t="s">
        <v>192</v>
      </c>
      <c r="B256" s="20">
        <v>45657</v>
      </c>
      <c r="C256" s="9" t="s">
        <v>240</v>
      </c>
      <c r="D256" s="14">
        <v>131811.93</v>
      </c>
      <c r="E256" s="14">
        <v>14003.91</v>
      </c>
      <c r="F256" s="14">
        <v>13391.91</v>
      </c>
      <c r="G256" s="14">
        <v>1841.69</v>
      </c>
      <c r="H256" s="14">
        <v>2237.1799999999998</v>
      </c>
      <c r="I256" s="14">
        <v>163286.62</v>
      </c>
      <c r="J256" s="19">
        <v>0.7034396011070323</v>
      </c>
    </row>
    <row r="257" spans="1:10" x14ac:dyDescent="0.3">
      <c r="A257" s="9" t="s">
        <v>192</v>
      </c>
      <c r="B257" s="20">
        <v>45657</v>
      </c>
      <c r="C257" s="9" t="s">
        <v>239</v>
      </c>
      <c r="D257" s="14">
        <v>233173.73</v>
      </c>
      <c r="E257" s="14">
        <v>25747.23</v>
      </c>
      <c r="F257" s="14">
        <v>21314.560000000001</v>
      </c>
      <c r="G257" s="14">
        <v>7211.05</v>
      </c>
      <c r="H257" s="14">
        <v>11941.74</v>
      </c>
      <c r="I257" s="14">
        <v>299388.31</v>
      </c>
      <c r="J257" s="19">
        <v>0.7034396011070323</v>
      </c>
    </row>
    <row r="258" spans="1:10" x14ac:dyDescent="0.3">
      <c r="A258" s="9" t="s">
        <v>192</v>
      </c>
      <c r="B258" s="20">
        <v>45657</v>
      </c>
      <c r="C258" s="9" t="s">
        <v>238</v>
      </c>
      <c r="D258" s="14">
        <v>207670.48</v>
      </c>
      <c r="E258" s="14">
        <v>11964.23</v>
      </c>
      <c r="F258" s="14">
        <v>8344.24</v>
      </c>
      <c r="G258" s="14">
        <v>16211.72</v>
      </c>
      <c r="H258" s="14">
        <v>4520.25</v>
      </c>
      <c r="I258" s="14">
        <v>248710.91</v>
      </c>
      <c r="J258" s="19">
        <v>0.7034396011070323</v>
      </c>
    </row>
    <row r="259" spans="1:10" x14ac:dyDescent="0.3">
      <c r="A259" s="9" t="s">
        <v>192</v>
      </c>
      <c r="B259" s="20">
        <v>45657</v>
      </c>
      <c r="C259" s="9" t="s">
        <v>237</v>
      </c>
      <c r="D259" s="14">
        <v>74157.490000000005</v>
      </c>
      <c r="E259" s="14">
        <v>4474.6499999999996</v>
      </c>
      <c r="F259" s="14">
        <v>14121.83</v>
      </c>
      <c r="G259" s="14">
        <v>3611.91</v>
      </c>
      <c r="H259" s="14">
        <v>653.61</v>
      </c>
      <c r="I259" s="14">
        <v>97019.48</v>
      </c>
      <c r="J259" s="19">
        <v>0.7034396011070323</v>
      </c>
    </row>
    <row r="260" spans="1:10" x14ac:dyDescent="0.3">
      <c r="A260" s="9" t="s">
        <v>192</v>
      </c>
      <c r="B260" s="20">
        <v>45657</v>
      </c>
      <c r="C260" s="9" t="s">
        <v>236</v>
      </c>
      <c r="D260" s="14">
        <v>154662.69</v>
      </c>
      <c r="E260" s="14">
        <v>8685.73</v>
      </c>
      <c r="F260" s="14">
        <v>9883.8799999999992</v>
      </c>
      <c r="G260" s="14">
        <v>3717.54</v>
      </c>
      <c r="H260" s="14">
        <v>1182.57</v>
      </c>
      <c r="I260" s="14">
        <v>178132.4</v>
      </c>
      <c r="J260" s="19">
        <v>0.7034396011070323</v>
      </c>
    </row>
    <row r="261" spans="1:10" x14ac:dyDescent="0.3">
      <c r="A261" s="9" t="s">
        <v>192</v>
      </c>
      <c r="B261" s="20">
        <v>45657</v>
      </c>
      <c r="C261" s="9" t="s">
        <v>215</v>
      </c>
      <c r="D261" s="14">
        <v>76901.899999999994</v>
      </c>
      <c r="E261" s="14">
        <v>4902.3100000000004</v>
      </c>
      <c r="F261" s="14">
        <v>4014.13</v>
      </c>
      <c r="G261" s="14">
        <v>1157.0999999999999</v>
      </c>
      <c r="H261" s="14">
        <v>3816.43</v>
      </c>
      <c r="I261" s="14">
        <v>90791.88</v>
      </c>
      <c r="J261" s="19">
        <v>0.7034396011070323</v>
      </c>
    </row>
    <row r="262" spans="1:10" x14ac:dyDescent="0.3">
      <c r="A262" s="9" t="s">
        <v>192</v>
      </c>
      <c r="B262" s="20">
        <v>45688</v>
      </c>
      <c r="C262" s="9" t="s">
        <v>228</v>
      </c>
      <c r="D262" s="14">
        <v>151112.69</v>
      </c>
      <c r="E262" s="14">
        <v>10759.83</v>
      </c>
      <c r="F262" s="14">
        <v>9890.24</v>
      </c>
      <c r="G262" s="14">
        <v>11633.21</v>
      </c>
      <c r="H262" s="14">
        <v>1192.1400000000001</v>
      </c>
      <c r="I262" s="14">
        <v>184588.11</v>
      </c>
      <c r="J262" s="19">
        <v>0.61120966833184398</v>
      </c>
    </row>
    <row r="263" spans="1:10" x14ac:dyDescent="0.3">
      <c r="A263" s="9" t="s">
        <v>192</v>
      </c>
      <c r="B263" s="20">
        <v>45688</v>
      </c>
      <c r="C263" s="9" t="s">
        <v>207</v>
      </c>
      <c r="D263" s="14">
        <v>230386.67</v>
      </c>
      <c r="E263" s="14">
        <v>7677.51</v>
      </c>
      <c r="F263" s="14">
        <v>14000.4</v>
      </c>
      <c r="G263" s="14">
        <v>22934.89</v>
      </c>
      <c r="H263" s="14">
        <v>7687.11</v>
      </c>
      <c r="I263" s="14">
        <v>282686.59000000003</v>
      </c>
      <c r="J263" s="19">
        <v>0.61120966833184398</v>
      </c>
    </row>
    <row r="264" spans="1:10" x14ac:dyDescent="0.3">
      <c r="A264" s="9" t="s">
        <v>192</v>
      </c>
      <c r="B264" s="20">
        <v>45688</v>
      </c>
      <c r="C264" s="9" t="s">
        <v>211</v>
      </c>
      <c r="D264" s="14">
        <v>60955.92</v>
      </c>
      <c r="E264" s="14">
        <v>6009.41</v>
      </c>
      <c r="F264" s="14">
        <v>1768.57</v>
      </c>
      <c r="G264" s="14">
        <v>5947.93</v>
      </c>
      <c r="H264" s="14">
        <v>19.53</v>
      </c>
      <c r="I264" s="14">
        <v>74701.36</v>
      </c>
      <c r="J264" s="19">
        <v>0.61120966833184398</v>
      </c>
    </row>
    <row r="265" spans="1:10" x14ac:dyDescent="0.3">
      <c r="A265" s="9" t="s">
        <v>192</v>
      </c>
      <c r="B265" s="20">
        <v>45688</v>
      </c>
      <c r="C265" s="9" t="s">
        <v>247</v>
      </c>
      <c r="D265" s="14">
        <v>279828.71999999997</v>
      </c>
      <c r="E265" s="14">
        <v>20292.55</v>
      </c>
      <c r="F265" s="14">
        <v>9578.93</v>
      </c>
      <c r="G265" s="14">
        <v>13021.61</v>
      </c>
      <c r="H265" s="14">
        <v>10382.69</v>
      </c>
      <c r="I265" s="14">
        <v>333104.51</v>
      </c>
      <c r="J265" s="19">
        <v>0.61120966833184398</v>
      </c>
    </row>
    <row r="266" spans="1:10" x14ac:dyDescent="0.3">
      <c r="A266" s="9" t="s">
        <v>192</v>
      </c>
      <c r="B266" s="20">
        <v>45688</v>
      </c>
      <c r="C266" s="9" t="s">
        <v>234</v>
      </c>
      <c r="D266" s="14">
        <v>247928.12</v>
      </c>
      <c r="E266" s="14">
        <v>12940.66</v>
      </c>
      <c r="F266" s="14">
        <v>14440.64</v>
      </c>
      <c r="G266" s="14">
        <v>8694.02</v>
      </c>
      <c r="H266" s="14">
        <v>7659.94</v>
      </c>
      <c r="I266" s="14">
        <v>291663.38</v>
      </c>
      <c r="J266" s="19">
        <v>0.61120966833184398</v>
      </c>
    </row>
    <row r="267" spans="1:10" x14ac:dyDescent="0.3">
      <c r="A267" s="9" t="s">
        <v>192</v>
      </c>
      <c r="B267" s="20">
        <v>45688</v>
      </c>
      <c r="C267" s="9" t="s">
        <v>246</v>
      </c>
      <c r="D267" s="14">
        <v>50245.91</v>
      </c>
      <c r="E267" s="14">
        <v>6090.06</v>
      </c>
      <c r="F267" s="14">
        <v>3524.13</v>
      </c>
      <c r="G267" s="14">
        <v>2795.74</v>
      </c>
      <c r="H267" s="14">
        <v>1343.8</v>
      </c>
      <c r="I267" s="14">
        <v>63999.64</v>
      </c>
      <c r="J267" s="19">
        <v>0.61120966833184398</v>
      </c>
    </row>
    <row r="268" spans="1:10" x14ac:dyDescent="0.3">
      <c r="A268" s="9" t="s">
        <v>192</v>
      </c>
      <c r="B268" s="20">
        <v>45688</v>
      </c>
      <c r="C268" s="9" t="s">
        <v>219</v>
      </c>
      <c r="D268" s="14">
        <v>14753.62</v>
      </c>
      <c r="E268" s="14">
        <v>790.78</v>
      </c>
      <c r="F268" s="14">
        <v>362.57</v>
      </c>
      <c r="G268" s="14">
        <v>230.84</v>
      </c>
      <c r="H268" s="14">
        <v>319.10000000000002</v>
      </c>
      <c r="I268" s="14">
        <v>16456.91</v>
      </c>
      <c r="J268" s="19">
        <v>0.61120966833184398</v>
      </c>
    </row>
    <row r="269" spans="1:10" x14ac:dyDescent="0.3">
      <c r="A269" s="9" t="s">
        <v>192</v>
      </c>
      <c r="B269" s="20">
        <v>45688</v>
      </c>
      <c r="C269" s="9" t="s">
        <v>223</v>
      </c>
      <c r="D269" s="14">
        <v>7591.57</v>
      </c>
      <c r="E269" s="14">
        <v>420.22</v>
      </c>
      <c r="F269" s="14">
        <v>810.92</v>
      </c>
      <c r="G269" s="14">
        <v>72.27</v>
      </c>
      <c r="H269" s="14">
        <v>243.22</v>
      </c>
      <c r="I269" s="14">
        <v>9138.19</v>
      </c>
      <c r="J269" s="19">
        <v>0.61120966833184398</v>
      </c>
    </row>
    <row r="270" spans="1:10" x14ac:dyDescent="0.3">
      <c r="A270" s="9" t="s">
        <v>192</v>
      </c>
      <c r="B270" s="20">
        <v>45688</v>
      </c>
      <c r="C270" s="9" t="s">
        <v>245</v>
      </c>
      <c r="D270" s="14">
        <v>259556.95</v>
      </c>
      <c r="E270" s="14">
        <v>14895.88</v>
      </c>
      <c r="F270" s="14">
        <v>7699.24</v>
      </c>
      <c r="G270" s="14">
        <v>10743.4</v>
      </c>
      <c r="H270" s="14">
        <v>14129.77</v>
      </c>
      <c r="I270" s="14">
        <v>307025.24</v>
      </c>
      <c r="J270" s="19">
        <v>0.61120966833184398</v>
      </c>
    </row>
    <row r="271" spans="1:10" x14ac:dyDescent="0.3">
      <c r="A271" s="9" t="s">
        <v>192</v>
      </c>
      <c r="B271" s="20">
        <v>45688</v>
      </c>
      <c r="C271" s="9" t="s">
        <v>244</v>
      </c>
      <c r="D271" s="14">
        <v>882.14</v>
      </c>
      <c r="E271" s="14">
        <v>34.96</v>
      </c>
      <c r="F271" s="14">
        <v>94.71</v>
      </c>
      <c r="G271" s="14">
        <v>24.07</v>
      </c>
      <c r="H271" s="14">
        <v>26.27</v>
      </c>
      <c r="I271" s="14">
        <v>1062.1400000000001</v>
      </c>
      <c r="J271" s="19">
        <v>0.61120966833184398</v>
      </c>
    </row>
    <row r="272" spans="1:10" x14ac:dyDescent="0.3">
      <c r="A272" s="9" t="s">
        <v>192</v>
      </c>
      <c r="B272" s="20">
        <v>45688</v>
      </c>
      <c r="C272" s="9" t="s">
        <v>243</v>
      </c>
      <c r="D272" s="14">
        <v>66428.240000000005</v>
      </c>
      <c r="E272" s="14">
        <v>6912.39</v>
      </c>
      <c r="F272" s="14">
        <v>1296.0999999999999</v>
      </c>
      <c r="G272" s="14">
        <v>1611.34</v>
      </c>
      <c r="H272" s="14">
        <v>1690.32</v>
      </c>
      <c r="I272" s="14">
        <v>77938.39</v>
      </c>
      <c r="J272" s="19">
        <v>0.61120966833184398</v>
      </c>
    </row>
    <row r="273" spans="1:10" x14ac:dyDescent="0.3">
      <c r="A273" s="9" t="s">
        <v>192</v>
      </c>
      <c r="B273" s="20">
        <v>45688</v>
      </c>
      <c r="C273" s="9" t="s">
        <v>242</v>
      </c>
      <c r="D273" s="14">
        <v>187837.42</v>
      </c>
      <c r="E273" s="14">
        <v>17719.93</v>
      </c>
      <c r="F273" s="14">
        <v>5890.69</v>
      </c>
      <c r="G273" s="14">
        <v>8487.36</v>
      </c>
      <c r="H273" s="14">
        <v>11571.53</v>
      </c>
      <c r="I273" s="14">
        <v>231506.92</v>
      </c>
      <c r="J273" s="19">
        <v>0.61120966833184398</v>
      </c>
    </row>
    <row r="274" spans="1:10" x14ac:dyDescent="0.3">
      <c r="A274" s="9" t="s">
        <v>192</v>
      </c>
      <c r="B274" s="20">
        <v>45688</v>
      </c>
      <c r="C274" s="9" t="s">
        <v>241</v>
      </c>
      <c r="D274" s="14">
        <v>260837.35</v>
      </c>
      <c r="E274" s="14">
        <v>10167.709999999999</v>
      </c>
      <c r="F274" s="14">
        <v>39296.53</v>
      </c>
      <c r="G274" s="14">
        <v>3350.17</v>
      </c>
      <c r="H274" s="14">
        <v>14024.71</v>
      </c>
      <c r="I274" s="14">
        <v>327676.46999999997</v>
      </c>
      <c r="J274" s="19">
        <v>0.61120966833184398</v>
      </c>
    </row>
    <row r="275" spans="1:10" x14ac:dyDescent="0.3">
      <c r="A275" s="9" t="s">
        <v>192</v>
      </c>
      <c r="B275" s="20">
        <v>45688</v>
      </c>
      <c r="C275" s="9" t="s">
        <v>209</v>
      </c>
      <c r="D275" s="14">
        <v>27417.55</v>
      </c>
      <c r="E275" s="14">
        <v>1475.18</v>
      </c>
      <c r="F275" s="14">
        <v>1126.83</v>
      </c>
      <c r="G275" s="14">
        <v>2649.65</v>
      </c>
      <c r="H275" s="14">
        <v>1545.54</v>
      </c>
      <c r="I275" s="14">
        <v>34214.75</v>
      </c>
      <c r="J275" s="19">
        <v>0.61120966833184398</v>
      </c>
    </row>
    <row r="276" spans="1:10" x14ac:dyDescent="0.3">
      <c r="A276" s="9" t="s">
        <v>192</v>
      </c>
      <c r="B276" s="20">
        <v>45688</v>
      </c>
      <c r="C276" s="9" t="s">
        <v>240</v>
      </c>
      <c r="D276" s="14">
        <v>137233.17000000001</v>
      </c>
      <c r="E276" s="14">
        <v>9750.23</v>
      </c>
      <c r="F276" s="14">
        <v>4737.6899999999996</v>
      </c>
      <c r="G276" s="14">
        <v>5009.0200000000004</v>
      </c>
      <c r="H276" s="14">
        <v>12236.23</v>
      </c>
      <c r="I276" s="14">
        <v>168966.34</v>
      </c>
      <c r="J276" s="19">
        <v>0.61120966833184398</v>
      </c>
    </row>
    <row r="277" spans="1:10" x14ac:dyDescent="0.3">
      <c r="A277" s="9" t="s">
        <v>192</v>
      </c>
      <c r="B277" s="20">
        <v>45688</v>
      </c>
      <c r="C277" s="9" t="s">
        <v>239</v>
      </c>
      <c r="D277" s="14">
        <v>198834.12</v>
      </c>
      <c r="E277" s="14">
        <v>8881.23</v>
      </c>
      <c r="F277" s="14">
        <v>10059.98</v>
      </c>
      <c r="G277" s="14">
        <v>5699.95</v>
      </c>
      <c r="H277" s="14">
        <v>11860.11</v>
      </c>
      <c r="I277" s="14">
        <v>235335.38</v>
      </c>
      <c r="J277" s="19">
        <v>0.61120966833184398</v>
      </c>
    </row>
    <row r="278" spans="1:10" x14ac:dyDescent="0.3">
      <c r="A278" s="9" t="s">
        <v>192</v>
      </c>
      <c r="B278" s="20">
        <v>45688</v>
      </c>
      <c r="C278" s="9" t="s">
        <v>238</v>
      </c>
      <c r="D278" s="14">
        <v>203973.52</v>
      </c>
      <c r="E278" s="14">
        <v>21528.77</v>
      </c>
      <c r="F278" s="14">
        <v>7188.8</v>
      </c>
      <c r="G278" s="14">
        <v>9959.06</v>
      </c>
      <c r="H278" s="14">
        <v>1673.19</v>
      </c>
      <c r="I278" s="14">
        <v>244323.34</v>
      </c>
      <c r="J278" s="19">
        <v>0.61120966833184398</v>
      </c>
    </row>
    <row r="279" spans="1:10" x14ac:dyDescent="0.3">
      <c r="A279" s="9" t="s">
        <v>192</v>
      </c>
      <c r="B279" s="20">
        <v>45688</v>
      </c>
      <c r="C279" s="9" t="s">
        <v>237</v>
      </c>
      <c r="D279" s="14">
        <v>109703.41</v>
      </c>
      <c r="E279" s="14">
        <v>3862.79</v>
      </c>
      <c r="F279" s="14">
        <v>1106.08</v>
      </c>
      <c r="G279" s="14">
        <v>1260.27</v>
      </c>
      <c r="H279" s="14">
        <v>10398.58</v>
      </c>
      <c r="I279" s="14">
        <v>126331.12</v>
      </c>
      <c r="J279" s="19">
        <v>0.61120966833184398</v>
      </c>
    </row>
    <row r="280" spans="1:10" x14ac:dyDescent="0.3">
      <c r="A280" s="9" t="s">
        <v>192</v>
      </c>
      <c r="B280" s="20">
        <v>45688</v>
      </c>
      <c r="C280" s="9" t="s">
        <v>236</v>
      </c>
      <c r="D280" s="14">
        <v>147072.63</v>
      </c>
      <c r="E280" s="14">
        <v>10312.19</v>
      </c>
      <c r="F280" s="14">
        <v>2897.26</v>
      </c>
      <c r="G280" s="14">
        <v>15656.11</v>
      </c>
      <c r="H280" s="14">
        <v>2142.16</v>
      </c>
      <c r="I280" s="14">
        <v>178080.35</v>
      </c>
      <c r="J280" s="19">
        <v>0.61120966833184398</v>
      </c>
    </row>
    <row r="281" spans="1:10" x14ac:dyDescent="0.3">
      <c r="A281" s="9" t="s">
        <v>192</v>
      </c>
      <c r="B281" s="20">
        <v>45688</v>
      </c>
      <c r="C281" s="9" t="s">
        <v>215</v>
      </c>
      <c r="D281" s="14">
        <v>253443.15</v>
      </c>
      <c r="E281" s="14">
        <v>16666.41</v>
      </c>
      <c r="F281" s="14">
        <v>5176.59</v>
      </c>
      <c r="G281" s="14">
        <v>12844.32</v>
      </c>
      <c r="H281" s="14">
        <v>9410.33</v>
      </c>
      <c r="I281" s="14">
        <v>297540.81</v>
      </c>
      <c r="J281" s="19">
        <v>0.61120966833184398</v>
      </c>
    </row>
    <row r="282" spans="1:10" x14ac:dyDescent="0.3">
      <c r="A282" s="9" t="s">
        <v>192</v>
      </c>
      <c r="B282" s="20">
        <v>45716</v>
      </c>
      <c r="C282" s="9" t="s">
        <v>228</v>
      </c>
      <c r="D282" s="14">
        <v>122701.37</v>
      </c>
      <c r="E282" s="14">
        <v>25690.7</v>
      </c>
      <c r="F282" s="14">
        <v>2481.2600000000002</v>
      </c>
      <c r="G282" s="14">
        <v>196.52</v>
      </c>
      <c r="H282" s="14">
        <v>2242.7600000000002</v>
      </c>
      <c r="I282" s="14">
        <v>153312.62</v>
      </c>
      <c r="J282" s="19">
        <v>0.57434158950188796</v>
      </c>
    </row>
    <row r="283" spans="1:10" x14ac:dyDescent="0.3">
      <c r="A283" s="9" t="s">
        <v>192</v>
      </c>
      <c r="B283" s="20">
        <v>45716</v>
      </c>
      <c r="C283" s="9" t="s">
        <v>207</v>
      </c>
      <c r="D283" s="14">
        <v>23020.75</v>
      </c>
      <c r="E283" s="14">
        <v>4337.01</v>
      </c>
      <c r="F283" s="14">
        <v>738.96</v>
      </c>
      <c r="G283" s="14">
        <v>393.66</v>
      </c>
      <c r="H283" s="14">
        <v>56.02</v>
      </c>
      <c r="I283" s="14">
        <v>28546.400000000001</v>
      </c>
      <c r="J283" s="19">
        <v>0.57434158950188796</v>
      </c>
    </row>
    <row r="284" spans="1:10" x14ac:dyDescent="0.3">
      <c r="A284" s="9" t="s">
        <v>192</v>
      </c>
      <c r="B284" s="20">
        <v>45716</v>
      </c>
      <c r="C284" s="9" t="s">
        <v>211</v>
      </c>
      <c r="D284" s="14">
        <v>233213.82</v>
      </c>
      <c r="E284" s="14">
        <v>28984.85</v>
      </c>
      <c r="F284" s="14">
        <v>1487.85</v>
      </c>
      <c r="G284" s="14">
        <v>22535.08</v>
      </c>
      <c r="H284" s="14">
        <v>14845.25</v>
      </c>
      <c r="I284" s="14">
        <v>301066.84999999998</v>
      </c>
      <c r="J284" s="19">
        <v>0.57434158950188796</v>
      </c>
    </row>
    <row r="285" spans="1:10" x14ac:dyDescent="0.3">
      <c r="A285" s="9" t="s">
        <v>192</v>
      </c>
      <c r="B285" s="20">
        <v>45716</v>
      </c>
      <c r="C285" s="9" t="s">
        <v>247</v>
      </c>
      <c r="D285" s="14">
        <v>67564.539999999994</v>
      </c>
      <c r="E285" s="14">
        <v>9371.0400000000009</v>
      </c>
      <c r="F285" s="14">
        <v>1363.39</v>
      </c>
      <c r="G285" s="14">
        <v>1827.82</v>
      </c>
      <c r="H285" s="14">
        <v>1457.17</v>
      </c>
      <c r="I285" s="14">
        <v>81583.960000000006</v>
      </c>
      <c r="J285" s="19">
        <v>0.57434158950188796</v>
      </c>
    </row>
    <row r="286" spans="1:10" x14ac:dyDescent="0.3">
      <c r="A286" s="9" t="s">
        <v>192</v>
      </c>
      <c r="B286" s="20">
        <v>45716</v>
      </c>
      <c r="C286" s="9" t="s">
        <v>234</v>
      </c>
      <c r="D286" s="14">
        <v>186603.91</v>
      </c>
      <c r="E286" s="14">
        <v>18687.66</v>
      </c>
      <c r="F286" s="14">
        <v>25583.27</v>
      </c>
      <c r="G286" s="14">
        <v>4345.7</v>
      </c>
      <c r="H286" s="14">
        <v>893.92</v>
      </c>
      <c r="I286" s="14">
        <v>236114.46</v>
      </c>
      <c r="J286" s="19">
        <v>0.57434158950188796</v>
      </c>
    </row>
    <row r="287" spans="1:10" x14ac:dyDescent="0.3">
      <c r="A287" s="9" t="s">
        <v>192</v>
      </c>
      <c r="B287" s="20">
        <v>45716</v>
      </c>
      <c r="C287" s="9" t="s">
        <v>246</v>
      </c>
      <c r="D287" s="14">
        <v>73251.199999999997</v>
      </c>
      <c r="E287" s="14">
        <v>9274.93</v>
      </c>
      <c r="F287" s="14">
        <v>2214.9699999999998</v>
      </c>
      <c r="G287" s="14">
        <v>3490.21</v>
      </c>
      <c r="H287" s="14">
        <v>3865.14</v>
      </c>
      <c r="I287" s="14">
        <v>92096.44</v>
      </c>
      <c r="J287" s="19">
        <v>0.57434158950188796</v>
      </c>
    </row>
    <row r="288" spans="1:10" x14ac:dyDescent="0.3">
      <c r="A288" s="9" t="s">
        <v>192</v>
      </c>
      <c r="B288" s="20">
        <v>45716</v>
      </c>
      <c r="C288" s="9" t="s">
        <v>219</v>
      </c>
      <c r="D288" s="14">
        <v>263981.40999999997</v>
      </c>
      <c r="E288" s="14">
        <v>23906.13</v>
      </c>
      <c r="F288" s="14">
        <v>7677.22</v>
      </c>
      <c r="G288" s="14">
        <v>5619.93</v>
      </c>
      <c r="H288" s="14">
        <v>515.45000000000005</v>
      </c>
      <c r="I288" s="14">
        <v>301700.14</v>
      </c>
      <c r="J288" s="19">
        <v>0.57434158950188796</v>
      </c>
    </row>
    <row r="289" spans="1:10" x14ac:dyDescent="0.3">
      <c r="A289" s="9" t="s">
        <v>192</v>
      </c>
      <c r="B289" s="20">
        <v>45716</v>
      </c>
      <c r="C289" s="9" t="s">
        <v>223</v>
      </c>
      <c r="D289" s="14">
        <v>54882.58</v>
      </c>
      <c r="E289" s="14">
        <v>2678.09</v>
      </c>
      <c r="F289" s="14">
        <v>1086.46</v>
      </c>
      <c r="G289" s="14">
        <v>4618.03</v>
      </c>
      <c r="H289" s="14">
        <v>2671.86</v>
      </c>
      <c r="I289" s="14">
        <v>65937.02</v>
      </c>
      <c r="J289" s="19">
        <v>0.57434158950188796</v>
      </c>
    </row>
    <row r="290" spans="1:10" x14ac:dyDescent="0.3">
      <c r="A290" s="9" t="s">
        <v>192</v>
      </c>
      <c r="B290" s="20">
        <v>45716</v>
      </c>
      <c r="C290" s="9" t="s">
        <v>245</v>
      </c>
      <c r="D290" s="14">
        <v>7573.71</v>
      </c>
      <c r="E290" s="14">
        <v>540.37</v>
      </c>
      <c r="F290" s="14">
        <v>682.01</v>
      </c>
      <c r="G290" s="14">
        <v>130.47999999999999</v>
      </c>
      <c r="H290" s="14">
        <v>35.369999999999997</v>
      </c>
      <c r="I290" s="14">
        <v>8961.93</v>
      </c>
      <c r="J290" s="19">
        <v>0.57434158950188796</v>
      </c>
    </row>
    <row r="291" spans="1:10" x14ac:dyDescent="0.3">
      <c r="A291" s="9" t="s">
        <v>192</v>
      </c>
      <c r="B291" s="20">
        <v>45716</v>
      </c>
      <c r="C291" s="9" t="s">
        <v>244</v>
      </c>
      <c r="D291" s="14">
        <v>81520.490000000005</v>
      </c>
      <c r="E291" s="14">
        <v>8116.06</v>
      </c>
      <c r="F291" s="14">
        <v>4408</v>
      </c>
      <c r="G291" s="14">
        <v>2808.26</v>
      </c>
      <c r="H291" s="14">
        <v>4802.0600000000004</v>
      </c>
      <c r="I291" s="14">
        <v>101654.88</v>
      </c>
      <c r="J291" s="19">
        <v>0.57434158950188796</v>
      </c>
    </row>
    <row r="292" spans="1:10" x14ac:dyDescent="0.3">
      <c r="A292" s="9" t="s">
        <v>192</v>
      </c>
      <c r="B292" s="20">
        <v>45716</v>
      </c>
      <c r="C292" s="9" t="s">
        <v>243</v>
      </c>
      <c r="D292" s="14">
        <v>13634.39</v>
      </c>
      <c r="E292" s="14">
        <v>1270.98</v>
      </c>
      <c r="F292" s="14">
        <v>1632.11</v>
      </c>
      <c r="G292" s="14">
        <v>860.89</v>
      </c>
      <c r="H292" s="14">
        <v>107.92</v>
      </c>
      <c r="I292" s="14">
        <v>17506.3</v>
      </c>
      <c r="J292" s="19">
        <v>0.57434158950188796</v>
      </c>
    </row>
    <row r="293" spans="1:10" x14ac:dyDescent="0.3">
      <c r="A293" s="9" t="s">
        <v>192</v>
      </c>
      <c r="B293" s="20">
        <v>45716</v>
      </c>
      <c r="C293" s="9" t="s">
        <v>242</v>
      </c>
      <c r="D293" s="14">
        <v>247129.89</v>
      </c>
      <c r="E293" s="14">
        <v>19341.39</v>
      </c>
      <c r="F293" s="14">
        <v>27390.57</v>
      </c>
      <c r="G293" s="14">
        <v>4745.46</v>
      </c>
      <c r="H293" s="14">
        <v>8533.4</v>
      </c>
      <c r="I293" s="14">
        <v>307140.71000000002</v>
      </c>
      <c r="J293" s="19">
        <v>0.57434158950188796</v>
      </c>
    </row>
    <row r="294" spans="1:10" x14ac:dyDescent="0.3">
      <c r="A294" s="9" t="s">
        <v>192</v>
      </c>
      <c r="B294" s="20">
        <v>45716</v>
      </c>
      <c r="C294" s="9" t="s">
        <v>241</v>
      </c>
      <c r="D294" s="14">
        <v>263791.61</v>
      </c>
      <c r="E294" s="14">
        <v>21702.240000000002</v>
      </c>
      <c r="F294" s="14">
        <v>6621.97</v>
      </c>
      <c r="G294" s="14">
        <v>8729.43</v>
      </c>
      <c r="H294" s="14">
        <v>2298.85</v>
      </c>
      <c r="I294" s="14">
        <v>303144.11</v>
      </c>
      <c r="J294" s="19">
        <v>0.57434158950188796</v>
      </c>
    </row>
    <row r="295" spans="1:10" x14ac:dyDescent="0.3">
      <c r="A295" s="9" t="s">
        <v>192</v>
      </c>
      <c r="B295" s="20">
        <v>45716</v>
      </c>
      <c r="C295" s="9" t="s">
        <v>209</v>
      </c>
      <c r="D295" s="14">
        <v>62989.88</v>
      </c>
      <c r="E295" s="14">
        <v>8647.75</v>
      </c>
      <c r="F295" s="14">
        <v>3409.55</v>
      </c>
      <c r="G295" s="14">
        <v>1797.22</v>
      </c>
      <c r="H295" s="14">
        <v>627.38</v>
      </c>
      <c r="I295" s="14">
        <v>77471.78</v>
      </c>
      <c r="J295" s="19">
        <v>0.57434158950188796</v>
      </c>
    </row>
    <row r="296" spans="1:10" x14ac:dyDescent="0.3">
      <c r="A296" s="9" t="s">
        <v>192</v>
      </c>
      <c r="B296" s="20">
        <v>45716</v>
      </c>
      <c r="C296" s="9" t="s">
        <v>240</v>
      </c>
      <c r="D296" s="14">
        <v>13600.89</v>
      </c>
      <c r="E296" s="14">
        <v>863.03</v>
      </c>
      <c r="F296" s="14">
        <v>609.25</v>
      </c>
      <c r="G296" s="14">
        <v>572.86</v>
      </c>
      <c r="H296" s="14">
        <v>830.15</v>
      </c>
      <c r="I296" s="14">
        <v>16476.189999999999</v>
      </c>
      <c r="J296" s="19">
        <v>0.57434158950188796</v>
      </c>
    </row>
    <row r="297" spans="1:10" x14ac:dyDescent="0.3">
      <c r="A297" s="9" t="s">
        <v>192</v>
      </c>
      <c r="B297" s="20">
        <v>45716</v>
      </c>
      <c r="C297" s="9" t="s">
        <v>239</v>
      </c>
      <c r="D297" s="14">
        <v>214374.67</v>
      </c>
      <c r="E297" s="14">
        <v>11556.36</v>
      </c>
      <c r="F297" s="14">
        <v>15906.63</v>
      </c>
      <c r="G297" s="14">
        <v>71.989999999999995</v>
      </c>
      <c r="H297" s="14">
        <v>8326.89</v>
      </c>
      <c r="I297" s="14">
        <v>250236.55</v>
      </c>
      <c r="J297" s="19">
        <v>0.57434158950188796</v>
      </c>
    </row>
    <row r="298" spans="1:10" x14ac:dyDescent="0.3">
      <c r="A298" s="9" t="s">
        <v>192</v>
      </c>
      <c r="B298" s="20">
        <v>45716</v>
      </c>
      <c r="C298" s="9" t="s">
        <v>238</v>
      </c>
      <c r="D298" s="14">
        <v>215544.9</v>
      </c>
      <c r="E298" s="14">
        <v>21674.38</v>
      </c>
      <c r="F298" s="14">
        <v>35625.629999999997</v>
      </c>
      <c r="G298" s="14">
        <v>11085.8</v>
      </c>
      <c r="H298" s="14">
        <v>2209.38</v>
      </c>
      <c r="I298" s="14">
        <v>286140.09000000003</v>
      </c>
      <c r="J298" s="19">
        <v>0.57434158950188796</v>
      </c>
    </row>
    <row r="299" spans="1:10" x14ac:dyDescent="0.3">
      <c r="A299" s="9" t="s">
        <v>192</v>
      </c>
      <c r="B299" s="20">
        <v>45716</v>
      </c>
      <c r="C299" s="9" t="s">
        <v>237</v>
      </c>
      <c r="D299" s="14">
        <v>247170.41</v>
      </c>
      <c r="E299" s="14">
        <v>9509.51</v>
      </c>
      <c r="F299" s="14">
        <v>21497.47</v>
      </c>
      <c r="G299" s="14">
        <v>10477.76</v>
      </c>
      <c r="H299" s="14">
        <v>2692.56</v>
      </c>
      <c r="I299" s="14">
        <v>291347.7</v>
      </c>
      <c r="J299" s="19">
        <v>0.57434158950188796</v>
      </c>
    </row>
    <row r="300" spans="1:10" x14ac:dyDescent="0.3">
      <c r="A300" s="9" t="s">
        <v>192</v>
      </c>
      <c r="B300" s="20">
        <v>45716</v>
      </c>
      <c r="C300" s="9" t="s">
        <v>236</v>
      </c>
      <c r="D300" s="14">
        <v>221916.25</v>
      </c>
      <c r="E300" s="14">
        <v>18159.11</v>
      </c>
      <c r="F300" s="14">
        <v>16724.25</v>
      </c>
      <c r="G300" s="14">
        <v>5564.19</v>
      </c>
      <c r="H300" s="14">
        <v>4860.1400000000003</v>
      </c>
      <c r="I300" s="14">
        <v>267223.95</v>
      </c>
      <c r="J300" s="19">
        <v>0.57434158950188796</v>
      </c>
    </row>
    <row r="301" spans="1:10" x14ac:dyDescent="0.3">
      <c r="A301" s="9" t="s">
        <v>192</v>
      </c>
      <c r="B301" s="20">
        <v>45716</v>
      </c>
      <c r="C301" s="9" t="s">
        <v>215</v>
      </c>
      <c r="D301" s="14">
        <v>127780.18</v>
      </c>
      <c r="E301" s="14">
        <v>6061.15</v>
      </c>
      <c r="F301" s="14">
        <v>14668.5</v>
      </c>
      <c r="G301" s="14">
        <v>4955.37</v>
      </c>
      <c r="H301" s="14">
        <v>3263.79</v>
      </c>
      <c r="I301" s="14">
        <v>156728.99</v>
      </c>
      <c r="J301" s="19">
        <v>0.57434158950188796</v>
      </c>
    </row>
    <row r="302" spans="1:10" x14ac:dyDescent="0.3">
      <c r="A302" s="9" t="s">
        <v>192</v>
      </c>
      <c r="B302" s="20">
        <v>45747</v>
      </c>
      <c r="C302" s="9" t="s">
        <v>228</v>
      </c>
      <c r="D302" s="14">
        <v>172219.62</v>
      </c>
      <c r="E302" s="14">
        <v>11684.99</v>
      </c>
      <c r="F302" s="14">
        <v>27628.62</v>
      </c>
      <c r="G302" s="14">
        <v>10087.61</v>
      </c>
      <c r="H302" s="14">
        <v>292.45</v>
      </c>
      <c r="I302" s="14">
        <v>221913.3</v>
      </c>
      <c r="J302" s="19">
        <v>0.73332231877294207</v>
      </c>
    </row>
    <row r="303" spans="1:10" x14ac:dyDescent="0.3">
      <c r="A303" s="9" t="s">
        <v>192</v>
      </c>
      <c r="B303" s="20">
        <v>45747</v>
      </c>
      <c r="C303" s="9" t="s">
        <v>207</v>
      </c>
      <c r="D303" s="14">
        <v>198208.26</v>
      </c>
      <c r="E303" s="14">
        <v>9159.64</v>
      </c>
      <c r="F303" s="14">
        <v>9120.51</v>
      </c>
      <c r="G303" s="14">
        <v>14005.26</v>
      </c>
      <c r="H303" s="14">
        <v>9244.9</v>
      </c>
      <c r="I303" s="14">
        <v>239738.56</v>
      </c>
      <c r="J303" s="19">
        <v>0.73332231877294207</v>
      </c>
    </row>
    <row r="304" spans="1:10" x14ac:dyDescent="0.3">
      <c r="A304" s="9" t="s">
        <v>192</v>
      </c>
      <c r="B304" s="20">
        <v>45747</v>
      </c>
      <c r="C304" s="9" t="s">
        <v>211</v>
      </c>
      <c r="D304" s="14">
        <v>41181.29</v>
      </c>
      <c r="E304" s="14">
        <v>2285.13</v>
      </c>
      <c r="F304" s="14">
        <v>1315.26</v>
      </c>
      <c r="G304" s="14">
        <v>3635.28</v>
      </c>
      <c r="H304" s="14">
        <v>2814.58</v>
      </c>
      <c r="I304" s="14">
        <v>51231.54</v>
      </c>
      <c r="J304" s="19">
        <v>0.73332231877294207</v>
      </c>
    </row>
    <row r="305" spans="1:10" x14ac:dyDescent="0.3">
      <c r="A305" s="9" t="s">
        <v>192</v>
      </c>
      <c r="B305" s="20">
        <v>45747</v>
      </c>
      <c r="C305" s="9" t="s">
        <v>247</v>
      </c>
      <c r="D305" s="14">
        <v>111585.53</v>
      </c>
      <c r="E305" s="14">
        <v>3648.37</v>
      </c>
      <c r="F305" s="14">
        <v>2726.59</v>
      </c>
      <c r="G305" s="14">
        <v>1964.6</v>
      </c>
      <c r="H305" s="14">
        <v>11628.19</v>
      </c>
      <c r="I305" s="14">
        <v>131553.26999999999</v>
      </c>
      <c r="J305" s="19">
        <v>0.73332231877294207</v>
      </c>
    </row>
    <row r="306" spans="1:10" x14ac:dyDescent="0.3">
      <c r="A306" s="9" t="s">
        <v>192</v>
      </c>
      <c r="B306" s="20">
        <v>45747</v>
      </c>
      <c r="C306" s="9" t="s">
        <v>234</v>
      </c>
      <c r="D306" s="14">
        <v>264540.49</v>
      </c>
      <c r="E306" s="14">
        <v>27470.14</v>
      </c>
      <c r="F306" s="14">
        <v>10591.66</v>
      </c>
      <c r="G306" s="14">
        <v>7335.72</v>
      </c>
      <c r="H306" s="14">
        <v>6933.4</v>
      </c>
      <c r="I306" s="14">
        <v>316871.42</v>
      </c>
      <c r="J306" s="19">
        <v>0.73332231877294207</v>
      </c>
    </row>
    <row r="307" spans="1:10" x14ac:dyDescent="0.3">
      <c r="A307" s="9" t="s">
        <v>192</v>
      </c>
      <c r="B307" s="20">
        <v>45747</v>
      </c>
      <c r="C307" s="9" t="s">
        <v>246</v>
      </c>
      <c r="D307" s="14">
        <v>167011.14000000001</v>
      </c>
      <c r="E307" s="14">
        <v>10408.4</v>
      </c>
      <c r="F307" s="14">
        <v>12811.75</v>
      </c>
      <c r="G307" s="14">
        <v>4666.2700000000004</v>
      </c>
      <c r="H307" s="14">
        <v>77.709999999999994</v>
      </c>
      <c r="I307" s="14">
        <v>194975.27</v>
      </c>
      <c r="J307" s="19">
        <v>0.73332231877294207</v>
      </c>
    </row>
    <row r="308" spans="1:10" x14ac:dyDescent="0.3">
      <c r="A308" s="9" t="s">
        <v>192</v>
      </c>
      <c r="B308" s="20">
        <v>45747</v>
      </c>
      <c r="C308" s="9" t="s">
        <v>219</v>
      </c>
      <c r="D308" s="14">
        <v>96828.21</v>
      </c>
      <c r="E308" s="14">
        <v>14455.52</v>
      </c>
      <c r="F308" s="14">
        <v>1516.12</v>
      </c>
      <c r="G308" s="14">
        <v>8755.24</v>
      </c>
      <c r="H308" s="14">
        <v>1537.14</v>
      </c>
      <c r="I308" s="14">
        <v>123092.23</v>
      </c>
      <c r="J308" s="19">
        <v>0.73332231877294207</v>
      </c>
    </row>
    <row r="309" spans="1:10" x14ac:dyDescent="0.3">
      <c r="A309" s="9" t="s">
        <v>192</v>
      </c>
      <c r="B309" s="20">
        <v>45747</v>
      </c>
      <c r="C309" s="9" t="s">
        <v>223</v>
      </c>
      <c r="D309" s="14">
        <v>164236.76</v>
      </c>
      <c r="E309" s="14">
        <v>9441.58</v>
      </c>
      <c r="F309" s="14">
        <v>19225.189999999999</v>
      </c>
      <c r="G309" s="14">
        <v>14497.76</v>
      </c>
      <c r="H309" s="14">
        <v>529.03</v>
      </c>
      <c r="I309" s="14">
        <v>207930.31</v>
      </c>
      <c r="J309" s="19">
        <v>0.73332231877294207</v>
      </c>
    </row>
    <row r="310" spans="1:10" x14ac:dyDescent="0.3">
      <c r="A310" s="9" t="s">
        <v>192</v>
      </c>
      <c r="B310" s="20">
        <v>45747</v>
      </c>
      <c r="C310" s="9" t="s">
        <v>245</v>
      </c>
      <c r="D310" s="14">
        <v>157896.75</v>
      </c>
      <c r="E310" s="14">
        <v>13551.49</v>
      </c>
      <c r="F310" s="14">
        <v>3503.37</v>
      </c>
      <c r="G310" s="14">
        <v>21179.07</v>
      </c>
      <c r="H310" s="14">
        <v>805.83</v>
      </c>
      <c r="I310" s="14">
        <v>196936.51</v>
      </c>
      <c r="J310" s="19">
        <v>0.73332231877294207</v>
      </c>
    </row>
    <row r="311" spans="1:10" x14ac:dyDescent="0.3">
      <c r="A311" s="9" t="s">
        <v>192</v>
      </c>
      <c r="B311" s="20">
        <v>45747</v>
      </c>
      <c r="C311" s="9" t="s">
        <v>244</v>
      </c>
      <c r="D311" s="14">
        <v>147044.45000000001</v>
      </c>
      <c r="E311" s="14">
        <v>19131.18</v>
      </c>
      <c r="F311" s="14">
        <v>13201.61</v>
      </c>
      <c r="G311" s="14">
        <v>1645.72</v>
      </c>
      <c r="H311" s="14">
        <v>760.04</v>
      </c>
      <c r="I311" s="14">
        <v>181782.99</v>
      </c>
      <c r="J311" s="19">
        <v>0.73332231877294207</v>
      </c>
    </row>
    <row r="312" spans="1:10" x14ac:dyDescent="0.3">
      <c r="A312" s="9" t="s">
        <v>192</v>
      </c>
      <c r="B312" s="20">
        <v>45747</v>
      </c>
      <c r="C312" s="9" t="s">
        <v>243</v>
      </c>
      <c r="D312" s="14">
        <v>146049.70000000001</v>
      </c>
      <c r="E312" s="14">
        <v>10426.19</v>
      </c>
      <c r="F312" s="14">
        <v>12083.69</v>
      </c>
      <c r="G312" s="14">
        <v>9930.49</v>
      </c>
      <c r="H312" s="14">
        <v>3717.58</v>
      </c>
      <c r="I312" s="14">
        <v>182207.65</v>
      </c>
      <c r="J312" s="19">
        <v>0.73332231877294207</v>
      </c>
    </row>
    <row r="313" spans="1:10" x14ac:dyDescent="0.3">
      <c r="A313" s="9" t="s">
        <v>192</v>
      </c>
      <c r="B313" s="20">
        <v>45747</v>
      </c>
      <c r="C313" s="9" t="s">
        <v>242</v>
      </c>
      <c r="D313" s="14">
        <v>170552.23</v>
      </c>
      <c r="E313" s="14">
        <v>21756.58</v>
      </c>
      <c r="F313" s="14">
        <v>12418.79</v>
      </c>
      <c r="G313" s="14">
        <v>4492.07</v>
      </c>
      <c r="H313" s="14">
        <v>7953.25</v>
      </c>
      <c r="I313" s="14">
        <v>217172.93</v>
      </c>
      <c r="J313" s="19">
        <v>0.73332231877294207</v>
      </c>
    </row>
    <row r="314" spans="1:10" x14ac:dyDescent="0.3">
      <c r="A314" s="9" t="s">
        <v>192</v>
      </c>
      <c r="B314" s="20">
        <v>45747</v>
      </c>
      <c r="C314" s="9" t="s">
        <v>241</v>
      </c>
      <c r="D314" s="14">
        <v>298110.76</v>
      </c>
      <c r="E314" s="14">
        <v>28750.240000000002</v>
      </c>
      <c r="F314" s="14">
        <v>5631.08</v>
      </c>
      <c r="G314" s="14">
        <v>19575.14</v>
      </c>
      <c r="H314" s="14">
        <v>18074.599999999999</v>
      </c>
      <c r="I314" s="14">
        <v>370141.81</v>
      </c>
      <c r="J314" s="19">
        <v>0.73332231877294207</v>
      </c>
    </row>
    <row r="315" spans="1:10" x14ac:dyDescent="0.3">
      <c r="A315" s="9" t="s">
        <v>192</v>
      </c>
      <c r="B315" s="20">
        <v>45747</v>
      </c>
      <c r="C315" s="9" t="s">
        <v>209</v>
      </c>
      <c r="D315" s="14">
        <v>265317.59000000003</v>
      </c>
      <c r="E315" s="14">
        <v>20207.45</v>
      </c>
      <c r="F315" s="14">
        <v>23873.75</v>
      </c>
      <c r="G315" s="14">
        <v>31424.35</v>
      </c>
      <c r="H315" s="14">
        <v>1908.71</v>
      </c>
      <c r="I315" s="14">
        <v>342731.84</v>
      </c>
      <c r="J315" s="19">
        <v>0.73332231877294207</v>
      </c>
    </row>
    <row r="316" spans="1:10" x14ac:dyDescent="0.3">
      <c r="A316" s="9" t="s">
        <v>192</v>
      </c>
      <c r="B316" s="20">
        <v>45747</v>
      </c>
      <c r="C316" s="9" t="s">
        <v>240</v>
      </c>
      <c r="D316" s="14">
        <v>180237.75</v>
      </c>
      <c r="E316" s="14">
        <v>13126.48</v>
      </c>
      <c r="F316" s="14">
        <v>14628.29</v>
      </c>
      <c r="G316" s="14">
        <v>1442.19</v>
      </c>
      <c r="H316" s="14">
        <v>2036.4</v>
      </c>
      <c r="I316" s="14">
        <v>211471.11</v>
      </c>
      <c r="J316" s="19">
        <v>0.73332231877294207</v>
      </c>
    </row>
    <row r="317" spans="1:10" x14ac:dyDescent="0.3">
      <c r="A317" s="9" t="s">
        <v>192</v>
      </c>
      <c r="B317" s="20">
        <v>45747</v>
      </c>
      <c r="C317" s="9" t="s">
        <v>239</v>
      </c>
      <c r="D317" s="14">
        <v>14038.72</v>
      </c>
      <c r="E317" s="14">
        <v>1348.21</v>
      </c>
      <c r="F317" s="14">
        <v>555.1</v>
      </c>
      <c r="G317" s="14">
        <v>1208.1199999999999</v>
      </c>
      <c r="H317" s="14">
        <v>224.05</v>
      </c>
      <c r="I317" s="14">
        <v>17374.2</v>
      </c>
      <c r="J317" s="19">
        <v>0.73332231877294207</v>
      </c>
    </row>
    <row r="318" spans="1:10" x14ac:dyDescent="0.3">
      <c r="A318" s="9" t="s">
        <v>192</v>
      </c>
      <c r="B318" s="20">
        <v>45747</v>
      </c>
      <c r="C318" s="9" t="s">
        <v>238</v>
      </c>
      <c r="D318" s="14">
        <v>268132.03000000003</v>
      </c>
      <c r="E318" s="14">
        <v>24579.62</v>
      </c>
      <c r="F318" s="14">
        <v>13596.76</v>
      </c>
      <c r="G318" s="14">
        <v>33560.36</v>
      </c>
      <c r="H318" s="14">
        <v>1868.82</v>
      </c>
      <c r="I318" s="14">
        <v>341737.6</v>
      </c>
      <c r="J318" s="19">
        <v>0.73332231877294207</v>
      </c>
    </row>
    <row r="319" spans="1:10" x14ac:dyDescent="0.3">
      <c r="A319" s="9" t="s">
        <v>192</v>
      </c>
      <c r="B319" s="20">
        <v>45747</v>
      </c>
      <c r="C319" s="9" t="s">
        <v>237</v>
      </c>
      <c r="D319" s="14">
        <v>207387.64</v>
      </c>
      <c r="E319" s="14">
        <v>10904.1</v>
      </c>
      <c r="F319" s="14">
        <v>10375.1</v>
      </c>
      <c r="G319" s="14">
        <v>11613.27</v>
      </c>
      <c r="H319" s="14">
        <v>10268</v>
      </c>
      <c r="I319" s="14">
        <v>250548.11</v>
      </c>
      <c r="J319" s="19">
        <v>0.73332231877294207</v>
      </c>
    </row>
    <row r="320" spans="1:10" x14ac:dyDescent="0.3">
      <c r="A320" s="9" t="s">
        <v>192</v>
      </c>
      <c r="B320" s="20">
        <v>45747</v>
      </c>
      <c r="C320" s="9" t="s">
        <v>236</v>
      </c>
      <c r="D320" s="14">
        <v>37494.120000000003</v>
      </c>
      <c r="E320" s="14">
        <v>5866.48</v>
      </c>
      <c r="F320" s="14">
        <v>2526.6999999999998</v>
      </c>
      <c r="G320" s="14">
        <v>1909.48</v>
      </c>
      <c r="H320" s="14">
        <v>625.1</v>
      </c>
      <c r="I320" s="14">
        <v>48421.87</v>
      </c>
      <c r="J320" s="19">
        <v>0.73332231877294207</v>
      </c>
    </row>
    <row r="321" spans="1:10" x14ac:dyDescent="0.3">
      <c r="A321" s="9" t="s">
        <v>192</v>
      </c>
      <c r="B321" s="20">
        <v>45747</v>
      </c>
      <c r="C321" s="9" t="s">
        <v>215</v>
      </c>
      <c r="D321" s="14">
        <v>286555.03000000003</v>
      </c>
      <c r="E321" s="14">
        <v>17603.2</v>
      </c>
      <c r="F321" s="14">
        <v>20298.43</v>
      </c>
      <c r="G321" s="14">
        <v>12545.1</v>
      </c>
      <c r="H321" s="14">
        <v>6836.1</v>
      </c>
      <c r="I321" s="14">
        <v>343837.86</v>
      </c>
      <c r="J321" s="19">
        <v>0.73332231877294207</v>
      </c>
    </row>
    <row r="322" spans="1:10" x14ac:dyDescent="0.3">
      <c r="A322" s="9" t="s">
        <v>192</v>
      </c>
      <c r="B322" s="20">
        <v>45777</v>
      </c>
      <c r="C322" s="9" t="s">
        <v>228</v>
      </c>
      <c r="D322" s="14">
        <v>43615.19</v>
      </c>
      <c r="E322" s="14">
        <v>2346.64</v>
      </c>
      <c r="F322" s="14">
        <v>3002.91</v>
      </c>
      <c r="G322" s="14">
        <v>939.07</v>
      </c>
      <c r="H322" s="14">
        <v>407.17</v>
      </c>
      <c r="I322" s="14">
        <v>50310.98</v>
      </c>
      <c r="J322" s="19">
        <v>0.5038921847652138</v>
      </c>
    </row>
    <row r="323" spans="1:10" x14ac:dyDescent="0.3">
      <c r="A323" s="9" t="s">
        <v>192</v>
      </c>
      <c r="B323" s="20">
        <v>45777</v>
      </c>
      <c r="C323" s="9" t="s">
        <v>207</v>
      </c>
      <c r="D323" s="14">
        <v>11301.82</v>
      </c>
      <c r="E323" s="14">
        <v>2039.37</v>
      </c>
      <c r="F323" s="14">
        <v>587.78</v>
      </c>
      <c r="G323" s="14">
        <v>448.87</v>
      </c>
      <c r="H323" s="14">
        <v>373.91</v>
      </c>
      <c r="I323" s="14">
        <v>14751.75</v>
      </c>
      <c r="J323" s="19">
        <v>0.5038921847652138</v>
      </c>
    </row>
    <row r="324" spans="1:10" x14ac:dyDescent="0.3">
      <c r="A324" s="9" t="s">
        <v>192</v>
      </c>
      <c r="B324" s="20">
        <v>45777</v>
      </c>
      <c r="C324" s="9" t="s">
        <v>211</v>
      </c>
      <c r="D324" s="14">
        <v>193174.74</v>
      </c>
      <c r="E324" s="14">
        <v>6244.27</v>
      </c>
      <c r="F324" s="14">
        <v>13512.81</v>
      </c>
      <c r="G324" s="14">
        <v>2752.04</v>
      </c>
      <c r="H324" s="14">
        <v>11266.04</v>
      </c>
      <c r="I324" s="14">
        <v>226949.9</v>
      </c>
      <c r="J324" s="19">
        <v>0.5038921847652138</v>
      </c>
    </row>
    <row r="325" spans="1:10" x14ac:dyDescent="0.3">
      <c r="A325" s="9" t="s">
        <v>192</v>
      </c>
      <c r="B325" s="20">
        <v>45777</v>
      </c>
      <c r="C325" s="9" t="s">
        <v>247</v>
      </c>
      <c r="D325" s="14">
        <v>237287.43</v>
      </c>
      <c r="E325" s="14">
        <v>27339.5</v>
      </c>
      <c r="F325" s="14">
        <v>14433.44</v>
      </c>
      <c r="G325" s="14">
        <v>2748.55</v>
      </c>
      <c r="H325" s="14">
        <v>1297.67</v>
      </c>
      <c r="I325" s="14">
        <v>283106.59000000003</v>
      </c>
      <c r="J325" s="19">
        <v>0.5038921847652138</v>
      </c>
    </row>
    <row r="326" spans="1:10" x14ac:dyDescent="0.3">
      <c r="A326" s="9" t="s">
        <v>192</v>
      </c>
      <c r="B326" s="20">
        <v>45777</v>
      </c>
      <c r="C326" s="9" t="s">
        <v>234</v>
      </c>
      <c r="D326" s="14">
        <v>38165.1</v>
      </c>
      <c r="E326" s="14">
        <v>1641.32</v>
      </c>
      <c r="F326" s="14">
        <v>4564.34</v>
      </c>
      <c r="G326" s="14">
        <v>248.53</v>
      </c>
      <c r="H326" s="14">
        <v>342.66</v>
      </c>
      <c r="I326" s="14">
        <v>44961.95</v>
      </c>
      <c r="J326" s="19">
        <v>0.5038921847652138</v>
      </c>
    </row>
    <row r="327" spans="1:10" x14ac:dyDescent="0.3">
      <c r="A327" s="9" t="s">
        <v>192</v>
      </c>
      <c r="B327" s="20">
        <v>45777</v>
      </c>
      <c r="C327" s="9" t="s">
        <v>246</v>
      </c>
      <c r="D327" s="14">
        <v>207342.51</v>
      </c>
      <c r="E327" s="14">
        <v>11259.76</v>
      </c>
      <c r="F327" s="14">
        <v>19366.689999999999</v>
      </c>
      <c r="G327" s="14">
        <v>13154.7</v>
      </c>
      <c r="H327" s="14">
        <v>2502.98</v>
      </c>
      <c r="I327" s="14">
        <v>253626.64</v>
      </c>
      <c r="J327" s="19">
        <v>0.5038921847652138</v>
      </c>
    </row>
    <row r="328" spans="1:10" x14ac:dyDescent="0.3">
      <c r="A328" s="9" t="s">
        <v>192</v>
      </c>
      <c r="B328" s="20">
        <v>45777</v>
      </c>
      <c r="C328" s="9" t="s">
        <v>219</v>
      </c>
      <c r="D328" s="14">
        <v>48706.36</v>
      </c>
      <c r="E328" s="14">
        <v>5025.43</v>
      </c>
      <c r="F328" s="14">
        <v>832.26</v>
      </c>
      <c r="G328" s="14">
        <v>316.58999999999997</v>
      </c>
      <c r="H328" s="14">
        <v>5696.59</v>
      </c>
      <c r="I328" s="14">
        <v>60577.23</v>
      </c>
      <c r="J328" s="19">
        <v>0.5038921847652138</v>
      </c>
    </row>
    <row r="329" spans="1:10" x14ac:dyDescent="0.3">
      <c r="A329" s="9" t="s">
        <v>192</v>
      </c>
      <c r="B329" s="20">
        <v>45777</v>
      </c>
      <c r="C329" s="9" t="s">
        <v>223</v>
      </c>
      <c r="D329" s="14">
        <v>31551.71</v>
      </c>
      <c r="E329" s="14">
        <v>2925.91</v>
      </c>
      <c r="F329" s="14">
        <v>1119.1300000000001</v>
      </c>
      <c r="G329" s="14">
        <v>354.38</v>
      </c>
      <c r="H329" s="14">
        <v>817.42</v>
      </c>
      <c r="I329" s="14">
        <v>36768.54</v>
      </c>
      <c r="J329" s="19">
        <v>0.5038921847652138</v>
      </c>
    </row>
    <row r="330" spans="1:10" x14ac:dyDescent="0.3">
      <c r="A330" s="9" t="s">
        <v>192</v>
      </c>
      <c r="B330" s="20">
        <v>45777</v>
      </c>
      <c r="C330" s="9" t="s">
        <v>245</v>
      </c>
      <c r="D330" s="14">
        <v>74528.98</v>
      </c>
      <c r="E330" s="14">
        <v>5504</v>
      </c>
      <c r="F330" s="14">
        <v>6696.37</v>
      </c>
      <c r="G330" s="14">
        <v>7942.16</v>
      </c>
      <c r="H330" s="14">
        <v>846.15</v>
      </c>
      <c r="I330" s="14">
        <v>95517.66</v>
      </c>
      <c r="J330" s="19">
        <v>0.5038921847652138</v>
      </c>
    </row>
    <row r="331" spans="1:10" x14ac:dyDescent="0.3">
      <c r="A331" s="9" t="s">
        <v>192</v>
      </c>
      <c r="B331" s="20">
        <v>45777</v>
      </c>
      <c r="C331" s="9" t="s">
        <v>244</v>
      </c>
      <c r="D331" s="14">
        <v>217381.21</v>
      </c>
      <c r="E331" s="14">
        <v>11247.07</v>
      </c>
      <c r="F331" s="14">
        <v>14044.51</v>
      </c>
      <c r="G331" s="14">
        <v>3990.2</v>
      </c>
      <c r="H331" s="14">
        <v>2732.67</v>
      </c>
      <c r="I331" s="14">
        <v>249395.66</v>
      </c>
      <c r="J331" s="19">
        <v>0.5038921847652138</v>
      </c>
    </row>
    <row r="332" spans="1:10" x14ac:dyDescent="0.3">
      <c r="A332" s="9" t="s">
        <v>192</v>
      </c>
      <c r="B332" s="20">
        <v>45777</v>
      </c>
      <c r="C332" s="9" t="s">
        <v>243</v>
      </c>
      <c r="D332" s="14">
        <v>21352.61</v>
      </c>
      <c r="E332" s="14">
        <v>1793.5</v>
      </c>
      <c r="F332" s="14">
        <v>847.35</v>
      </c>
      <c r="G332" s="14">
        <v>1017.18</v>
      </c>
      <c r="H332" s="14">
        <v>465.51</v>
      </c>
      <c r="I332" s="14">
        <v>25476.15</v>
      </c>
      <c r="J332" s="19">
        <v>0.5038921847652138</v>
      </c>
    </row>
    <row r="333" spans="1:10" x14ac:dyDescent="0.3">
      <c r="A333" s="9" t="s">
        <v>192</v>
      </c>
      <c r="B333" s="20">
        <v>45777</v>
      </c>
      <c r="C333" s="9" t="s">
        <v>242</v>
      </c>
      <c r="D333" s="14">
        <v>45149.89</v>
      </c>
      <c r="E333" s="14">
        <v>1946.03</v>
      </c>
      <c r="F333" s="14">
        <v>2643.87</v>
      </c>
      <c r="G333" s="14">
        <v>3230.84</v>
      </c>
      <c r="H333" s="14">
        <v>2064.21</v>
      </c>
      <c r="I333" s="14">
        <v>55034.83</v>
      </c>
      <c r="J333" s="19">
        <v>0.5038921847652138</v>
      </c>
    </row>
    <row r="334" spans="1:10" x14ac:dyDescent="0.3">
      <c r="A334" s="9" t="s">
        <v>192</v>
      </c>
      <c r="B334" s="20">
        <v>45777</v>
      </c>
      <c r="C334" s="9" t="s">
        <v>241</v>
      </c>
      <c r="D334" s="14">
        <v>214701.67</v>
      </c>
      <c r="E334" s="14">
        <v>25709.81</v>
      </c>
      <c r="F334" s="14">
        <v>7253.14</v>
      </c>
      <c r="G334" s="14">
        <v>1780.36</v>
      </c>
      <c r="H334" s="14">
        <v>7186.67</v>
      </c>
      <c r="I334" s="14">
        <v>256631.65</v>
      </c>
      <c r="J334" s="19">
        <v>0.5038921847652138</v>
      </c>
    </row>
    <row r="335" spans="1:10" x14ac:dyDescent="0.3">
      <c r="A335" s="9" t="s">
        <v>192</v>
      </c>
      <c r="B335" s="20">
        <v>45777</v>
      </c>
      <c r="C335" s="9" t="s">
        <v>209</v>
      </c>
      <c r="D335" s="14">
        <v>21965.97</v>
      </c>
      <c r="E335" s="14">
        <v>1322.56</v>
      </c>
      <c r="F335" s="14">
        <v>1301.8900000000001</v>
      </c>
      <c r="G335" s="14">
        <v>492.77</v>
      </c>
      <c r="H335" s="14">
        <v>100.18</v>
      </c>
      <c r="I335" s="14">
        <v>25183.360000000001</v>
      </c>
      <c r="J335" s="19">
        <v>0.5038921847652138</v>
      </c>
    </row>
    <row r="336" spans="1:10" x14ac:dyDescent="0.3">
      <c r="A336" s="9" t="s">
        <v>192</v>
      </c>
      <c r="B336" s="20">
        <v>45777</v>
      </c>
      <c r="C336" s="9" t="s">
        <v>240</v>
      </c>
      <c r="D336" s="14">
        <v>223299.51</v>
      </c>
      <c r="E336" s="14">
        <v>12793.09</v>
      </c>
      <c r="F336" s="14">
        <v>11278.58</v>
      </c>
      <c r="G336" s="14">
        <v>8656.69</v>
      </c>
      <c r="H336" s="14">
        <v>9701.91</v>
      </c>
      <c r="I336" s="14">
        <v>265729.77</v>
      </c>
      <c r="J336" s="19">
        <v>0.5038921847652138</v>
      </c>
    </row>
    <row r="337" spans="1:10" x14ac:dyDescent="0.3">
      <c r="A337" s="9" t="s">
        <v>192</v>
      </c>
      <c r="B337" s="20">
        <v>45777</v>
      </c>
      <c r="C337" s="9" t="s">
        <v>239</v>
      </c>
      <c r="D337" s="14">
        <v>212163.39</v>
      </c>
      <c r="E337" s="14">
        <v>36324.769999999997</v>
      </c>
      <c r="F337" s="14">
        <v>16336.3</v>
      </c>
      <c r="G337" s="14">
        <v>3023.57</v>
      </c>
      <c r="H337" s="14">
        <v>9384.9500000000007</v>
      </c>
      <c r="I337" s="14">
        <v>277232.96999999997</v>
      </c>
      <c r="J337" s="19">
        <v>0.5038921847652138</v>
      </c>
    </row>
    <row r="338" spans="1:10" x14ac:dyDescent="0.3">
      <c r="A338" s="9" t="s">
        <v>192</v>
      </c>
      <c r="B338" s="20">
        <v>45777</v>
      </c>
      <c r="C338" s="9" t="s">
        <v>238</v>
      </c>
      <c r="D338" s="14">
        <v>168719.14</v>
      </c>
      <c r="E338" s="14">
        <v>4330.24</v>
      </c>
      <c r="F338" s="14">
        <v>6570.71</v>
      </c>
      <c r="G338" s="14">
        <v>6206.45</v>
      </c>
      <c r="H338" s="14">
        <v>2646.91</v>
      </c>
      <c r="I338" s="14">
        <v>188473.44</v>
      </c>
      <c r="J338" s="19">
        <v>0.5038921847652138</v>
      </c>
    </row>
    <row r="339" spans="1:10" x14ac:dyDescent="0.3">
      <c r="A339" s="9" t="s">
        <v>192</v>
      </c>
      <c r="B339" s="20">
        <v>45777</v>
      </c>
      <c r="C339" s="9" t="s">
        <v>237</v>
      </c>
      <c r="D339" s="14">
        <v>79436.59</v>
      </c>
      <c r="E339" s="14">
        <v>10174.26</v>
      </c>
      <c r="F339" s="14">
        <v>1615.86</v>
      </c>
      <c r="G339" s="14">
        <v>2418.81</v>
      </c>
      <c r="H339" s="14">
        <v>4019.82</v>
      </c>
      <c r="I339" s="14">
        <v>97665.35</v>
      </c>
      <c r="J339" s="19">
        <v>0.5038921847652138</v>
      </c>
    </row>
    <row r="340" spans="1:10" x14ac:dyDescent="0.3">
      <c r="A340" s="9" t="s">
        <v>192</v>
      </c>
      <c r="B340" s="20">
        <v>45777</v>
      </c>
      <c r="C340" s="9" t="s">
        <v>236</v>
      </c>
      <c r="D340" s="14">
        <v>157146.63</v>
      </c>
      <c r="E340" s="14">
        <v>18498.349999999999</v>
      </c>
      <c r="F340" s="14">
        <v>5836.82</v>
      </c>
      <c r="G340" s="14">
        <v>9187.08</v>
      </c>
      <c r="H340" s="14">
        <v>1354.71</v>
      </c>
      <c r="I340" s="14">
        <v>192023.59</v>
      </c>
      <c r="J340" s="19">
        <v>0.5038921847652138</v>
      </c>
    </row>
    <row r="341" spans="1:10" x14ac:dyDescent="0.3">
      <c r="A341" s="9" t="s">
        <v>192</v>
      </c>
      <c r="B341" s="20">
        <v>45777</v>
      </c>
      <c r="C341" s="9" t="s">
        <v>215</v>
      </c>
      <c r="D341" s="14">
        <v>190144.51</v>
      </c>
      <c r="E341" s="14">
        <v>12293.72</v>
      </c>
      <c r="F341" s="14">
        <v>3876</v>
      </c>
      <c r="G341" s="14">
        <v>11995.84</v>
      </c>
      <c r="H341" s="14">
        <v>4342.6899999999996</v>
      </c>
      <c r="I341" s="14">
        <v>222652.77</v>
      </c>
      <c r="J341" s="19">
        <v>0.5038921847652138</v>
      </c>
    </row>
    <row r="342" spans="1:10" x14ac:dyDescent="0.3">
      <c r="A342" s="9" t="s">
        <v>192</v>
      </c>
      <c r="B342" s="20">
        <v>45808</v>
      </c>
      <c r="C342" s="9" t="s">
        <v>228</v>
      </c>
      <c r="D342" s="14">
        <v>203091.42</v>
      </c>
      <c r="E342" s="14">
        <v>9371.15</v>
      </c>
      <c r="F342" s="14">
        <v>20737.73</v>
      </c>
      <c r="G342" s="14">
        <v>1526.06</v>
      </c>
      <c r="H342" s="14">
        <v>6552.95</v>
      </c>
      <c r="I342" s="14">
        <v>241279.31</v>
      </c>
      <c r="J342" s="19">
        <v>0.6404779223449949</v>
      </c>
    </row>
    <row r="343" spans="1:10" x14ac:dyDescent="0.3">
      <c r="A343" s="9" t="s">
        <v>192</v>
      </c>
      <c r="B343" s="20">
        <v>45808</v>
      </c>
      <c r="C343" s="9" t="s">
        <v>207</v>
      </c>
      <c r="D343" s="14">
        <v>224146.74</v>
      </c>
      <c r="E343" s="14">
        <v>32231.09</v>
      </c>
      <c r="F343" s="14">
        <v>7592.49</v>
      </c>
      <c r="G343" s="14">
        <v>2517.4</v>
      </c>
      <c r="H343" s="14">
        <v>6589.78</v>
      </c>
      <c r="I343" s="14">
        <v>273077.5</v>
      </c>
      <c r="J343" s="19">
        <v>0.6404779223449949</v>
      </c>
    </row>
    <row r="344" spans="1:10" x14ac:dyDescent="0.3">
      <c r="A344" s="9" t="s">
        <v>192</v>
      </c>
      <c r="B344" s="20">
        <v>45808</v>
      </c>
      <c r="C344" s="9" t="s">
        <v>211</v>
      </c>
      <c r="D344" s="14">
        <v>54030.34</v>
      </c>
      <c r="E344" s="14">
        <v>6685.44</v>
      </c>
      <c r="F344" s="14">
        <v>3308.59</v>
      </c>
      <c r="G344" s="14">
        <v>1308.02</v>
      </c>
      <c r="H344" s="14">
        <v>99.15</v>
      </c>
      <c r="I344" s="14">
        <v>65431.54</v>
      </c>
      <c r="J344" s="19">
        <v>0.6404779223449949</v>
      </c>
    </row>
    <row r="345" spans="1:10" x14ac:dyDescent="0.3">
      <c r="A345" s="9" t="s">
        <v>192</v>
      </c>
      <c r="B345" s="20">
        <v>45808</v>
      </c>
      <c r="C345" s="9" t="s">
        <v>247</v>
      </c>
      <c r="D345" s="14">
        <v>103618.22</v>
      </c>
      <c r="E345" s="14">
        <v>4340.3500000000004</v>
      </c>
      <c r="F345" s="14">
        <v>1868.48</v>
      </c>
      <c r="G345" s="14">
        <v>5400.36</v>
      </c>
      <c r="H345" s="14">
        <v>47.31</v>
      </c>
      <c r="I345" s="14">
        <v>115274.71</v>
      </c>
      <c r="J345" s="19">
        <v>0.6404779223449949</v>
      </c>
    </row>
    <row r="346" spans="1:10" x14ac:dyDescent="0.3">
      <c r="A346" s="9" t="s">
        <v>192</v>
      </c>
      <c r="B346" s="20">
        <v>45808</v>
      </c>
      <c r="C346" s="9" t="s">
        <v>234</v>
      </c>
      <c r="D346" s="14">
        <v>271371.33</v>
      </c>
      <c r="E346" s="14">
        <v>38170.67</v>
      </c>
      <c r="F346" s="14">
        <v>6042.97</v>
      </c>
      <c r="G346" s="14">
        <v>13950.1</v>
      </c>
      <c r="H346" s="14">
        <v>8145.49</v>
      </c>
      <c r="I346" s="14">
        <v>337680.56</v>
      </c>
      <c r="J346" s="19">
        <v>0.6404779223449949</v>
      </c>
    </row>
    <row r="347" spans="1:10" x14ac:dyDescent="0.3">
      <c r="A347" s="9" t="s">
        <v>192</v>
      </c>
      <c r="B347" s="20">
        <v>45808</v>
      </c>
      <c r="C347" s="9" t="s">
        <v>246</v>
      </c>
      <c r="D347" s="14">
        <v>3017.57</v>
      </c>
      <c r="E347" s="14">
        <v>193.58</v>
      </c>
      <c r="F347" s="14">
        <v>51.05</v>
      </c>
      <c r="G347" s="14">
        <v>461.61</v>
      </c>
      <c r="H347" s="14">
        <v>165.09</v>
      </c>
      <c r="I347" s="14">
        <v>3888.9</v>
      </c>
      <c r="J347" s="19">
        <v>0.6404779223449949</v>
      </c>
    </row>
    <row r="348" spans="1:10" x14ac:dyDescent="0.3">
      <c r="A348" s="9" t="s">
        <v>192</v>
      </c>
      <c r="B348" s="20">
        <v>45808</v>
      </c>
      <c r="C348" s="9" t="s">
        <v>219</v>
      </c>
      <c r="D348" s="14">
        <v>226214.87</v>
      </c>
      <c r="E348" s="14">
        <v>13648.02</v>
      </c>
      <c r="F348" s="14">
        <v>14139.37</v>
      </c>
      <c r="G348" s="14">
        <v>16555.91</v>
      </c>
      <c r="H348" s="14">
        <v>386.17</v>
      </c>
      <c r="I348" s="14">
        <v>270944.34000000003</v>
      </c>
      <c r="J348" s="19">
        <v>0.6404779223449949</v>
      </c>
    </row>
    <row r="349" spans="1:10" x14ac:dyDescent="0.3">
      <c r="A349" s="9" t="s">
        <v>192</v>
      </c>
      <c r="B349" s="20">
        <v>45808</v>
      </c>
      <c r="C349" s="9" t="s">
        <v>223</v>
      </c>
      <c r="D349" s="14">
        <v>130718.85</v>
      </c>
      <c r="E349" s="14">
        <v>13470.59</v>
      </c>
      <c r="F349" s="14">
        <v>2214.3200000000002</v>
      </c>
      <c r="G349" s="14">
        <v>5424.29</v>
      </c>
      <c r="H349" s="14">
        <v>45.82</v>
      </c>
      <c r="I349" s="14">
        <v>151873.85999999999</v>
      </c>
      <c r="J349" s="19">
        <v>0.6404779223449949</v>
      </c>
    </row>
    <row r="350" spans="1:10" x14ac:dyDescent="0.3">
      <c r="A350" s="9" t="s">
        <v>192</v>
      </c>
      <c r="B350" s="20">
        <v>45808</v>
      </c>
      <c r="C350" s="9" t="s">
        <v>245</v>
      </c>
      <c r="D350" s="14">
        <v>164100.84</v>
      </c>
      <c r="E350" s="14">
        <v>13368.01</v>
      </c>
      <c r="F350" s="14">
        <v>7450.86</v>
      </c>
      <c r="G350" s="14">
        <v>13632.11</v>
      </c>
      <c r="H350" s="14">
        <v>3099.29</v>
      </c>
      <c r="I350" s="14">
        <v>201651.12</v>
      </c>
      <c r="J350" s="19">
        <v>0.6404779223449949</v>
      </c>
    </row>
    <row r="351" spans="1:10" x14ac:dyDescent="0.3">
      <c r="A351" s="9" t="s">
        <v>192</v>
      </c>
      <c r="B351" s="20">
        <v>45808</v>
      </c>
      <c r="C351" s="9" t="s">
        <v>244</v>
      </c>
      <c r="D351" s="14">
        <v>119764.79</v>
      </c>
      <c r="E351" s="14">
        <v>10299.31</v>
      </c>
      <c r="F351" s="14">
        <v>14862.2</v>
      </c>
      <c r="G351" s="14">
        <v>1801.75</v>
      </c>
      <c r="H351" s="14">
        <v>9945.44</v>
      </c>
      <c r="I351" s="14">
        <v>156673.48000000001</v>
      </c>
      <c r="J351" s="19">
        <v>0.6404779223449949</v>
      </c>
    </row>
    <row r="352" spans="1:10" x14ac:dyDescent="0.3">
      <c r="A352" s="9" t="s">
        <v>192</v>
      </c>
      <c r="B352" s="20">
        <v>45808</v>
      </c>
      <c r="C352" s="9" t="s">
        <v>243</v>
      </c>
      <c r="D352" s="14">
        <v>216921.09</v>
      </c>
      <c r="E352" s="14">
        <v>17147.91</v>
      </c>
      <c r="F352" s="14">
        <v>12328.53</v>
      </c>
      <c r="G352" s="14">
        <v>4764</v>
      </c>
      <c r="H352" s="14">
        <v>13540.84</v>
      </c>
      <c r="I352" s="14">
        <v>264702.37</v>
      </c>
      <c r="J352" s="19">
        <v>0.6404779223449949</v>
      </c>
    </row>
    <row r="353" spans="1:10" x14ac:dyDescent="0.3">
      <c r="A353" s="9" t="s">
        <v>192</v>
      </c>
      <c r="B353" s="20">
        <v>45808</v>
      </c>
      <c r="C353" s="9" t="s">
        <v>242</v>
      </c>
      <c r="D353" s="14">
        <v>138821.54</v>
      </c>
      <c r="E353" s="14">
        <v>20589.509999999998</v>
      </c>
      <c r="F353" s="14">
        <v>3419.02</v>
      </c>
      <c r="G353" s="14">
        <v>3780.64</v>
      </c>
      <c r="H353" s="14">
        <v>2302.77</v>
      </c>
      <c r="I353" s="14">
        <v>168913.49</v>
      </c>
      <c r="J353" s="19">
        <v>0.6404779223449949</v>
      </c>
    </row>
    <row r="354" spans="1:10" x14ac:dyDescent="0.3">
      <c r="A354" s="9" t="s">
        <v>192</v>
      </c>
      <c r="B354" s="20">
        <v>45808</v>
      </c>
      <c r="C354" s="9" t="s">
        <v>241</v>
      </c>
      <c r="D354" s="14">
        <v>227107.21</v>
      </c>
      <c r="E354" s="14">
        <v>28936.06</v>
      </c>
      <c r="F354" s="14">
        <v>7143.11</v>
      </c>
      <c r="G354" s="14">
        <v>26478.14</v>
      </c>
      <c r="H354" s="14">
        <v>1369.82</v>
      </c>
      <c r="I354" s="14">
        <v>291034.34999999998</v>
      </c>
      <c r="J354" s="19">
        <v>0.6404779223449949</v>
      </c>
    </row>
    <row r="355" spans="1:10" x14ac:dyDescent="0.3">
      <c r="A355" s="9" t="s">
        <v>192</v>
      </c>
      <c r="B355" s="20">
        <v>45808</v>
      </c>
      <c r="C355" s="9" t="s">
        <v>209</v>
      </c>
      <c r="D355" s="14">
        <v>54128.9</v>
      </c>
      <c r="E355" s="14">
        <v>4491.09</v>
      </c>
      <c r="F355" s="14">
        <v>5416.26</v>
      </c>
      <c r="G355" s="14">
        <v>394.87</v>
      </c>
      <c r="H355" s="14">
        <v>905.19</v>
      </c>
      <c r="I355" s="14">
        <v>65336.32</v>
      </c>
      <c r="J355" s="19">
        <v>0.6404779223449949</v>
      </c>
    </row>
    <row r="356" spans="1:10" x14ac:dyDescent="0.3">
      <c r="A356" s="9" t="s">
        <v>192</v>
      </c>
      <c r="B356" s="20">
        <v>45808</v>
      </c>
      <c r="C356" s="9" t="s">
        <v>240</v>
      </c>
      <c r="D356" s="14">
        <v>66617.81</v>
      </c>
      <c r="E356" s="14">
        <v>8810.58</v>
      </c>
      <c r="F356" s="14">
        <v>881.15</v>
      </c>
      <c r="G356" s="14">
        <v>2464.29</v>
      </c>
      <c r="H356" s="14">
        <v>3361.2</v>
      </c>
      <c r="I356" s="14">
        <v>82135.03</v>
      </c>
      <c r="J356" s="19">
        <v>0.6404779223449949</v>
      </c>
    </row>
    <row r="357" spans="1:10" x14ac:dyDescent="0.3">
      <c r="A357" s="9" t="s">
        <v>192</v>
      </c>
      <c r="B357" s="20">
        <v>45808</v>
      </c>
      <c r="C357" s="9" t="s">
        <v>239</v>
      </c>
      <c r="D357" s="14">
        <v>271016.88</v>
      </c>
      <c r="E357" s="14">
        <v>8641.61</v>
      </c>
      <c r="F357" s="14">
        <v>20869.810000000001</v>
      </c>
      <c r="G357" s="14">
        <v>11029.63</v>
      </c>
      <c r="H357" s="14">
        <v>1593.51</v>
      </c>
      <c r="I357" s="14">
        <v>313151.46000000002</v>
      </c>
      <c r="J357" s="19">
        <v>0.6404779223449949</v>
      </c>
    </row>
    <row r="358" spans="1:10" x14ac:dyDescent="0.3">
      <c r="A358" s="9" t="s">
        <v>192</v>
      </c>
      <c r="B358" s="20">
        <v>45808</v>
      </c>
      <c r="C358" s="9" t="s">
        <v>238</v>
      </c>
      <c r="D358" s="14">
        <v>247377.09</v>
      </c>
      <c r="E358" s="14">
        <v>18618.939999999999</v>
      </c>
      <c r="F358" s="14">
        <v>3949.67</v>
      </c>
      <c r="G358" s="14">
        <v>8135.54</v>
      </c>
      <c r="H358" s="14">
        <v>1122.2</v>
      </c>
      <c r="I358" s="14">
        <v>279203.45</v>
      </c>
      <c r="J358" s="19">
        <v>0.6404779223449949</v>
      </c>
    </row>
    <row r="359" spans="1:10" x14ac:dyDescent="0.3">
      <c r="A359" s="9" t="s">
        <v>192</v>
      </c>
      <c r="B359" s="20">
        <v>45808</v>
      </c>
      <c r="C359" s="9" t="s">
        <v>237</v>
      </c>
      <c r="D359" s="14">
        <v>150641.60999999999</v>
      </c>
      <c r="E359" s="14">
        <v>11061.47</v>
      </c>
      <c r="F359" s="14">
        <v>8960.81</v>
      </c>
      <c r="G359" s="14">
        <v>10980.53</v>
      </c>
      <c r="H359" s="14">
        <v>587.22</v>
      </c>
      <c r="I359" s="14">
        <v>182231.64</v>
      </c>
      <c r="J359" s="19">
        <v>0.6404779223449949</v>
      </c>
    </row>
    <row r="360" spans="1:10" x14ac:dyDescent="0.3">
      <c r="A360" s="9" t="s">
        <v>192</v>
      </c>
      <c r="B360" s="20">
        <v>45808</v>
      </c>
      <c r="C360" s="9" t="s">
        <v>236</v>
      </c>
      <c r="D360" s="14">
        <v>149804.69</v>
      </c>
      <c r="E360" s="14">
        <v>25193.33</v>
      </c>
      <c r="F360" s="14">
        <v>6085.45</v>
      </c>
      <c r="G360" s="14">
        <v>824.43</v>
      </c>
      <c r="H360" s="14">
        <v>3791.65</v>
      </c>
      <c r="I360" s="14">
        <v>185699.55</v>
      </c>
      <c r="J360" s="19">
        <v>0.6404779223449949</v>
      </c>
    </row>
    <row r="361" spans="1:10" x14ac:dyDescent="0.3">
      <c r="A361" s="9" t="s">
        <v>192</v>
      </c>
      <c r="B361" s="20">
        <v>45808</v>
      </c>
      <c r="C361" s="9" t="s">
        <v>215</v>
      </c>
      <c r="D361" s="14">
        <v>43080.23</v>
      </c>
      <c r="E361" s="14">
        <v>6701.5</v>
      </c>
      <c r="F361" s="14">
        <v>2350.37</v>
      </c>
      <c r="G361" s="14">
        <v>1809.57</v>
      </c>
      <c r="H361" s="14">
        <v>399.67</v>
      </c>
      <c r="I361" s="14">
        <v>54341.34</v>
      </c>
      <c r="J361" s="19">
        <v>0.6404779223449949</v>
      </c>
    </row>
    <row r="362" spans="1:10" x14ac:dyDescent="0.3">
      <c r="A362" s="9" t="s">
        <v>192</v>
      </c>
      <c r="B362" s="20">
        <v>45838</v>
      </c>
      <c r="C362" s="9" t="s">
        <v>228</v>
      </c>
      <c r="D362" s="14">
        <v>243555.29</v>
      </c>
      <c r="E362" s="14">
        <v>7806.26</v>
      </c>
      <c r="F362" s="14">
        <v>8889.3700000000008</v>
      </c>
      <c r="G362" s="14">
        <v>14196.3</v>
      </c>
      <c r="H362" s="14">
        <v>6416.93</v>
      </c>
      <c r="I362" s="14">
        <v>280864.15999999997</v>
      </c>
      <c r="J362" s="19">
        <v>0.615510660386833</v>
      </c>
    </row>
    <row r="363" spans="1:10" x14ac:dyDescent="0.3">
      <c r="A363" s="9" t="s">
        <v>192</v>
      </c>
      <c r="B363" s="20">
        <v>45838</v>
      </c>
      <c r="C363" s="9" t="s">
        <v>207</v>
      </c>
      <c r="D363" s="14">
        <v>239115.18</v>
      </c>
      <c r="E363" s="14">
        <v>46151.09</v>
      </c>
      <c r="F363" s="14">
        <v>5076.9399999999996</v>
      </c>
      <c r="G363" s="14">
        <v>8041.84</v>
      </c>
      <c r="H363" s="14">
        <v>7483.65</v>
      </c>
      <c r="I363" s="14">
        <v>305868.7</v>
      </c>
      <c r="J363" s="19">
        <v>0.615510660386833</v>
      </c>
    </row>
    <row r="364" spans="1:10" x14ac:dyDescent="0.3">
      <c r="A364" s="9" t="s">
        <v>192</v>
      </c>
      <c r="B364" s="20">
        <v>45838</v>
      </c>
      <c r="C364" s="9" t="s">
        <v>211</v>
      </c>
      <c r="D364" s="14">
        <v>32773.39</v>
      </c>
      <c r="E364" s="14">
        <v>1811.33</v>
      </c>
      <c r="F364" s="14">
        <v>1415.81</v>
      </c>
      <c r="G364" s="14">
        <v>2365.8000000000002</v>
      </c>
      <c r="H364" s="14">
        <v>1798.59</v>
      </c>
      <c r="I364" s="14">
        <v>40164.93</v>
      </c>
      <c r="J364" s="19">
        <v>0.615510660386833</v>
      </c>
    </row>
    <row r="365" spans="1:10" x14ac:dyDescent="0.3">
      <c r="A365" s="9" t="s">
        <v>192</v>
      </c>
      <c r="B365" s="20">
        <v>45838</v>
      </c>
      <c r="C365" s="9" t="s">
        <v>247</v>
      </c>
      <c r="D365" s="14">
        <v>270847.06</v>
      </c>
      <c r="E365" s="14">
        <v>37958.33</v>
      </c>
      <c r="F365" s="14">
        <v>2117.88</v>
      </c>
      <c r="G365" s="14">
        <v>3989.81</v>
      </c>
      <c r="H365" s="14">
        <v>1005.02</v>
      </c>
      <c r="I365" s="14">
        <v>315918.09999999998</v>
      </c>
      <c r="J365" s="19">
        <v>0.615510660386833</v>
      </c>
    </row>
    <row r="366" spans="1:10" x14ac:dyDescent="0.3">
      <c r="A366" s="9" t="s">
        <v>192</v>
      </c>
      <c r="B366" s="20">
        <v>45838</v>
      </c>
      <c r="C366" s="9" t="s">
        <v>234</v>
      </c>
      <c r="D366" s="14">
        <v>12664.32</v>
      </c>
      <c r="E366" s="14">
        <v>583.57000000000005</v>
      </c>
      <c r="F366" s="14">
        <v>941.52</v>
      </c>
      <c r="G366" s="14">
        <v>835.3</v>
      </c>
      <c r="H366" s="14">
        <v>536.71</v>
      </c>
      <c r="I366" s="14">
        <v>15561.42</v>
      </c>
      <c r="J366" s="19">
        <v>0.615510660386833</v>
      </c>
    </row>
    <row r="367" spans="1:10" x14ac:dyDescent="0.3">
      <c r="A367" s="9" t="s">
        <v>192</v>
      </c>
      <c r="B367" s="20">
        <v>45838</v>
      </c>
      <c r="C367" s="9" t="s">
        <v>246</v>
      </c>
      <c r="D367" s="14">
        <v>295627.03999999998</v>
      </c>
      <c r="E367" s="14">
        <v>33372.67</v>
      </c>
      <c r="F367" s="14">
        <v>11179.26</v>
      </c>
      <c r="G367" s="14">
        <v>11383.2</v>
      </c>
      <c r="H367" s="14">
        <v>15991.97</v>
      </c>
      <c r="I367" s="14">
        <v>367554.13</v>
      </c>
      <c r="J367" s="19">
        <v>0.615510660386833</v>
      </c>
    </row>
    <row r="368" spans="1:10" x14ac:dyDescent="0.3">
      <c r="A368" s="9" t="s">
        <v>192</v>
      </c>
      <c r="B368" s="20">
        <v>45838</v>
      </c>
      <c r="C368" s="9" t="s">
        <v>219</v>
      </c>
      <c r="D368" s="14">
        <v>101967.29</v>
      </c>
      <c r="E368" s="14">
        <v>17196.18</v>
      </c>
      <c r="F368" s="14">
        <v>1525.1</v>
      </c>
      <c r="G368" s="14">
        <v>1431.14</v>
      </c>
      <c r="H368" s="14">
        <v>1405.18</v>
      </c>
      <c r="I368" s="14">
        <v>123524.89</v>
      </c>
      <c r="J368" s="19">
        <v>0.615510660386833</v>
      </c>
    </row>
    <row r="369" spans="1:10" x14ac:dyDescent="0.3">
      <c r="A369" s="9" t="s">
        <v>192</v>
      </c>
      <c r="B369" s="20">
        <v>45838</v>
      </c>
      <c r="C369" s="9" t="s">
        <v>223</v>
      </c>
      <c r="D369" s="14">
        <v>125430.76</v>
      </c>
      <c r="E369" s="14">
        <v>20268.77</v>
      </c>
      <c r="F369" s="14">
        <v>8121.23</v>
      </c>
      <c r="G369" s="14">
        <v>7941.05</v>
      </c>
      <c r="H369" s="14">
        <v>2074.9499999999998</v>
      </c>
      <c r="I369" s="14">
        <v>163836.76</v>
      </c>
      <c r="J369" s="19">
        <v>0.615510660386833</v>
      </c>
    </row>
    <row r="370" spans="1:10" x14ac:dyDescent="0.3">
      <c r="A370" s="9" t="s">
        <v>192</v>
      </c>
      <c r="B370" s="20">
        <v>45838</v>
      </c>
      <c r="C370" s="9" t="s">
        <v>245</v>
      </c>
      <c r="D370" s="14">
        <v>88438.21</v>
      </c>
      <c r="E370" s="14">
        <v>13250.42</v>
      </c>
      <c r="F370" s="14">
        <v>9262.1200000000008</v>
      </c>
      <c r="G370" s="14">
        <v>3118.81</v>
      </c>
      <c r="H370" s="14">
        <v>403.53</v>
      </c>
      <c r="I370" s="14">
        <v>114473.1</v>
      </c>
      <c r="J370" s="19">
        <v>0.615510660386833</v>
      </c>
    </row>
    <row r="371" spans="1:10" x14ac:dyDescent="0.3">
      <c r="A371" s="9" t="s">
        <v>192</v>
      </c>
      <c r="B371" s="20">
        <v>45838</v>
      </c>
      <c r="C371" s="9" t="s">
        <v>244</v>
      </c>
      <c r="D371" s="14">
        <v>89036.11</v>
      </c>
      <c r="E371" s="14">
        <v>5082.1099999999997</v>
      </c>
      <c r="F371" s="14">
        <v>4282.59</v>
      </c>
      <c r="G371" s="14">
        <v>5060.21</v>
      </c>
      <c r="H371" s="14">
        <v>2793.16</v>
      </c>
      <c r="I371" s="14">
        <v>106254.19</v>
      </c>
      <c r="J371" s="19">
        <v>0.615510660386833</v>
      </c>
    </row>
    <row r="372" spans="1:10" x14ac:dyDescent="0.3">
      <c r="A372" s="9" t="s">
        <v>192</v>
      </c>
      <c r="B372" s="20">
        <v>45838</v>
      </c>
      <c r="C372" s="9" t="s">
        <v>243</v>
      </c>
      <c r="D372" s="14">
        <v>26763.3</v>
      </c>
      <c r="E372" s="14">
        <v>898.75</v>
      </c>
      <c r="F372" s="14">
        <v>1353.58</v>
      </c>
      <c r="G372" s="14">
        <v>2110.6999999999998</v>
      </c>
      <c r="H372" s="14">
        <v>683.41</v>
      </c>
      <c r="I372" s="14">
        <v>31809.74</v>
      </c>
      <c r="J372" s="19">
        <v>0.615510660386833</v>
      </c>
    </row>
    <row r="373" spans="1:10" x14ac:dyDescent="0.3">
      <c r="A373" s="9" t="s">
        <v>192</v>
      </c>
      <c r="B373" s="20">
        <v>45838</v>
      </c>
      <c r="C373" s="9" t="s">
        <v>242</v>
      </c>
      <c r="D373" s="14">
        <v>202028.65</v>
      </c>
      <c r="E373" s="14">
        <v>34151.31</v>
      </c>
      <c r="F373" s="14">
        <v>1658.73</v>
      </c>
      <c r="G373" s="14">
        <v>2381.69</v>
      </c>
      <c r="H373" s="14">
        <v>1656.1</v>
      </c>
      <c r="I373" s="14">
        <v>241876.48000000001</v>
      </c>
      <c r="J373" s="19">
        <v>0.615510660386833</v>
      </c>
    </row>
    <row r="374" spans="1:10" x14ac:dyDescent="0.3">
      <c r="A374" s="9" t="s">
        <v>192</v>
      </c>
      <c r="B374" s="20">
        <v>45838</v>
      </c>
      <c r="C374" s="9" t="s">
        <v>241</v>
      </c>
      <c r="D374" s="14">
        <v>179969.53</v>
      </c>
      <c r="E374" s="14">
        <v>24209.96</v>
      </c>
      <c r="F374" s="14">
        <v>6584.12</v>
      </c>
      <c r="G374" s="14">
        <v>6414.07</v>
      </c>
      <c r="H374" s="14">
        <v>1863.54</v>
      </c>
      <c r="I374" s="14">
        <v>219041.22</v>
      </c>
      <c r="J374" s="19">
        <v>0.615510660386833</v>
      </c>
    </row>
    <row r="375" spans="1:10" x14ac:dyDescent="0.3">
      <c r="A375" s="9" t="s">
        <v>192</v>
      </c>
      <c r="B375" s="20">
        <v>45838</v>
      </c>
      <c r="C375" s="9" t="s">
        <v>209</v>
      </c>
      <c r="D375" s="14">
        <v>100061.02</v>
      </c>
      <c r="E375" s="14">
        <v>10690.85</v>
      </c>
      <c r="F375" s="14">
        <v>3403.24</v>
      </c>
      <c r="G375" s="14">
        <v>5579.63</v>
      </c>
      <c r="H375" s="14">
        <v>671.72</v>
      </c>
      <c r="I375" s="14">
        <v>120406.44</v>
      </c>
      <c r="J375" s="19">
        <v>0.615510660386833</v>
      </c>
    </row>
    <row r="376" spans="1:10" x14ac:dyDescent="0.3">
      <c r="A376" s="9" t="s">
        <v>192</v>
      </c>
      <c r="B376" s="20">
        <v>45838</v>
      </c>
      <c r="C376" s="9" t="s">
        <v>240</v>
      </c>
      <c r="D376" s="14">
        <v>325141.65000000002</v>
      </c>
      <c r="E376" s="14">
        <v>32919.980000000003</v>
      </c>
      <c r="F376" s="14">
        <v>29895.96</v>
      </c>
      <c r="G376" s="14">
        <v>35009.07</v>
      </c>
      <c r="H376" s="14">
        <v>1894.54</v>
      </c>
      <c r="I376" s="14">
        <v>424861.19</v>
      </c>
      <c r="J376" s="19">
        <v>0.615510660386833</v>
      </c>
    </row>
    <row r="377" spans="1:10" x14ac:dyDescent="0.3">
      <c r="A377" s="9" t="s">
        <v>192</v>
      </c>
      <c r="B377" s="20">
        <v>45838</v>
      </c>
      <c r="C377" s="9" t="s">
        <v>239</v>
      </c>
      <c r="D377" s="14">
        <v>18045.43</v>
      </c>
      <c r="E377" s="14">
        <v>3884.46</v>
      </c>
      <c r="F377" s="14">
        <v>571.01</v>
      </c>
      <c r="G377" s="14">
        <v>427.17</v>
      </c>
      <c r="H377" s="14">
        <v>55.51</v>
      </c>
      <c r="I377" s="14">
        <v>22983.58</v>
      </c>
      <c r="J377" s="19">
        <v>0.615510660386833</v>
      </c>
    </row>
    <row r="378" spans="1:10" x14ac:dyDescent="0.3">
      <c r="A378" s="9" t="s">
        <v>192</v>
      </c>
      <c r="B378" s="20">
        <v>45838</v>
      </c>
      <c r="C378" s="9" t="s">
        <v>238</v>
      </c>
      <c r="D378" s="14">
        <v>161844.94</v>
      </c>
      <c r="E378" s="14">
        <v>14601.98</v>
      </c>
      <c r="F378" s="14">
        <v>10317.370000000001</v>
      </c>
      <c r="G378" s="14">
        <v>10510.83</v>
      </c>
      <c r="H378" s="14">
        <v>3564.44</v>
      </c>
      <c r="I378" s="14">
        <v>200839.56</v>
      </c>
      <c r="J378" s="19">
        <v>0.615510660386833</v>
      </c>
    </row>
    <row r="379" spans="1:10" x14ac:dyDescent="0.3">
      <c r="A379" s="9" t="s">
        <v>192</v>
      </c>
      <c r="B379" s="20">
        <v>45838</v>
      </c>
      <c r="C379" s="9" t="s">
        <v>237</v>
      </c>
      <c r="D379" s="14">
        <v>124492.08</v>
      </c>
      <c r="E379" s="14">
        <v>4637.93</v>
      </c>
      <c r="F379" s="14">
        <v>10119.67</v>
      </c>
      <c r="G379" s="14">
        <v>5279.66</v>
      </c>
      <c r="H379" s="14">
        <v>2538.7600000000002</v>
      </c>
      <c r="I379" s="14">
        <v>147068.1</v>
      </c>
      <c r="J379" s="19">
        <v>0.615510660386833</v>
      </c>
    </row>
    <row r="380" spans="1:10" x14ac:dyDescent="0.3">
      <c r="A380" s="9" t="s">
        <v>192</v>
      </c>
      <c r="B380" s="20">
        <v>45838</v>
      </c>
      <c r="C380" s="9" t="s">
        <v>236</v>
      </c>
      <c r="D380" s="14">
        <v>96436.1</v>
      </c>
      <c r="E380" s="14">
        <v>14979.99</v>
      </c>
      <c r="F380" s="14">
        <v>2483.0500000000002</v>
      </c>
      <c r="G380" s="14">
        <v>263.45999999999998</v>
      </c>
      <c r="H380" s="14">
        <v>2953.4</v>
      </c>
      <c r="I380" s="14">
        <v>117115.99</v>
      </c>
      <c r="J380" s="19">
        <v>0.615510660386833</v>
      </c>
    </row>
    <row r="381" spans="1:10" x14ac:dyDescent="0.3">
      <c r="A381" s="9" t="s">
        <v>192</v>
      </c>
      <c r="B381" s="20">
        <v>45838</v>
      </c>
      <c r="C381" s="9" t="s">
        <v>215</v>
      </c>
      <c r="D381" s="14">
        <v>205120.45</v>
      </c>
      <c r="E381" s="14">
        <v>8635.4500000000007</v>
      </c>
      <c r="F381" s="14">
        <v>21048.720000000001</v>
      </c>
      <c r="G381" s="14">
        <v>9240.16</v>
      </c>
      <c r="H381" s="14">
        <v>6518.1</v>
      </c>
      <c r="I381" s="14">
        <v>250562.87</v>
      </c>
      <c r="J381" s="19">
        <v>0.615510660386833</v>
      </c>
    </row>
    <row r="382" spans="1:10" x14ac:dyDescent="0.3">
      <c r="A382" s="9" t="s">
        <v>192</v>
      </c>
      <c r="B382" s="20">
        <v>45869</v>
      </c>
      <c r="C382" s="9" t="s">
        <v>228</v>
      </c>
      <c r="D382" s="14">
        <v>6210.74</v>
      </c>
      <c r="E382" s="14">
        <v>259.01</v>
      </c>
      <c r="F382" s="14">
        <v>846.85</v>
      </c>
      <c r="G382" s="14">
        <v>287.60000000000002</v>
      </c>
      <c r="H382" s="14">
        <v>16.28</v>
      </c>
      <c r="I382" s="14">
        <v>7620.47</v>
      </c>
      <c r="J382" s="19">
        <v>0.53850358881639837</v>
      </c>
    </row>
    <row r="383" spans="1:10" x14ac:dyDescent="0.3">
      <c r="A383" s="9" t="s">
        <v>192</v>
      </c>
      <c r="B383" s="20">
        <v>45869</v>
      </c>
      <c r="C383" s="9" t="s">
        <v>207</v>
      </c>
      <c r="D383" s="14">
        <v>139102.35999999999</v>
      </c>
      <c r="E383" s="14">
        <v>18141.5</v>
      </c>
      <c r="F383" s="14">
        <v>3461.16</v>
      </c>
      <c r="G383" s="14">
        <v>1380.05</v>
      </c>
      <c r="H383" s="14">
        <v>3153.55</v>
      </c>
      <c r="I383" s="14">
        <v>165238.62</v>
      </c>
      <c r="J383" s="19">
        <v>0.53850358881639837</v>
      </c>
    </row>
    <row r="384" spans="1:10" x14ac:dyDescent="0.3">
      <c r="A384" s="9" t="s">
        <v>192</v>
      </c>
      <c r="B384" s="20">
        <v>45869</v>
      </c>
      <c r="C384" s="9" t="s">
        <v>211</v>
      </c>
      <c r="D384" s="14">
        <v>211728.12</v>
      </c>
      <c r="E384" s="14">
        <v>15922.96</v>
      </c>
      <c r="F384" s="14">
        <v>11367.76</v>
      </c>
      <c r="G384" s="14">
        <v>15021.26</v>
      </c>
      <c r="H384" s="14">
        <v>2628.82</v>
      </c>
      <c r="I384" s="14">
        <v>256668.92</v>
      </c>
      <c r="J384" s="19">
        <v>0.53850358881639837</v>
      </c>
    </row>
    <row r="385" spans="1:10" x14ac:dyDescent="0.3">
      <c r="A385" s="9" t="s">
        <v>192</v>
      </c>
      <c r="B385" s="20">
        <v>45869</v>
      </c>
      <c r="C385" s="9" t="s">
        <v>247</v>
      </c>
      <c r="D385" s="14">
        <v>60861.96</v>
      </c>
      <c r="E385" s="14">
        <v>6236.36</v>
      </c>
      <c r="F385" s="14">
        <v>855.82</v>
      </c>
      <c r="G385" s="14">
        <v>3265.78</v>
      </c>
      <c r="H385" s="14">
        <v>2158.5300000000002</v>
      </c>
      <c r="I385" s="14">
        <v>73378.45</v>
      </c>
      <c r="J385" s="19">
        <v>0.53850358881639837</v>
      </c>
    </row>
    <row r="386" spans="1:10" x14ac:dyDescent="0.3">
      <c r="A386" s="9" t="s">
        <v>192</v>
      </c>
      <c r="B386" s="20">
        <v>45869</v>
      </c>
      <c r="C386" s="9" t="s">
        <v>234</v>
      </c>
      <c r="D386" s="14">
        <v>692.52</v>
      </c>
      <c r="E386" s="14">
        <v>91.89</v>
      </c>
      <c r="F386" s="14">
        <v>44.44</v>
      </c>
      <c r="G386" s="14">
        <v>26.74</v>
      </c>
      <c r="H386" s="14">
        <v>6.19</v>
      </c>
      <c r="I386" s="14">
        <v>861.78</v>
      </c>
      <c r="J386" s="19">
        <v>0.53850358881639837</v>
      </c>
    </row>
    <row r="387" spans="1:10" x14ac:dyDescent="0.3">
      <c r="A387" s="9" t="s">
        <v>192</v>
      </c>
      <c r="B387" s="20">
        <v>45869</v>
      </c>
      <c r="C387" s="9" t="s">
        <v>246</v>
      </c>
      <c r="D387" s="14">
        <v>165860.26</v>
      </c>
      <c r="E387" s="14">
        <v>9205.69</v>
      </c>
      <c r="F387" s="14">
        <v>13712.05</v>
      </c>
      <c r="G387" s="14">
        <v>5483.38</v>
      </c>
      <c r="H387" s="14">
        <v>7912.62</v>
      </c>
      <c r="I387" s="14">
        <v>202174.01</v>
      </c>
      <c r="J387" s="19">
        <v>0.53850358881639837</v>
      </c>
    </row>
    <row r="388" spans="1:10" x14ac:dyDescent="0.3">
      <c r="A388" s="9" t="s">
        <v>192</v>
      </c>
      <c r="B388" s="20">
        <v>45869</v>
      </c>
      <c r="C388" s="9" t="s">
        <v>219</v>
      </c>
      <c r="D388" s="14">
        <v>61519.85</v>
      </c>
      <c r="E388" s="14">
        <v>2481.4</v>
      </c>
      <c r="F388" s="14">
        <v>6910.8</v>
      </c>
      <c r="G388" s="14">
        <v>1921.23</v>
      </c>
      <c r="H388" s="14">
        <v>964.04</v>
      </c>
      <c r="I388" s="14">
        <v>73797.320000000007</v>
      </c>
      <c r="J388" s="19">
        <v>0.53850358881639837</v>
      </c>
    </row>
    <row r="389" spans="1:10" x14ac:dyDescent="0.3">
      <c r="A389" s="9" t="s">
        <v>192</v>
      </c>
      <c r="B389" s="20">
        <v>45869</v>
      </c>
      <c r="C389" s="9" t="s">
        <v>223</v>
      </c>
      <c r="D389" s="14">
        <v>147307.6</v>
      </c>
      <c r="E389" s="14">
        <v>12884.73</v>
      </c>
      <c r="F389" s="14">
        <v>7394.65</v>
      </c>
      <c r="G389" s="14">
        <v>1065.6600000000001</v>
      </c>
      <c r="H389" s="14">
        <v>11488.63</v>
      </c>
      <c r="I389" s="14">
        <v>180141.27</v>
      </c>
      <c r="J389" s="19">
        <v>0.53850358881639837</v>
      </c>
    </row>
    <row r="390" spans="1:10" x14ac:dyDescent="0.3">
      <c r="A390" s="9" t="s">
        <v>192</v>
      </c>
      <c r="B390" s="20">
        <v>45869</v>
      </c>
      <c r="C390" s="9" t="s">
        <v>245</v>
      </c>
      <c r="D390" s="14">
        <v>205521.61</v>
      </c>
      <c r="E390" s="14">
        <v>26316.93</v>
      </c>
      <c r="F390" s="14">
        <v>22091.11</v>
      </c>
      <c r="G390" s="14">
        <v>803.22</v>
      </c>
      <c r="H390" s="14">
        <v>578.12</v>
      </c>
      <c r="I390" s="14">
        <v>255310.99</v>
      </c>
      <c r="J390" s="19">
        <v>0.53850358881639837</v>
      </c>
    </row>
    <row r="391" spans="1:10" x14ac:dyDescent="0.3">
      <c r="A391" s="9" t="s">
        <v>192</v>
      </c>
      <c r="B391" s="20">
        <v>45869</v>
      </c>
      <c r="C391" s="9" t="s">
        <v>244</v>
      </c>
      <c r="D391" s="14">
        <v>125800.57</v>
      </c>
      <c r="E391" s="14">
        <v>9284.42</v>
      </c>
      <c r="F391" s="14">
        <v>2145.83</v>
      </c>
      <c r="G391" s="14">
        <v>5684.85</v>
      </c>
      <c r="H391" s="14">
        <v>4493.67</v>
      </c>
      <c r="I391" s="14">
        <v>147409.34</v>
      </c>
      <c r="J391" s="19">
        <v>0.53850358881639837</v>
      </c>
    </row>
    <row r="392" spans="1:10" x14ac:dyDescent="0.3">
      <c r="A392" s="9" t="s">
        <v>192</v>
      </c>
      <c r="B392" s="20">
        <v>45869</v>
      </c>
      <c r="C392" s="9" t="s">
        <v>243</v>
      </c>
      <c r="D392" s="14">
        <v>110651.91</v>
      </c>
      <c r="E392" s="14">
        <v>7703.62</v>
      </c>
      <c r="F392" s="14">
        <v>8523.68</v>
      </c>
      <c r="G392" s="14">
        <v>1332.59</v>
      </c>
      <c r="H392" s="14">
        <v>6603.95</v>
      </c>
      <c r="I392" s="14">
        <v>134815.75</v>
      </c>
      <c r="J392" s="19">
        <v>0.53850358881639837</v>
      </c>
    </row>
    <row r="393" spans="1:10" x14ac:dyDescent="0.3">
      <c r="A393" s="9" t="s">
        <v>192</v>
      </c>
      <c r="B393" s="20">
        <v>45869</v>
      </c>
      <c r="C393" s="9" t="s">
        <v>242</v>
      </c>
      <c r="D393" s="14">
        <v>193469.48</v>
      </c>
      <c r="E393" s="14">
        <v>13346.55</v>
      </c>
      <c r="F393" s="14">
        <v>5953.06</v>
      </c>
      <c r="G393" s="14">
        <v>9098.8700000000008</v>
      </c>
      <c r="H393" s="14">
        <v>16925.25</v>
      </c>
      <c r="I393" s="14">
        <v>238793.2</v>
      </c>
      <c r="J393" s="19">
        <v>0.53850358881639837</v>
      </c>
    </row>
    <row r="394" spans="1:10" x14ac:dyDescent="0.3">
      <c r="A394" s="9" t="s">
        <v>192</v>
      </c>
      <c r="B394" s="20">
        <v>45869</v>
      </c>
      <c r="C394" s="9" t="s">
        <v>241</v>
      </c>
      <c r="D394" s="14">
        <v>133941.25</v>
      </c>
      <c r="E394" s="14">
        <v>11241.09</v>
      </c>
      <c r="F394" s="14">
        <v>1651.83</v>
      </c>
      <c r="G394" s="14">
        <v>14877.71</v>
      </c>
      <c r="H394" s="14">
        <v>2109.42</v>
      </c>
      <c r="I394" s="14">
        <v>163821.29</v>
      </c>
      <c r="J394" s="19">
        <v>0.53850358881639837</v>
      </c>
    </row>
    <row r="395" spans="1:10" x14ac:dyDescent="0.3">
      <c r="A395" s="9" t="s">
        <v>192</v>
      </c>
      <c r="B395" s="20">
        <v>45869</v>
      </c>
      <c r="C395" s="9" t="s">
        <v>209</v>
      </c>
      <c r="D395" s="14">
        <v>212484.79</v>
      </c>
      <c r="E395" s="14">
        <v>23808.22</v>
      </c>
      <c r="F395" s="14">
        <v>16378.15</v>
      </c>
      <c r="G395" s="14">
        <v>4437.96</v>
      </c>
      <c r="H395" s="14">
        <v>5019.42</v>
      </c>
      <c r="I395" s="14">
        <v>262128.53</v>
      </c>
      <c r="J395" s="19">
        <v>0.53850358881639837</v>
      </c>
    </row>
    <row r="396" spans="1:10" x14ac:dyDescent="0.3">
      <c r="A396" s="9" t="s">
        <v>192</v>
      </c>
      <c r="B396" s="20">
        <v>45869</v>
      </c>
      <c r="C396" s="9" t="s">
        <v>240</v>
      </c>
      <c r="D396" s="14">
        <v>78237.31</v>
      </c>
      <c r="E396" s="14">
        <v>6797.9</v>
      </c>
      <c r="F396" s="14">
        <v>1652.52</v>
      </c>
      <c r="G396" s="14">
        <v>7231.07</v>
      </c>
      <c r="H396" s="14">
        <v>4531.3</v>
      </c>
      <c r="I396" s="14">
        <v>98450.1</v>
      </c>
      <c r="J396" s="19">
        <v>0.53850358881639837</v>
      </c>
    </row>
    <row r="397" spans="1:10" x14ac:dyDescent="0.3">
      <c r="A397" s="9" t="s">
        <v>192</v>
      </c>
      <c r="B397" s="20">
        <v>45869</v>
      </c>
      <c r="C397" s="9" t="s">
        <v>239</v>
      </c>
      <c r="D397" s="14">
        <v>211953.06</v>
      </c>
      <c r="E397" s="14">
        <v>11829.02</v>
      </c>
      <c r="F397" s="14">
        <v>18948.740000000002</v>
      </c>
      <c r="G397" s="14">
        <v>10099.959999999999</v>
      </c>
      <c r="H397" s="14">
        <v>1800.49</v>
      </c>
      <c r="I397" s="14">
        <v>254631.27</v>
      </c>
      <c r="J397" s="19">
        <v>0.53850358881639837</v>
      </c>
    </row>
    <row r="398" spans="1:10" x14ac:dyDescent="0.3">
      <c r="A398" s="9" t="s">
        <v>192</v>
      </c>
      <c r="B398" s="20">
        <v>45869</v>
      </c>
      <c r="C398" s="9" t="s">
        <v>238</v>
      </c>
      <c r="D398" s="14">
        <v>161927.10999999999</v>
      </c>
      <c r="E398" s="14">
        <v>10552.34</v>
      </c>
      <c r="F398" s="14">
        <v>22742.17</v>
      </c>
      <c r="G398" s="14">
        <v>812.45</v>
      </c>
      <c r="H398" s="14">
        <v>3862.93</v>
      </c>
      <c r="I398" s="14">
        <v>199897</v>
      </c>
      <c r="J398" s="19">
        <v>0.53850358881639837</v>
      </c>
    </row>
    <row r="399" spans="1:10" x14ac:dyDescent="0.3">
      <c r="A399" s="9" t="s">
        <v>192</v>
      </c>
      <c r="B399" s="20">
        <v>45869</v>
      </c>
      <c r="C399" s="9" t="s">
        <v>237</v>
      </c>
      <c r="D399" s="14">
        <v>132385.84</v>
      </c>
      <c r="E399" s="14">
        <v>22307.88</v>
      </c>
      <c r="F399" s="14">
        <v>8264.14</v>
      </c>
      <c r="G399" s="14">
        <v>5785.49</v>
      </c>
      <c r="H399" s="14">
        <v>990.07</v>
      </c>
      <c r="I399" s="14">
        <v>169733.41</v>
      </c>
      <c r="J399" s="19">
        <v>0.53850358881639837</v>
      </c>
    </row>
    <row r="400" spans="1:10" x14ac:dyDescent="0.3">
      <c r="A400" s="9" t="s">
        <v>192</v>
      </c>
      <c r="B400" s="20">
        <v>45869</v>
      </c>
      <c r="C400" s="9" t="s">
        <v>236</v>
      </c>
      <c r="D400" s="14">
        <v>108512.27</v>
      </c>
      <c r="E400" s="14">
        <v>5169.42</v>
      </c>
      <c r="F400" s="14">
        <v>2508.17</v>
      </c>
      <c r="G400" s="14">
        <v>5085.6400000000003</v>
      </c>
      <c r="H400" s="14">
        <v>6866.86</v>
      </c>
      <c r="I400" s="14">
        <v>128142.37</v>
      </c>
      <c r="J400" s="19">
        <v>0.53850358881639837</v>
      </c>
    </row>
    <row r="401" spans="1:10" x14ac:dyDescent="0.3">
      <c r="A401" s="9" t="s">
        <v>192</v>
      </c>
      <c r="B401" s="20">
        <v>45869</v>
      </c>
      <c r="C401" s="9" t="s">
        <v>215</v>
      </c>
      <c r="D401" s="14">
        <v>143683.85999999999</v>
      </c>
      <c r="E401" s="14">
        <v>20634.66</v>
      </c>
      <c r="F401" s="14">
        <v>4075.6</v>
      </c>
      <c r="G401" s="14">
        <v>4073.89</v>
      </c>
      <c r="H401" s="14">
        <v>5690.15</v>
      </c>
      <c r="I401" s="14">
        <v>178158.16</v>
      </c>
      <c r="J401" s="19">
        <v>0.53850358881639837</v>
      </c>
    </row>
    <row r="402" spans="1:10" x14ac:dyDescent="0.3">
      <c r="A402" s="9" t="s">
        <v>192</v>
      </c>
      <c r="B402" s="20">
        <v>45900</v>
      </c>
      <c r="C402" s="9" t="s">
        <v>228</v>
      </c>
      <c r="D402" s="14">
        <v>191120.02</v>
      </c>
      <c r="E402" s="14">
        <v>8360.3700000000008</v>
      </c>
      <c r="F402" s="14">
        <v>16391.36</v>
      </c>
      <c r="G402" s="14">
        <v>15253.45</v>
      </c>
      <c r="H402" s="14">
        <v>3240.49</v>
      </c>
      <c r="I402" s="14">
        <v>234365.69</v>
      </c>
      <c r="J402" s="19">
        <v>0.58529222553842797</v>
      </c>
    </row>
    <row r="403" spans="1:10" x14ac:dyDescent="0.3">
      <c r="A403" s="9" t="s">
        <v>192</v>
      </c>
      <c r="B403" s="20">
        <v>45900</v>
      </c>
      <c r="C403" s="9" t="s">
        <v>207</v>
      </c>
      <c r="D403" s="14">
        <v>187604.78</v>
      </c>
      <c r="E403" s="14">
        <v>6950.64</v>
      </c>
      <c r="F403" s="14">
        <v>15410.43</v>
      </c>
      <c r="G403" s="14">
        <v>17624.310000000001</v>
      </c>
      <c r="H403" s="14">
        <v>6747.84</v>
      </c>
      <c r="I403" s="14">
        <v>234338</v>
      </c>
      <c r="J403" s="19">
        <v>0.58529222553842797</v>
      </c>
    </row>
    <row r="404" spans="1:10" x14ac:dyDescent="0.3">
      <c r="A404" s="9" t="s">
        <v>192</v>
      </c>
      <c r="B404" s="20">
        <v>45900</v>
      </c>
      <c r="C404" s="9" t="s">
        <v>211</v>
      </c>
      <c r="D404" s="14">
        <v>65120.7</v>
      </c>
      <c r="E404" s="14">
        <v>8822.64</v>
      </c>
      <c r="F404" s="14">
        <v>2399.6</v>
      </c>
      <c r="G404" s="14">
        <v>3297.81</v>
      </c>
      <c r="H404" s="14">
        <v>3218.25</v>
      </c>
      <c r="I404" s="14">
        <v>82859</v>
      </c>
      <c r="J404" s="19">
        <v>0.58529222553842797</v>
      </c>
    </row>
    <row r="405" spans="1:10" x14ac:dyDescent="0.3">
      <c r="A405" s="9" t="s">
        <v>192</v>
      </c>
      <c r="B405" s="20">
        <v>45900</v>
      </c>
      <c r="C405" s="9" t="s">
        <v>247</v>
      </c>
      <c r="D405" s="14">
        <v>8199.0499999999993</v>
      </c>
      <c r="E405" s="14">
        <v>691.78</v>
      </c>
      <c r="F405" s="14">
        <v>738.91</v>
      </c>
      <c r="G405" s="14">
        <v>763.88</v>
      </c>
      <c r="H405" s="14">
        <v>13.76</v>
      </c>
      <c r="I405" s="14">
        <v>10407.370000000001</v>
      </c>
      <c r="J405" s="19">
        <v>0.58529222553842797</v>
      </c>
    </row>
    <row r="406" spans="1:10" x14ac:dyDescent="0.3">
      <c r="A406" s="9" t="s">
        <v>192</v>
      </c>
      <c r="B406" s="20">
        <v>45900</v>
      </c>
      <c r="C406" s="9" t="s">
        <v>234</v>
      </c>
      <c r="D406" s="14">
        <v>99028.55</v>
      </c>
      <c r="E406" s="14">
        <v>8981.3799999999992</v>
      </c>
      <c r="F406" s="14">
        <v>6575.37</v>
      </c>
      <c r="G406" s="14">
        <v>3625.5</v>
      </c>
      <c r="H406" s="14">
        <v>145.6</v>
      </c>
      <c r="I406" s="14">
        <v>118356.41</v>
      </c>
      <c r="J406" s="19">
        <v>0.58529222553842797</v>
      </c>
    </row>
    <row r="407" spans="1:10" x14ac:dyDescent="0.3">
      <c r="A407" s="9" t="s">
        <v>192</v>
      </c>
      <c r="B407" s="20">
        <v>45900</v>
      </c>
      <c r="C407" s="9" t="s">
        <v>246</v>
      </c>
      <c r="D407" s="14">
        <v>235447.2</v>
      </c>
      <c r="E407" s="14">
        <v>22161.11</v>
      </c>
      <c r="F407" s="14">
        <v>5195.43</v>
      </c>
      <c r="G407" s="14">
        <v>13567.81</v>
      </c>
      <c r="H407" s="14">
        <v>8019.11</v>
      </c>
      <c r="I407" s="14">
        <v>284390.65000000002</v>
      </c>
      <c r="J407" s="19">
        <v>0.58529222553842797</v>
      </c>
    </row>
    <row r="408" spans="1:10" x14ac:dyDescent="0.3">
      <c r="A408" s="9" t="s">
        <v>192</v>
      </c>
      <c r="B408" s="20">
        <v>45900</v>
      </c>
      <c r="C408" s="9" t="s">
        <v>219</v>
      </c>
      <c r="D408" s="14">
        <v>200250.62</v>
      </c>
      <c r="E408" s="14">
        <v>25074.03</v>
      </c>
      <c r="F408" s="14">
        <v>32671.73</v>
      </c>
      <c r="G408" s="14">
        <v>2101.98</v>
      </c>
      <c r="H408" s="14">
        <v>141.33000000000001</v>
      </c>
      <c r="I408" s="14">
        <v>260239.69</v>
      </c>
      <c r="J408" s="19">
        <v>0.58529222553842797</v>
      </c>
    </row>
    <row r="409" spans="1:10" x14ac:dyDescent="0.3">
      <c r="A409" s="9" t="s">
        <v>192</v>
      </c>
      <c r="B409" s="20">
        <v>45900</v>
      </c>
      <c r="C409" s="9" t="s">
        <v>223</v>
      </c>
      <c r="D409" s="14">
        <v>222043.46</v>
      </c>
      <c r="E409" s="14">
        <v>20319.669999999998</v>
      </c>
      <c r="F409" s="14">
        <v>25918.959999999999</v>
      </c>
      <c r="G409" s="14">
        <v>3404.14</v>
      </c>
      <c r="H409" s="14">
        <v>4655.83</v>
      </c>
      <c r="I409" s="14">
        <v>276342.07</v>
      </c>
      <c r="J409" s="19">
        <v>0.58529222553842797</v>
      </c>
    </row>
    <row r="410" spans="1:10" x14ac:dyDescent="0.3">
      <c r="A410" s="9" t="s">
        <v>192</v>
      </c>
      <c r="B410" s="20">
        <v>45900</v>
      </c>
      <c r="C410" s="9" t="s">
        <v>245</v>
      </c>
      <c r="D410" s="14">
        <v>216721.03</v>
      </c>
      <c r="E410" s="14">
        <v>12373.38</v>
      </c>
      <c r="F410" s="14">
        <v>11845.12</v>
      </c>
      <c r="G410" s="14">
        <v>15546.26</v>
      </c>
      <c r="H410" s="14">
        <v>2265.4699999999998</v>
      </c>
      <c r="I410" s="14">
        <v>258751.27</v>
      </c>
      <c r="J410" s="19">
        <v>0.58529222553842797</v>
      </c>
    </row>
    <row r="411" spans="1:10" x14ac:dyDescent="0.3">
      <c r="A411" s="9" t="s">
        <v>192</v>
      </c>
      <c r="B411" s="20">
        <v>45900</v>
      </c>
      <c r="C411" s="9" t="s">
        <v>244</v>
      </c>
      <c r="D411" s="14">
        <v>154147.49</v>
      </c>
      <c r="E411" s="14">
        <v>11228.99</v>
      </c>
      <c r="F411" s="14">
        <v>15816.35</v>
      </c>
      <c r="G411" s="14">
        <v>2181.54</v>
      </c>
      <c r="H411" s="14">
        <v>866.76</v>
      </c>
      <c r="I411" s="14">
        <v>184241.13</v>
      </c>
      <c r="J411" s="19">
        <v>0.58529222553842797</v>
      </c>
    </row>
    <row r="412" spans="1:10" x14ac:dyDescent="0.3">
      <c r="A412" s="9" t="s">
        <v>192</v>
      </c>
      <c r="B412" s="20">
        <v>45900</v>
      </c>
      <c r="C412" s="9" t="s">
        <v>243</v>
      </c>
      <c r="D412" s="14">
        <v>9210.82</v>
      </c>
      <c r="E412" s="14">
        <v>497.74</v>
      </c>
      <c r="F412" s="14">
        <v>287.12</v>
      </c>
      <c r="G412" s="14">
        <v>406.65</v>
      </c>
      <c r="H412" s="14">
        <v>233.51</v>
      </c>
      <c r="I412" s="14">
        <v>10635.85</v>
      </c>
      <c r="J412" s="19">
        <v>0.58529222553842797</v>
      </c>
    </row>
    <row r="413" spans="1:10" x14ac:dyDescent="0.3">
      <c r="A413" s="9" t="s">
        <v>192</v>
      </c>
      <c r="B413" s="20">
        <v>45900</v>
      </c>
      <c r="C413" s="9" t="s">
        <v>242</v>
      </c>
      <c r="D413" s="14">
        <v>57106.77</v>
      </c>
      <c r="E413" s="14">
        <v>5911.71</v>
      </c>
      <c r="F413" s="14">
        <v>7569.25</v>
      </c>
      <c r="G413" s="14">
        <v>934.27</v>
      </c>
      <c r="H413" s="14">
        <v>419.88</v>
      </c>
      <c r="I413" s="14">
        <v>71941.88</v>
      </c>
      <c r="J413" s="19">
        <v>0.58529222553842797</v>
      </c>
    </row>
    <row r="414" spans="1:10" x14ac:dyDescent="0.3">
      <c r="A414" s="9" t="s">
        <v>192</v>
      </c>
      <c r="B414" s="20">
        <v>45900</v>
      </c>
      <c r="C414" s="9" t="s">
        <v>241</v>
      </c>
      <c r="D414" s="14">
        <v>184911.48</v>
      </c>
      <c r="E414" s="14">
        <v>23999.85</v>
      </c>
      <c r="F414" s="14">
        <v>5493.66</v>
      </c>
      <c r="G414" s="14">
        <v>10126.23</v>
      </c>
      <c r="H414" s="14">
        <v>6435.66</v>
      </c>
      <c r="I414" s="14">
        <v>230966.88</v>
      </c>
      <c r="J414" s="19">
        <v>0.58529222553842797</v>
      </c>
    </row>
    <row r="415" spans="1:10" x14ac:dyDescent="0.3">
      <c r="A415" s="9" t="s">
        <v>192</v>
      </c>
      <c r="B415" s="20">
        <v>45900</v>
      </c>
      <c r="C415" s="9" t="s">
        <v>209</v>
      </c>
      <c r="D415" s="14">
        <v>102702.57</v>
      </c>
      <c r="E415" s="14">
        <v>14095.69</v>
      </c>
      <c r="F415" s="14">
        <v>12081.45</v>
      </c>
      <c r="G415" s="14">
        <v>3527.62</v>
      </c>
      <c r="H415" s="14">
        <v>764.99</v>
      </c>
      <c r="I415" s="14">
        <v>133172.32</v>
      </c>
      <c r="J415" s="19">
        <v>0.58529222553842797</v>
      </c>
    </row>
    <row r="416" spans="1:10" x14ac:dyDescent="0.3">
      <c r="A416" s="9" t="s">
        <v>192</v>
      </c>
      <c r="B416" s="20">
        <v>45900</v>
      </c>
      <c r="C416" s="9" t="s">
        <v>240</v>
      </c>
      <c r="D416" s="14">
        <v>66281.47</v>
      </c>
      <c r="E416" s="14">
        <v>4056.66</v>
      </c>
      <c r="F416" s="14">
        <v>2622.25</v>
      </c>
      <c r="G416" s="14">
        <v>4858.78</v>
      </c>
      <c r="H416" s="14">
        <v>419.56</v>
      </c>
      <c r="I416" s="14">
        <v>78238.73</v>
      </c>
      <c r="J416" s="19">
        <v>0.58529222553842797</v>
      </c>
    </row>
    <row r="417" spans="1:10" x14ac:dyDescent="0.3">
      <c r="A417" s="9" t="s">
        <v>192</v>
      </c>
      <c r="B417" s="20">
        <v>45900</v>
      </c>
      <c r="C417" s="9" t="s">
        <v>239</v>
      </c>
      <c r="D417" s="14">
        <v>222701.21</v>
      </c>
      <c r="E417" s="14">
        <v>14022.32</v>
      </c>
      <c r="F417" s="14">
        <v>5610.04</v>
      </c>
      <c r="G417" s="14">
        <v>9541.9</v>
      </c>
      <c r="H417" s="14">
        <v>8074.24</v>
      </c>
      <c r="I417" s="14">
        <v>259949.71</v>
      </c>
      <c r="J417" s="19">
        <v>0.58529222553842797</v>
      </c>
    </row>
    <row r="418" spans="1:10" x14ac:dyDescent="0.3">
      <c r="A418" s="9" t="s">
        <v>192</v>
      </c>
      <c r="B418" s="20">
        <v>45900</v>
      </c>
      <c r="C418" s="9" t="s">
        <v>238</v>
      </c>
      <c r="D418" s="14">
        <v>237255.13</v>
      </c>
      <c r="E418" s="14">
        <v>22748.17</v>
      </c>
      <c r="F418" s="14">
        <v>12711.31</v>
      </c>
      <c r="G418" s="14">
        <v>7424.23</v>
      </c>
      <c r="H418" s="14">
        <v>3937.57</v>
      </c>
      <c r="I418" s="14">
        <v>284076.40999999997</v>
      </c>
      <c r="J418" s="19">
        <v>0.58529222553842797</v>
      </c>
    </row>
    <row r="419" spans="1:10" x14ac:dyDescent="0.3">
      <c r="A419" s="9" t="s">
        <v>192</v>
      </c>
      <c r="B419" s="20">
        <v>45900</v>
      </c>
      <c r="C419" s="9" t="s">
        <v>237</v>
      </c>
      <c r="D419" s="14">
        <v>116845.62</v>
      </c>
      <c r="E419" s="14">
        <v>3230.14</v>
      </c>
      <c r="F419" s="14">
        <v>9234.85</v>
      </c>
      <c r="G419" s="14">
        <v>5942.6</v>
      </c>
      <c r="H419" s="14">
        <v>408.18</v>
      </c>
      <c r="I419" s="14">
        <v>135661.38</v>
      </c>
      <c r="J419" s="19">
        <v>0.58529222553842797</v>
      </c>
    </row>
    <row r="420" spans="1:10" x14ac:dyDescent="0.3">
      <c r="A420" s="9" t="s">
        <v>192</v>
      </c>
      <c r="B420" s="20">
        <v>45900</v>
      </c>
      <c r="C420" s="9" t="s">
        <v>236</v>
      </c>
      <c r="D420" s="14">
        <v>63365.2</v>
      </c>
      <c r="E420" s="14">
        <v>7030.16</v>
      </c>
      <c r="F420" s="14">
        <v>4699.12</v>
      </c>
      <c r="G420" s="14">
        <v>1936.9</v>
      </c>
      <c r="H420" s="14">
        <v>909.85</v>
      </c>
      <c r="I420" s="14">
        <v>77941.22</v>
      </c>
      <c r="J420" s="19">
        <v>0.58529222553842797</v>
      </c>
    </row>
    <row r="421" spans="1:10" x14ac:dyDescent="0.3">
      <c r="A421" s="9" t="s">
        <v>192</v>
      </c>
      <c r="B421" s="20">
        <v>45900</v>
      </c>
      <c r="C421" s="9" t="s">
        <v>215</v>
      </c>
      <c r="D421" s="14">
        <v>158207.71</v>
      </c>
      <c r="E421" s="14">
        <v>14725.83</v>
      </c>
      <c r="F421" s="14">
        <v>4195.33</v>
      </c>
      <c r="G421" s="14">
        <v>13808.95</v>
      </c>
      <c r="H421" s="14">
        <v>7316.61</v>
      </c>
      <c r="I421" s="14">
        <v>198254.43</v>
      </c>
      <c r="J421" s="19">
        <v>0.58529222553842797</v>
      </c>
    </row>
    <row r="422" spans="1:10" x14ac:dyDescent="0.3">
      <c r="A422" s="9" t="s">
        <v>192</v>
      </c>
      <c r="B422" s="20">
        <v>45930</v>
      </c>
      <c r="C422" s="9" t="s">
        <v>228</v>
      </c>
      <c r="D422" s="14">
        <v>84833.82</v>
      </c>
      <c r="E422" s="14">
        <v>7919.71</v>
      </c>
      <c r="F422" s="14">
        <v>1264.51</v>
      </c>
      <c r="G422" s="14">
        <v>922.86</v>
      </c>
      <c r="H422" s="14">
        <v>4750.46</v>
      </c>
      <c r="I422" s="14">
        <v>99691.35</v>
      </c>
      <c r="J422" s="19">
        <v>0.73371349485767223</v>
      </c>
    </row>
    <row r="423" spans="1:10" x14ac:dyDescent="0.3">
      <c r="A423" s="9" t="s">
        <v>192</v>
      </c>
      <c r="B423" s="20">
        <v>45930</v>
      </c>
      <c r="C423" s="9" t="s">
        <v>207</v>
      </c>
      <c r="D423" s="14">
        <v>287634.7</v>
      </c>
      <c r="E423" s="14">
        <v>14841.07</v>
      </c>
      <c r="F423" s="14">
        <v>5490.03</v>
      </c>
      <c r="G423" s="14">
        <v>5873.12</v>
      </c>
      <c r="H423" s="14">
        <v>27533.49</v>
      </c>
      <c r="I423" s="14">
        <v>341372.41</v>
      </c>
      <c r="J423" s="19">
        <v>0.73371349485767223</v>
      </c>
    </row>
    <row r="424" spans="1:10" x14ac:dyDescent="0.3">
      <c r="A424" s="9" t="s">
        <v>192</v>
      </c>
      <c r="B424" s="20">
        <v>45930</v>
      </c>
      <c r="C424" s="9" t="s">
        <v>211</v>
      </c>
      <c r="D424" s="14">
        <v>95109.85</v>
      </c>
      <c r="E424" s="14">
        <v>9322.18</v>
      </c>
      <c r="F424" s="14">
        <v>6987.39</v>
      </c>
      <c r="G424" s="14">
        <v>5023.43</v>
      </c>
      <c r="H424" s="14">
        <v>2329.23</v>
      </c>
      <c r="I424" s="14">
        <v>118772.09</v>
      </c>
      <c r="J424" s="19">
        <v>0.73371349485767223</v>
      </c>
    </row>
    <row r="425" spans="1:10" x14ac:dyDescent="0.3">
      <c r="A425" s="9" t="s">
        <v>192</v>
      </c>
      <c r="B425" s="20">
        <v>45930</v>
      </c>
      <c r="C425" s="9" t="s">
        <v>247</v>
      </c>
      <c r="D425" s="14">
        <v>181331.61</v>
      </c>
      <c r="E425" s="14">
        <v>26780.31</v>
      </c>
      <c r="F425" s="14">
        <v>7915.04</v>
      </c>
      <c r="G425" s="14">
        <v>1455.86</v>
      </c>
      <c r="H425" s="14">
        <v>1147.71</v>
      </c>
      <c r="I425" s="14">
        <v>218630.52</v>
      </c>
      <c r="J425" s="19">
        <v>0.73371349485767223</v>
      </c>
    </row>
    <row r="426" spans="1:10" x14ac:dyDescent="0.3">
      <c r="A426" s="9" t="s">
        <v>192</v>
      </c>
      <c r="B426" s="20">
        <v>45930</v>
      </c>
      <c r="C426" s="9" t="s">
        <v>234</v>
      </c>
      <c r="D426" s="14">
        <v>24821.61</v>
      </c>
      <c r="E426" s="14">
        <v>802.46</v>
      </c>
      <c r="F426" s="14">
        <v>1063.33</v>
      </c>
      <c r="G426" s="14">
        <v>3138.96</v>
      </c>
      <c r="H426" s="14">
        <v>188.71</v>
      </c>
      <c r="I426" s="14">
        <v>30015.08</v>
      </c>
      <c r="J426" s="19">
        <v>0.73371349485767223</v>
      </c>
    </row>
    <row r="427" spans="1:10" x14ac:dyDescent="0.3">
      <c r="A427" s="9" t="s">
        <v>192</v>
      </c>
      <c r="B427" s="20">
        <v>45930</v>
      </c>
      <c r="C427" s="9" t="s">
        <v>246</v>
      </c>
      <c r="D427" s="14">
        <v>261438.75</v>
      </c>
      <c r="E427" s="14">
        <v>6235.58</v>
      </c>
      <c r="F427" s="14">
        <v>14913.23</v>
      </c>
      <c r="G427" s="14">
        <v>9821.83</v>
      </c>
      <c r="H427" s="14">
        <v>17380.060000000001</v>
      </c>
      <c r="I427" s="14">
        <v>309789.46000000002</v>
      </c>
      <c r="J427" s="19">
        <v>0.73371349485767223</v>
      </c>
    </row>
    <row r="428" spans="1:10" x14ac:dyDescent="0.3">
      <c r="A428" s="9" t="s">
        <v>192</v>
      </c>
      <c r="B428" s="20">
        <v>45930</v>
      </c>
      <c r="C428" s="9" t="s">
        <v>219</v>
      </c>
      <c r="D428" s="14">
        <v>258948.38</v>
      </c>
      <c r="E428" s="14">
        <v>23105.62</v>
      </c>
      <c r="F428" s="14">
        <v>23527.8</v>
      </c>
      <c r="G428" s="14">
        <v>1477.24</v>
      </c>
      <c r="H428" s="14">
        <v>9466.44</v>
      </c>
      <c r="I428" s="14">
        <v>316525.49</v>
      </c>
      <c r="J428" s="19">
        <v>0.73371349485767223</v>
      </c>
    </row>
    <row r="429" spans="1:10" x14ac:dyDescent="0.3">
      <c r="A429" s="9" t="s">
        <v>192</v>
      </c>
      <c r="B429" s="20">
        <v>45930</v>
      </c>
      <c r="C429" s="9" t="s">
        <v>223</v>
      </c>
      <c r="D429" s="14">
        <v>235501.42</v>
      </c>
      <c r="E429" s="14">
        <v>23764.47</v>
      </c>
      <c r="F429" s="14">
        <v>14422.93</v>
      </c>
      <c r="G429" s="14">
        <v>21633.05</v>
      </c>
      <c r="H429" s="14">
        <v>310.38</v>
      </c>
      <c r="I429" s="14">
        <v>295632.25</v>
      </c>
      <c r="J429" s="19">
        <v>0.73371349485767223</v>
      </c>
    </row>
    <row r="430" spans="1:10" x14ac:dyDescent="0.3">
      <c r="A430" s="9" t="s">
        <v>192</v>
      </c>
      <c r="B430" s="20">
        <v>45930</v>
      </c>
      <c r="C430" s="9" t="s">
        <v>245</v>
      </c>
      <c r="D430" s="14">
        <v>162323.07</v>
      </c>
      <c r="E430" s="14">
        <v>17878.09</v>
      </c>
      <c r="F430" s="14">
        <v>5830.66</v>
      </c>
      <c r="G430" s="14">
        <v>5148.3</v>
      </c>
      <c r="H430" s="14">
        <v>850.5</v>
      </c>
      <c r="I430" s="14">
        <v>192030.61</v>
      </c>
      <c r="J430" s="19">
        <v>0.73371349485767223</v>
      </c>
    </row>
    <row r="431" spans="1:10" x14ac:dyDescent="0.3">
      <c r="A431" s="9" t="s">
        <v>192</v>
      </c>
      <c r="B431" s="20">
        <v>45930</v>
      </c>
      <c r="C431" s="9" t="s">
        <v>244</v>
      </c>
      <c r="D431" s="14">
        <v>324241.96999999997</v>
      </c>
      <c r="E431" s="14">
        <v>18060.52</v>
      </c>
      <c r="F431" s="14">
        <v>11522.53</v>
      </c>
      <c r="G431" s="14">
        <v>10953.55</v>
      </c>
      <c r="H431" s="14">
        <v>2591.12</v>
      </c>
      <c r="I431" s="14">
        <v>367369.67</v>
      </c>
      <c r="J431" s="19">
        <v>0.73371349485767223</v>
      </c>
    </row>
    <row r="432" spans="1:10" x14ac:dyDescent="0.3">
      <c r="A432" s="9" t="s">
        <v>192</v>
      </c>
      <c r="B432" s="20">
        <v>45930</v>
      </c>
      <c r="C432" s="9" t="s">
        <v>243</v>
      </c>
      <c r="D432" s="14">
        <v>75547.42</v>
      </c>
      <c r="E432" s="14">
        <v>7395.27</v>
      </c>
      <c r="F432" s="14">
        <v>7153.27</v>
      </c>
      <c r="G432" s="14">
        <v>5495.34</v>
      </c>
      <c r="H432" s="14">
        <v>799.66</v>
      </c>
      <c r="I432" s="14">
        <v>96390.96</v>
      </c>
      <c r="J432" s="19">
        <v>0.73371349485767223</v>
      </c>
    </row>
    <row r="433" spans="1:10" x14ac:dyDescent="0.3">
      <c r="A433" s="9" t="s">
        <v>192</v>
      </c>
      <c r="B433" s="20">
        <v>45930</v>
      </c>
      <c r="C433" s="9" t="s">
        <v>242</v>
      </c>
      <c r="D433" s="14">
        <v>237571.94</v>
      </c>
      <c r="E433" s="14">
        <v>26335.599999999999</v>
      </c>
      <c r="F433" s="14">
        <v>7588.09</v>
      </c>
      <c r="G433" s="14">
        <v>1816.8</v>
      </c>
      <c r="H433" s="14">
        <v>16928.45</v>
      </c>
      <c r="I433" s="14">
        <v>290240.88</v>
      </c>
      <c r="J433" s="19">
        <v>0.73371349485767223</v>
      </c>
    </row>
    <row r="434" spans="1:10" x14ac:dyDescent="0.3">
      <c r="A434" s="9" t="s">
        <v>192</v>
      </c>
      <c r="B434" s="20">
        <v>45930</v>
      </c>
      <c r="C434" s="9" t="s">
        <v>241</v>
      </c>
      <c r="D434" s="14">
        <v>279606.38</v>
      </c>
      <c r="E434" s="14">
        <v>16992.18</v>
      </c>
      <c r="F434" s="14">
        <v>2919.47</v>
      </c>
      <c r="G434" s="14">
        <v>10178.74</v>
      </c>
      <c r="H434" s="14">
        <v>1046.03</v>
      </c>
      <c r="I434" s="14">
        <v>310742.81</v>
      </c>
      <c r="J434" s="19">
        <v>0.73371349485767223</v>
      </c>
    </row>
    <row r="435" spans="1:10" x14ac:dyDescent="0.3">
      <c r="A435" s="9" t="s">
        <v>192</v>
      </c>
      <c r="B435" s="20">
        <v>45930</v>
      </c>
      <c r="C435" s="9" t="s">
        <v>209</v>
      </c>
      <c r="D435" s="14">
        <v>172041.77</v>
      </c>
      <c r="E435" s="14">
        <v>15276.16</v>
      </c>
      <c r="F435" s="14">
        <v>6110.57</v>
      </c>
      <c r="G435" s="14">
        <v>3762.4</v>
      </c>
      <c r="H435" s="14">
        <v>14008.47</v>
      </c>
      <c r="I435" s="14">
        <v>211199.37</v>
      </c>
      <c r="J435" s="19">
        <v>0.73371349485767223</v>
      </c>
    </row>
    <row r="436" spans="1:10" x14ac:dyDescent="0.3">
      <c r="A436" s="9" t="s">
        <v>192</v>
      </c>
      <c r="B436" s="20">
        <v>45930</v>
      </c>
      <c r="C436" s="9" t="s">
        <v>240</v>
      </c>
      <c r="D436" s="14">
        <v>18996.349999999999</v>
      </c>
      <c r="E436" s="14">
        <v>700.77</v>
      </c>
      <c r="F436" s="14">
        <v>2755.37</v>
      </c>
      <c r="G436" s="14">
        <v>49.88</v>
      </c>
      <c r="H436" s="14">
        <v>898.46</v>
      </c>
      <c r="I436" s="14">
        <v>23400.85</v>
      </c>
      <c r="J436" s="19">
        <v>0.73371349485767223</v>
      </c>
    </row>
    <row r="437" spans="1:10" x14ac:dyDescent="0.3">
      <c r="A437" s="9" t="s">
        <v>192</v>
      </c>
      <c r="B437" s="20">
        <v>45930</v>
      </c>
      <c r="C437" s="9" t="s">
        <v>239</v>
      </c>
      <c r="D437" s="14">
        <v>210106.79</v>
      </c>
      <c r="E437" s="14">
        <v>15114.8</v>
      </c>
      <c r="F437" s="14">
        <v>22640.81</v>
      </c>
      <c r="G437" s="14">
        <v>8765.25</v>
      </c>
      <c r="H437" s="14">
        <v>3131.43</v>
      </c>
      <c r="I437" s="14">
        <v>259759.07</v>
      </c>
      <c r="J437" s="19">
        <v>0.73371349485767223</v>
      </c>
    </row>
    <row r="438" spans="1:10" x14ac:dyDescent="0.3">
      <c r="A438" s="9" t="s">
        <v>192</v>
      </c>
      <c r="B438" s="20">
        <v>45930</v>
      </c>
      <c r="C438" s="9" t="s">
        <v>238</v>
      </c>
      <c r="D438" s="14">
        <v>145845.12</v>
      </c>
      <c r="E438" s="14">
        <v>13910.74</v>
      </c>
      <c r="F438" s="14">
        <v>8144.07</v>
      </c>
      <c r="G438" s="14">
        <v>3743.47</v>
      </c>
      <c r="H438" s="14">
        <v>4558.92</v>
      </c>
      <c r="I438" s="14">
        <v>176202.32</v>
      </c>
      <c r="J438" s="19">
        <v>0.73371349485767223</v>
      </c>
    </row>
    <row r="439" spans="1:10" x14ac:dyDescent="0.3">
      <c r="A439" s="9" t="s">
        <v>192</v>
      </c>
      <c r="B439" s="20">
        <v>45930</v>
      </c>
      <c r="C439" s="9" t="s">
        <v>237</v>
      </c>
      <c r="D439" s="14">
        <v>295024.02</v>
      </c>
      <c r="E439" s="14">
        <v>11650.97</v>
      </c>
      <c r="F439" s="14">
        <v>13231.61</v>
      </c>
      <c r="G439" s="14">
        <v>19243.23</v>
      </c>
      <c r="H439" s="14">
        <v>878.01</v>
      </c>
      <c r="I439" s="14">
        <v>340027.83</v>
      </c>
      <c r="J439" s="19">
        <v>0.73371349485767223</v>
      </c>
    </row>
    <row r="440" spans="1:10" x14ac:dyDescent="0.3">
      <c r="A440" s="9" t="s">
        <v>192</v>
      </c>
      <c r="B440" s="20">
        <v>45930</v>
      </c>
      <c r="C440" s="9" t="s">
        <v>236</v>
      </c>
      <c r="D440" s="14">
        <v>295253.24</v>
      </c>
      <c r="E440" s="14">
        <v>16535.330000000002</v>
      </c>
      <c r="F440" s="14">
        <v>30166.5</v>
      </c>
      <c r="G440" s="14">
        <v>8383.9</v>
      </c>
      <c r="H440" s="14">
        <v>17768</v>
      </c>
      <c r="I440" s="14">
        <v>368106.97</v>
      </c>
      <c r="J440" s="19">
        <v>0.73371349485767223</v>
      </c>
    </row>
    <row r="441" spans="1:10" x14ac:dyDescent="0.3">
      <c r="A441" s="9" t="s">
        <v>192</v>
      </c>
      <c r="B441" s="20">
        <v>45930</v>
      </c>
      <c r="C441" s="9" t="s">
        <v>215</v>
      </c>
      <c r="D441" s="14">
        <v>37868.980000000003</v>
      </c>
      <c r="E441" s="14">
        <v>5644.35</v>
      </c>
      <c r="F441" s="14">
        <v>2649.63</v>
      </c>
      <c r="G441" s="14">
        <v>468.47</v>
      </c>
      <c r="H441" s="14">
        <v>21.57</v>
      </c>
      <c r="I441" s="14">
        <v>46652.99</v>
      </c>
      <c r="J441" s="19">
        <v>0.73371349485767223</v>
      </c>
    </row>
    <row r="442" spans="1:10" x14ac:dyDescent="0.3">
      <c r="A442" s="9" t="s">
        <v>192</v>
      </c>
      <c r="B442" s="20">
        <v>45961</v>
      </c>
      <c r="C442" s="9" t="s">
        <v>228</v>
      </c>
      <c r="D442" s="14">
        <v>106168.26</v>
      </c>
      <c r="E442" s="14">
        <v>11476.67</v>
      </c>
      <c r="F442" s="14">
        <v>2616.2600000000002</v>
      </c>
      <c r="G442" s="14">
        <v>960.55</v>
      </c>
      <c r="H442" s="14">
        <v>9176.56</v>
      </c>
      <c r="I442" s="14">
        <v>130398.29</v>
      </c>
      <c r="J442" s="19">
        <v>0.72406247959595338</v>
      </c>
    </row>
    <row r="443" spans="1:10" x14ac:dyDescent="0.3">
      <c r="A443" s="9" t="s">
        <v>192</v>
      </c>
      <c r="B443" s="20">
        <v>45961</v>
      </c>
      <c r="C443" s="9" t="s">
        <v>207</v>
      </c>
      <c r="D443" s="14">
        <v>156714.65</v>
      </c>
      <c r="E443" s="14">
        <v>5108.92</v>
      </c>
      <c r="F443" s="14">
        <v>8609.75</v>
      </c>
      <c r="G443" s="14">
        <v>9777.19</v>
      </c>
      <c r="H443" s="14">
        <v>5674.58</v>
      </c>
      <c r="I443" s="14">
        <v>185885.08</v>
      </c>
      <c r="J443" s="19">
        <v>0.72406247959595338</v>
      </c>
    </row>
    <row r="444" spans="1:10" x14ac:dyDescent="0.3">
      <c r="A444" s="9" t="s">
        <v>192</v>
      </c>
      <c r="B444" s="20">
        <v>45961</v>
      </c>
      <c r="C444" s="9" t="s">
        <v>211</v>
      </c>
      <c r="D444" s="14">
        <v>144068.16</v>
      </c>
      <c r="E444" s="14">
        <v>16684.2</v>
      </c>
      <c r="F444" s="14">
        <v>1957.8</v>
      </c>
      <c r="G444" s="14">
        <v>6375.57</v>
      </c>
      <c r="H444" s="14">
        <v>7521.99</v>
      </c>
      <c r="I444" s="14">
        <v>176607.71</v>
      </c>
      <c r="J444" s="19">
        <v>0.72406247959595338</v>
      </c>
    </row>
    <row r="445" spans="1:10" x14ac:dyDescent="0.3">
      <c r="A445" s="9" t="s">
        <v>192</v>
      </c>
      <c r="B445" s="20">
        <v>45961</v>
      </c>
      <c r="C445" s="9" t="s">
        <v>247</v>
      </c>
      <c r="D445" s="14">
        <v>279873.74</v>
      </c>
      <c r="E445" s="14">
        <v>23392.43</v>
      </c>
      <c r="F445" s="14">
        <v>11145.56</v>
      </c>
      <c r="G445" s="14">
        <v>23974.240000000002</v>
      </c>
      <c r="H445" s="14">
        <v>8731.14</v>
      </c>
      <c r="I445" s="14">
        <v>347117.12</v>
      </c>
      <c r="J445" s="19">
        <v>0.72406247959595338</v>
      </c>
    </row>
    <row r="446" spans="1:10" x14ac:dyDescent="0.3">
      <c r="A446" s="9" t="s">
        <v>192</v>
      </c>
      <c r="B446" s="20">
        <v>45961</v>
      </c>
      <c r="C446" s="9" t="s">
        <v>234</v>
      </c>
      <c r="D446" s="14">
        <v>119557.8</v>
      </c>
      <c r="E446" s="14">
        <v>18749.27</v>
      </c>
      <c r="F446" s="14">
        <v>4821.1899999999996</v>
      </c>
      <c r="G446" s="14">
        <v>2849.97</v>
      </c>
      <c r="H446" s="14">
        <v>200.76</v>
      </c>
      <c r="I446" s="14">
        <v>146178.98000000001</v>
      </c>
      <c r="J446" s="19">
        <v>0.72406247959595338</v>
      </c>
    </row>
    <row r="447" spans="1:10" x14ac:dyDescent="0.3">
      <c r="A447" s="9" t="s">
        <v>192</v>
      </c>
      <c r="B447" s="20">
        <v>45961</v>
      </c>
      <c r="C447" s="9" t="s">
        <v>246</v>
      </c>
      <c r="D447" s="14">
        <v>261542.72</v>
      </c>
      <c r="E447" s="14">
        <v>23609</v>
      </c>
      <c r="F447" s="14">
        <v>14790.33</v>
      </c>
      <c r="G447" s="14">
        <v>5519.1</v>
      </c>
      <c r="H447" s="14">
        <v>3104</v>
      </c>
      <c r="I447" s="14">
        <v>308565.15000000002</v>
      </c>
      <c r="J447" s="19">
        <v>0.72406247959595338</v>
      </c>
    </row>
    <row r="448" spans="1:10" x14ac:dyDescent="0.3">
      <c r="A448" s="9" t="s">
        <v>192</v>
      </c>
      <c r="B448" s="20">
        <v>45961</v>
      </c>
      <c r="C448" s="9" t="s">
        <v>219</v>
      </c>
      <c r="D448" s="14">
        <v>249043.76</v>
      </c>
      <c r="E448" s="14">
        <v>34193.43</v>
      </c>
      <c r="F448" s="14">
        <v>11133.56</v>
      </c>
      <c r="G448" s="14">
        <v>3067.41</v>
      </c>
      <c r="H448" s="14">
        <v>4667.5200000000004</v>
      </c>
      <c r="I448" s="14">
        <v>302105.69</v>
      </c>
      <c r="J448" s="19">
        <v>0.72406247959595338</v>
      </c>
    </row>
    <row r="449" spans="1:10" x14ac:dyDescent="0.3">
      <c r="A449" s="9" t="s">
        <v>192</v>
      </c>
      <c r="B449" s="20">
        <v>45961</v>
      </c>
      <c r="C449" s="9" t="s">
        <v>223</v>
      </c>
      <c r="D449" s="14">
        <v>272387.20000000001</v>
      </c>
      <c r="E449" s="14">
        <v>5304.59</v>
      </c>
      <c r="F449" s="14">
        <v>44633.95</v>
      </c>
      <c r="G449" s="14">
        <v>15916.85</v>
      </c>
      <c r="H449" s="14">
        <v>6354.03</v>
      </c>
      <c r="I449" s="14">
        <v>344596.62</v>
      </c>
      <c r="J449" s="19">
        <v>0.72406247959595338</v>
      </c>
    </row>
    <row r="450" spans="1:10" x14ac:dyDescent="0.3">
      <c r="A450" s="9" t="s">
        <v>192</v>
      </c>
      <c r="B450" s="20">
        <v>45961</v>
      </c>
      <c r="C450" s="9" t="s">
        <v>245</v>
      </c>
      <c r="D450" s="14">
        <v>195846.19</v>
      </c>
      <c r="E450" s="14">
        <v>18350.349999999999</v>
      </c>
      <c r="F450" s="14">
        <v>21811.1</v>
      </c>
      <c r="G450" s="14">
        <v>4514.08</v>
      </c>
      <c r="H450" s="14">
        <v>2703.6</v>
      </c>
      <c r="I450" s="14">
        <v>243225.32</v>
      </c>
      <c r="J450" s="19">
        <v>0.72406247959595338</v>
      </c>
    </row>
    <row r="451" spans="1:10" x14ac:dyDescent="0.3">
      <c r="A451" s="9" t="s">
        <v>192</v>
      </c>
      <c r="B451" s="20">
        <v>45961</v>
      </c>
      <c r="C451" s="9" t="s">
        <v>244</v>
      </c>
      <c r="D451" s="14">
        <v>57484.22</v>
      </c>
      <c r="E451" s="14">
        <v>4946.3900000000003</v>
      </c>
      <c r="F451" s="14">
        <v>3153.09</v>
      </c>
      <c r="G451" s="14">
        <v>3063.3</v>
      </c>
      <c r="H451" s="14">
        <v>3230.06</v>
      </c>
      <c r="I451" s="14">
        <v>71877.070000000007</v>
      </c>
      <c r="J451" s="19">
        <v>0.72406247959595338</v>
      </c>
    </row>
    <row r="452" spans="1:10" x14ac:dyDescent="0.3">
      <c r="A452" s="9" t="s">
        <v>192</v>
      </c>
      <c r="B452" s="20">
        <v>45961</v>
      </c>
      <c r="C452" s="9" t="s">
        <v>243</v>
      </c>
      <c r="D452" s="14">
        <v>35959.14</v>
      </c>
      <c r="E452" s="14">
        <v>5391.74</v>
      </c>
      <c r="F452" s="14">
        <v>1320.22</v>
      </c>
      <c r="G452" s="14">
        <v>2871.99</v>
      </c>
      <c r="H452" s="14">
        <v>1101.1300000000001</v>
      </c>
      <c r="I452" s="14">
        <v>46644.21</v>
      </c>
      <c r="J452" s="19">
        <v>0.72406247959595338</v>
      </c>
    </row>
    <row r="453" spans="1:10" x14ac:dyDescent="0.3">
      <c r="A453" s="9" t="s">
        <v>192</v>
      </c>
      <c r="B453" s="20">
        <v>45961</v>
      </c>
      <c r="C453" s="9" t="s">
        <v>242</v>
      </c>
      <c r="D453" s="14">
        <v>294860.24</v>
      </c>
      <c r="E453" s="14">
        <v>13267.3</v>
      </c>
      <c r="F453" s="14">
        <v>18130.14</v>
      </c>
      <c r="G453" s="14">
        <v>12803.33</v>
      </c>
      <c r="H453" s="14">
        <v>11153.75</v>
      </c>
      <c r="I453" s="14">
        <v>350214.76</v>
      </c>
      <c r="J453" s="19">
        <v>0.72406247959595338</v>
      </c>
    </row>
    <row r="454" spans="1:10" x14ac:dyDescent="0.3">
      <c r="A454" s="9" t="s">
        <v>192</v>
      </c>
      <c r="B454" s="20">
        <v>45961</v>
      </c>
      <c r="C454" s="9" t="s">
        <v>241</v>
      </c>
      <c r="D454" s="14">
        <v>288339.21999999997</v>
      </c>
      <c r="E454" s="14">
        <v>19891.41</v>
      </c>
      <c r="F454" s="14">
        <v>7860.05</v>
      </c>
      <c r="G454" s="14">
        <v>7583.8</v>
      </c>
      <c r="H454" s="14">
        <v>26855.4</v>
      </c>
      <c r="I454" s="14">
        <v>350529.88</v>
      </c>
      <c r="J454" s="19">
        <v>0.72406247959595338</v>
      </c>
    </row>
    <row r="455" spans="1:10" x14ac:dyDescent="0.3">
      <c r="A455" s="9" t="s">
        <v>192</v>
      </c>
      <c r="B455" s="20">
        <v>45961</v>
      </c>
      <c r="C455" s="9" t="s">
        <v>209</v>
      </c>
      <c r="D455" s="14">
        <v>135446.35</v>
      </c>
      <c r="E455" s="14">
        <v>19923.57</v>
      </c>
      <c r="F455" s="14">
        <v>3516.58</v>
      </c>
      <c r="G455" s="14">
        <v>777.57</v>
      </c>
      <c r="H455" s="14">
        <v>43.53</v>
      </c>
      <c r="I455" s="14">
        <v>159707.6</v>
      </c>
      <c r="J455" s="19">
        <v>0.72406247959595338</v>
      </c>
    </row>
    <row r="456" spans="1:10" x14ac:dyDescent="0.3">
      <c r="A456" s="9" t="s">
        <v>192</v>
      </c>
      <c r="B456" s="20">
        <v>45961</v>
      </c>
      <c r="C456" s="9" t="s">
        <v>240</v>
      </c>
      <c r="D456" s="14">
        <v>55591.41</v>
      </c>
      <c r="E456" s="14">
        <v>6064.89</v>
      </c>
      <c r="F456" s="14">
        <v>3195.5</v>
      </c>
      <c r="G456" s="14">
        <v>1909.4</v>
      </c>
      <c r="H456" s="14">
        <v>870.92</v>
      </c>
      <c r="I456" s="14">
        <v>67632.12</v>
      </c>
      <c r="J456" s="19">
        <v>0.72406247959595338</v>
      </c>
    </row>
    <row r="457" spans="1:10" x14ac:dyDescent="0.3">
      <c r="A457" s="9" t="s">
        <v>192</v>
      </c>
      <c r="B457" s="20">
        <v>45961</v>
      </c>
      <c r="C457" s="9" t="s">
        <v>239</v>
      </c>
      <c r="D457" s="14">
        <v>228707.04</v>
      </c>
      <c r="E457" s="14">
        <v>23677.06</v>
      </c>
      <c r="F457" s="14">
        <v>11481.15</v>
      </c>
      <c r="G457" s="14">
        <v>11000.05</v>
      </c>
      <c r="H457" s="14">
        <v>19022.87</v>
      </c>
      <c r="I457" s="14">
        <v>293888.17</v>
      </c>
      <c r="J457" s="19">
        <v>0.72406247959595338</v>
      </c>
    </row>
    <row r="458" spans="1:10" x14ac:dyDescent="0.3">
      <c r="A458" s="9" t="s">
        <v>192</v>
      </c>
      <c r="B458" s="20">
        <v>45961</v>
      </c>
      <c r="C458" s="9" t="s">
        <v>238</v>
      </c>
      <c r="D458" s="14">
        <v>131199.22</v>
      </c>
      <c r="E458" s="14">
        <v>4481.37</v>
      </c>
      <c r="F458" s="14">
        <v>16782.72</v>
      </c>
      <c r="G458" s="14">
        <v>7850.18</v>
      </c>
      <c r="H458" s="14">
        <v>2999.71</v>
      </c>
      <c r="I458" s="14">
        <v>163313.22</v>
      </c>
      <c r="J458" s="19">
        <v>0.72406247959595338</v>
      </c>
    </row>
    <row r="459" spans="1:10" x14ac:dyDescent="0.3">
      <c r="A459" s="9" t="s">
        <v>192</v>
      </c>
      <c r="B459" s="20">
        <v>45961</v>
      </c>
      <c r="C459" s="9" t="s">
        <v>237</v>
      </c>
      <c r="D459" s="14">
        <v>76453.84</v>
      </c>
      <c r="E459" s="14">
        <v>9047.39</v>
      </c>
      <c r="F459" s="14">
        <v>8857.58</v>
      </c>
      <c r="G459" s="14">
        <v>1444.84</v>
      </c>
      <c r="H459" s="14">
        <v>2709.81</v>
      </c>
      <c r="I459" s="14">
        <v>98513.46</v>
      </c>
      <c r="J459" s="19">
        <v>0.72406247959595338</v>
      </c>
    </row>
    <row r="460" spans="1:10" x14ac:dyDescent="0.3">
      <c r="A460" s="9" t="s">
        <v>192</v>
      </c>
      <c r="B460" s="20">
        <v>45961</v>
      </c>
      <c r="C460" s="9" t="s">
        <v>236</v>
      </c>
      <c r="D460" s="14">
        <v>312038.55</v>
      </c>
      <c r="E460" s="14">
        <v>12456.07</v>
      </c>
      <c r="F460" s="14">
        <v>27484.26</v>
      </c>
      <c r="G460" s="14">
        <v>8833.7199999999993</v>
      </c>
      <c r="H460" s="14">
        <v>8951.16</v>
      </c>
      <c r="I460" s="14">
        <v>369763.76</v>
      </c>
      <c r="J460" s="19">
        <v>0.72406247959595338</v>
      </c>
    </row>
    <row r="461" spans="1:10" x14ac:dyDescent="0.3">
      <c r="A461" s="9" t="s">
        <v>192</v>
      </c>
      <c r="B461" s="20">
        <v>45961</v>
      </c>
      <c r="C461" s="9" t="s">
        <v>215</v>
      </c>
      <c r="D461" s="14">
        <v>175045.92</v>
      </c>
      <c r="E461" s="14">
        <v>4096.16</v>
      </c>
      <c r="F461" s="14">
        <v>9618.16</v>
      </c>
      <c r="G461" s="14">
        <v>2540.67</v>
      </c>
      <c r="H461" s="14">
        <v>15859.47</v>
      </c>
      <c r="I461" s="14">
        <v>207160.37</v>
      </c>
      <c r="J461" s="19">
        <v>0.72406247959595338</v>
      </c>
    </row>
    <row r="462" spans="1:10" x14ac:dyDescent="0.3">
      <c r="A462" s="9" t="s">
        <v>192</v>
      </c>
      <c r="B462" s="20">
        <v>45991</v>
      </c>
      <c r="C462" s="9" t="s">
        <v>228</v>
      </c>
      <c r="D462" s="14">
        <v>22574.37</v>
      </c>
      <c r="E462" s="14">
        <v>1191.42</v>
      </c>
      <c r="F462" s="14">
        <v>967.38</v>
      </c>
      <c r="G462" s="14">
        <v>336.97</v>
      </c>
      <c r="H462" s="14">
        <v>891.68</v>
      </c>
      <c r="I462" s="14">
        <v>25961.82</v>
      </c>
      <c r="J462" s="19">
        <v>0.50945931446741433</v>
      </c>
    </row>
    <row r="463" spans="1:10" x14ac:dyDescent="0.3">
      <c r="A463" s="9" t="s">
        <v>192</v>
      </c>
      <c r="B463" s="20">
        <v>45991</v>
      </c>
      <c r="C463" s="9" t="s">
        <v>207</v>
      </c>
      <c r="D463" s="14">
        <v>4354.28</v>
      </c>
      <c r="E463" s="14">
        <v>316.57</v>
      </c>
      <c r="F463" s="14">
        <v>159.79</v>
      </c>
      <c r="G463" s="14">
        <v>168.34</v>
      </c>
      <c r="H463" s="14">
        <v>357.38</v>
      </c>
      <c r="I463" s="14">
        <v>5356.37</v>
      </c>
      <c r="J463" s="19">
        <v>0.50945931446741433</v>
      </c>
    </row>
    <row r="464" spans="1:10" x14ac:dyDescent="0.3">
      <c r="A464" s="9" t="s">
        <v>192</v>
      </c>
      <c r="B464" s="20">
        <v>45991</v>
      </c>
      <c r="C464" s="9" t="s">
        <v>211</v>
      </c>
      <c r="D464" s="14">
        <v>27285.38</v>
      </c>
      <c r="E464" s="14">
        <v>4265.32</v>
      </c>
      <c r="F464" s="14">
        <v>1002.59</v>
      </c>
      <c r="G464" s="14">
        <v>22.32</v>
      </c>
      <c r="H464" s="14">
        <v>342.49</v>
      </c>
      <c r="I464" s="14">
        <v>32918.1</v>
      </c>
      <c r="J464" s="19">
        <v>0.50945931446741433</v>
      </c>
    </row>
    <row r="465" spans="1:10" x14ac:dyDescent="0.3">
      <c r="A465" s="9" t="s">
        <v>192</v>
      </c>
      <c r="B465" s="20">
        <v>45991</v>
      </c>
      <c r="C465" s="9" t="s">
        <v>247</v>
      </c>
      <c r="D465" s="14">
        <v>245022.52</v>
      </c>
      <c r="E465" s="14">
        <v>12941.53</v>
      </c>
      <c r="F465" s="14">
        <v>9673.4</v>
      </c>
      <c r="G465" s="14">
        <v>12880.06</v>
      </c>
      <c r="H465" s="14">
        <v>6162.25</v>
      </c>
      <c r="I465" s="14">
        <v>286679.76</v>
      </c>
      <c r="J465" s="19">
        <v>0.50945931446741433</v>
      </c>
    </row>
    <row r="466" spans="1:10" x14ac:dyDescent="0.3">
      <c r="A466" s="9" t="s">
        <v>192</v>
      </c>
      <c r="B466" s="20">
        <v>45991</v>
      </c>
      <c r="C466" s="9" t="s">
        <v>234</v>
      </c>
      <c r="D466" s="14">
        <v>244059.48</v>
      </c>
      <c r="E466" s="14">
        <v>11001.05</v>
      </c>
      <c r="F466" s="14">
        <v>41994.96</v>
      </c>
      <c r="G466" s="14">
        <v>11550.47</v>
      </c>
      <c r="H466" s="14">
        <v>8735.0300000000007</v>
      </c>
      <c r="I466" s="14">
        <v>317340.99</v>
      </c>
      <c r="J466" s="19">
        <v>0.50945931446741433</v>
      </c>
    </row>
    <row r="467" spans="1:10" x14ac:dyDescent="0.3">
      <c r="A467" s="9" t="s">
        <v>192</v>
      </c>
      <c r="B467" s="20">
        <v>45991</v>
      </c>
      <c r="C467" s="9" t="s">
        <v>246</v>
      </c>
      <c r="D467" s="14">
        <v>64396.72</v>
      </c>
      <c r="E467" s="14">
        <v>7883.93</v>
      </c>
      <c r="F467" s="14">
        <v>3752.71</v>
      </c>
      <c r="G467" s="14">
        <v>3590.66</v>
      </c>
      <c r="H467" s="14">
        <v>369.71</v>
      </c>
      <c r="I467" s="14">
        <v>79993.73</v>
      </c>
      <c r="J467" s="19">
        <v>0.50945931446741433</v>
      </c>
    </row>
    <row r="468" spans="1:10" x14ac:dyDescent="0.3">
      <c r="A468" s="9" t="s">
        <v>192</v>
      </c>
      <c r="B468" s="20">
        <v>45991</v>
      </c>
      <c r="C468" s="9" t="s">
        <v>219</v>
      </c>
      <c r="D468" s="14">
        <v>232307.65</v>
      </c>
      <c r="E468" s="14">
        <v>10130.26</v>
      </c>
      <c r="F468" s="14">
        <v>16564.12</v>
      </c>
      <c r="G468" s="14">
        <v>15204.91</v>
      </c>
      <c r="H468" s="14">
        <v>13369.95</v>
      </c>
      <c r="I468" s="14">
        <v>287576.90000000002</v>
      </c>
      <c r="J468" s="19">
        <v>0.50945931446741433</v>
      </c>
    </row>
    <row r="469" spans="1:10" x14ac:dyDescent="0.3">
      <c r="A469" s="9" t="s">
        <v>192</v>
      </c>
      <c r="B469" s="20">
        <v>45991</v>
      </c>
      <c r="C469" s="9" t="s">
        <v>223</v>
      </c>
      <c r="D469" s="14">
        <v>46840.1</v>
      </c>
      <c r="E469" s="14">
        <v>6541.57</v>
      </c>
      <c r="F469" s="14">
        <v>2507.79</v>
      </c>
      <c r="G469" s="14">
        <v>1244.1500000000001</v>
      </c>
      <c r="H469" s="14">
        <v>1740.59</v>
      </c>
      <c r="I469" s="14">
        <v>58874.21</v>
      </c>
      <c r="J469" s="19">
        <v>0.50945931446741433</v>
      </c>
    </row>
    <row r="470" spans="1:10" x14ac:dyDescent="0.3">
      <c r="A470" s="9" t="s">
        <v>192</v>
      </c>
      <c r="B470" s="20">
        <v>45991</v>
      </c>
      <c r="C470" s="9" t="s">
        <v>245</v>
      </c>
      <c r="D470" s="14">
        <v>75611.240000000005</v>
      </c>
      <c r="E470" s="14">
        <v>4274.8599999999997</v>
      </c>
      <c r="F470" s="14">
        <v>6189.01</v>
      </c>
      <c r="G470" s="14">
        <v>5175.26</v>
      </c>
      <c r="H470" s="14">
        <v>2646.28</v>
      </c>
      <c r="I470" s="14">
        <v>93896.65</v>
      </c>
      <c r="J470" s="19">
        <v>0.50945931446741433</v>
      </c>
    </row>
    <row r="471" spans="1:10" x14ac:dyDescent="0.3">
      <c r="A471" s="9" t="s">
        <v>192</v>
      </c>
      <c r="B471" s="20">
        <v>45991</v>
      </c>
      <c r="C471" s="9" t="s">
        <v>244</v>
      </c>
      <c r="D471" s="14">
        <v>263667.89</v>
      </c>
      <c r="E471" s="14">
        <v>28209.56</v>
      </c>
      <c r="F471" s="14">
        <v>5348.66</v>
      </c>
      <c r="G471" s="14">
        <v>2883.59</v>
      </c>
      <c r="H471" s="14">
        <v>8434.32</v>
      </c>
      <c r="I471" s="14">
        <v>308544.02</v>
      </c>
      <c r="J471" s="19">
        <v>0.50945931446741433</v>
      </c>
    </row>
    <row r="472" spans="1:10" x14ac:dyDescent="0.3">
      <c r="A472" s="9" t="s">
        <v>192</v>
      </c>
      <c r="B472" s="20">
        <v>45991</v>
      </c>
      <c r="C472" s="9" t="s">
        <v>243</v>
      </c>
      <c r="D472" s="14">
        <v>283692.59000000003</v>
      </c>
      <c r="E472" s="14">
        <v>11984.98</v>
      </c>
      <c r="F472" s="14">
        <v>21812.3</v>
      </c>
      <c r="G472" s="14">
        <v>15923.72</v>
      </c>
      <c r="H472" s="14">
        <v>372.05</v>
      </c>
      <c r="I472" s="14">
        <v>333785.63</v>
      </c>
      <c r="J472" s="19">
        <v>0.50945931446741433</v>
      </c>
    </row>
    <row r="473" spans="1:10" x14ac:dyDescent="0.3">
      <c r="A473" s="9" t="s">
        <v>192</v>
      </c>
      <c r="B473" s="20">
        <v>45991</v>
      </c>
      <c r="C473" s="9" t="s">
        <v>242</v>
      </c>
      <c r="D473" s="14">
        <v>75949.91</v>
      </c>
      <c r="E473" s="14">
        <v>7983.21</v>
      </c>
      <c r="F473" s="14">
        <v>6368.11</v>
      </c>
      <c r="G473" s="14">
        <v>1988.37</v>
      </c>
      <c r="H473" s="14">
        <v>2462.69</v>
      </c>
      <c r="I473" s="14">
        <v>94752.29</v>
      </c>
      <c r="J473" s="19">
        <v>0.50945931446741433</v>
      </c>
    </row>
    <row r="474" spans="1:10" x14ac:dyDescent="0.3">
      <c r="A474" s="9" t="s">
        <v>192</v>
      </c>
      <c r="B474" s="20">
        <v>45991</v>
      </c>
      <c r="C474" s="9" t="s">
        <v>241</v>
      </c>
      <c r="D474" s="14">
        <v>10962.59</v>
      </c>
      <c r="E474" s="14">
        <v>1047.48</v>
      </c>
      <c r="F474" s="14">
        <v>1412.49</v>
      </c>
      <c r="G474" s="14">
        <v>562.29999999999995</v>
      </c>
      <c r="H474" s="14">
        <v>136.9</v>
      </c>
      <c r="I474" s="14">
        <v>14121.77</v>
      </c>
      <c r="J474" s="19">
        <v>0.50945931446741433</v>
      </c>
    </row>
    <row r="475" spans="1:10" x14ac:dyDescent="0.3">
      <c r="A475" s="9" t="s">
        <v>192</v>
      </c>
      <c r="B475" s="20">
        <v>45991</v>
      </c>
      <c r="C475" s="9" t="s">
        <v>209</v>
      </c>
      <c r="D475" s="14">
        <v>279881.93</v>
      </c>
      <c r="E475" s="14">
        <v>30886.9</v>
      </c>
      <c r="F475" s="14">
        <v>14321.99</v>
      </c>
      <c r="G475" s="14">
        <v>5159.6499999999996</v>
      </c>
      <c r="H475" s="14">
        <v>6180.58</v>
      </c>
      <c r="I475" s="14">
        <v>336431.06</v>
      </c>
      <c r="J475" s="19">
        <v>0.50945931446741433</v>
      </c>
    </row>
    <row r="476" spans="1:10" x14ac:dyDescent="0.3">
      <c r="A476" s="9" t="s">
        <v>192</v>
      </c>
      <c r="B476" s="20">
        <v>45991</v>
      </c>
      <c r="C476" s="9" t="s">
        <v>240</v>
      </c>
      <c r="D476" s="14">
        <v>301757.53999999998</v>
      </c>
      <c r="E476" s="14">
        <v>29202.18</v>
      </c>
      <c r="F476" s="14">
        <v>5484.49</v>
      </c>
      <c r="G476" s="14">
        <v>10784.2</v>
      </c>
      <c r="H476" s="14">
        <v>14653.26</v>
      </c>
      <c r="I476" s="14">
        <v>361881.65</v>
      </c>
      <c r="J476" s="19">
        <v>0.50945931446741433</v>
      </c>
    </row>
    <row r="477" spans="1:10" x14ac:dyDescent="0.3">
      <c r="A477" s="9" t="s">
        <v>192</v>
      </c>
      <c r="B477" s="20">
        <v>45991</v>
      </c>
      <c r="C477" s="9" t="s">
        <v>239</v>
      </c>
      <c r="D477" s="14">
        <v>139020.9</v>
      </c>
      <c r="E477" s="14">
        <v>23120.75</v>
      </c>
      <c r="F477" s="14">
        <v>2554.41</v>
      </c>
      <c r="G477" s="14">
        <v>5623.5</v>
      </c>
      <c r="H477" s="14">
        <v>6963.17</v>
      </c>
      <c r="I477" s="14">
        <v>177282.73</v>
      </c>
      <c r="J477" s="19">
        <v>0.50945931446741433</v>
      </c>
    </row>
    <row r="478" spans="1:10" x14ac:dyDescent="0.3">
      <c r="A478" s="9" t="s">
        <v>192</v>
      </c>
      <c r="B478" s="20">
        <v>45991</v>
      </c>
      <c r="C478" s="9" t="s">
        <v>238</v>
      </c>
      <c r="D478" s="14">
        <v>8188.64</v>
      </c>
      <c r="E478" s="14">
        <v>1087.01</v>
      </c>
      <c r="F478" s="14">
        <v>428.42</v>
      </c>
      <c r="G478" s="14">
        <v>160.5</v>
      </c>
      <c r="H478" s="14">
        <v>54.55</v>
      </c>
      <c r="I478" s="14">
        <v>9919.11</v>
      </c>
      <c r="J478" s="19">
        <v>0.50945931446741433</v>
      </c>
    </row>
    <row r="479" spans="1:10" x14ac:dyDescent="0.3">
      <c r="A479" s="9" t="s">
        <v>192</v>
      </c>
      <c r="B479" s="20">
        <v>45991</v>
      </c>
      <c r="C479" s="9" t="s">
        <v>237</v>
      </c>
      <c r="D479" s="14">
        <v>126013.51</v>
      </c>
      <c r="E479" s="14">
        <v>14682.32</v>
      </c>
      <c r="F479" s="14">
        <v>7766.87</v>
      </c>
      <c r="G479" s="14">
        <v>2897.21</v>
      </c>
      <c r="H479" s="14">
        <v>53.77</v>
      </c>
      <c r="I479" s="14">
        <v>151413.68</v>
      </c>
      <c r="J479" s="19">
        <v>0.50945931446741433</v>
      </c>
    </row>
    <row r="480" spans="1:10" x14ac:dyDescent="0.3">
      <c r="A480" s="9" t="s">
        <v>192</v>
      </c>
      <c r="B480" s="20">
        <v>45991</v>
      </c>
      <c r="C480" s="9" t="s">
        <v>236</v>
      </c>
      <c r="D480" s="14">
        <v>22542.66</v>
      </c>
      <c r="E480" s="14">
        <v>909.04</v>
      </c>
      <c r="F480" s="14">
        <v>1094.18</v>
      </c>
      <c r="G480" s="14">
        <v>706.28</v>
      </c>
      <c r="H480" s="14">
        <v>1606.22</v>
      </c>
      <c r="I480" s="14">
        <v>26858.37</v>
      </c>
      <c r="J480" s="19">
        <v>0.50945931446741433</v>
      </c>
    </row>
    <row r="481" spans="1:10" x14ac:dyDescent="0.3">
      <c r="A481" s="9" t="s">
        <v>192</v>
      </c>
      <c r="B481" s="20">
        <v>45991</v>
      </c>
      <c r="C481" s="9" t="s">
        <v>215</v>
      </c>
      <c r="D481" s="14">
        <v>55069.07</v>
      </c>
      <c r="E481" s="14">
        <v>4245.99</v>
      </c>
      <c r="F481" s="14">
        <v>4477.28</v>
      </c>
      <c r="G481" s="14">
        <v>2779.04</v>
      </c>
      <c r="H481" s="14">
        <v>1879.44</v>
      </c>
      <c r="I481" s="14">
        <v>68450.820000000007</v>
      </c>
      <c r="J481" s="19">
        <v>0.50945931446741433</v>
      </c>
    </row>
    <row r="482" spans="1:10" x14ac:dyDescent="0.3">
      <c r="A482" s="9" t="s">
        <v>191</v>
      </c>
      <c r="B482" s="20">
        <v>45657</v>
      </c>
      <c r="C482" s="9" t="s">
        <v>222</v>
      </c>
      <c r="D482" s="14">
        <v>121461.12</v>
      </c>
      <c r="E482" s="14">
        <v>18225.34</v>
      </c>
      <c r="F482" s="14">
        <v>2930.79</v>
      </c>
      <c r="G482" s="14">
        <v>1215.8900000000001</v>
      </c>
      <c r="H482" s="14">
        <v>4142.7700000000004</v>
      </c>
      <c r="I482" s="14">
        <v>147975.91</v>
      </c>
      <c r="J482" s="19">
        <v>0.5515852180400509</v>
      </c>
    </row>
    <row r="483" spans="1:10" x14ac:dyDescent="0.3">
      <c r="A483" s="9" t="s">
        <v>191</v>
      </c>
      <c r="B483" s="20">
        <v>45657</v>
      </c>
      <c r="C483" s="9" t="s">
        <v>235</v>
      </c>
      <c r="D483" s="14">
        <v>31075.13</v>
      </c>
      <c r="E483" s="14">
        <v>941.45</v>
      </c>
      <c r="F483" s="14">
        <v>2936.8</v>
      </c>
      <c r="G483" s="14">
        <v>748.01</v>
      </c>
      <c r="H483" s="14">
        <v>866.27</v>
      </c>
      <c r="I483" s="14">
        <v>36567.660000000003</v>
      </c>
      <c r="J483" s="19">
        <v>0.5515852180400509</v>
      </c>
    </row>
    <row r="484" spans="1:10" x14ac:dyDescent="0.3">
      <c r="A484" s="9" t="s">
        <v>191</v>
      </c>
      <c r="B484" s="20">
        <v>45657</v>
      </c>
      <c r="C484" s="9" t="s">
        <v>234</v>
      </c>
      <c r="D484" s="14">
        <v>84899.83</v>
      </c>
      <c r="E484" s="14">
        <v>3242.02</v>
      </c>
      <c r="F484" s="14">
        <v>31.85</v>
      </c>
      <c r="G484" s="14">
        <v>2924.72</v>
      </c>
      <c r="H484" s="14">
        <v>3959.48</v>
      </c>
      <c r="I484" s="14">
        <v>95057.9</v>
      </c>
      <c r="J484" s="19">
        <v>0.5515852180400509</v>
      </c>
    </row>
    <row r="485" spans="1:10" x14ac:dyDescent="0.3">
      <c r="A485" s="9" t="s">
        <v>191</v>
      </c>
      <c r="B485" s="20">
        <v>45657</v>
      </c>
      <c r="C485" s="9" t="s">
        <v>219</v>
      </c>
      <c r="D485" s="14">
        <v>122846.06</v>
      </c>
      <c r="E485" s="14">
        <v>4445.37</v>
      </c>
      <c r="F485" s="14">
        <v>2814.72</v>
      </c>
      <c r="G485" s="14">
        <v>6821.82</v>
      </c>
      <c r="H485" s="14">
        <v>4100.26</v>
      </c>
      <c r="I485" s="14">
        <v>141028.22</v>
      </c>
      <c r="J485" s="19">
        <v>0.5515852180400509</v>
      </c>
    </row>
    <row r="486" spans="1:10" x14ac:dyDescent="0.3">
      <c r="A486" s="9" t="s">
        <v>191</v>
      </c>
      <c r="B486" s="20">
        <v>45657</v>
      </c>
      <c r="C486" s="9" t="s">
        <v>233</v>
      </c>
      <c r="D486" s="14">
        <v>59862.76</v>
      </c>
      <c r="E486" s="14">
        <v>4394.1899999999996</v>
      </c>
      <c r="F486" s="14">
        <v>6971.46</v>
      </c>
      <c r="G486" s="14">
        <v>1857.66</v>
      </c>
      <c r="H486" s="14">
        <v>1329.35</v>
      </c>
      <c r="I486" s="14">
        <v>74415.42</v>
      </c>
      <c r="J486" s="19">
        <v>0.5515852180400509</v>
      </c>
    </row>
    <row r="487" spans="1:10" x14ac:dyDescent="0.3">
      <c r="A487" s="9" t="s">
        <v>191</v>
      </c>
      <c r="B487" s="20">
        <v>45657</v>
      </c>
      <c r="C487" s="9" t="s">
        <v>232</v>
      </c>
      <c r="D487" s="14">
        <v>103438.19</v>
      </c>
      <c r="E487" s="14">
        <v>9558.1299999999992</v>
      </c>
      <c r="F487" s="14">
        <v>7613.24</v>
      </c>
      <c r="G487" s="14">
        <v>1972.45</v>
      </c>
      <c r="H487" s="14">
        <v>4508.95</v>
      </c>
      <c r="I487" s="14">
        <v>127090.96</v>
      </c>
      <c r="J487" s="19">
        <v>0.5515852180400509</v>
      </c>
    </row>
    <row r="488" spans="1:10" x14ac:dyDescent="0.3">
      <c r="A488" s="9" t="s">
        <v>191</v>
      </c>
      <c r="B488" s="20">
        <v>45657</v>
      </c>
      <c r="C488" s="9" t="s">
        <v>231</v>
      </c>
      <c r="D488" s="14">
        <v>110628.84</v>
      </c>
      <c r="E488" s="14">
        <v>12288.8</v>
      </c>
      <c r="F488" s="14">
        <v>1564.65</v>
      </c>
      <c r="G488" s="14">
        <v>4313.7299999999996</v>
      </c>
      <c r="H488" s="14">
        <v>3448.75</v>
      </c>
      <c r="I488" s="14">
        <v>132244.76999999999</v>
      </c>
      <c r="J488" s="19">
        <v>0.5515852180400509</v>
      </c>
    </row>
    <row r="489" spans="1:10" x14ac:dyDescent="0.3">
      <c r="A489" s="9" t="s">
        <v>191</v>
      </c>
      <c r="B489" s="20">
        <v>45657</v>
      </c>
      <c r="C489" s="9" t="s">
        <v>230</v>
      </c>
      <c r="D489" s="14">
        <v>111835.59</v>
      </c>
      <c r="E489" s="14">
        <v>4497.49</v>
      </c>
      <c r="F489" s="14">
        <v>8037.35</v>
      </c>
      <c r="G489" s="14">
        <v>899.49</v>
      </c>
      <c r="H489" s="14">
        <v>767.11</v>
      </c>
      <c r="I489" s="14">
        <v>126037.02</v>
      </c>
      <c r="J489" s="19">
        <v>0.5515852180400509</v>
      </c>
    </row>
    <row r="490" spans="1:10" x14ac:dyDescent="0.3">
      <c r="A490" s="9" t="s">
        <v>191</v>
      </c>
      <c r="B490" s="20">
        <v>45657</v>
      </c>
      <c r="C490" s="9" t="s">
        <v>229</v>
      </c>
      <c r="D490" s="14">
        <v>140806.07999999999</v>
      </c>
      <c r="E490" s="14">
        <v>5623.81</v>
      </c>
      <c r="F490" s="14">
        <v>3829.76</v>
      </c>
      <c r="G490" s="14">
        <v>2435.25</v>
      </c>
      <c r="H490" s="14">
        <v>4457.82</v>
      </c>
      <c r="I490" s="14">
        <v>157152.71</v>
      </c>
      <c r="J490" s="19">
        <v>0.5515852180400509</v>
      </c>
    </row>
    <row r="491" spans="1:10" x14ac:dyDescent="0.3">
      <c r="A491" s="9" t="s">
        <v>191</v>
      </c>
      <c r="B491" s="20">
        <v>45657</v>
      </c>
      <c r="C491" s="9" t="s">
        <v>228</v>
      </c>
      <c r="D491" s="14">
        <v>85292.21</v>
      </c>
      <c r="E491" s="14">
        <v>10419.299999999999</v>
      </c>
      <c r="F491" s="14">
        <v>2319.06</v>
      </c>
      <c r="G491" s="14">
        <v>1006.55</v>
      </c>
      <c r="H491" s="14">
        <v>1887.45</v>
      </c>
      <c r="I491" s="14">
        <v>100924.56</v>
      </c>
      <c r="J491" s="19">
        <v>0.5515852180400509</v>
      </c>
    </row>
    <row r="492" spans="1:10" x14ac:dyDescent="0.3">
      <c r="A492" s="9" t="s">
        <v>191</v>
      </c>
      <c r="B492" s="20">
        <v>45657</v>
      </c>
      <c r="C492" s="9" t="s">
        <v>203</v>
      </c>
      <c r="D492" s="14">
        <v>101960.66</v>
      </c>
      <c r="E492" s="14">
        <v>2802.21</v>
      </c>
      <c r="F492" s="14">
        <v>2957.54</v>
      </c>
      <c r="G492" s="14">
        <v>4617.8</v>
      </c>
      <c r="H492" s="14">
        <v>5462.48</v>
      </c>
      <c r="I492" s="14">
        <v>117800.69</v>
      </c>
      <c r="J492" s="19">
        <v>0.5515852180400509</v>
      </c>
    </row>
    <row r="493" spans="1:10" x14ac:dyDescent="0.3">
      <c r="A493" s="9" t="s">
        <v>191</v>
      </c>
      <c r="B493" s="20">
        <v>45657</v>
      </c>
      <c r="C493" s="9" t="s">
        <v>216</v>
      </c>
      <c r="D493" s="14">
        <v>50679.77</v>
      </c>
      <c r="E493" s="14">
        <v>3969.43</v>
      </c>
      <c r="F493" s="14">
        <v>2040.61</v>
      </c>
      <c r="G493" s="14">
        <v>1201.8599999999999</v>
      </c>
      <c r="H493" s="14">
        <v>1090.9000000000001</v>
      </c>
      <c r="I493" s="14">
        <v>58982.57</v>
      </c>
      <c r="J493" s="19">
        <v>0.5515852180400509</v>
      </c>
    </row>
    <row r="494" spans="1:10" x14ac:dyDescent="0.3">
      <c r="A494" s="9" t="s">
        <v>191</v>
      </c>
      <c r="B494" s="20">
        <v>45657</v>
      </c>
      <c r="C494" s="9" t="s">
        <v>227</v>
      </c>
      <c r="D494" s="14">
        <v>77266.100000000006</v>
      </c>
      <c r="E494" s="14">
        <v>10032.94</v>
      </c>
      <c r="F494" s="14">
        <v>1852.81</v>
      </c>
      <c r="G494" s="14">
        <v>4633.41</v>
      </c>
      <c r="H494" s="14">
        <v>5518.56</v>
      </c>
      <c r="I494" s="14">
        <v>99303.83</v>
      </c>
      <c r="J494" s="19">
        <v>0.5515852180400509</v>
      </c>
    </row>
    <row r="495" spans="1:10" x14ac:dyDescent="0.3">
      <c r="A495" s="9" t="s">
        <v>191</v>
      </c>
      <c r="B495" s="20">
        <v>45657</v>
      </c>
      <c r="C495" s="9" t="s">
        <v>226</v>
      </c>
      <c r="D495" s="14">
        <v>135714.04</v>
      </c>
      <c r="E495" s="14">
        <v>13481.75</v>
      </c>
      <c r="F495" s="14">
        <v>1398.05</v>
      </c>
      <c r="G495" s="14">
        <v>1669.21</v>
      </c>
      <c r="H495" s="14">
        <v>1028.1300000000001</v>
      </c>
      <c r="I495" s="14">
        <v>153291.18</v>
      </c>
      <c r="J495" s="19">
        <v>0.5515852180400509</v>
      </c>
    </row>
    <row r="496" spans="1:10" x14ac:dyDescent="0.3">
      <c r="A496" s="9" t="s">
        <v>191</v>
      </c>
      <c r="B496" s="20">
        <v>45657</v>
      </c>
      <c r="C496" s="9" t="s">
        <v>205</v>
      </c>
      <c r="D496" s="14">
        <v>132180.28</v>
      </c>
      <c r="E496" s="14">
        <v>8734.93</v>
      </c>
      <c r="F496" s="14">
        <v>1526.97</v>
      </c>
      <c r="G496" s="14">
        <v>1662.17</v>
      </c>
      <c r="H496" s="14">
        <v>3604.72</v>
      </c>
      <c r="I496" s="14">
        <v>147709.06</v>
      </c>
      <c r="J496" s="19">
        <v>0.5515852180400509</v>
      </c>
    </row>
    <row r="497" spans="1:10" x14ac:dyDescent="0.3">
      <c r="A497" s="9" t="s">
        <v>191</v>
      </c>
      <c r="B497" s="20">
        <v>45657</v>
      </c>
      <c r="C497" s="9" t="s">
        <v>225</v>
      </c>
      <c r="D497" s="14">
        <v>46394.29</v>
      </c>
      <c r="E497" s="14">
        <v>4547.76</v>
      </c>
      <c r="F497" s="14">
        <v>4076.44</v>
      </c>
      <c r="G497" s="14">
        <v>2719.21</v>
      </c>
      <c r="H497" s="14">
        <v>1324.01</v>
      </c>
      <c r="I497" s="14">
        <v>59061.71</v>
      </c>
      <c r="J497" s="19">
        <v>0.5515852180400509</v>
      </c>
    </row>
    <row r="498" spans="1:10" x14ac:dyDescent="0.3">
      <c r="A498" s="9" t="s">
        <v>191</v>
      </c>
      <c r="B498" s="20">
        <v>45657</v>
      </c>
      <c r="C498" s="9" t="s">
        <v>224</v>
      </c>
      <c r="D498" s="14">
        <v>95323.06</v>
      </c>
      <c r="E498" s="14">
        <v>10510.2</v>
      </c>
      <c r="F498" s="14">
        <v>1904.6</v>
      </c>
      <c r="G498" s="14">
        <v>5936.94</v>
      </c>
      <c r="H498" s="14">
        <v>1950.21</v>
      </c>
      <c r="I498" s="14">
        <v>115625</v>
      </c>
      <c r="J498" s="19">
        <v>0.5515852180400509</v>
      </c>
    </row>
    <row r="499" spans="1:10" x14ac:dyDescent="0.3">
      <c r="A499" s="9" t="s">
        <v>191</v>
      </c>
      <c r="B499" s="20">
        <v>45657</v>
      </c>
      <c r="C499" s="9" t="s">
        <v>206</v>
      </c>
      <c r="D499" s="14">
        <v>33317.86</v>
      </c>
      <c r="E499" s="14">
        <v>2939.16</v>
      </c>
      <c r="F499" s="14">
        <v>1791.79</v>
      </c>
      <c r="G499" s="14">
        <v>412.3</v>
      </c>
      <c r="H499" s="14">
        <v>738.82</v>
      </c>
      <c r="I499" s="14">
        <v>39199.919999999998</v>
      </c>
      <c r="J499" s="19">
        <v>0.5515852180400509</v>
      </c>
    </row>
    <row r="500" spans="1:10" x14ac:dyDescent="0.3">
      <c r="A500" s="9" t="s">
        <v>191</v>
      </c>
      <c r="B500" s="20">
        <v>45657</v>
      </c>
      <c r="C500" s="9" t="s">
        <v>211</v>
      </c>
      <c r="D500" s="14">
        <v>82677.17</v>
      </c>
      <c r="E500" s="14">
        <v>4519.13</v>
      </c>
      <c r="F500" s="14">
        <v>4690.4799999999996</v>
      </c>
      <c r="G500" s="14">
        <v>3130.66</v>
      </c>
      <c r="H500" s="14">
        <v>2255.88</v>
      </c>
      <c r="I500" s="14">
        <v>97273.33</v>
      </c>
      <c r="J500" s="19">
        <v>0.5515852180400509</v>
      </c>
    </row>
    <row r="501" spans="1:10" x14ac:dyDescent="0.3">
      <c r="A501" s="9" t="s">
        <v>191</v>
      </c>
      <c r="B501" s="20">
        <v>45657</v>
      </c>
      <c r="C501" s="9" t="s">
        <v>223</v>
      </c>
      <c r="D501" s="14">
        <v>78796.899999999994</v>
      </c>
      <c r="E501" s="14">
        <v>4594.13</v>
      </c>
      <c r="F501" s="14">
        <v>926.79</v>
      </c>
      <c r="G501" s="14">
        <v>2123.7199999999998</v>
      </c>
      <c r="H501" s="14">
        <v>2696.94</v>
      </c>
      <c r="I501" s="14">
        <v>89138.49</v>
      </c>
      <c r="J501" s="19">
        <v>0.5515852180400509</v>
      </c>
    </row>
    <row r="502" spans="1:10" x14ac:dyDescent="0.3">
      <c r="A502" s="9" t="s">
        <v>191</v>
      </c>
      <c r="B502" s="20">
        <v>45688</v>
      </c>
      <c r="C502" s="9" t="s">
        <v>222</v>
      </c>
      <c r="D502" s="14">
        <v>65294.48</v>
      </c>
      <c r="E502" s="14">
        <v>3872.13</v>
      </c>
      <c r="F502" s="14">
        <v>2855.77</v>
      </c>
      <c r="G502" s="14">
        <v>2983.42</v>
      </c>
      <c r="H502" s="14">
        <v>3423</v>
      </c>
      <c r="I502" s="14">
        <v>78428.800000000003</v>
      </c>
      <c r="J502" s="19">
        <v>0.69164394595131595</v>
      </c>
    </row>
    <row r="503" spans="1:10" x14ac:dyDescent="0.3">
      <c r="A503" s="9" t="s">
        <v>191</v>
      </c>
      <c r="B503" s="20">
        <v>45688</v>
      </c>
      <c r="C503" s="9" t="s">
        <v>235</v>
      </c>
      <c r="D503" s="14">
        <v>24828.62</v>
      </c>
      <c r="E503" s="14">
        <v>3166.82</v>
      </c>
      <c r="F503" s="14">
        <v>403.93</v>
      </c>
      <c r="G503" s="14">
        <v>406.93</v>
      </c>
      <c r="H503" s="14">
        <v>154.41</v>
      </c>
      <c r="I503" s="14">
        <v>28960.720000000001</v>
      </c>
      <c r="J503" s="19">
        <v>0.69164394595131595</v>
      </c>
    </row>
    <row r="504" spans="1:10" x14ac:dyDescent="0.3">
      <c r="A504" s="9" t="s">
        <v>191</v>
      </c>
      <c r="B504" s="20">
        <v>45688</v>
      </c>
      <c r="C504" s="9" t="s">
        <v>234</v>
      </c>
      <c r="D504" s="14">
        <v>126787.79</v>
      </c>
      <c r="E504" s="14">
        <v>18056.849999999999</v>
      </c>
      <c r="F504" s="14">
        <v>1186.46</v>
      </c>
      <c r="G504" s="14">
        <v>3090.67</v>
      </c>
      <c r="H504" s="14">
        <v>3043.41</v>
      </c>
      <c r="I504" s="14">
        <v>152165.18</v>
      </c>
      <c r="J504" s="19">
        <v>0.69164394595131595</v>
      </c>
    </row>
    <row r="505" spans="1:10" x14ac:dyDescent="0.3">
      <c r="A505" s="9" t="s">
        <v>191</v>
      </c>
      <c r="B505" s="20">
        <v>45688</v>
      </c>
      <c r="C505" s="9" t="s">
        <v>219</v>
      </c>
      <c r="D505" s="14">
        <v>21498.23</v>
      </c>
      <c r="E505" s="14">
        <v>763.86</v>
      </c>
      <c r="F505" s="14">
        <v>1021.98</v>
      </c>
      <c r="G505" s="14">
        <v>299.58999999999997</v>
      </c>
      <c r="H505" s="14">
        <v>1450.36</v>
      </c>
      <c r="I505" s="14">
        <v>25034.03</v>
      </c>
      <c r="J505" s="19">
        <v>0.69164394595131595</v>
      </c>
    </row>
    <row r="506" spans="1:10" x14ac:dyDescent="0.3">
      <c r="A506" s="9" t="s">
        <v>191</v>
      </c>
      <c r="B506" s="20">
        <v>45688</v>
      </c>
      <c r="C506" s="9" t="s">
        <v>233</v>
      </c>
      <c r="D506" s="14">
        <v>235285.67</v>
      </c>
      <c r="E506" s="14">
        <v>17478.75</v>
      </c>
      <c r="F506" s="14">
        <v>13286.64</v>
      </c>
      <c r="G506" s="14">
        <v>2074.25</v>
      </c>
      <c r="H506" s="14">
        <v>978.09</v>
      </c>
      <c r="I506" s="14">
        <v>269103.40000000002</v>
      </c>
      <c r="J506" s="19">
        <v>0.69164394595131595</v>
      </c>
    </row>
    <row r="507" spans="1:10" x14ac:dyDescent="0.3">
      <c r="A507" s="9" t="s">
        <v>191</v>
      </c>
      <c r="B507" s="20">
        <v>45688</v>
      </c>
      <c r="C507" s="9" t="s">
        <v>232</v>
      </c>
      <c r="D507" s="14">
        <v>40768.54</v>
      </c>
      <c r="E507" s="14">
        <v>2880.06</v>
      </c>
      <c r="F507" s="14">
        <v>745.76</v>
      </c>
      <c r="G507" s="14">
        <v>1521.71</v>
      </c>
      <c r="H507" s="14">
        <v>1573.86</v>
      </c>
      <c r="I507" s="14">
        <v>47489.94</v>
      </c>
      <c r="J507" s="19">
        <v>0.69164394595131595</v>
      </c>
    </row>
    <row r="508" spans="1:10" x14ac:dyDescent="0.3">
      <c r="A508" s="9" t="s">
        <v>191</v>
      </c>
      <c r="B508" s="20">
        <v>45688</v>
      </c>
      <c r="C508" s="9" t="s">
        <v>231</v>
      </c>
      <c r="D508" s="14">
        <v>109747.84</v>
      </c>
      <c r="E508" s="14">
        <v>12881.75</v>
      </c>
      <c r="F508" s="14">
        <v>8133.41</v>
      </c>
      <c r="G508" s="14">
        <v>3188.94</v>
      </c>
      <c r="H508" s="14">
        <v>2045.3</v>
      </c>
      <c r="I508" s="14">
        <v>135997.24</v>
      </c>
      <c r="J508" s="19">
        <v>0.69164394595131595</v>
      </c>
    </row>
    <row r="509" spans="1:10" x14ac:dyDescent="0.3">
      <c r="A509" s="9" t="s">
        <v>191</v>
      </c>
      <c r="B509" s="20">
        <v>45688</v>
      </c>
      <c r="C509" s="9" t="s">
        <v>230</v>
      </c>
      <c r="D509" s="14">
        <v>234885.16</v>
      </c>
      <c r="E509" s="14">
        <v>16479</v>
      </c>
      <c r="F509" s="14">
        <v>12775.83</v>
      </c>
      <c r="G509" s="14">
        <v>15384.81</v>
      </c>
      <c r="H509" s="14">
        <v>1404.99</v>
      </c>
      <c r="I509" s="14">
        <v>280929.78999999998</v>
      </c>
      <c r="J509" s="19">
        <v>0.69164394595131595</v>
      </c>
    </row>
    <row r="510" spans="1:10" x14ac:dyDescent="0.3">
      <c r="A510" s="9" t="s">
        <v>191</v>
      </c>
      <c r="B510" s="20">
        <v>45688</v>
      </c>
      <c r="C510" s="9" t="s">
        <v>229</v>
      </c>
      <c r="D510" s="14">
        <v>118772.25</v>
      </c>
      <c r="E510" s="14">
        <v>2426.96</v>
      </c>
      <c r="F510" s="14">
        <v>3340.88</v>
      </c>
      <c r="G510" s="14">
        <v>9439.31</v>
      </c>
      <c r="H510" s="14">
        <v>3143.25</v>
      </c>
      <c r="I510" s="14">
        <v>137122.64000000001</v>
      </c>
      <c r="J510" s="19">
        <v>0.69164394595131595</v>
      </c>
    </row>
    <row r="511" spans="1:10" x14ac:dyDescent="0.3">
      <c r="A511" s="9" t="s">
        <v>191</v>
      </c>
      <c r="B511" s="20">
        <v>45688</v>
      </c>
      <c r="C511" s="9" t="s">
        <v>228</v>
      </c>
      <c r="D511" s="14">
        <v>4869.08</v>
      </c>
      <c r="E511" s="14">
        <v>125.75</v>
      </c>
      <c r="F511" s="14">
        <v>260.64999999999998</v>
      </c>
      <c r="G511" s="14">
        <v>320.58999999999997</v>
      </c>
      <c r="H511" s="14">
        <v>104.78</v>
      </c>
      <c r="I511" s="14">
        <v>5680.85</v>
      </c>
      <c r="J511" s="19">
        <v>0.69164394595131595</v>
      </c>
    </row>
    <row r="512" spans="1:10" x14ac:dyDescent="0.3">
      <c r="A512" s="9" t="s">
        <v>191</v>
      </c>
      <c r="B512" s="20">
        <v>45688</v>
      </c>
      <c r="C512" s="9" t="s">
        <v>203</v>
      </c>
      <c r="D512" s="14">
        <v>172633.93</v>
      </c>
      <c r="E512" s="14">
        <v>3887.54</v>
      </c>
      <c r="F512" s="14">
        <v>5410.38</v>
      </c>
      <c r="G512" s="14">
        <v>12501.45</v>
      </c>
      <c r="H512" s="14">
        <v>1799.83</v>
      </c>
      <c r="I512" s="14">
        <v>196233.14</v>
      </c>
      <c r="J512" s="19">
        <v>0.69164394595131595</v>
      </c>
    </row>
    <row r="513" spans="1:10" x14ac:dyDescent="0.3">
      <c r="A513" s="9" t="s">
        <v>191</v>
      </c>
      <c r="B513" s="20">
        <v>45688</v>
      </c>
      <c r="C513" s="9" t="s">
        <v>216</v>
      </c>
      <c r="D513" s="14">
        <v>182283.24</v>
      </c>
      <c r="E513" s="14">
        <v>18533.37</v>
      </c>
      <c r="F513" s="14">
        <v>7559.35</v>
      </c>
      <c r="G513" s="14">
        <v>8192.6</v>
      </c>
      <c r="H513" s="14">
        <v>81.47</v>
      </c>
      <c r="I513" s="14">
        <v>216650.03</v>
      </c>
      <c r="J513" s="19">
        <v>0.69164394595131595</v>
      </c>
    </row>
    <row r="514" spans="1:10" x14ac:dyDescent="0.3">
      <c r="A514" s="9" t="s">
        <v>191</v>
      </c>
      <c r="B514" s="20">
        <v>45688</v>
      </c>
      <c r="C514" s="9" t="s">
        <v>227</v>
      </c>
      <c r="D514" s="14">
        <v>35726.22</v>
      </c>
      <c r="E514" s="14">
        <v>3089.51</v>
      </c>
      <c r="F514" s="14">
        <v>345.05</v>
      </c>
      <c r="G514" s="14">
        <v>1247.98</v>
      </c>
      <c r="H514" s="14">
        <v>1693.07</v>
      </c>
      <c r="I514" s="14">
        <v>42101.83</v>
      </c>
      <c r="J514" s="19">
        <v>0.69164394595131595</v>
      </c>
    </row>
    <row r="515" spans="1:10" x14ac:dyDescent="0.3">
      <c r="A515" s="9" t="s">
        <v>191</v>
      </c>
      <c r="B515" s="20">
        <v>45688</v>
      </c>
      <c r="C515" s="9" t="s">
        <v>226</v>
      </c>
      <c r="D515" s="14">
        <v>188060.2</v>
      </c>
      <c r="E515" s="14">
        <v>4107.6400000000003</v>
      </c>
      <c r="F515" s="14">
        <v>11015.44</v>
      </c>
      <c r="G515" s="14">
        <v>8190.84</v>
      </c>
      <c r="H515" s="14">
        <v>3089.17</v>
      </c>
      <c r="I515" s="14">
        <v>214463.28</v>
      </c>
      <c r="J515" s="19">
        <v>0.69164394595131595</v>
      </c>
    </row>
    <row r="516" spans="1:10" x14ac:dyDescent="0.3">
      <c r="A516" s="9" t="s">
        <v>191</v>
      </c>
      <c r="B516" s="20">
        <v>45688</v>
      </c>
      <c r="C516" s="9" t="s">
        <v>205</v>
      </c>
      <c r="D516" s="14">
        <v>195088.81</v>
      </c>
      <c r="E516" s="14">
        <v>7019.61</v>
      </c>
      <c r="F516" s="14">
        <v>17148.38</v>
      </c>
      <c r="G516" s="14">
        <v>7796.59</v>
      </c>
      <c r="H516" s="14">
        <v>2831.49</v>
      </c>
      <c r="I516" s="14">
        <v>229884.88</v>
      </c>
      <c r="J516" s="19">
        <v>0.69164394595131595</v>
      </c>
    </row>
    <row r="517" spans="1:10" x14ac:dyDescent="0.3">
      <c r="A517" s="9" t="s">
        <v>191</v>
      </c>
      <c r="B517" s="20">
        <v>45688</v>
      </c>
      <c r="C517" s="9" t="s">
        <v>225</v>
      </c>
      <c r="D517" s="14">
        <v>40558.44</v>
      </c>
      <c r="E517" s="14">
        <v>3557.35</v>
      </c>
      <c r="F517" s="14">
        <v>936.46</v>
      </c>
      <c r="G517" s="14">
        <v>1108.97</v>
      </c>
      <c r="H517" s="14">
        <v>172.93</v>
      </c>
      <c r="I517" s="14">
        <v>46334.15</v>
      </c>
      <c r="J517" s="19">
        <v>0.69164394595131595</v>
      </c>
    </row>
    <row r="518" spans="1:10" x14ac:dyDescent="0.3">
      <c r="A518" s="9" t="s">
        <v>191</v>
      </c>
      <c r="B518" s="20">
        <v>45688</v>
      </c>
      <c r="C518" s="9" t="s">
        <v>224</v>
      </c>
      <c r="D518" s="14">
        <v>32689.54</v>
      </c>
      <c r="E518" s="14">
        <v>1886.18</v>
      </c>
      <c r="F518" s="14">
        <v>1050.2</v>
      </c>
      <c r="G518" s="14">
        <v>1938.97</v>
      </c>
      <c r="H518" s="14">
        <v>3374.55</v>
      </c>
      <c r="I518" s="14">
        <v>40939.43</v>
      </c>
      <c r="J518" s="19">
        <v>0.69164394595131595</v>
      </c>
    </row>
    <row r="519" spans="1:10" x14ac:dyDescent="0.3">
      <c r="A519" s="9" t="s">
        <v>191</v>
      </c>
      <c r="B519" s="20">
        <v>45688</v>
      </c>
      <c r="C519" s="9" t="s">
        <v>206</v>
      </c>
      <c r="D519" s="14">
        <v>68338.259999999995</v>
      </c>
      <c r="E519" s="14">
        <v>4583.3</v>
      </c>
      <c r="F519" s="14">
        <v>8492.6200000000008</v>
      </c>
      <c r="G519" s="14">
        <v>841.4</v>
      </c>
      <c r="H519" s="14">
        <v>899.32</v>
      </c>
      <c r="I519" s="14">
        <v>83154.91</v>
      </c>
      <c r="J519" s="19">
        <v>0.69164394595131595</v>
      </c>
    </row>
    <row r="520" spans="1:10" x14ac:dyDescent="0.3">
      <c r="A520" s="9" t="s">
        <v>191</v>
      </c>
      <c r="B520" s="20">
        <v>45688</v>
      </c>
      <c r="C520" s="9" t="s">
        <v>211</v>
      </c>
      <c r="D520" s="14">
        <v>131429.01999999999</v>
      </c>
      <c r="E520" s="14">
        <v>10070.790000000001</v>
      </c>
      <c r="F520" s="14">
        <v>2887.42</v>
      </c>
      <c r="G520" s="14">
        <v>5011.16</v>
      </c>
      <c r="H520" s="14">
        <v>444.2</v>
      </c>
      <c r="I520" s="14">
        <v>149842.60999999999</v>
      </c>
      <c r="J520" s="19">
        <v>0.69164394595131595</v>
      </c>
    </row>
    <row r="521" spans="1:10" x14ac:dyDescent="0.3">
      <c r="A521" s="9" t="s">
        <v>191</v>
      </c>
      <c r="B521" s="20">
        <v>45688</v>
      </c>
      <c r="C521" s="9" t="s">
        <v>223</v>
      </c>
      <c r="D521" s="14">
        <v>210998.84</v>
      </c>
      <c r="E521" s="14">
        <v>7774.43</v>
      </c>
      <c r="F521" s="14">
        <v>9006.84</v>
      </c>
      <c r="G521" s="14">
        <v>12711.94</v>
      </c>
      <c r="H521" s="14">
        <v>1013.29</v>
      </c>
      <c r="I521" s="14">
        <v>241505.34</v>
      </c>
      <c r="J521" s="19">
        <v>0.69164394595131595</v>
      </c>
    </row>
    <row r="522" spans="1:10" x14ac:dyDescent="0.3">
      <c r="A522" s="9" t="s">
        <v>191</v>
      </c>
      <c r="B522" s="20">
        <v>45716</v>
      </c>
      <c r="C522" s="9" t="s">
        <v>222</v>
      </c>
      <c r="D522" s="14">
        <v>104297.26</v>
      </c>
      <c r="E522" s="14">
        <v>13407.98</v>
      </c>
      <c r="F522" s="14">
        <v>5258.61</v>
      </c>
      <c r="G522" s="14">
        <v>1183.1400000000001</v>
      </c>
      <c r="H522" s="14">
        <v>760.27</v>
      </c>
      <c r="I522" s="14">
        <v>124907.25</v>
      </c>
      <c r="J522" s="19">
        <v>0.69904783121189196</v>
      </c>
    </row>
    <row r="523" spans="1:10" x14ac:dyDescent="0.3">
      <c r="A523" s="9" t="s">
        <v>191</v>
      </c>
      <c r="B523" s="20">
        <v>45716</v>
      </c>
      <c r="C523" s="9" t="s">
        <v>235</v>
      </c>
      <c r="D523" s="14">
        <v>188640.53</v>
      </c>
      <c r="E523" s="14">
        <v>16452.3</v>
      </c>
      <c r="F523" s="14">
        <v>11350.3</v>
      </c>
      <c r="G523" s="14">
        <v>3197.18</v>
      </c>
      <c r="H523" s="14">
        <v>4499</v>
      </c>
      <c r="I523" s="14">
        <v>224139.3</v>
      </c>
      <c r="J523" s="19">
        <v>0.69904783121189196</v>
      </c>
    </row>
    <row r="524" spans="1:10" x14ac:dyDescent="0.3">
      <c r="A524" s="9" t="s">
        <v>191</v>
      </c>
      <c r="B524" s="20">
        <v>45716</v>
      </c>
      <c r="C524" s="9" t="s">
        <v>234</v>
      </c>
      <c r="D524" s="14">
        <v>174317.91</v>
      </c>
      <c r="E524" s="14">
        <v>11654.9</v>
      </c>
      <c r="F524" s="14">
        <v>13378.42</v>
      </c>
      <c r="G524" s="14">
        <v>2122.38</v>
      </c>
      <c r="H524" s="14">
        <v>2209.25</v>
      </c>
      <c r="I524" s="14">
        <v>203682.87</v>
      </c>
      <c r="J524" s="19">
        <v>0.69904783121189196</v>
      </c>
    </row>
    <row r="525" spans="1:10" x14ac:dyDescent="0.3">
      <c r="A525" s="9" t="s">
        <v>191</v>
      </c>
      <c r="B525" s="20">
        <v>45716</v>
      </c>
      <c r="C525" s="9" t="s">
        <v>219</v>
      </c>
      <c r="D525" s="14">
        <v>205748.04</v>
      </c>
      <c r="E525" s="14">
        <v>10821.22</v>
      </c>
      <c r="F525" s="14">
        <v>10551.09</v>
      </c>
      <c r="G525" s="14">
        <v>5835.09</v>
      </c>
      <c r="H525" s="14">
        <v>2186.7399999999998</v>
      </c>
      <c r="I525" s="14">
        <v>235142.18</v>
      </c>
      <c r="J525" s="19">
        <v>0.69904783121189196</v>
      </c>
    </row>
    <row r="526" spans="1:10" x14ac:dyDescent="0.3">
      <c r="A526" s="9" t="s">
        <v>191</v>
      </c>
      <c r="B526" s="20">
        <v>45716</v>
      </c>
      <c r="C526" s="9" t="s">
        <v>233</v>
      </c>
      <c r="D526" s="14">
        <v>217756.64</v>
      </c>
      <c r="E526" s="14">
        <v>11121.52</v>
      </c>
      <c r="F526" s="14">
        <v>10755.56</v>
      </c>
      <c r="G526" s="14">
        <v>2819.26</v>
      </c>
      <c r="H526" s="14">
        <v>8220.84</v>
      </c>
      <c r="I526" s="14">
        <v>250673.82</v>
      </c>
      <c r="J526" s="19">
        <v>0.69904783121189196</v>
      </c>
    </row>
    <row r="527" spans="1:10" x14ac:dyDescent="0.3">
      <c r="A527" s="9" t="s">
        <v>191</v>
      </c>
      <c r="B527" s="20">
        <v>45716</v>
      </c>
      <c r="C527" s="9" t="s">
        <v>232</v>
      </c>
      <c r="D527" s="14">
        <v>87552.72</v>
      </c>
      <c r="E527" s="14">
        <v>2211.0300000000002</v>
      </c>
      <c r="F527" s="14">
        <v>883.7</v>
      </c>
      <c r="G527" s="14">
        <v>4938.9399999999996</v>
      </c>
      <c r="H527" s="14">
        <v>1940.19</v>
      </c>
      <c r="I527" s="14">
        <v>97526.59</v>
      </c>
      <c r="J527" s="19">
        <v>0.69904783121189196</v>
      </c>
    </row>
    <row r="528" spans="1:10" x14ac:dyDescent="0.3">
      <c r="A528" s="9" t="s">
        <v>191</v>
      </c>
      <c r="B528" s="20">
        <v>45716</v>
      </c>
      <c r="C528" s="9" t="s">
        <v>231</v>
      </c>
      <c r="D528" s="14">
        <v>105436.93</v>
      </c>
      <c r="E528" s="14">
        <v>7663.99</v>
      </c>
      <c r="F528" s="14">
        <v>4291.54</v>
      </c>
      <c r="G528" s="14">
        <v>5306.95</v>
      </c>
      <c r="H528" s="14">
        <v>2755.16</v>
      </c>
      <c r="I528" s="14">
        <v>125454.57</v>
      </c>
      <c r="J528" s="19">
        <v>0.69904783121189196</v>
      </c>
    </row>
    <row r="529" spans="1:10" x14ac:dyDescent="0.3">
      <c r="A529" s="9" t="s">
        <v>191</v>
      </c>
      <c r="B529" s="20">
        <v>45716</v>
      </c>
      <c r="C529" s="9" t="s">
        <v>230</v>
      </c>
      <c r="D529" s="14">
        <v>77013.45</v>
      </c>
      <c r="E529" s="14">
        <v>11344.85</v>
      </c>
      <c r="F529" s="14">
        <v>5474.34</v>
      </c>
      <c r="G529" s="14">
        <v>1731.84</v>
      </c>
      <c r="H529" s="14">
        <v>1595.82</v>
      </c>
      <c r="I529" s="14">
        <v>97160.31</v>
      </c>
      <c r="J529" s="19">
        <v>0.69904783121189196</v>
      </c>
    </row>
    <row r="530" spans="1:10" x14ac:dyDescent="0.3">
      <c r="A530" s="9" t="s">
        <v>191</v>
      </c>
      <c r="B530" s="20">
        <v>45716</v>
      </c>
      <c r="C530" s="9" t="s">
        <v>229</v>
      </c>
      <c r="D530" s="14">
        <v>92984.09</v>
      </c>
      <c r="E530" s="14">
        <v>9709.39</v>
      </c>
      <c r="F530" s="14">
        <v>2664.88</v>
      </c>
      <c r="G530" s="14">
        <v>4112.1499999999996</v>
      </c>
      <c r="H530" s="14">
        <v>626.14</v>
      </c>
      <c r="I530" s="14">
        <v>110096.65</v>
      </c>
      <c r="J530" s="19">
        <v>0.69904783121189196</v>
      </c>
    </row>
    <row r="531" spans="1:10" x14ac:dyDescent="0.3">
      <c r="A531" s="9" t="s">
        <v>191</v>
      </c>
      <c r="B531" s="20">
        <v>45716</v>
      </c>
      <c r="C531" s="9" t="s">
        <v>228</v>
      </c>
      <c r="D531" s="14">
        <v>258726.08</v>
      </c>
      <c r="E531" s="14">
        <v>16935.8</v>
      </c>
      <c r="F531" s="14">
        <v>819.38</v>
      </c>
      <c r="G531" s="14">
        <v>3454.6</v>
      </c>
      <c r="H531" s="14">
        <v>3175.97</v>
      </c>
      <c r="I531" s="14">
        <v>283111.83</v>
      </c>
      <c r="J531" s="19">
        <v>0.69904783121189196</v>
      </c>
    </row>
    <row r="532" spans="1:10" x14ac:dyDescent="0.3">
      <c r="A532" s="9" t="s">
        <v>191</v>
      </c>
      <c r="B532" s="20">
        <v>45716</v>
      </c>
      <c r="C532" s="9" t="s">
        <v>203</v>
      </c>
      <c r="D532" s="14">
        <v>18969.439999999999</v>
      </c>
      <c r="E532" s="14">
        <v>3202.44</v>
      </c>
      <c r="F532" s="14">
        <v>243.23</v>
      </c>
      <c r="G532" s="14">
        <v>110</v>
      </c>
      <c r="H532" s="14">
        <v>104.23</v>
      </c>
      <c r="I532" s="14">
        <v>22629.34</v>
      </c>
      <c r="J532" s="19">
        <v>0.69904783121189196</v>
      </c>
    </row>
    <row r="533" spans="1:10" x14ac:dyDescent="0.3">
      <c r="A533" s="9" t="s">
        <v>191</v>
      </c>
      <c r="B533" s="20">
        <v>45716</v>
      </c>
      <c r="C533" s="9" t="s">
        <v>216</v>
      </c>
      <c r="D533" s="14">
        <v>50860.480000000003</v>
      </c>
      <c r="E533" s="14">
        <v>2198.92</v>
      </c>
      <c r="F533" s="14">
        <v>4170.0200000000004</v>
      </c>
      <c r="G533" s="14">
        <v>487.27</v>
      </c>
      <c r="H533" s="14">
        <v>691.67</v>
      </c>
      <c r="I533" s="14">
        <v>58408.36</v>
      </c>
      <c r="J533" s="19">
        <v>0.69904783121189196</v>
      </c>
    </row>
    <row r="534" spans="1:10" x14ac:dyDescent="0.3">
      <c r="A534" s="9" t="s">
        <v>191</v>
      </c>
      <c r="B534" s="20">
        <v>45716</v>
      </c>
      <c r="C534" s="9" t="s">
        <v>227</v>
      </c>
      <c r="D534" s="14">
        <v>120255.45</v>
      </c>
      <c r="E534" s="14">
        <v>7121</v>
      </c>
      <c r="F534" s="14">
        <v>1715.38</v>
      </c>
      <c r="G534" s="14">
        <v>10900.26</v>
      </c>
      <c r="H534" s="14">
        <v>2153.0700000000002</v>
      </c>
      <c r="I534" s="14">
        <v>142145.15</v>
      </c>
      <c r="J534" s="19">
        <v>0.69904783121189196</v>
      </c>
    </row>
    <row r="535" spans="1:10" x14ac:dyDescent="0.3">
      <c r="A535" s="9" t="s">
        <v>191</v>
      </c>
      <c r="B535" s="20">
        <v>45716</v>
      </c>
      <c r="C535" s="9" t="s">
        <v>226</v>
      </c>
      <c r="D535" s="14">
        <v>42398.38</v>
      </c>
      <c r="E535" s="14">
        <v>3210.06</v>
      </c>
      <c r="F535" s="14">
        <v>1617.86</v>
      </c>
      <c r="G535" s="14">
        <v>764.74</v>
      </c>
      <c r="H535" s="14">
        <v>847</v>
      </c>
      <c r="I535" s="14">
        <v>48838.04</v>
      </c>
      <c r="J535" s="19">
        <v>0.69904783121189196</v>
      </c>
    </row>
    <row r="536" spans="1:10" x14ac:dyDescent="0.3">
      <c r="A536" s="9" t="s">
        <v>191</v>
      </c>
      <c r="B536" s="20">
        <v>45716</v>
      </c>
      <c r="C536" s="9" t="s">
        <v>205</v>
      </c>
      <c r="D536" s="14">
        <v>78625.5</v>
      </c>
      <c r="E536" s="14">
        <v>7732.64</v>
      </c>
      <c r="F536" s="14">
        <v>3661.56</v>
      </c>
      <c r="G536" s="14">
        <v>1474.03</v>
      </c>
      <c r="H536" s="14">
        <v>204.54</v>
      </c>
      <c r="I536" s="14">
        <v>91698.27</v>
      </c>
      <c r="J536" s="19">
        <v>0.69904783121189196</v>
      </c>
    </row>
    <row r="537" spans="1:10" x14ac:dyDescent="0.3">
      <c r="A537" s="9" t="s">
        <v>191</v>
      </c>
      <c r="B537" s="20">
        <v>45716</v>
      </c>
      <c r="C537" s="9" t="s">
        <v>225</v>
      </c>
      <c r="D537" s="14">
        <v>1027.95</v>
      </c>
      <c r="E537" s="14">
        <v>62.43</v>
      </c>
      <c r="F537" s="14">
        <v>66.89</v>
      </c>
      <c r="G537" s="14">
        <v>19.28</v>
      </c>
      <c r="H537" s="14">
        <v>78.599999999999994</v>
      </c>
      <c r="I537" s="14">
        <v>1255.1500000000001</v>
      </c>
      <c r="J537" s="19">
        <v>0.69904783121189196</v>
      </c>
    </row>
    <row r="538" spans="1:10" x14ac:dyDescent="0.3">
      <c r="A538" s="9" t="s">
        <v>191</v>
      </c>
      <c r="B538" s="20">
        <v>45716</v>
      </c>
      <c r="C538" s="9" t="s">
        <v>224</v>
      </c>
      <c r="D538" s="14">
        <v>126714.59</v>
      </c>
      <c r="E538" s="14">
        <v>5025.21</v>
      </c>
      <c r="F538" s="14">
        <v>8390.23</v>
      </c>
      <c r="G538" s="14">
        <v>4751.38</v>
      </c>
      <c r="H538" s="14">
        <v>1933.92</v>
      </c>
      <c r="I538" s="14">
        <v>146815.34</v>
      </c>
      <c r="J538" s="19">
        <v>0.69904783121189196</v>
      </c>
    </row>
    <row r="539" spans="1:10" x14ac:dyDescent="0.3">
      <c r="A539" s="9" t="s">
        <v>191</v>
      </c>
      <c r="B539" s="20">
        <v>45716</v>
      </c>
      <c r="C539" s="9" t="s">
        <v>206</v>
      </c>
      <c r="D539" s="14">
        <v>156614.89000000001</v>
      </c>
      <c r="E539" s="14">
        <v>15076.03</v>
      </c>
      <c r="F539" s="14">
        <v>6279.56</v>
      </c>
      <c r="G539" s="14">
        <v>699.43</v>
      </c>
      <c r="H539" s="14">
        <v>5459.87</v>
      </c>
      <c r="I539" s="14">
        <v>184129.77</v>
      </c>
      <c r="J539" s="19">
        <v>0.69904783121189196</v>
      </c>
    </row>
    <row r="540" spans="1:10" x14ac:dyDescent="0.3">
      <c r="A540" s="9" t="s">
        <v>191</v>
      </c>
      <c r="B540" s="20">
        <v>45716</v>
      </c>
      <c r="C540" s="9" t="s">
        <v>211</v>
      </c>
      <c r="D540" s="14">
        <v>177536.68</v>
      </c>
      <c r="E540" s="14">
        <v>6372.73</v>
      </c>
      <c r="F540" s="14">
        <v>15009.46</v>
      </c>
      <c r="G540" s="14">
        <v>3796.4</v>
      </c>
      <c r="H540" s="14">
        <v>2315.4699999999998</v>
      </c>
      <c r="I540" s="14">
        <v>205030.74</v>
      </c>
      <c r="J540" s="19">
        <v>0.69904783121189196</v>
      </c>
    </row>
    <row r="541" spans="1:10" x14ac:dyDescent="0.3">
      <c r="A541" s="9" t="s">
        <v>191</v>
      </c>
      <c r="B541" s="20">
        <v>45716</v>
      </c>
      <c r="C541" s="9" t="s">
        <v>223</v>
      </c>
      <c r="D541" s="14">
        <v>21601.93</v>
      </c>
      <c r="E541" s="14">
        <v>1769.84</v>
      </c>
      <c r="F541" s="14">
        <v>171.87</v>
      </c>
      <c r="G541" s="14">
        <v>550.54</v>
      </c>
      <c r="H541" s="14">
        <v>1112.52</v>
      </c>
      <c r="I541" s="14">
        <v>25206.7</v>
      </c>
      <c r="J541" s="19">
        <v>0.69904783121189196</v>
      </c>
    </row>
    <row r="542" spans="1:10" x14ac:dyDescent="0.3">
      <c r="A542" s="9" t="s">
        <v>191</v>
      </c>
      <c r="B542" s="20">
        <v>45747</v>
      </c>
      <c r="C542" s="9" t="s">
        <v>222</v>
      </c>
      <c r="D542" s="14">
        <v>41567.129999999997</v>
      </c>
      <c r="E542" s="14">
        <v>1557.92</v>
      </c>
      <c r="F542" s="14">
        <v>2050.13</v>
      </c>
      <c r="G542" s="14">
        <v>1961.69</v>
      </c>
      <c r="H542" s="14">
        <v>77.569999999999993</v>
      </c>
      <c r="I542" s="14">
        <v>47214.44</v>
      </c>
      <c r="J542" s="19">
        <v>0.54220778684210291</v>
      </c>
    </row>
    <row r="543" spans="1:10" x14ac:dyDescent="0.3">
      <c r="A543" s="9" t="s">
        <v>191</v>
      </c>
      <c r="B543" s="20">
        <v>45747</v>
      </c>
      <c r="C543" s="9" t="s">
        <v>235</v>
      </c>
      <c r="D543" s="14">
        <v>36873.33</v>
      </c>
      <c r="E543" s="14">
        <v>2248.9499999999998</v>
      </c>
      <c r="F543" s="14">
        <v>627.20000000000005</v>
      </c>
      <c r="G543" s="14">
        <v>274.42</v>
      </c>
      <c r="H543" s="14">
        <v>2118.1</v>
      </c>
      <c r="I543" s="14">
        <v>42142</v>
      </c>
      <c r="J543" s="19">
        <v>0.54220778684210291</v>
      </c>
    </row>
    <row r="544" spans="1:10" x14ac:dyDescent="0.3">
      <c r="A544" s="9" t="s">
        <v>191</v>
      </c>
      <c r="B544" s="20">
        <v>45747</v>
      </c>
      <c r="C544" s="9" t="s">
        <v>234</v>
      </c>
      <c r="D544" s="14">
        <v>103215.98</v>
      </c>
      <c r="E544" s="14">
        <v>7264.73</v>
      </c>
      <c r="F544" s="14">
        <v>9106.59</v>
      </c>
      <c r="G544" s="14">
        <v>2285.5</v>
      </c>
      <c r="H544" s="14">
        <v>3936.33</v>
      </c>
      <c r="I544" s="14">
        <v>125809.11</v>
      </c>
      <c r="J544" s="19">
        <v>0.54220778684210291</v>
      </c>
    </row>
    <row r="545" spans="1:10" x14ac:dyDescent="0.3">
      <c r="A545" s="9" t="s">
        <v>191</v>
      </c>
      <c r="B545" s="20">
        <v>45747</v>
      </c>
      <c r="C545" s="9" t="s">
        <v>219</v>
      </c>
      <c r="D545" s="14">
        <v>81755.44</v>
      </c>
      <c r="E545" s="14">
        <v>10848.04</v>
      </c>
      <c r="F545" s="14">
        <v>1988.34</v>
      </c>
      <c r="G545" s="14">
        <v>2130.08</v>
      </c>
      <c r="H545" s="14">
        <v>3641.96</v>
      </c>
      <c r="I545" s="14">
        <v>100363.86</v>
      </c>
      <c r="J545" s="19">
        <v>0.54220778684210291</v>
      </c>
    </row>
    <row r="546" spans="1:10" x14ac:dyDescent="0.3">
      <c r="A546" s="9" t="s">
        <v>191</v>
      </c>
      <c r="B546" s="20">
        <v>45747</v>
      </c>
      <c r="C546" s="9" t="s">
        <v>233</v>
      </c>
      <c r="D546" s="14">
        <v>142754.46</v>
      </c>
      <c r="E546" s="14">
        <v>19241.37</v>
      </c>
      <c r="F546" s="14">
        <v>2504.25</v>
      </c>
      <c r="G546" s="14">
        <v>7485.59</v>
      </c>
      <c r="H546" s="14">
        <v>40.89</v>
      </c>
      <c r="I546" s="14">
        <v>172026.56</v>
      </c>
      <c r="J546" s="19">
        <v>0.54220778684210291</v>
      </c>
    </row>
    <row r="547" spans="1:10" x14ac:dyDescent="0.3">
      <c r="A547" s="9" t="s">
        <v>191</v>
      </c>
      <c r="B547" s="20">
        <v>45747</v>
      </c>
      <c r="C547" s="9" t="s">
        <v>232</v>
      </c>
      <c r="D547" s="14">
        <v>131078.07999999999</v>
      </c>
      <c r="E547" s="14">
        <v>12226.94</v>
      </c>
      <c r="F547" s="14">
        <v>7511.44</v>
      </c>
      <c r="G547" s="14">
        <v>3508.72</v>
      </c>
      <c r="H547" s="14">
        <v>1356.99</v>
      </c>
      <c r="I547" s="14">
        <v>155682.18</v>
      </c>
      <c r="J547" s="19">
        <v>0.54220778684210291</v>
      </c>
    </row>
    <row r="548" spans="1:10" x14ac:dyDescent="0.3">
      <c r="A548" s="9" t="s">
        <v>191</v>
      </c>
      <c r="B548" s="20">
        <v>45747</v>
      </c>
      <c r="C548" s="9" t="s">
        <v>231</v>
      </c>
      <c r="D548" s="14">
        <v>186283.08</v>
      </c>
      <c r="E548" s="14">
        <v>16018.76</v>
      </c>
      <c r="F548" s="14">
        <v>6989.27</v>
      </c>
      <c r="G548" s="14">
        <v>8470.86</v>
      </c>
      <c r="H548" s="14">
        <v>3073.31</v>
      </c>
      <c r="I548" s="14">
        <v>220835.29</v>
      </c>
      <c r="J548" s="19">
        <v>0.54220778684210291</v>
      </c>
    </row>
    <row r="549" spans="1:10" x14ac:dyDescent="0.3">
      <c r="A549" s="9" t="s">
        <v>191</v>
      </c>
      <c r="B549" s="20">
        <v>45747</v>
      </c>
      <c r="C549" s="9" t="s">
        <v>230</v>
      </c>
      <c r="D549" s="14">
        <v>16117.55</v>
      </c>
      <c r="E549" s="14">
        <v>941.72</v>
      </c>
      <c r="F549" s="14">
        <v>975.1</v>
      </c>
      <c r="G549" s="14">
        <v>753.89</v>
      </c>
      <c r="H549" s="14">
        <v>476.44</v>
      </c>
      <c r="I549" s="14">
        <v>19264.7</v>
      </c>
      <c r="J549" s="19">
        <v>0.54220778684210291</v>
      </c>
    </row>
    <row r="550" spans="1:10" x14ac:dyDescent="0.3">
      <c r="A550" s="9" t="s">
        <v>191</v>
      </c>
      <c r="B550" s="20">
        <v>45747</v>
      </c>
      <c r="C550" s="9" t="s">
        <v>229</v>
      </c>
      <c r="D550" s="14">
        <v>54430.15</v>
      </c>
      <c r="E550" s="14">
        <v>1583.95</v>
      </c>
      <c r="F550" s="14">
        <v>2449.2199999999998</v>
      </c>
      <c r="G550" s="14">
        <v>1167.6600000000001</v>
      </c>
      <c r="H550" s="14">
        <v>630.28</v>
      </c>
      <c r="I550" s="14">
        <v>60261.26</v>
      </c>
      <c r="J550" s="19">
        <v>0.54220778684210291</v>
      </c>
    </row>
    <row r="551" spans="1:10" x14ac:dyDescent="0.3">
      <c r="A551" s="9" t="s">
        <v>191</v>
      </c>
      <c r="B551" s="20">
        <v>45747</v>
      </c>
      <c r="C551" s="9" t="s">
        <v>228</v>
      </c>
      <c r="D551" s="14">
        <v>170079.73</v>
      </c>
      <c r="E551" s="14">
        <v>13012.11</v>
      </c>
      <c r="F551" s="14">
        <v>7374.96</v>
      </c>
      <c r="G551" s="14">
        <v>11151.8</v>
      </c>
      <c r="H551" s="14">
        <v>4754.01</v>
      </c>
      <c r="I551" s="14">
        <v>206372.6</v>
      </c>
      <c r="J551" s="19">
        <v>0.54220778684210291</v>
      </c>
    </row>
    <row r="552" spans="1:10" x14ac:dyDescent="0.3">
      <c r="A552" s="9" t="s">
        <v>191</v>
      </c>
      <c r="B552" s="20">
        <v>45747</v>
      </c>
      <c r="C552" s="9" t="s">
        <v>203</v>
      </c>
      <c r="D552" s="14">
        <v>124482.05</v>
      </c>
      <c r="E552" s="14">
        <v>6358.6</v>
      </c>
      <c r="F552" s="14">
        <v>2200.64</v>
      </c>
      <c r="G552" s="14">
        <v>8633.59</v>
      </c>
      <c r="H552" s="14">
        <v>4636.68</v>
      </c>
      <c r="I552" s="14">
        <v>146311.54999999999</v>
      </c>
      <c r="J552" s="19">
        <v>0.54220778684210291</v>
      </c>
    </row>
    <row r="553" spans="1:10" x14ac:dyDescent="0.3">
      <c r="A553" s="9" t="s">
        <v>191</v>
      </c>
      <c r="B553" s="20">
        <v>45747</v>
      </c>
      <c r="C553" s="9" t="s">
        <v>216</v>
      </c>
      <c r="D553" s="14">
        <v>53099.85</v>
      </c>
      <c r="E553" s="14">
        <v>2998.82</v>
      </c>
      <c r="F553" s="14">
        <v>2680.36</v>
      </c>
      <c r="G553" s="14">
        <v>973.53</v>
      </c>
      <c r="H553" s="14">
        <v>426.5</v>
      </c>
      <c r="I553" s="14">
        <v>60179.06</v>
      </c>
      <c r="J553" s="19">
        <v>0.54220778684210291</v>
      </c>
    </row>
    <row r="554" spans="1:10" x14ac:dyDescent="0.3">
      <c r="A554" s="9" t="s">
        <v>191</v>
      </c>
      <c r="B554" s="20">
        <v>45747</v>
      </c>
      <c r="C554" s="9" t="s">
        <v>227</v>
      </c>
      <c r="D554" s="14">
        <v>160537.49</v>
      </c>
      <c r="E554" s="14">
        <v>3754.5</v>
      </c>
      <c r="F554" s="14">
        <v>12966.58</v>
      </c>
      <c r="G554" s="14">
        <v>4756</v>
      </c>
      <c r="H554" s="14">
        <v>825.06</v>
      </c>
      <c r="I554" s="14">
        <v>182839.62</v>
      </c>
      <c r="J554" s="19">
        <v>0.54220778684210291</v>
      </c>
    </row>
    <row r="555" spans="1:10" x14ac:dyDescent="0.3">
      <c r="A555" s="9" t="s">
        <v>191</v>
      </c>
      <c r="B555" s="20">
        <v>45747</v>
      </c>
      <c r="C555" s="9" t="s">
        <v>226</v>
      </c>
      <c r="D555" s="14">
        <v>93357.4</v>
      </c>
      <c r="E555" s="14">
        <v>7035.97</v>
      </c>
      <c r="F555" s="14">
        <v>5885.8</v>
      </c>
      <c r="G555" s="14">
        <v>1195.17</v>
      </c>
      <c r="H555" s="14">
        <v>177.26</v>
      </c>
      <c r="I555" s="14">
        <v>107651.6</v>
      </c>
      <c r="J555" s="19">
        <v>0.54220778684210291</v>
      </c>
    </row>
    <row r="556" spans="1:10" x14ac:dyDescent="0.3">
      <c r="A556" s="9" t="s">
        <v>191</v>
      </c>
      <c r="B556" s="20">
        <v>45747</v>
      </c>
      <c r="C556" s="9" t="s">
        <v>205</v>
      </c>
      <c r="D556" s="14">
        <v>22761.78</v>
      </c>
      <c r="E556" s="14">
        <v>698.73</v>
      </c>
      <c r="F556" s="14">
        <v>1227.45</v>
      </c>
      <c r="G556" s="14">
        <v>454.53</v>
      </c>
      <c r="H556" s="14">
        <v>660.95</v>
      </c>
      <c r="I556" s="14">
        <v>25803.439999999999</v>
      </c>
      <c r="J556" s="19">
        <v>0.54220778684210291</v>
      </c>
    </row>
    <row r="557" spans="1:10" x14ac:dyDescent="0.3">
      <c r="A557" s="9" t="s">
        <v>191</v>
      </c>
      <c r="B557" s="20">
        <v>45747</v>
      </c>
      <c r="C557" s="9" t="s">
        <v>225</v>
      </c>
      <c r="D557" s="14">
        <v>16979.73</v>
      </c>
      <c r="E557" s="14">
        <v>1670.28</v>
      </c>
      <c r="F557" s="14">
        <v>733.41</v>
      </c>
      <c r="G557" s="14">
        <v>889.26</v>
      </c>
      <c r="H557" s="14">
        <v>13.07</v>
      </c>
      <c r="I557" s="14">
        <v>20285.75</v>
      </c>
      <c r="J557" s="19">
        <v>0.54220778684210291</v>
      </c>
    </row>
    <row r="558" spans="1:10" x14ac:dyDescent="0.3">
      <c r="A558" s="9" t="s">
        <v>191</v>
      </c>
      <c r="B558" s="20">
        <v>45747</v>
      </c>
      <c r="C558" s="9" t="s">
        <v>224</v>
      </c>
      <c r="D558" s="14">
        <v>157829.70000000001</v>
      </c>
      <c r="E558" s="14">
        <v>4795.3100000000004</v>
      </c>
      <c r="F558" s="14">
        <v>11560.02</v>
      </c>
      <c r="G558" s="14">
        <v>3908.17</v>
      </c>
      <c r="H558" s="14">
        <v>4108.12</v>
      </c>
      <c r="I558" s="14">
        <v>182201.33</v>
      </c>
      <c r="J558" s="19">
        <v>0.54220778684210291</v>
      </c>
    </row>
    <row r="559" spans="1:10" x14ac:dyDescent="0.3">
      <c r="A559" s="9" t="s">
        <v>191</v>
      </c>
      <c r="B559" s="20">
        <v>45747</v>
      </c>
      <c r="C559" s="9" t="s">
        <v>206</v>
      </c>
      <c r="D559" s="14">
        <v>9725.4500000000007</v>
      </c>
      <c r="E559" s="14">
        <v>695.22</v>
      </c>
      <c r="F559" s="14">
        <v>200.46</v>
      </c>
      <c r="G559" s="14">
        <v>318.72000000000003</v>
      </c>
      <c r="H559" s="14">
        <v>555.92999999999995</v>
      </c>
      <c r="I559" s="14">
        <v>11495.79</v>
      </c>
      <c r="J559" s="19">
        <v>0.54220778684210291</v>
      </c>
    </row>
    <row r="560" spans="1:10" x14ac:dyDescent="0.3">
      <c r="A560" s="9" t="s">
        <v>191</v>
      </c>
      <c r="B560" s="20">
        <v>45747</v>
      </c>
      <c r="C560" s="9" t="s">
        <v>211</v>
      </c>
      <c r="D560" s="14">
        <v>87163.03</v>
      </c>
      <c r="E560" s="14">
        <v>5073.37</v>
      </c>
      <c r="F560" s="14">
        <v>5775.1</v>
      </c>
      <c r="G560" s="14">
        <v>2461.09</v>
      </c>
      <c r="H560" s="14">
        <v>4876.83</v>
      </c>
      <c r="I560" s="14">
        <v>105349.42</v>
      </c>
      <c r="J560" s="19">
        <v>0.54220778684210291</v>
      </c>
    </row>
    <row r="561" spans="1:10" x14ac:dyDescent="0.3">
      <c r="A561" s="9" t="s">
        <v>191</v>
      </c>
      <c r="B561" s="20">
        <v>45747</v>
      </c>
      <c r="C561" s="9" t="s">
        <v>223</v>
      </c>
      <c r="D561" s="14">
        <v>68175.75</v>
      </c>
      <c r="E561" s="14">
        <v>5075.2700000000004</v>
      </c>
      <c r="F561" s="14">
        <v>3473.77</v>
      </c>
      <c r="G561" s="14">
        <v>273.81</v>
      </c>
      <c r="H561" s="14">
        <v>518.97</v>
      </c>
      <c r="I561" s="14">
        <v>77517.570000000007</v>
      </c>
      <c r="J561" s="19">
        <v>0.54220778684210291</v>
      </c>
    </row>
    <row r="562" spans="1:10" x14ac:dyDescent="0.3">
      <c r="A562" s="9" t="s">
        <v>191</v>
      </c>
      <c r="B562" s="20">
        <v>45777</v>
      </c>
      <c r="C562" s="9" t="s">
        <v>222</v>
      </c>
      <c r="D562" s="14">
        <v>155717.01999999999</v>
      </c>
      <c r="E562" s="14">
        <v>3381.99</v>
      </c>
      <c r="F562" s="14">
        <v>8875.4699999999993</v>
      </c>
      <c r="G562" s="14">
        <v>6158.92</v>
      </c>
      <c r="H562" s="14">
        <v>1305.3399999999999</v>
      </c>
      <c r="I562" s="14">
        <v>175438.74</v>
      </c>
      <c r="J562" s="19">
        <v>0.65138758792924112</v>
      </c>
    </row>
    <row r="563" spans="1:10" x14ac:dyDescent="0.3">
      <c r="A563" s="9" t="s">
        <v>191</v>
      </c>
      <c r="B563" s="20">
        <v>45777</v>
      </c>
      <c r="C563" s="9" t="s">
        <v>235</v>
      </c>
      <c r="D563" s="14">
        <v>103838.62</v>
      </c>
      <c r="E563" s="14">
        <v>3593.9</v>
      </c>
      <c r="F563" s="14">
        <v>6836.37</v>
      </c>
      <c r="G563" s="14">
        <v>1319.12</v>
      </c>
      <c r="H563" s="14">
        <v>1216.07</v>
      </c>
      <c r="I563" s="14">
        <v>116804.09</v>
      </c>
      <c r="J563" s="19">
        <v>0.65138758792924112</v>
      </c>
    </row>
    <row r="564" spans="1:10" x14ac:dyDescent="0.3">
      <c r="A564" s="9" t="s">
        <v>191</v>
      </c>
      <c r="B564" s="20">
        <v>45777</v>
      </c>
      <c r="C564" s="9" t="s">
        <v>234</v>
      </c>
      <c r="D564" s="14">
        <v>62891.63</v>
      </c>
      <c r="E564" s="14">
        <v>5534.31</v>
      </c>
      <c r="F564" s="14">
        <v>2891.17</v>
      </c>
      <c r="G564" s="14">
        <v>2051.44</v>
      </c>
      <c r="H564" s="14">
        <v>1070.9000000000001</v>
      </c>
      <c r="I564" s="14">
        <v>74439.45</v>
      </c>
      <c r="J564" s="19">
        <v>0.65138758792924112</v>
      </c>
    </row>
    <row r="565" spans="1:10" x14ac:dyDescent="0.3">
      <c r="A565" s="9" t="s">
        <v>191</v>
      </c>
      <c r="B565" s="20">
        <v>45777</v>
      </c>
      <c r="C565" s="9" t="s">
        <v>219</v>
      </c>
      <c r="D565" s="14">
        <v>160826.45000000001</v>
      </c>
      <c r="E565" s="14">
        <v>11436.38</v>
      </c>
      <c r="F565" s="14">
        <v>4583.6499999999996</v>
      </c>
      <c r="G565" s="14">
        <v>10581.93</v>
      </c>
      <c r="H565" s="14">
        <v>861.26</v>
      </c>
      <c r="I565" s="14">
        <v>188289.67</v>
      </c>
      <c r="J565" s="19">
        <v>0.65138758792924112</v>
      </c>
    </row>
    <row r="566" spans="1:10" x14ac:dyDescent="0.3">
      <c r="A566" s="9" t="s">
        <v>191</v>
      </c>
      <c r="B566" s="20">
        <v>45777</v>
      </c>
      <c r="C566" s="9" t="s">
        <v>233</v>
      </c>
      <c r="D566" s="14">
        <v>47295.74</v>
      </c>
      <c r="E566" s="14">
        <v>4306.13</v>
      </c>
      <c r="F566" s="14">
        <v>4695.63</v>
      </c>
      <c r="G566" s="14">
        <v>99.39</v>
      </c>
      <c r="H566" s="14">
        <v>872.34</v>
      </c>
      <c r="I566" s="14">
        <v>57269.23</v>
      </c>
      <c r="J566" s="19">
        <v>0.65138758792924112</v>
      </c>
    </row>
    <row r="567" spans="1:10" x14ac:dyDescent="0.3">
      <c r="A567" s="9" t="s">
        <v>191</v>
      </c>
      <c r="B567" s="20">
        <v>45777</v>
      </c>
      <c r="C567" s="9" t="s">
        <v>232</v>
      </c>
      <c r="D567" s="14">
        <v>125355.38</v>
      </c>
      <c r="E567" s="14">
        <v>7630.97</v>
      </c>
      <c r="F567" s="14">
        <v>6324.77</v>
      </c>
      <c r="G567" s="14">
        <v>12194.29</v>
      </c>
      <c r="H567" s="14">
        <v>2563.4899999999998</v>
      </c>
      <c r="I567" s="14">
        <v>154068.9</v>
      </c>
      <c r="J567" s="19">
        <v>0.65138758792924112</v>
      </c>
    </row>
    <row r="568" spans="1:10" x14ac:dyDescent="0.3">
      <c r="A568" s="9" t="s">
        <v>191</v>
      </c>
      <c r="B568" s="20">
        <v>45777</v>
      </c>
      <c r="C568" s="9" t="s">
        <v>231</v>
      </c>
      <c r="D568" s="14">
        <v>111514.41</v>
      </c>
      <c r="E568" s="14">
        <v>6287.75</v>
      </c>
      <c r="F568" s="14">
        <v>10065.44</v>
      </c>
      <c r="G568" s="14">
        <v>736.82</v>
      </c>
      <c r="H568" s="14">
        <v>1650.47</v>
      </c>
      <c r="I568" s="14">
        <v>130254.89</v>
      </c>
      <c r="J568" s="19">
        <v>0.65138758792924112</v>
      </c>
    </row>
    <row r="569" spans="1:10" x14ac:dyDescent="0.3">
      <c r="A569" s="9" t="s">
        <v>191</v>
      </c>
      <c r="B569" s="20">
        <v>45777</v>
      </c>
      <c r="C569" s="9" t="s">
        <v>230</v>
      </c>
      <c r="D569" s="14">
        <v>172230.53</v>
      </c>
      <c r="E569" s="14">
        <v>5656.23</v>
      </c>
      <c r="F569" s="14">
        <v>13191.46</v>
      </c>
      <c r="G569" s="14">
        <v>885.98</v>
      </c>
      <c r="H569" s="14">
        <v>853.5</v>
      </c>
      <c r="I569" s="14">
        <v>192817.69</v>
      </c>
      <c r="J569" s="19">
        <v>0.65138758792924112</v>
      </c>
    </row>
    <row r="570" spans="1:10" x14ac:dyDescent="0.3">
      <c r="A570" s="9" t="s">
        <v>191</v>
      </c>
      <c r="B570" s="20">
        <v>45777</v>
      </c>
      <c r="C570" s="9" t="s">
        <v>229</v>
      </c>
      <c r="D570" s="14">
        <v>64162.93</v>
      </c>
      <c r="E570" s="14">
        <v>3409.61</v>
      </c>
      <c r="F570" s="14">
        <v>7931.41</v>
      </c>
      <c r="G570" s="14">
        <v>447.7</v>
      </c>
      <c r="H570" s="14">
        <v>1451.48</v>
      </c>
      <c r="I570" s="14">
        <v>77403.13</v>
      </c>
      <c r="J570" s="19">
        <v>0.65138758792924112</v>
      </c>
    </row>
    <row r="571" spans="1:10" x14ac:dyDescent="0.3">
      <c r="A571" s="9" t="s">
        <v>191</v>
      </c>
      <c r="B571" s="20">
        <v>45777</v>
      </c>
      <c r="C571" s="9" t="s">
        <v>228</v>
      </c>
      <c r="D571" s="14">
        <v>12157.98</v>
      </c>
      <c r="E571" s="14">
        <v>265.37</v>
      </c>
      <c r="F571" s="14">
        <v>1419.61</v>
      </c>
      <c r="G571" s="14">
        <v>529.1</v>
      </c>
      <c r="H571" s="14">
        <v>143.46</v>
      </c>
      <c r="I571" s="14">
        <v>14515.52</v>
      </c>
      <c r="J571" s="19">
        <v>0.65138758792924112</v>
      </c>
    </row>
    <row r="572" spans="1:10" x14ac:dyDescent="0.3">
      <c r="A572" s="9" t="s">
        <v>191</v>
      </c>
      <c r="B572" s="20">
        <v>45777</v>
      </c>
      <c r="C572" s="9" t="s">
        <v>203</v>
      </c>
      <c r="D572" s="14">
        <v>73854.8</v>
      </c>
      <c r="E572" s="14">
        <v>7663.48</v>
      </c>
      <c r="F572" s="14">
        <v>4219.29</v>
      </c>
      <c r="G572" s="14">
        <v>210.09</v>
      </c>
      <c r="H572" s="14">
        <v>865</v>
      </c>
      <c r="I572" s="14">
        <v>86812.66</v>
      </c>
      <c r="J572" s="19">
        <v>0.65138758792924112</v>
      </c>
    </row>
    <row r="573" spans="1:10" x14ac:dyDescent="0.3">
      <c r="A573" s="9" t="s">
        <v>191</v>
      </c>
      <c r="B573" s="20">
        <v>45777</v>
      </c>
      <c r="C573" s="9" t="s">
        <v>216</v>
      </c>
      <c r="D573" s="14">
        <v>146992.85999999999</v>
      </c>
      <c r="E573" s="14">
        <v>11280.23</v>
      </c>
      <c r="F573" s="14">
        <v>9616.3700000000008</v>
      </c>
      <c r="G573" s="14">
        <v>1501.83</v>
      </c>
      <c r="H573" s="14">
        <v>8389.27</v>
      </c>
      <c r="I573" s="14">
        <v>177780.56</v>
      </c>
      <c r="J573" s="19">
        <v>0.65138758792924112</v>
      </c>
    </row>
    <row r="574" spans="1:10" x14ac:dyDescent="0.3">
      <c r="A574" s="9" t="s">
        <v>191</v>
      </c>
      <c r="B574" s="20">
        <v>45777</v>
      </c>
      <c r="C574" s="9" t="s">
        <v>227</v>
      </c>
      <c r="D574" s="14">
        <v>184545.72</v>
      </c>
      <c r="E574" s="14">
        <v>7705.1</v>
      </c>
      <c r="F574" s="14">
        <v>16033.04</v>
      </c>
      <c r="G574" s="14">
        <v>1285.67</v>
      </c>
      <c r="H574" s="14">
        <v>8984.26</v>
      </c>
      <c r="I574" s="14">
        <v>218553.8</v>
      </c>
      <c r="J574" s="19">
        <v>0.65138758792924112</v>
      </c>
    </row>
    <row r="575" spans="1:10" x14ac:dyDescent="0.3">
      <c r="A575" s="9" t="s">
        <v>191</v>
      </c>
      <c r="B575" s="20">
        <v>45777</v>
      </c>
      <c r="C575" s="9" t="s">
        <v>226</v>
      </c>
      <c r="D575" s="14">
        <v>99685.85</v>
      </c>
      <c r="E575" s="14">
        <v>8093.58</v>
      </c>
      <c r="F575" s="14">
        <v>7244.38</v>
      </c>
      <c r="G575" s="14">
        <v>1358.26</v>
      </c>
      <c r="H575" s="14">
        <v>4692.7299999999996</v>
      </c>
      <c r="I575" s="14">
        <v>121074.79</v>
      </c>
      <c r="J575" s="19">
        <v>0.65138758792924112</v>
      </c>
    </row>
    <row r="576" spans="1:10" x14ac:dyDescent="0.3">
      <c r="A576" s="9" t="s">
        <v>191</v>
      </c>
      <c r="B576" s="20">
        <v>45777</v>
      </c>
      <c r="C576" s="9" t="s">
        <v>205</v>
      </c>
      <c r="D576" s="14">
        <v>40392.959999999999</v>
      </c>
      <c r="E576" s="14">
        <v>4339.16</v>
      </c>
      <c r="F576" s="14">
        <v>3857.22</v>
      </c>
      <c r="G576" s="14">
        <v>1470.29</v>
      </c>
      <c r="H576" s="14">
        <v>136.72</v>
      </c>
      <c r="I576" s="14">
        <v>50196.35</v>
      </c>
      <c r="J576" s="19">
        <v>0.65138758792924112</v>
      </c>
    </row>
    <row r="577" spans="1:10" x14ac:dyDescent="0.3">
      <c r="A577" s="9" t="s">
        <v>191</v>
      </c>
      <c r="B577" s="20">
        <v>45777</v>
      </c>
      <c r="C577" s="9" t="s">
        <v>225</v>
      </c>
      <c r="D577" s="14">
        <v>87099.51</v>
      </c>
      <c r="E577" s="14">
        <v>7972.48</v>
      </c>
      <c r="F577" s="14">
        <v>1730.96</v>
      </c>
      <c r="G577" s="14">
        <v>737.48</v>
      </c>
      <c r="H577" s="14">
        <v>3469.59</v>
      </c>
      <c r="I577" s="14">
        <v>101010.03</v>
      </c>
      <c r="J577" s="19">
        <v>0.65138758792924112</v>
      </c>
    </row>
    <row r="578" spans="1:10" x14ac:dyDescent="0.3">
      <c r="A578" s="9" t="s">
        <v>191</v>
      </c>
      <c r="B578" s="20">
        <v>45777</v>
      </c>
      <c r="C578" s="9" t="s">
        <v>224</v>
      </c>
      <c r="D578" s="14">
        <v>150311.10999999999</v>
      </c>
      <c r="E578" s="14">
        <v>16764.89</v>
      </c>
      <c r="F578" s="14">
        <v>1588.6</v>
      </c>
      <c r="G578" s="14">
        <v>2070.3000000000002</v>
      </c>
      <c r="H578" s="14">
        <v>4112.74</v>
      </c>
      <c r="I578" s="14">
        <v>174847.63</v>
      </c>
      <c r="J578" s="19">
        <v>0.65138758792924112</v>
      </c>
    </row>
    <row r="579" spans="1:10" x14ac:dyDescent="0.3">
      <c r="A579" s="9" t="s">
        <v>191</v>
      </c>
      <c r="B579" s="20">
        <v>45777</v>
      </c>
      <c r="C579" s="9" t="s">
        <v>206</v>
      </c>
      <c r="D579" s="14">
        <v>98450.07</v>
      </c>
      <c r="E579" s="14">
        <v>4880.8500000000004</v>
      </c>
      <c r="F579" s="14">
        <v>4204.16</v>
      </c>
      <c r="G579" s="14">
        <v>8334.08</v>
      </c>
      <c r="H579" s="14">
        <v>1414.19</v>
      </c>
      <c r="I579" s="14">
        <v>117283.35</v>
      </c>
      <c r="J579" s="19">
        <v>0.65138758792924112</v>
      </c>
    </row>
    <row r="580" spans="1:10" x14ac:dyDescent="0.3">
      <c r="A580" s="9" t="s">
        <v>191</v>
      </c>
      <c r="B580" s="20">
        <v>45777</v>
      </c>
      <c r="C580" s="9" t="s">
        <v>211</v>
      </c>
      <c r="D580" s="14">
        <v>165801.64000000001</v>
      </c>
      <c r="E580" s="14">
        <v>11883.23</v>
      </c>
      <c r="F580" s="14">
        <v>10130.73</v>
      </c>
      <c r="G580" s="14">
        <v>423.43</v>
      </c>
      <c r="H580" s="14">
        <v>4899.3</v>
      </c>
      <c r="I580" s="14">
        <v>193138.32</v>
      </c>
      <c r="J580" s="19">
        <v>0.65138758792924112</v>
      </c>
    </row>
    <row r="581" spans="1:10" x14ac:dyDescent="0.3">
      <c r="A581" s="9" t="s">
        <v>191</v>
      </c>
      <c r="B581" s="20">
        <v>45777</v>
      </c>
      <c r="C581" s="9" t="s">
        <v>223</v>
      </c>
      <c r="D581" s="14">
        <v>82950.38</v>
      </c>
      <c r="E581" s="14">
        <v>4934.7</v>
      </c>
      <c r="F581" s="14">
        <v>4755.6400000000003</v>
      </c>
      <c r="G581" s="14">
        <v>517.57000000000005</v>
      </c>
      <c r="H581" s="14">
        <v>501.78</v>
      </c>
      <c r="I581" s="14">
        <v>93660.07</v>
      </c>
      <c r="J581" s="19">
        <v>0.65138758792924112</v>
      </c>
    </row>
    <row r="582" spans="1:10" x14ac:dyDescent="0.3">
      <c r="A582" s="9" t="s">
        <v>191</v>
      </c>
      <c r="B582" s="20">
        <v>45808</v>
      </c>
      <c r="C582" s="9" t="s">
        <v>222</v>
      </c>
      <c r="D582" s="14">
        <v>118244.26</v>
      </c>
      <c r="E582" s="14">
        <v>24808.93</v>
      </c>
      <c r="F582" s="14">
        <v>5282.85</v>
      </c>
      <c r="G582" s="14">
        <v>527.32000000000005</v>
      </c>
      <c r="H582" s="14">
        <v>2371.92</v>
      </c>
      <c r="I582" s="14">
        <v>151235.28</v>
      </c>
      <c r="J582" s="19">
        <v>0.54881143017298606</v>
      </c>
    </row>
    <row r="583" spans="1:10" x14ac:dyDescent="0.3">
      <c r="A583" s="9" t="s">
        <v>191</v>
      </c>
      <c r="B583" s="20">
        <v>45808</v>
      </c>
      <c r="C583" s="9" t="s">
        <v>235</v>
      </c>
      <c r="D583" s="14">
        <v>33533.1</v>
      </c>
      <c r="E583" s="14">
        <v>1064.22</v>
      </c>
      <c r="F583" s="14">
        <v>1744.41</v>
      </c>
      <c r="G583" s="14">
        <v>944.81</v>
      </c>
      <c r="H583" s="14">
        <v>391.49</v>
      </c>
      <c r="I583" s="14">
        <v>37678.03</v>
      </c>
      <c r="J583" s="19">
        <v>0.54881143017298606</v>
      </c>
    </row>
    <row r="584" spans="1:10" x14ac:dyDescent="0.3">
      <c r="A584" s="9" t="s">
        <v>191</v>
      </c>
      <c r="B584" s="20">
        <v>45808</v>
      </c>
      <c r="C584" s="9" t="s">
        <v>234</v>
      </c>
      <c r="D584" s="14">
        <v>193765.2</v>
      </c>
      <c r="E584" s="14">
        <v>10598.56</v>
      </c>
      <c r="F584" s="14">
        <v>6877.27</v>
      </c>
      <c r="G584" s="14">
        <v>1539.9</v>
      </c>
      <c r="H584" s="14">
        <v>3257.6</v>
      </c>
      <c r="I584" s="14">
        <v>216038.51</v>
      </c>
      <c r="J584" s="19">
        <v>0.54881143017298606</v>
      </c>
    </row>
    <row r="585" spans="1:10" x14ac:dyDescent="0.3">
      <c r="A585" s="9" t="s">
        <v>191</v>
      </c>
      <c r="B585" s="20">
        <v>45808</v>
      </c>
      <c r="C585" s="9" t="s">
        <v>219</v>
      </c>
      <c r="D585" s="14">
        <v>70026.33</v>
      </c>
      <c r="E585" s="14">
        <v>7894.72</v>
      </c>
      <c r="F585" s="14">
        <v>1071.22</v>
      </c>
      <c r="G585" s="14">
        <v>2153.42</v>
      </c>
      <c r="H585" s="14">
        <v>1314.96</v>
      </c>
      <c r="I585" s="14">
        <v>82460.66</v>
      </c>
      <c r="J585" s="19">
        <v>0.54881143017298606</v>
      </c>
    </row>
    <row r="586" spans="1:10" x14ac:dyDescent="0.3">
      <c r="A586" s="9" t="s">
        <v>191</v>
      </c>
      <c r="B586" s="20">
        <v>45808</v>
      </c>
      <c r="C586" s="9" t="s">
        <v>233</v>
      </c>
      <c r="D586" s="14">
        <v>185316.55</v>
      </c>
      <c r="E586" s="14">
        <v>22576.21</v>
      </c>
      <c r="F586" s="14">
        <v>4673.3100000000004</v>
      </c>
      <c r="G586" s="14">
        <v>2835.64</v>
      </c>
      <c r="H586" s="14">
        <v>12001.54</v>
      </c>
      <c r="I586" s="14">
        <v>227403.25</v>
      </c>
      <c r="J586" s="19">
        <v>0.54881143017298606</v>
      </c>
    </row>
    <row r="587" spans="1:10" x14ac:dyDescent="0.3">
      <c r="A587" s="9" t="s">
        <v>191</v>
      </c>
      <c r="B587" s="20">
        <v>45808</v>
      </c>
      <c r="C587" s="9" t="s">
        <v>232</v>
      </c>
      <c r="D587" s="14">
        <v>27203.99</v>
      </c>
      <c r="E587" s="14">
        <v>2237.1799999999998</v>
      </c>
      <c r="F587" s="14">
        <v>2041</v>
      </c>
      <c r="G587" s="14">
        <v>2020.7</v>
      </c>
      <c r="H587" s="14">
        <v>872.32</v>
      </c>
      <c r="I587" s="14">
        <v>34375.19</v>
      </c>
      <c r="J587" s="19">
        <v>0.54881143017298606</v>
      </c>
    </row>
    <row r="588" spans="1:10" x14ac:dyDescent="0.3">
      <c r="A588" s="9" t="s">
        <v>191</v>
      </c>
      <c r="B588" s="20">
        <v>45808</v>
      </c>
      <c r="C588" s="9" t="s">
        <v>231</v>
      </c>
      <c r="D588" s="14">
        <v>114641.68</v>
      </c>
      <c r="E588" s="14">
        <v>7158.24</v>
      </c>
      <c r="F588" s="14">
        <v>574.58000000000004</v>
      </c>
      <c r="G588" s="14">
        <v>3238.65</v>
      </c>
      <c r="H588" s="14">
        <v>8373.84</v>
      </c>
      <c r="I588" s="14">
        <v>133986.98000000001</v>
      </c>
      <c r="J588" s="19">
        <v>0.54881143017298606</v>
      </c>
    </row>
    <row r="589" spans="1:10" x14ac:dyDescent="0.3">
      <c r="A589" s="9" t="s">
        <v>191</v>
      </c>
      <c r="B589" s="20">
        <v>45808</v>
      </c>
      <c r="C589" s="9" t="s">
        <v>230</v>
      </c>
      <c r="D589" s="14">
        <v>39045.120000000003</v>
      </c>
      <c r="E589" s="14">
        <v>1442.54</v>
      </c>
      <c r="F589" s="14">
        <v>1407.05</v>
      </c>
      <c r="G589" s="14">
        <v>122.93</v>
      </c>
      <c r="H589" s="14">
        <v>1713.44</v>
      </c>
      <c r="I589" s="14">
        <v>43731.09</v>
      </c>
      <c r="J589" s="19">
        <v>0.54881143017298606</v>
      </c>
    </row>
    <row r="590" spans="1:10" x14ac:dyDescent="0.3">
      <c r="A590" s="9" t="s">
        <v>191</v>
      </c>
      <c r="B590" s="20">
        <v>45808</v>
      </c>
      <c r="C590" s="9" t="s">
        <v>229</v>
      </c>
      <c r="D590" s="14">
        <v>27130.65</v>
      </c>
      <c r="E590" s="14">
        <v>4131.9399999999996</v>
      </c>
      <c r="F590" s="14">
        <v>2056.85</v>
      </c>
      <c r="G590" s="14">
        <v>600.65</v>
      </c>
      <c r="H590" s="14">
        <v>19.82</v>
      </c>
      <c r="I590" s="14">
        <v>33939.910000000003</v>
      </c>
      <c r="J590" s="19">
        <v>0.54881143017298606</v>
      </c>
    </row>
    <row r="591" spans="1:10" x14ac:dyDescent="0.3">
      <c r="A591" s="9" t="s">
        <v>191</v>
      </c>
      <c r="B591" s="20">
        <v>45808</v>
      </c>
      <c r="C591" s="9" t="s">
        <v>228</v>
      </c>
      <c r="D591" s="14">
        <v>33443.22</v>
      </c>
      <c r="E591" s="14">
        <v>3362.43</v>
      </c>
      <c r="F591" s="14">
        <v>2339.9299999999998</v>
      </c>
      <c r="G591" s="14">
        <v>93.11</v>
      </c>
      <c r="H591" s="14">
        <v>374.97</v>
      </c>
      <c r="I591" s="14">
        <v>39613.67</v>
      </c>
      <c r="J591" s="19">
        <v>0.54881143017298606</v>
      </c>
    </row>
    <row r="592" spans="1:10" x14ac:dyDescent="0.3">
      <c r="A592" s="9" t="s">
        <v>191</v>
      </c>
      <c r="B592" s="20">
        <v>45808</v>
      </c>
      <c r="C592" s="9" t="s">
        <v>203</v>
      </c>
      <c r="D592" s="14">
        <v>65241.91</v>
      </c>
      <c r="E592" s="14">
        <v>2980.51</v>
      </c>
      <c r="F592" s="14">
        <v>1746.48</v>
      </c>
      <c r="G592" s="14">
        <v>281.47000000000003</v>
      </c>
      <c r="H592" s="14">
        <v>2729.23</v>
      </c>
      <c r="I592" s="14">
        <v>72979.600000000006</v>
      </c>
      <c r="J592" s="19">
        <v>0.54881143017298606</v>
      </c>
    </row>
    <row r="593" spans="1:10" x14ac:dyDescent="0.3">
      <c r="A593" s="9" t="s">
        <v>191</v>
      </c>
      <c r="B593" s="20">
        <v>45808</v>
      </c>
      <c r="C593" s="9" t="s">
        <v>216</v>
      </c>
      <c r="D593" s="14">
        <v>164362.70000000001</v>
      </c>
      <c r="E593" s="14">
        <v>5698.22</v>
      </c>
      <c r="F593" s="14">
        <v>4713.6099999999997</v>
      </c>
      <c r="G593" s="14">
        <v>4490.37</v>
      </c>
      <c r="H593" s="14">
        <v>9600.7000000000007</v>
      </c>
      <c r="I593" s="14">
        <v>188865.6</v>
      </c>
      <c r="J593" s="19">
        <v>0.54881143017298606</v>
      </c>
    </row>
    <row r="594" spans="1:10" x14ac:dyDescent="0.3">
      <c r="A594" s="9" t="s">
        <v>191</v>
      </c>
      <c r="B594" s="20">
        <v>45808</v>
      </c>
      <c r="C594" s="9" t="s">
        <v>227</v>
      </c>
      <c r="D594" s="14">
        <v>171174.55</v>
      </c>
      <c r="E594" s="14">
        <v>15920.45</v>
      </c>
      <c r="F594" s="14">
        <v>11441.21</v>
      </c>
      <c r="G594" s="14">
        <v>1683.27</v>
      </c>
      <c r="H594" s="14">
        <v>3570.79</v>
      </c>
      <c r="I594" s="14">
        <v>203790.28</v>
      </c>
      <c r="J594" s="19">
        <v>0.54881143017298606</v>
      </c>
    </row>
    <row r="595" spans="1:10" x14ac:dyDescent="0.3">
      <c r="A595" s="9" t="s">
        <v>191</v>
      </c>
      <c r="B595" s="20">
        <v>45808</v>
      </c>
      <c r="C595" s="9" t="s">
        <v>226</v>
      </c>
      <c r="D595" s="14">
        <v>64773.22</v>
      </c>
      <c r="E595" s="14">
        <v>1873.24</v>
      </c>
      <c r="F595" s="14">
        <v>1225.47</v>
      </c>
      <c r="G595" s="14">
        <v>2316.27</v>
      </c>
      <c r="H595" s="14">
        <v>1067.17</v>
      </c>
      <c r="I595" s="14">
        <v>71255.38</v>
      </c>
      <c r="J595" s="19">
        <v>0.54881143017298606</v>
      </c>
    </row>
    <row r="596" spans="1:10" x14ac:dyDescent="0.3">
      <c r="A596" s="9" t="s">
        <v>191</v>
      </c>
      <c r="B596" s="20">
        <v>45808</v>
      </c>
      <c r="C596" s="9" t="s">
        <v>205</v>
      </c>
      <c r="D596" s="14">
        <v>10487.78</v>
      </c>
      <c r="E596" s="14">
        <v>945.16</v>
      </c>
      <c r="F596" s="14">
        <v>343.57</v>
      </c>
      <c r="G596" s="14">
        <v>753.77</v>
      </c>
      <c r="H596" s="14">
        <v>484.67</v>
      </c>
      <c r="I596" s="14">
        <v>13014.96</v>
      </c>
      <c r="J596" s="19">
        <v>0.54881143017298606</v>
      </c>
    </row>
    <row r="597" spans="1:10" x14ac:dyDescent="0.3">
      <c r="A597" s="9" t="s">
        <v>191</v>
      </c>
      <c r="B597" s="20">
        <v>45808</v>
      </c>
      <c r="C597" s="9" t="s">
        <v>225</v>
      </c>
      <c r="D597" s="14">
        <v>158245.04999999999</v>
      </c>
      <c r="E597" s="14">
        <v>8640.3700000000008</v>
      </c>
      <c r="F597" s="14">
        <v>8329.15</v>
      </c>
      <c r="G597" s="14">
        <v>5216.96</v>
      </c>
      <c r="H597" s="14">
        <v>3218.51</v>
      </c>
      <c r="I597" s="14">
        <v>183650.04</v>
      </c>
      <c r="J597" s="19">
        <v>0.54881143017298606</v>
      </c>
    </row>
    <row r="598" spans="1:10" x14ac:dyDescent="0.3">
      <c r="A598" s="9" t="s">
        <v>191</v>
      </c>
      <c r="B598" s="20">
        <v>45808</v>
      </c>
      <c r="C598" s="9" t="s">
        <v>224</v>
      </c>
      <c r="D598" s="14">
        <v>123849.26</v>
      </c>
      <c r="E598" s="14">
        <v>4592.6400000000003</v>
      </c>
      <c r="F598" s="14">
        <v>4580.26</v>
      </c>
      <c r="G598" s="14">
        <v>2078.31</v>
      </c>
      <c r="H598" s="14">
        <v>5959.44</v>
      </c>
      <c r="I598" s="14">
        <v>141059.91</v>
      </c>
      <c r="J598" s="19">
        <v>0.54881143017298606</v>
      </c>
    </row>
    <row r="599" spans="1:10" x14ac:dyDescent="0.3">
      <c r="A599" s="9" t="s">
        <v>191</v>
      </c>
      <c r="B599" s="20">
        <v>45808</v>
      </c>
      <c r="C599" s="9" t="s">
        <v>206</v>
      </c>
      <c r="D599" s="14">
        <v>53590.17</v>
      </c>
      <c r="E599" s="14">
        <v>4035.86</v>
      </c>
      <c r="F599" s="14">
        <v>2372.44</v>
      </c>
      <c r="G599" s="14">
        <v>4249.74</v>
      </c>
      <c r="H599" s="14">
        <v>2440.7800000000002</v>
      </c>
      <c r="I599" s="14">
        <v>66688.990000000005</v>
      </c>
      <c r="J599" s="19">
        <v>0.54881143017298606</v>
      </c>
    </row>
    <row r="600" spans="1:10" x14ac:dyDescent="0.3">
      <c r="A600" s="9" t="s">
        <v>191</v>
      </c>
      <c r="B600" s="20">
        <v>45808</v>
      </c>
      <c r="C600" s="9" t="s">
        <v>211</v>
      </c>
      <c r="D600" s="14">
        <v>78407.820000000007</v>
      </c>
      <c r="E600" s="14">
        <v>6926.11</v>
      </c>
      <c r="F600" s="14">
        <v>3296.7</v>
      </c>
      <c r="G600" s="14">
        <v>5271.87</v>
      </c>
      <c r="H600" s="14">
        <v>540.39</v>
      </c>
      <c r="I600" s="14">
        <v>94442.89</v>
      </c>
      <c r="J600" s="19">
        <v>0.54881143017298606</v>
      </c>
    </row>
    <row r="601" spans="1:10" x14ac:dyDescent="0.3">
      <c r="A601" s="9" t="s">
        <v>191</v>
      </c>
      <c r="B601" s="20">
        <v>45808</v>
      </c>
      <c r="C601" s="9" t="s">
        <v>223</v>
      </c>
      <c r="D601" s="14">
        <v>92200.47</v>
      </c>
      <c r="E601" s="14">
        <v>6856.18</v>
      </c>
      <c r="F601" s="14">
        <v>5422.61</v>
      </c>
      <c r="G601" s="14">
        <v>5960.96</v>
      </c>
      <c r="H601" s="14">
        <v>299.88</v>
      </c>
      <c r="I601" s="14">
        <v>110740.1</v>
      </c>
      <c r="J601" s="19">
        <v>0.54881143017298606</v>
      </c>
    </row>
    <row r="602" spans="1:10" x14ac:dyDescent="0.3">
      <c r="A602" s="9" t="s">
        <v>191</v>
      </c>
      <c r="B602" s="20">
        <v>45838</v>
      </c>
      <c r="C602" s="9" t="s">
        <v>222</v>
      </c>
      <c r="D602" s="14">
        <v>68526.44</v>
      </c>
      <c r="E602" s="14">
        <v>1725.32</v>
      </c>
      <c r="F602" s="14">
        <v>5466.19</v>
      </c>
      <c r="G602" s="14">
        <v>1749.67</v>
      </c>
      <c r="H602" s="14">
        <v>2024.13</v>
      </c>
      <c r="I602" s="14">
        <v>79491.75</v>
      </c>
      <c r="J602" s="19">
        <v>0.51632566304690486</v>
      </c>
    </row>
    <row r="603" spans="1:10" x14ac:dyDescent="0.3">
      <c r="A603" s="9" t="s">
        <v>191</v>
      </c>
      <c r="B603" s="20">
        <v>45838</v>
      </c>
      <c r="C603" s="9" t="s">
        <v>235</v>
      </c>
      <c r="D603" s="14">
        <v>24757.83</v>
      </c>
      <c r="E603" s="14">
        <v>1482.71</v>
      </c>
      <c r="F603" s="14">
        <v>467.12</v>
      </c>
      <c r="G603" s="14">
        <v>1129.43</v>
      </c>
      <c r="H603" s="14">
        <v>197.86</v>
      </c>
      <c r="I603" s="14">
        <v>28034.95</v>
      </c>
      <c r="J603" s="19">
        <v>0.51632566304690486</v>
      </c>
    </row>
    <row r="604" spans="1:10" x14ac:dyDescent="0.3">
      <c r="A604" s="9" t="s">
        <v>191</v>
      </c>
      <c r="B604" s="20">
        <v>45838</v>
      </c>
      <c r="C604" s="9" t="s">
        <v>234</v>
      </c>
      <c r="D604" s="14">
        <v>140290.14000000001</v>
      </c>
      <c r="E604" s="14">
        <v>15998.63</v>
      </c>
      <c r="F604" s="14">
        <v>8689.5</v>
      </c>
      <c r="G604" s="14">
        <v>1149.58</v>
      </c>
      <c r="H604" s="14">
        <v>2722.04</v>
      </c>
      <c r="I604" s="14">
        <v>168849.89</v>
      </c>
      <c r="J604" s="19">
        <v>0.51632566304690486</v>
      </c>
    </row>
    <row r="605" spans="1:10" x14ac:dyDescent="0.3">
      <c r="A605" s="9" t="s">
        <v>191</v>
      </c>
      <c r="B605" s="20">
        <v>45838</v>
      </c>
      <c r="C605" s="9" t="s">
        <v>219</v>
      </c>
      <c r="D605" s="14">
        <v>27395.88</v>
      </c>
      <c r="E605" s="14">
        <v>928.4</v>
      </c>
      <c r="F605" s="14">
        <v>460.24</v>
      </c>
      <c r="G605" s="14">
        <v>505.78</v>
      </c>
      <c r="H605" s="14">
        <v>405.99</v>
      </c>
      <c r="I605" s="14">
        <v>29696.3</v>
      </c>
      <c r="J605" s="19">
        <v>0.51632566304690486</v>
      </c>
    </row>
    <row r="606" spans="1:10" x14ac:dyDescent="0.3">
      <c r="A606" s="9" t="s">
        <v>191</v>
      </c>
      <c r="B606" s="20">
        <v>45838</v>
      </c>
      <c r="C606" s="9" t="s">
        <v>233</v>
      </c>
      <c r="D606" s="14">
        <v>141006.67000000001</v>
      </c>
      <c r="E606" s="14">
        <v>15682.88</v>
      </c>
      <c r="F606" s="14">
        <v>3602.09</v>
      </c>
      <c r="G606" s="14">
        <v>932.6</v>
      </c>
      <c r="H606" s="14">
        <v>618.47</v>
      </c>
      <c r="I606" s="14">
        <v>161842.71</v>
      </c>
      <c r="J606" s="19">
        <v>0.51632566304690486</v>
      </c>
    </row>
    <row r="607" spans="1:10" x14ac:dyDescent="0.3">
      <c r="A607" s="9" t="s">
        <v>191</v>
      </c>
      <c r="B607" s="20">
        <v>45838</v>
      </c>
      <c r="C607" s="9" t="s">
        <v>232</v>
      </c>
      <c r="D607" s="14">
        <v>83128.990000000005</v>
      </c>
      <c r="E607" s="14">
        <v>7246.68</v>
      </c>
      <c r="F607" s="14">
        <v>2564.9899999999998</v>
      </c>
      <c r="G607" s="14">
        <v>1627.27</v>
      </c>
      <c r="H607" s="14">
        <v>805.3</v>
      </c>
      <c r="I607" s="14">
        <v>95373.23</v>
      </c>
      <c r="J607" s="19">
        <v>0.51632566304690486</v>
      </c>
    </row>
    <row r="608" spans="1:10" x14ac:dyDescent="0.3">
      <c r="A608" s="9" t="s">
        <v>191</v>
      </c>
      <c r="B608" s="20">
        <v>45838</v>
      </c>
      <c r="C608" s="9" t="s">
        <v>231</v>
      </c>
      <c r="D608" s="14">
        <v>14500.83</v>
      </c>
      <c r="E608" s="14">
        <v>1453.45</v>
      </c>
      <c r="F608" s="14">
        <v>1092.1600000000001</v>
      </c>
      <c r="G608" s="14">
        <v>329.71</v>
      </c>
      <c r="H608" s="14">
        <v>604.78</v>
      </c>
      <c r="I608" s="14">
        <v>17980.919999999998</v>
      </c>
      <c r="J608" s="19">
        <v>0.51632566304690486</v>
      </c>
    </row>
    <row r="609" spans="1:10" x14ac:dyDescent="0.3">
      <c r="A609" s="9" t="s">
        <v>191</v>
      </c>
      <c r="B609" s="20">
        <v>45838</v>
      </c>
      <c r="C609" s="9" t="s">
        <v>230</v>
      </c>
      <c r="D609" s="14">
        <v>136495.26</v>
      </c>
      <c r="E609" s="14">
        <v>11610.33</v>
      </c>
      <c r="F609" s="14">
        <v>3798.4</v>
      </c>
      <c r="G609" s="14">
        <v>5710.48</v>
      </c>
      <c r="H609" s="14">
        <v>1253.49</v>
      </c>
      <c r="I609" s="14">
        <v>158867.96</v>
      </c>
      <c r="J609" s="19">
        <v>0.51632566304690486</v>
      </c>
    </row>
    <row r="610" spans="1:10" x14ac:dyDescent="0.3">
      <c r="A610" s="9" t="s">
        <v>191</v>
      </c>
      <c r="B610" s="20">
        <v>45838</v>
      </c>
      <c r="C610" s="9" t="s">
        <v>229</v>
      </c>
      <c r="D610" s="14">
        <v>98743.29</v>
      </c>
      <c r="E610" s="14">
        <v>3936.93</v>
      </c>
      <c r="F610" s="14">
        <v>1100.33</v>
      </c>
      <c r="G610" s="14">
        <v>5060.2299999999996</v>
      </c>
      <c r="H610" s="14">
        <v>954.13</v>
      </c>
      <c r="I610" s="14">
        <v>109794.91</v>
      </c>
      <c r="J610" s="19">
        <v>0.51632566304690486</v>
      </c>
    </row>
    <row r="611" spans="1:10" x14ac:dyDescent="0.3">
      <c r="A611" s="9" t="s">
        <v>191</v>
      </c>
      <c r="B611" s="20">
        <v>45838</v>
      </c>
      <c r="C611" s="9" t="s">
        <v>228</v>
      </c>
      <c r="D611" s="14">
        <v>81295.33</v>
      </c>
      <c r="E611" s="14">
        <v>3645.43</v>
      </c>
      <c r="F611" s="14">
        <v>3625.29</v>
      </c>
      <c r="G611" s="14">
        <v>1083.76</v>
      </c>
      <c r="H611" s="14">
        <v>7418.4</v>
      </c>
      <c r="I611" s="14">
        <v>97068.2</v>
      </c>
      <c r="J611" s="19">
        <v>0.51632566304690486</v>
      </c>
    </row>
    <row r="612" spans="1:10" x14ac:dyDescent="0.3">
      <c r="A612" s="9" t="s">
        <v>191</v>
      </c>
      <c r="B612" s="20">
        <v>45838</v>
      </c>
      <c r="C612" s="9" t="s">
        <v>203</v>
      </c>
      <c r="D612" s="14">
        <v>49759.72</v>
      </c>
      <c r="E612" s="14">
        <v>2293.83</v>
      </c>
      <c r="F612" s="14">
        <v>2201.2399999999998</v>
      </c>
      <c r="G612" s="14">
        <v>1084.4000000000001</v>
      </c>
      <c r="H612" s="14">
        <v>58.04</v>
      </c>
      <c r="I612" s="14">
        <v>55397.22</v>
      </c>
      <c r="J612" s="19">
        <v>0.51632566304690486</v>
      </c>
    </row>
    <row r="613" spans="1:10" x14ac:dyDescent="0.3">
      <c r="A613" s="9" t="s">
        <v>191</v>
      </c>
      <c r="B613" s="20">
        <v>45838</v>
      </c>
      <c r="C613" s="9" t="s">
        <v>216</v>
      </c>
      <c r="D613" s="14">
        <v>66933.41</v>
      </c>
      <c r="E613" s="14">
        <v>2541.58</v>
      </c>
      <c r="F613" s="14">
        <v>4064.21</v>
      </c>
      <c r="G613" s="14">
        <v>852.66</v>
      </c>
      <c r="H613" s="14">
        <v>2632.22</v>
      </c>
      <c r="I613" s="14">
        <v>77024.09</v>
      </c>
      <c r="J613" s="19">
        <v>0.51632566304690486</v>
      </c>
    </row>
    <row r="614" spans="1:10" x14ac:dyDescent="0.3">
      <c r="A614" s="9" t="s">
        <v>191</v>
      </c>
      <c r="B614" s="20">
        <v>45838</v>
      </c>
      <c r="C614" s="9" t="s">
        <v>227</v>
      </c>
      <c r="D614" s="14">
        <v>141414.42000000001</v>
      </c>
      <c r="E614" s="14">
        <v>13065.17</v>
      </c>
      <c r="F614" s="14">
        <v>3703.78</v>
      </c>
      <c r="G614" s="14">
        <v>1648.78</v>
      </c>
      <c r="H614" s="14">
        <v>566.58000000000004</v>
      </c>
      <c r="I614" s="14">
        <v>160398.73000000001</v>
      </c>
      <c r="J614" s="19">
        <v>0.51632566304690486</v>
      </c>
    </row>
    <row r="615" spans="1:10" x14ac:dyDescent="0.3">
      <c r="A615" s="9" t="s">
        <v>191</v>
      </c>
      <c r="B615" s="20">
        <v>45838</v>
      </c>
      <c r="C615" s="9" t="s">
        <v>226</v>
      </c>
      <c r="D615" s="14">
        <v>71567.62</v>
      </c>
      <c r="E615" s="14">
        <v>5713.72</v>
      </c>
      <c r="F615" s="14">
        <v>662.69</v>
      </c>
      <c r="G615" s="14">
        <v>4905.6400000000003</v>
      </c>
      <c r="H615" s="14">
        <v>538.61</v>
      </c>
      <c r="I615" s="14">
        <v>83388.289999999994</v>
      </c>
      <c r="J615" s="19">
        <v>0.51632566304690486</v>
      </c>
    </row>
    <row r="616" spans="1:10" x14ac:dyDescent="0.3">
      <c r="A616" s="9" t="s">
        <v>191</v>
      </c>
      <c r="B616" s="20">
        <v>45838</v>
      </c>
      <c r="C616" s="9" t="s">
        <v>205</v>
      </c>
      <c r="D616" s="14">
        <v>48555.23</v>
      </c>
      <c r="E616" s="14">
        <v>2054.15</v>
      </c>
      <c r="F616" s="14">
        <v>2985.62</v>
      </c>
      <c r="G616" s="14">
        <v>343</v>
      </c>
      <c r="H616" s="14">
        <v>1497.01</v>
      </c>
      <c r="I616" s="14">
        <v>55435.02</v>
      </c>
      <c r="J616" s="19">
        <v>0.51632566304690486</v>
      </c>
    </row>
    <row r="617" spans="1:10" x14ac:dyDescent="0.3">
      <c r="A617" s="9" t="s">
        <v>191</v>
      </c>
      <c r="B617" s="20">
        <v>45838</v>
      </c>
      <c r="C617" s="9" t="s">
        <v>225</v>
      </c>
      <c r="D617" s="14">
        <v>42355.08</v>
      </c>
      <c r="E617" s="14">
        <v>2525.12</v>
      </c>
      <c r="F617" s="14">
        <v>1571.12</v>
      </c>
      <c r="G617" s="14">
        <v>4855.79</v>
      </c>
      <c r="H617" s="14">
        <v>2081.08</v>
      </c>
      <c r="I617" s="14">
        <v>53388.19</v>
      </c>
      <c r="J617" s="19">
        <v>0.51632566304690486</v>
      </c>
    </row>
    <row r="618" spans="1:10" x14ac:dyDescent="0.3">
      <c r="A618" s="9" t="s">
        <v>191</v>
      </c>
      <c r="B618" s="20">
        <v>45838</v>
      </c>
      <c r="C618" s="9" t="s">
        <v>224</v>
      </c>
      <c r="D618" s="14">
        <v>151590.14000000001</v>
      </c>
      <c r="E618" s="14">
        <v>7112.89</v>
      </c>
      <c r="F618" s="14">
        <v>15987.82</v>
      </c>
      <c r="G618" s="14">
        <v>1682.98</v>
      </c>
      <c r="H618" s="14">
        <v>3852.54</v>
      </c>
      <c r="I618" s="14">
        <v>180226.37</v>
      </c>
      <c r="J618" s="19">
        <v>0.51632566304690486</v>
      </c>
    </row>
    <row r="619" spans="1:10" x14ac:dyDescent="0.3">
      <c r="A619" s="9" t="s">
        <v>191</v>
      </c>
      <c r="B619" s="20">
        <v>45838</v>
      </c>
      <c r="C619" s="9" t="s">
        <v>206</v>
      </c>
      <c r="D619" s="14">
        <v>92609.16</v>
      </c>
      <c r="E619" s="14">
        <v>7909.11</v>
      </c>
      <c r="F619" s="14">
        <v>875</v>
      </c>
      <c r="G619" s="14">
        <v>4023.88</v>
      </c>
      <c r="H619" s="14">
        <v>5920.15</v>
      </c>
      <c r="I619" s="14">
        <v>111337.3</v>
      </c>
      <c r="J619" s="19">
        <v>0.51632566304690486</v>
      </c>
    </row>
    <row r="620" spans="1:10" x14ac:dyDescent="0.3">
      <c r="A620" s="9" t="s">
        <v>191</v>
      </c>
      <c r="B620" s="20">
        <v>45838</v>
      </c>
      <c r="C620" s="9" t="s">
        <v>211</v>
      </c>
      <c r="D620" s="14">
        <v>86081.44</v>
      </c>
      <c r="E620" s="14">
        <v>3856.95</v>
      </c>
      <c r="F620" s="14">
        <v>5361.99</v>
      </c>
      <c r="G620" s="14">
        <v>2335.44</v>
      </c>
      <c r="H620" s="14">
        <v>3879.15</v>
      </c>
      <c r="I620" s="14">
        <v>101514.96</v>
      </c>
      <c r="J620" s="19">
        <v>0.51632566304690486</v>
      </c>
    </row>
    <row r="621" spans="1:10" x14ac:dyDescent="0.3">
      <c r="A621" s="9" t="s">
        <v>191</v>
      </c>
      <c r="B621" s="20">
        <v>45838</v>
      </c>
      <c r="C621" s="9" t="s">
        <v>223</v>
      </c>
      <c r="D621" s="14">
        <v>148860.60999999999</v>
      </c>
      <c r="E621" s="14">
        <v>5089.34</v>
      </c>
      <c r="F621" s="14">
        <v>4212.3</v>
      </c>
      <c r="G621" s="14">
        <v>12644.48</v>
      </c>
      <c r="H621" s="14">
        <v>7942.18</v>
      </c>
      <c r="I621" s="14">
        <v>178748.9</v>
      </c>
      <c r="J621" s="19">
        <v>0.51632566304690486</v>
      </c>
    </row>
    <row r="622" spans="1:10" x14ac:dyDescent="0.3">
      <c r="A622" s="9" t="s">
        <v>191</v>
      </c>
      <c r="B622" s="20">
        <v>45869</v>
      </c>
      <c r="C622" s="9" t="s">
        <v>222</v>
      </c>
      <c r="D622" s="14">
        <v>112161.1</v>
      </c>
      <c r="E622" s="14">
        <v>6069.67</v>
      </c>
      <c r="F622" s="14">
        <v>3800.23</v>
      </c>
      <c r="G622" s="14">
        <v>12797.29</v>
      </c>
      <c r="H622" s="14">
        <v>4524.01</v>
      </c>
      <c r="I622" s="14">
        <v>139352.29999999999</v>
      </c>
      <c r="J622" s="19">
        <v>0.67928543907759131</v>
      </c>
    </row>
    <row r="623" spans="1:10" x14ac:dyDescent="0.3">
      <c r="A623" s="9" t="s">
        <v>191</v>
      </c>
      <c r="B623" s="20">
        <v>45869</v>
      </c>
      <c r="C623" s="9" t="s">
        <v>235</v>
      </c>
      <c r="D623" s="14">
        <v>78544.52</v>
      </c>
      <c r="E623" s="14">
        <v>2240.02</v>
      </c>
      <c r="F623" s="14">
        <v>5850.31</v>
      </c>
      <c r="G623" s="14">
        <v>5362.23</v>
      </c>
      <c r="H623" s="14">
        <v>4741.1499999999996</v>
      </c>
      <c r="I623" s="14">
        <v>96738.23</v>
      </c>
      <c r="J623" s="19">
        <v>0.67928543907759131</v>
      </c>
    </row>
    <row r="624" spans="1:10" x14ac:dyDescent="0.3">
      <c r="A624" s="9" t="s">
        <v>191</v>
      </c>
      <c r="B624" s="20">
        <v>45869</v>
      </c>
      <c r="C624" s="9" t="s">
        <v>234</v>
      </c>
      <c r="D624" s="14">
        <v>57318.6</v>
      </c>
      <c r="E624" s="14">
        <v>6490.71</v>
      </c>
      <c r="F624" s="14">
        <v>1231.82</v>
      </c>
      <c r="G624" s="14">
        <v>1894.99</v>
      </c>
      <c r="H624" s="14">
        <v>2.0299999999999998</v>
      </c>
      <c r="I624" s="14">
        <v>66938.13</v>
      </c>
      <c r="J624" s="19">
        <v>0.67928543907759131</v>
      </c>
    </row>
    <row r="625" spans="1:10" x14ac:dyDescent="0.3">
      <c r="A625" s="9" t="s">
        <v>191</v>
      </c>
      <c r="B625" s="20">
        <v>45869</v>
      </c>
      <c r="C625" s="9" t="s">
        <v>219</v>
      </c>
      <c r="D625" s="14">
        <v>104053.56</v>
      </c>
      <c r="E625" s="14">
        <v>10192.99</v>
      </c>
      <c r="F625" s="14">
        <v>6754.43</v>
      </c>
      <c r="G625" s="14">
        <v>6391.5</v>
      </c>
      <c r="H625" s="14">
        <v>2951.08</v>
      </c>
      <c r="I625" s="14">
        <v>130343.57</v>
      </c>
      <c r="J625" s="19">
        <v>0.67928543907759131</v>
      </c>
    </row>
    <row r="626" spans="1:10" x14ac:dyDescent="0.3">
      <c r="A626" s="9" t="s">
        <v>191</v>
      </c>
      <c r="B626" s="20">
        <v>45869</v>
      </c>
      <c r="C626" s="9" t="s">
        <v>233</v>
      </c>
      <c r="D626" s="14">
        <v>80226.759999999995</v>
      </c>
      <c r="E626" s="14">
        <v>7042.39</v>
      </c>
      <c r="F626" s="14">
        <v>682.95</v>
      </c>
      <c r="G626" s="14">
        <v>1487.22</v>
      </c>
      <c r="H626" s="14">
        <v>4822.2700000000004</v>
      </c>
      <c r="I626" s="14">
        <v>94261.59</v>
      </c>
      <c r="J626" s="19">
        <v>0.67928543907759131</v>
      </c>
    </row>
    <row r="627" spans="1:10" x14ac:dyDescent="0.3">
      <c r="A627" s="9" t="s">
        <v>191</v>
      </c>
      <c r="B627" s="20">
        <v>45869</v>
      </c>
      <c r="C627" s="9" t="s">
        <v>232</v>
      </c>
      <c r="D627" s="14">
        <v>208666.17</v>
      </c>
      <c r="E627" s="14">
        <v>12755.97</v>
      </c>
      <c r="F627" s="14">
        <v>20340.73</v>
      </c>
      <c r="G627" s="14">
        <v>4499.2700000000004</v>
      </c>
      <c r="H627" s="14">
        <v>4703.41</v>
      </c>
      <c r="I627" s="14">
        <v>250965.55</v>
      </c>
      <c r="J627" s="19">
        <v>0.67928543907759131</v>
      </c>
    </row>
    <row r="628" spans="1:10" x14ac:dyDescent="0.3">
      <c r="A628" s="9" t="s">
        <v>191</v>
      </c>
      <c r="B628" s="20">
        <v>45869</v>
      </c>
      <c r="C628" s="9" t="s">
        <v>231</v>
      </c>
      <c r="D628" s="14">
        <v>43179.28</v>
      </c>
      <c r="E628" s="14">
        <v>3323.03</v>
      </c>
      <c r="F628" s="14">
        <v>938.16</v>
      </c>
      <c r="G628" s="14">
        <v>3229.25</v>
      </c>
      <c r="H628" s="14">
        <v>197.43</v>
      </c>
      <c r="I628" s="14">
        <v>50867.14</v>
      </c>
      <c r="J628" s="19">
        <v>0.67928543907759131</v>
      </c>
    </row>
    <row r="629" spans="1:10" x14ac:dyDescent="0.3">
      <c r="A629" s="9" t="s">
        <v>191</v>
      </c>
      <c r="B629" s="20">
        <v>45869</v>
      </c>
      <c r="C629" s="9" t="s">
        <v>230</v>
      </c>
      <c r="D629" s="14">
        <v>140336.51999999999</v>
      </c>
      <c r="E629" s="14">
        <v>6528.92</v>
      </c>
      <c r="F629" s="14">
        <v>8114.71</v>
      </c>
      <c r="G629" s="14">
        <v>6012.55</v>
      </c>
      <c r="H629" s="14">
        <v>6035.6</v>
      </c>
      <c r="I629" s="14">
        <v>167028.29999999999</v>
      </c>
      <c r="J629" s="19">
        <v>0.67928543907759131</v>
      </c>
    </row>
    <row r="630" spans="1:10" x14ac:dyDescent="0.3">
      <c r="A630" s="9" t="s">
        <v>191</v>
      </c>
      <c r="B630" s="20">
        <v>45869</v>
      </c>
      <c r="C630" s="9" t="s">
        <v>229</v>
      </c>
      <c r="D630" s="14">
        <v>153784.21</v>
      </c>
      <c r="E630" s="14">
        <v>3477.69</v>
      </c>
      <c r="F630" s="14">
        <v>11973.1</v>
      </c>
      <c r="G630" s="14">
        <v>3905.81</v>
      </c>
      <c r="H630" s="14">
        <v>10611.7</v>
      </c>
      <c r="I630" s="14">
        <v>183752.51</v>
      </c>
      <c r="J630" s="19">
        <v>0.67928543907759131</v>
      </c>
    </row>
    <row r="631" spans="1:10" x14ac:dyDescent="0.3">
      <c r="A631" s="9" t="s">
        <v>191</v>
      </c>
      <c r="B631" s="20">
        <v>45869</v>
      </c>
      <c r="C631" s="9" t="s">
        <v>228</v>
      </c>
      <c r="D631" s="14">
        <v>243599.05</v>
      </c>
      <c r="E631" s="14">
        <v>8252.49</v>
      </c>
      <c r="F631" s="14">
        <v>10217.67</v>
      </c>
      <c r="G631" s="14">
        <v>4193.1099999999997</v>
      </c>
      <c r="H631" s="14">
        <v>7753.11</v>
      </c>
      <c r="I631" s="14">
        <v>274015.43</v>
      </c>
      <c r="J631" s="19">
        <v>0.67928543907759131</v>
      </c>
    </row>
    <row r="632" spans="1:10" x14ac:dyDescent="0.3">
      <c r="A632" s="9" t="s">
        <v>191</v>
      </c>
      <c r="B632" s="20">
        <v>45869</v>
      </c>
      <c r="C632" s="9" t="s">
        <v>203</v>
      </c>
      <c r="D632" s="14">
        <v>17384.810000000001</v>
      </c>
      <c r="E632" s="14">
        <v>366.44</v>
      </c>
      <c r="F632" s="14">
        <v>1228.29</v>
      </c>
      <c r="G632" s="14">
        <v>415.2</v>
      </c>
      <c r="H632" s="14">
        <v>421.18</v>
      </c>
      <c r="I632" s="14">
        <v>19815.919999999998</v>
      </c>
      <c r="J632" s="19">
        <v>0.67928543907759131</v>
      </c>
    </row>
    <row r="633" spans="1:10" x14ac:dyDescent="0.3">
      <c r="A633" s="9" t="s">
        <v>191</v>
      </c>
      <c r="B633" s="20">
        <v>45869</v>
      </c>
      <c r="C633" s="9" t="s">
        <v>216</v>
      </c>
      <c r="D633" s="14">
        <v>48946.22</v>
      </c>
      <c r="E633" s="14">
        <v>2978.17</v>
      </c>
      <c r="F633" s="14">
        <v>4757.43</v>
      </c>
      <c r="G633" s="14">
        <v>1194.81</v>
      </c>
      <c r="H633" s="14">
        <v>221.77</v>
      </c>
      <c r="I633" s="14">
        <v>58098.400000000001</v>
      </c>
      <c r="J633" s="19">
        <v>0.67928543907759131</v>
      </c>
    </row>
    <row r="634" spans="1:10" x14ac:dyDescent="0.3">
      <c r="A634" s="9" t="s">
        <v>191</v>
      </c>
      <c r="B634" s="20">
        <v>45869</v>
      </c>
      <c r="C634" s="9" t="s">
        <v>227</v>
      </c>
      <c r="D634" s="14">
        <v>172648.56</v>
      </c>
      <c r="E634" s="14">
        <v>26676.37</v>
      </c>
      <c r="F634" s="14">
        <v>6879.28</v>
      </c>
      <c r="G634" s="14">
        <v>5538.91</v>
      </c>
      <c r="H634" s="14">
        <v>200.29</v>
      </c>
      <c r="I634" s="14">
        <v>211943.42</v>
      </c>
      <c r="J634" s="19">
        <v>0.67928543907759131</v>
      </c>
    </row>
    <row r="635" spans="1:10" x14ac:dyDescent="0.3">
      <c r="A635" s="9" t="s">
        <v>191</v>
      </c>
      <c r="B635" s="20">
        <v>45869</v>
      </c>
      <c r="C635" s="9" t="s">
        <v>226</v>
      </c>
      <c r="D635" s="14">
        <v>31401.439999999999</v>
      </c>
      <c r="E635" s="14">
        <v>3990.04</v>
      </c>
      <c r="F635" s="14">
        <v>1866.13</v>
      </c>
      <c r="G635" s="14">
        <v>526.04</v>
      </c>
      <c r="H635" s="14">
        <v>614.87</v>
      </c>
      <c r="I635" s="14">
        <v>38398.519999999997</v>
      </c>
      <c r="J635" s="19">
        <v>0.67928543907759131</v>
      </c>
    </row>
    <row r="636" spans="1:10" x14ac:dyDescent="0.3">
      <c r="A636" s="9" t="s">
        <v>191</v>
      </c>
      <c r="B636" s="20">
        <v>45869</v>
      </c>
      <c r="C636" s="9" t="s">
        <v>205</v>
      </c>
      <c r="D636" s="14">
        <v>53179.28</v>
      </c>
      <c r="E636" s="14">
        <v>3684.44</v>
      </c>
      <c r="F636" s="14">
        <v>2704.06</v>
      </c>
      <c r="G636" s="14">
        <v>471.84</v>
      </c>
      <c r="H636" s="14">
        <v>800.13</v>
      </c>
      <c r="I636" s="14">
        <v>60839.75</v>
      </c>
      <c r="J636" s="19">
        <v>0.67928543907759131</v>
      </c>
    </row>
    <row r="637" spans="1:10" x14ac:dyDescent="0.3">
      <c r="A637" s="9" t="s">
        <v>191</v>
      </c>
      <c r="B637" s="20">
        <v>45869</v>
      </c>
      <c r="C637" s="9" t="s">
        <v>225</v>
      </c>
      <c r="D637" s="14">
        <v>181618.54</v>
      </c>
      <c r="E637" s="14">
        <v>15227.53</v>
      </c>
      <c r="F637" s="14">
        <v>7154.47</v>
      </c>
      <c r="G637" s="14">
        <v>3699.29</v>
      </c>
      <c r="H637" s="14">
        <v>7612.92</v>
      </c>
      <c r="I637" s="14">
        <v>215312.75</v>
      </c>
      <c r="J637" s="19">
        <v>0.67928543907759131</v>
      </c>
    </row>
    <row r="638" spans="1:10" x14ac:dyDescent="0.3">
      <c r="A638" s="9" t="s">
        <v>191</v>
      </c>
      <c r="B638" s="20">
        <v>45869</v>
      </c>
      <c r="C638" s="9" t="s">
        <v>224</v>
      </c>
      <c r="D638" s="14">
        <v>114591.75</v>
      </c>
      <c r="E638" s="14">
        <v>8338.6200000000008</v>
      </c>
      <c r="F638" s="14">
        <v>9976.4500000000007</v>
      </c>
      <c r="G638" s="14">
        <v>6459.95</v>
      </c>
      <c r="H638" s="14">
        <v>281.29000000000002</v>
      </c>
      <c r="I638" s="14">
        <v>139648.06</v>
      </c>
      <c r="J638" s="19">
        <v>0.67928543907759131</v>
      </c>
    </row>
    <row r="639" spans="1:10" x14ac:dyDescent="0.3">
      <c r="A639" s="9" t="s">
        <v>191</v>
      </c>
      <c r="B639" s="20">
        <v>45869</v>
      </c>
      <c r="C639" s="9" t="s">
        <v>206</v>
      </c>
      <c r="D639" s="14">
        <v>92823.76</v>
      </c>
      <c r="E639" s="14">
        <v>12779.19</v>
      </c>
      <c r="F639" s="14">
        <v>575.22</v>
      </c>
      <c r="G639" s="14">
        <v>4276.43</v>
      </c>
      <c r="H639" s="14">
        <v>2448.17</v>
      </c>
      <c r="I639" s="14">
        <v>112902.77</v>
      </c>
      <c r="J639" s="19">
        <v>0.67928543907759131</v>
      </c>
    </row>
    <row r="640" spans="1:10" x14ac:dyDescent="0.3">
      <c r="A640" s="9" t="s">
        <v>191</v>
      </c>
      <c r="B640" s="20">
        <v>45869</v>
      </c>
      <c r="C640" s="9" t="s">
        <v>211</v>
      </c>
      <c r="D640" s="14">
        <v>194449.95</v>
      </c>
      <c r="E640" s="14">
        <v>11404.95</v>
      </c>
      <c r="F640" s="14">
        <v>5788.88</v>
      </c>
      <c r="G640" s="14">
        <v>7931.12</v>
      </c>
      <c r="H640" s="14">
        <v>615.33000000000004</v>
      </c>
      <c r="I640" s="14">
        <v>220190.23</v>
      </c>
      <c r="J640" s="19">
        <v>0.67928543907759131</v>
      </c>
    </row>
    <row r="641" spans="1:10" x14ac:dyDescent="0.3">
      <c r="A641" s="9" t="s">
        <v>191</v>
      </c>
      <c r="B641" s="20">
        <v>45869</v>
      </c>
      <c r="C641" s="9" t="s">
        <v>223</v>
      </c>
      <c r="D641" s="14">
        <v>105974.22</v>
      </c>
      <c r="E641" s="14">
        <v>3900.47</v>
      </c>
      <c r="F641" s="14">
        <v>8239.98</v>
      </c>
      <c r="G641" s="14">
        <v>4603.13</v>
      </c>
      <c r="H641" s="14">
        <v>2554.96</v>
      </c>
      <c r="I641" s="14">
        <v>125272.77</v>
      </c>
      <c r="J641" s="19">
        <v>0.67928543907759131</v>
      </c>
    </row>
    <row r="642" spans="1:10" x14ac:dyDescent="0.3">
      <c r="A642" s="9" t="s">
        <v>191</v>
      </c>
      <c r="B642" s="20">
        <v>45900</v>
      </c>
      <c r="C642" s="9" t="s">
        <v>222</v>
      </c>
      <c r="D642" s="14">
        <v>100488.8</v>
      </c>
      <c r="E642" s="14">
        <v>2992.59</v>
      </c>
      <c r="F642" s="14">
        <v>10344.540000000001</v>
      </c>
      <c r="G642" s="14">
        <v>1331.8</v>
      </c>
      <c r="H642" s="14">
        <v>2149.08</v>
      </c>
      <c r="I642" s="14">
        <v>117306.81</v>
      </c>
      <c r="J642" s="19">
        <v>0.56005243044069719</v>
      </c>
    </row>
    <row r="643" spans="1:10" x14ac:dyDescent="0.3">
      <c r="A643" s="9" t="s">
        <v>191</v>
      </c>
      <c r="B643" s="20">
        <v>45900</v>
      </c>
      <c r="C643" s="9" t="s">
        <v>235</v>
      </c>
      <c r="D643" s="14">
        <v>77285.66</v>
      </c>
      <c r="E643" s="14">
        <v>1968.78</v>
      </c>
      <c r="F643" s="14">
        <v>8084.37</v>
      </c>
      <c r="G643" s="14">
        <v>1827.16</v>
      </c>
      <c r="H643" s="14">
        <v>269.98</v>
      </c>
      <c r="I643" s="14">
        <v>89435.94</v>
      </c>
      <c r="J643" s="19">
        <v>0.56005243044069719</v>
      </c>
    </row>
    <row r="644" spans="1:10" x14ac:dyDescent="0.3">
      <c r="A644" s="9" t="s">
        <v>191</v>
      </c>
      <c r="B644" s="20">
        <v>45900</v>
      </c>
      <c r="C644" s="9" t="s">
        <v>234</v>
      </c>
      <c r="D644" s="14">
        <v>88590.49</v>
      </c>
      <c r="E644" s="14">
        <v>11658.56</v>
      </c>
      <c r="F644" s="14">
        <v>2107.09</v>
      </c>
      <c r="G644" s="14">
        <v>3763.82</v>
      </c>
      <c r="H644" s="14">
        <v>369.96</v>
      </c>
      <c r="I644" s="14">
        <v>106489.93</v>
      </c>
      <c r="J644" s="19">
        <v>0.56005243044069719</v>
      </c>
    </row>
    <row r="645" spans="1:10" x14ac:dyDescent="0.3">
      <c r="A645" s="9" t="s">
        <v>191</v>
      </c>
      <c r="B645" s="20">
        <v>45900</v>
      </c>
      <c r="C645" s="9" t="s">
        <v>219</v>
      </c>
      <c r="D645" s="14">
        <v>149645.51</v>
      </c>
      <c r="E645" s="14">
        <v>9337.14</v>
      </c>
      <c r="F645" s="14">
        <v>17289.93</v>
      </c>
      <c r="G645" s="14">
        <v>2483.0100000000002</v>
      </c>
      <c r="H645" s="14">
        <v>8421.84</v>
      </c>
      <c r="I645" s="14">
        <v>187177.42</v>
      </c>
      <c r="J645" s="19">
        <v>0.56005243044069719</v>
      </c>
    </row>
    <row r="646" spans="1:10" x14ac:dyDescent="0.3">
      <c r="A646" s="9" t="s">
        <v>191</v>
      </c>
      <c r="B646" s="20">
        <v>45900</v>
      </c>
      <c r="C646" s="9" t="s">
        <v>233</v>
      </c>
      <c r="D646" s="14">
        <v>43050.95</v>
      </c>
      <c r="E646" s="14">
        <v>2947.77</v>
      </c>
      <c r="F646" s="14">
        <v>2578.37</v>
      </c>
      <c r="G646" s="14">
        <v>1628.54</v>
      </c>
      <c r="H646" s="14">
        <v>326.89999999999998</v>
      </c>
      <c r="I646" s="14">
        <v>50532.53</v>
      </c>
      <c r="J646" s="19">
        <v>0.56005243044069719</v>
      </c>
    </row>
    <row r="647" spans="1:10" x14ac:dyDescent="0.3">
      <c r="A647" s="9" t="s">
        <v>191</v>
      </c>
      <c r="B647" s="20">
        <v>45900</v>
      </c>
      <c r="C647" s="9" t="s">
        <v>232</v>
      </c>
      <c r="D647" s="14">
        <v>97200.51</v>
      </c>
      <c r="E647" s="14">
        <v>8949.41</v>
      </c>
      <c r="F647" s="14">
        <v>3245.67</v>
      </c>
      <c r="G647" s="14">
        <v>4924.67</v>
      </c>
      <c r="H647" s="14">
        <v>300.14999999999998</v>
      </c>
      <c r="I647" s="14">
        <v>114620.41</v>
      </c>
      <c r="J647" s="19">
        <v>0.56005243044069719</v>
      </c>
    </row>
    <row r="648" spans="1:10" x14ac:dyDescent="0.3">
      <c r="A648" s="9" t="s">
        <v>191</v>
      </c>
      <c r="B648" s="20">
        <v>45900</v>
      </c>
      <c r="C648" s="9" t="s">
        <v>231</v>
      </c>
      <c r="D648" s="14">
        <v>26078.93</v>
      </c>
      <c r="E648" s="14">
        <v>4335.46</v>
      </c>
      <c r="F648" s="14">
        <v>1775.84</v>
      </c>
      <c r="G648" s="14">
        <v>471.08</v>
      </c>
      <c r="H648" s="14">
        <v>264.31</v>
      </c>
      <c r="I648" s="14">
        <v>32925.620000000003</v>
      </c>
      <c r="J648" s="19">
        <v>0.56005243044069719</v>
      </c>
    </row>
    <row r="649" spans="1:10" x14ac:dyDescent="0.3">
      <c r="A649" s="9" t="s">
        <v>191</v>
      </c>
      <c r="B649" s="20">
        <v>45900</v>
      </c>
      <c r="C649" s="9" t="s">
        <v>230</v>
      </c>
      <c r="D649" s="14">
        <v>1875.27</v>
      </c>
      <c r="E649" s="14">
        <v>159.85</v>
      </c>
      <c r="F649" s="14">
        <v>94</v>
      </c>
      <c r="G649" s="14">
        <v>46.73</v>
      </c>
      <c r="H649" s="14">
        <v>70.86</v>
      </c>
      <c r="I649" s="14">
        <v>2246.6999999999998</v>
      </c>
      <c r="J649" s="19">
        <v>0.56005243044069719</v>
      </c>
    </row>
    <row r="650" spans="1:10" x14ac:dyDescent="0.3">
      <c r="A650" s="9" t="s">
        <v>191</v>
      </c>
      <c r="B650" s="20">
        <v>45900</v>
      </c>
      <c r="C650" s="9" t="s">
        <v>229</v>
      </c>
      <c r="D650" s="14">
        <v>157889.79</v>
      </c>
      <c r="E650" s="14">
        <v>4886.05</v>
      </c>
      <c r="F650" s="14">
        <v>3089.44</v>
      </c>
      <c r="G650" s="14">
        <v>1940.3</v>
      </c>
      <c r="H650" s="14">
        <v>18931.830000000002</v>
      </c>
      <c r="I650" s="14">
        <v>186737.4</v>
      </c>
      <c r="J650" s="19">
        <v>0.56005243044069719</v>
      </c>
    </row>
    <row r="651" spans="1:10" x14ac:dyDescent="0.3">
      <c r="A651" s="9" t="s">
        <v>191</v>
      </c>
      <c r="B651" s="20">
        <v>45900</v>
      </c>
      <c r="C651" s="9" t="s">
        <v>228</v>
      </c>
      <c r="D651" s="14">
        <v>46410.8</v>
      </c>
      <c r="E651" s="14">
        <v>3067.64</v>
      </c>
      <c r="F651" s="14">
        <v>462.68</v>
      </c>
      <c r="G651" s="14">
        <v>721.78</v>
      </c>
      <c r="H651" s="14">
        <v>4770.42</v>
      </c>
      <c r="I651" s="14">
        <v>55433.32</v>
      </c>
      <c r="J651" s="19">
        <v>0.56005243044069719</v>
      </c>
    </row>
    <row r="652" spans="1:10" x14ac:dyDescent="0.3">
      <c r="A652" s="9" t="s">
        <v>191</v>
      </c>
      <c r="B652" s="20">
        <v>45900</v>
      </c>
      <c r="C652" s="9" t="s">
        <v>203</v>
      </c>
      <c r="D652" s="14">
        <v>27627.62</v>
      </c>
      <c r="E652" s="14">
        <v>2615.42</v>
      </c>
      <c r="F652" s="14">
        <v>3316.2</v>
      </c>
      <c r="G652" s="14">
        <v>916.79</v>
      </c>
      <c r="H652" s="14">
        <v>859.28</v>
      </c>
      <c r="I652" s="14">
        <v>35335.31</v>
      </c>
      <c r="J652" s="19">
        <v>0.56005243044069719</v>
      </c>
    </row>
    <row r="653" spans="1:10" x14ac:dyDescent="0.3">
      <c r="A653" s="9" t="s">
        <v>191</v>
      </c>
      <c r="B653" s="20">
        <v>45900</v>
      </c>
      <c r="C653" s="9" t="s">
        <v>216</v>
      </c>
      <c r="D653" s="14">
        <v>79902.31</v>
      </c>
      <c r="E653" s="14">
        <v>7181.41</v>
      </c>
      <c r="F653" s="14">
        <v>3131.74</v>
      </c>
      <c r="G653" s="14">
        <v>5891.95</v>
      </c>
      <c r="H653" s="14">
        <v>2287.8000000000002</v>
      </c>
      <c r="I653" s="14">
        <v>98395.21</v>
      </c>
      <c r="J653" s="19">
        <v>0.56005243044069719</v>
      </c>
    </row>
    <row r="654" spans="1:10" x14ac:dyDescent="0.3">
      <c r="A654" s="9" t="s">
        <v>191</v>
      </c>
      <c r="B654" s="20">
        <v>45900</v>
      </c>
      <c r="C654" s="9" t="s">
        <v>227</v>
      </c>
      <c r="D654" s="14">
        <v>150705.87</v>
      </c>
      <c r="E654" s="14">
        <v>17987.13</v>
      </c>
      <c r="F654" s="14">
        <v>10651.17</v>
      </c>
      <c r="G654" s="14">
        <v>5893.56</v>
      </c>
      <c r="H654" s="14">
        <v>633.88</v>
      </c>
      <c r="I654" s="14">
        <v>185871.6</v>
      </c>
      <c r="J654" s="19">
        <v>0.56005243044069719</v>
      </c>
    </row>
    <row r="655" spans="1:10" x14ac:dyDescent="0.3">
      <c r="A655" s="9" t="s">
        <v>191</v>
      </c>
      <c r="B655" s="20">
        <v>45900</v>
      </c>
      <c r="C655" s="9" t="s">
        <v>226</v>
      </c>
      <c r="D655" s="14">
        <v>157647.65</v>
      </c>
      <c r="E655" s="14">
        <v>10691.45</v>
      </c>
      <c r="F655" s="14">
        <v>1195.18</v>
      </c>
      <c r="G655" s="14">
        <v>5371.55</v>
      </c>
      <c r="H655" s="14">
        <v>3582.61</v>
      </c>
      <c r="I655" s="14">
        <v>178488.45</v>
      </c>
      <c r="J655" s="19">
        <v>0.56005243044069719</v>
      </c>
    </row>
    <row r="656" spans="1:10" x14ac:dyDescent="0.3">
      <c r="A656" s="9" t="s">
        <v>191</v>
      </c>
      <c r="B656" s="20">
        <v>45900</v>
      </c>
      <c r="C656" s="9" t="s">
        <v>205</v>
      </c>
      <c r="D656" s="14">
        <v>123715.76</v>
      </c>
      <c r="E656" s="14">
        <v>8597.66</v>
      </c>
      <c r="F656" s="14">
        <v>4820.47</v>
      </c>
      <c r="G656" s="14">
        <v>4753.17</v>
      </c>
      <c r="H656" s="14">
        <v>5188.6400000000003</v>
      </c>
      <c r="I656" s="14">
        <v>147075.70000000001</v>
      </c>
      <c r="J656" s="19">
        <v>0.56005243044069719</v>
      </c>
    </row>
    <row r="657" spans="1:10" x14ac:dyDescent="0.3">
      <c r="A657" s="9" t="s">
        <v>191</v>
      </c>
      <c r="B657" s="20">
        <v>45900</v>
      </c>
      <c r="C657" s="9" t="s">
        <v>225</v>
      </c>
      <c r="D657" s="14">
        <v>73046.61</v>
      </c>
      <c r="E657" s="14">
        <v>4489.3100000000004</v>
      </c>
      <c r="F657" s="14">
        <v>5179.9399999999996</v>
      </c>
      <c r="G657" s="14">
        <v>4652.54</v>
      </c>
      <c r="H657" s="14">
        <v>2291.29</v>
      </c>
      <c r="I657" s="14">
        <v>89659.7</v>
      </c>
      <c r="J657" s="19">
        <v>0.56005243044069719</v>
      </c>
    </row>
    <row r="658" spans="1:10" x14ac:dyDescent="0.3">
      <c r="A658" s="9" t="s">
        <v>191</v>
      </c>
      <c r="B658" s="20">
        <v>45900</v>
      </c>
      <c r="C658" s="9" t="s">
        <v>224</v>
      </c>
      <c r="D658" s="14">
        <v>111459.04</v>
      </c>
      <c r="E658" s="14">
        <v>6887.49</v>
      </c>
      <c r="F658" s="14">
        <v>3364.54</v>
      </c>
      <c r="G658" s="14">
        <v>6745.48</v>
      </c>
      <c r="H658" s="14">
        <v>291.89999999999998</v>
      </c>
      <c r="I658" s="14">
        <v>128748.45</v>
      </c>
      <c r="J658" s="19">
        <v>0.56005243044069719</v>
      </c>
    </row>
    <row r="659" spans="1:10" x14ac:dyDescent="0.3">
      <c r="A659" s="9" t="s">
        <v>191</v>
      </c>
      <c r="B659" s="20">
        <v>45900</v>
      </c>
      <c r="C659" s="9" t="s">
        <v>206</v>
      </c>
      <c r="D659" s="14">
        <v>134080.18</v>
      </c>
      <c r="E659" s="14">
        <v>10751.61</v>
      </c>
      <c r="F659" s="14">
        <v>6413.49</v>
      </c>
      <c r="G659" s="14">
        <v>11446.5</v>
      </c>
      <c r="H659" s="14">
        <v>6029.65</v>
      </c>
      <c r="I659" s="14">
        <v>168721.43</v>
      </c>
      <c r="J659" s="19">
        <v>0.56005243044069719</v>
      </c>
    </row>
    <row r="660" spans="1:10" x14ac:dyDescent="0.3">
      <c r="A660" s="9" t="s">
        <v>191</v>
      </c>
      <c r="B660" s="20">
        <v>45900</v>
      </c>
      <c r="C660" s="9" t="s">
        <v>211</v>
      </c>
      <c r="D660" s="14">
        <v>96527.53</v>
      </c>
      <c r="E660" s="14">
        <v>4132.7700000000004</v>
      </c>
      <c r="F660" s="14">
        <v>5924.39</v>
      </c>
      <c r="G660" s="14">
        <v>3910.56</v>
      </c>
      <c r="H660" s="14">
        <v>5365.38</v>
      </c>
      <c r="I660" s="14">
        <v>115860.64</v>
      </c>
      <c r="J660" s="19">
        <v>0.56005243044069719</v>
      </c>
    </row>
    <row r="661" spans="1:10" x14ac:dyDescent="0.3">
      <c r="A661" s="9" t="s">
        <v>191</v>
      </c>
      <c r="B661" s="20">
        <v>45900</v>
      </c>
      <c r="C661" s="9" t="s">
        <v>223</v>
      </c>
      <c r="D661" s="14">
        <v>88965.32</v>
      </c>
      <c r="E661" s="14">
        <v>5227.63</v>
      </c>
      <c r="F661" s="14">
        <v>3995.71</v>
      </c>
      <c r="G661" s="14">
        <v>3324.1</v>
      </c>
      <c r="H661" s="14">
        <v>1710.09</v>
      </c>
      <c r="I661" s="14">
        <v>103222.85</v>
      </c>
      <c r="J661" s="19">
        <v>0.56005243044069719</v>
      </c>
    </row>
    <row r="662" spans="1:10" x14ac:dyDescent="0.3">
      <c r="A662" s="9" t="s">
        <v>191</v>
      </c>
      <c r="B662" s="20">
        <v>45930</v>
      </c>
      <c r="C662" s="9" t="s">
        <v>222</v>
      </c>
      <c r="D662" s="14">
        <v>66963.259999999995</v>
      </c>
      <c r="E662" s="14">
        <v>5788.97</v>
      </c>
      <c r="F662" s="14">
        <v>3644.11</v>
      </c>
      <c r="G662" s="14">
        <v>1571.3</v>
      </c>
      <c r="H662" s="14">
        <v>85</v>
      </c>
      <c r="I662" s="14">
        <v>78052.639999999999</v>
      </c>
      <c r="J662" s="19">
        <v>0.54677980066157683</v>
      </c>
    </row>
    <row r="663" spans="1:10" x14ac:dyDescent="0.3">
      <c r="A663" s="9" t="s">
        <v>191</v>
      </c>
      <c r="B663" s="20">
        <v>45930</v>
      </c>
      <c r="C663" s="9" t="s">
        <v>235</v>
      </c>
      <c r="D663" s="14">
        <v>17296.5</v>
      </c>
      <c r="E663" s="14">
        <v>933.08</v>
      </c>
      <c r="F663" s="14">
        <v>1833.71</v>
      </c>
      <c r="G663" s="14">
        <v>897.71</v>
      </c>
      <c r="H663" s="14">
        <v>1055.3399999999999</v>
      </c>
      <c r="I663" s="14">
        <v>22016.33</v>
      </c>
      <c r="J663" s="19">
        <v>0.54677980066157683</v>
      </c>
    </row>
    <row r="664" spans="1:10" x14ac:dyDescent="0.3">
      <c r="A664" s="9" t="s">
        <v>191</v>
      </c>
      <c r="B664" s="20">
        <v>45930</v>
      </c>
      <c r="C664" s="9" t="s">
        <v>234</v>
      </c>
      <c r="D664" s="14">
        <v>127178.93</v>
      </c>
      <c r="E664" s="14">
        <v>9256.7099999999991</v>
      </c>
      <c r="F664" s="14">
        <v>6672.55</v>
      </c>
      <c r="G664" s="14">
        <v>1062.04</v>
      </c>
      <c r="H664" s="14">
        <v>2356.5500000000002</v>
      </c>
      <c r="I664" s="14">
        <v>146526.78</v>
      </c>
      <c r="J664" s="19">
        <v>0.54677980066157683</v>
      </c>
    </row>
    <row r="665" spans="1:10" x14ac:dyDescent="0.3">
      <c r="A665" s="9" t="s">
        <v>191</v>
      </c>
      <c r="B665" s="20">
        <v>45930</v>
      </c>
      <c r="C665" s="9" t="s">
        <v>219</v>
      </c>
      <c r="D665" s="14">
        <v>136666.75</v>
      </c>
      <c r="E665" s="14">
        <v>3164.72</v>
      </c>
      <c r="F665" s="14">
        <v>2411</v>
      </c>
      <c r="G665" s="14">
        <v>1945.94</v>
      </c>
      <c r="H665" s="14">
        <v>7324.77</v>
      </c>
      <c r="I665" s="14">
        <v>151513.18</v>
      </c>
      <c r="J665" s="19">
        <v>0.54677980066157683</v>
      </c>
    </row>
    <row r="666" spans="1:10" x14ac:dyDescent="0.3">
      <c r="A666" s="9" t="s">
        <v>191</v>
      </c>
      <c r="B666" s="20">
        <v>45930</v>
      </c>
      <c r="C666" s="9" t="s">
        <v>233</v>
      </c>
      <c r="D666" s="14">
        <v>124117.12</v>
      </c>
      <c r="E666" s="14">
        <v>14580.86</v>
      </c>
      <c r="F666" s="14">
        <v>4932.51</v>
      </c>
      <c r="G666" s="14">
        <v>2625.7</v>
      </c>
      <c r="H666" s="14">
        <v>4905.87</v>
      </c>
      <c r="I666" s="14">
        <v>151162.07</v>
      </c>
      <c r="J666" s="19">
        <v>0.54677980066157683</v>
      </c>
    </row>
    <row r="667" spans="1:10" x14ac:dyDescent="0.3">
      <c r="A667" s="9" t="s">
        <v>191</v>
      </c>
      <c r="B667" s="20">
        <v>45930</v>
      </c>
      <c r="C667" s="9" t="s">
        <v>232</v>
      </c>
      <c r="D667" s="14">
        <v>33235.9</v>
      </c>
      <c r="E667" s="14">
        <v>1588.8</v>
      </c>
      <c r="F667" s="14">
        <v>650.88</v>
      </c>
      <c r="G667" s="14">
        <v>703.69</v>
      </c>
      <c r="H667" s="14">
        <v>105.4</v>
      </c>
      <c r="I667" s="14">
        <v>36284.67</v>
      </c>
      <c r="J667" s="19">
        <v>0.54677980066157683</v>
      </c>
    </row>
    <row r="668" spans="1:10" x14ac:dyDescent="0.3">
      <c r="A668" s="9" t="s">
        <v>191</v>
      </c>
      <c r="B668" s="20">
        <v>45930</v>
      </c>
      <c r="C668" s="9" t="s">
        <v>231</v>
      </c>
      <c r="D668" s="14">
        <v>136333.42000000001</v>
      </c>
      <c r="E668" s="14">
        <v>3590.01</v>
      </c>
      <c r="F668" s="14">
        <v>10022.790000000001</v>
      </c>
      <c r="G668" s="14">
        <v>9359.75</v>
      </c>
      <c r="H668" s="14">
        <v>6712.05</v>
      </c>
      <c r="I668" s="14">
        <v>166018.01999999999</v>
      </c>
      <c r="J668" s="19">
        <v>0.54677980066157683</v>
      </c>
    </row>
    <row r="669" spans="1:10" x14ac:dyDescent="0.3">
      <c r="A669" s="9" t="s">
        <v>191</v>
      </c>
      <c r="B669" s="20">
        <v>45930</v>
      </c>
      <c r="C669" s="9" t="s">
        <v>230</v>
      </c>
      <c r="D669" s="14">
        <v>6495.71</v>
      </c>
      <c r="E669" s="14">
        <v>445.81</v>
      </c>
      <c r="F669" s="14">
        <v>312.60000000000002</v>
      </c>
      <c r="G669" s="14">
        <v>68.45</v>
      </c>
      <c r="H669" s="14">
        <v>62.56</v>
      </c>
      <c r="I669" s="14">
        <v>7385.12</v>
      </c>
      <c r="J669" s="19">
        <v>0.54677980066157683</v>
      </c>
    </row>
    <row r="670" spans="1:10" x14ac:dyDescent="0.3">
      <c r="A670" s="9" t="s">
        <v>191</v>
      </c>
      <c r="B670" s="20">
        <v>45930</v>
      </c>
      <c r="C670" s="9" t="s">
        <v>229</v>
      </c>
      <c r="D670" s="14">
        <v>79902.990000000005</v>
      </c>
      <c r="E670" s="14">
        <v>7134.7</v>
      </c>
      <c r="F670" s="14">
        <v>1504.61</v>
      </c>
      <c r="G670" s="14">
        <v>199.13</v>
      </c>
      <c r="H670" s="14">
        <v>2421.39</v>
      </c>
      <c r="I670" s="14">
        <v>91162.82</v>
      </c>
      <c r="J670" s="19">
        <v>0.54677980066157683</v>
      </c>
    </row>
    <row r="671" spans="1:10" x14ac:dyDescent="0.3">
      <c r="A671" s="9" t="s">
        <v>191</v>
      </c>
      <c r="B671" s="20">
        <v>45930</v>
      </c>
      <c r="C671" s="9" t="s">
        <v>228</v>
      </c>
      <c r="D671" s="14">
        <v>42321.85</v>
      </c>
      <c r="E671" s="14">
        <v>4669.37</v>
      </c>
      <c r="F671" s="14">
        <v>753.93</v>
      </c>
      <c r="G671" s="14">
        <v>571.46</v>
      </c>
      <c r="H671" s="14">
        <v>244.13</v>
      </c>
      <c r="I671" s="14">
        <v>48560.74</v>
      </c>
      <c r="J671" s="19">
        <v>0.54677980066157683</v>
      </c>
    </row>
    <row r="672" spans="1:10" x14ac:dyDescent="0.3">
      <c r="A672" s="9" t="s">
        <v>191</v>
      </c>
      <c r="B672" s="20">
        <v>45930</v>
      </c>
      <c r="C672" s="9" t="s">
        <v>203</v>
      </c>
      <c r="D672" s="14">
        <v>143470.95000000001</v>
      </c>
      <c r="E672" s="14">
        <v>12146.65</v>
      </c>
      <c r="F672" s="14">
        <v>4237.8999999999996</v>
      </c>
      <c r="G672" s="14">
        <v>1549.57</v>
      </c>
      <c r="H672" s="14">
        <v>12513.05</v>
      </c>
      <c r="I672" s="14">
        <v>173918.11</v>
      </c>
      <c r="J672" s="19">
        <v>0.54677980066157683</v>
      </c>
    </row>
    <row r="673" spans="1:10" x14ac:dyDescent="0.3">
      <c r="A673" s="9" t="s">
        <v>191</v>
      </c>
      <c r="B673" s="20">
        <v>45930</v>
      </c>
      <c r="C673" s="9" t="s">
        <v>216</v>
      </c>
      <c r="D673" s="14">
        <v>33031.21</v>
      </c>
      <c r="E673" s="14">
        <v>2685.44</v>
      </c>
      <c r="F673" s="14">
        <v>1261.07</v>
      </c>
      <c r="G673" s="14">
        <v>495.19</v>
      </c>
      <c r="H673" s="14">
        <v>421.89</v>
      </c>
      <c r="I673" s="14">
        <v>37894.81</v>
      </c>
      <c r="J673" s="19">
        <v>0.54677980066157683</v>
      </c>
    </row>
    <row r="674" spans="1:10" x14ac:dyDescent="0.3">
      <c r="A674" s="9" t="s">
        <v>191</v>
      </c>
      <c r="B674" s="20">
        <v>45930</v>
      </c>
      <c r="C674" s="9" t="s">
        <v>227</v>
      </c>
      <c r="D674" s="14">
        <v>70414.559999999998</v>
      </c>
      <c r="E674" s="14">
        <v>10653.3</v>
      </c>
      <c r="F674" s="14">
        <v>1115.56</v>
      </c>
      <c r="G674" s="14">
        <v>1705.63</v>
      </c>
      <c r="H674" s="14">
        <v>3529.14</v>
      </c>
      <c r="I674" s="14">
        <v>87418.2</v>
      </c>
      <c r="J674" s="19">
        <v>0.54677980066157683</v>
      </c>
    </row>
    <row r="675" spans="1:10" x14ac:dyDescent="0.3">
      <c r="A675" s="9" t="s">
        <v>191</v>
      </c>
      <c r="B675" s="20">
        <v>45930</v>
      </c>
      <c r="C675" s="9" t="s">
        <v>226</v>
      </c>
      <c r="D675" s="14">
        <v>131998.46</v>
      </c>
      <c r="E675" s="14">
        <v>13084.14</v>
      </c>
      <c r="F675" s="14">
        <v>6521.44</v>
      </c>
      <c r="G675" s="14">
        <v>921.64</v>
      </c>
      <c r="H675" s="14">
        <v>3229.91</v>
      </c>
      <c r="I675" s="14">
        <v>155755.59</v>
      </c>
      <c r="J675" s="19">
        <v>0.54677980066157683</v>
      </c>
    </row>
    <row r="676" spans="1:10" x14ac:dyDescent="0.3">
      <c r="A676" s="9" t="s">
        <v>191</v>
      </c>
      <c r="B676" s="20">
        <v>45930</v>
      </c>
      <c r="C676" s="9" t="s">
        <v>205</v>
      </c>
      <c r="D676" s="14">
        <v>128661.09</v>
      </c>
      <c r="E676" s="14">
        <v>7779.93</v>
      </c>
      <c r="F676" s="14">
        <v>8831.57</v>
      </c>
      <c r="G676" s="14">
        <v>3594.13</v>
      </c>
      <c r="H676" s="14">
        <v>3109.78</v>
      </c>
      <c r="I676" s="14">
        <v>151976.5</v>
      </c>
      <c r="J676" s="19">
        <v>0.54677980066157683</v>
      </c>
    </row>
    <row r="677" spans="1:10" x14ac:dyDescent="0.3">
      <c r="A677" s="9" t="s">
        <v>191</v>
      </c>
      <c r="B677" s="20">
        <v>45930</v>
      </c>
      <c r="C677" s="9" t="s">
        <v>225</v>
      </c>
      <c r="D677" s="14">
        <v>61950.74</v>
      </c>
      <c r="E677" s="14">
        <v>4482.8999999999996</v>
      </c>
      <c r="F677" s="14">
        <v>1105.29</v>
      </c>
      <c r="G677" s="14">
        <v>3304.38</v>
      </c>
      <c r="H677" s="14">
        <v>2083.9</v>
      </c>
      <c r="I677" s="14">
        <v>72927.210000000006</v>
      </c>
      <c r="J677" s="19">
        <v>0.54677980066157683</v>
      </c>
    </row>
    <row r="678" spans="1:10" x14ac:dyDescent="0.3">
      <c r="A678" s="9" t="s">
        <v>191</v>
      </c>
      <c r="B678" s="20">
        <v>45930</v>
      </c>
      <c r="C678" s="9" t="s">
        <v>224</v>
      </c>
      <c r="D678" s="14">
        <v>137590.54999999999</v>
      </c>
      <c r="E678" s="14">
        <v>11684.19</v>
      </c>
      <c r="F678" s="14">
        <v>2216.0700000000002</v>
      </c>
      <c r="G678" s="14">
        <v>9752.67</v>
      </c>
      <c r="H678" s="14">
        <v>7826.07</v>
      </c>
      <c r="I678" s="14">
        <v>169069.54</v>
      </c>
      <c r="J678" s="19">
        <v>0.54677980066157683</v>
      </c>
    </row>
    <row r="679" spans="1:10" x14ac:dyDescent="0.3">
      <c r="A679" s="9" t="s">
        <v>191</v>
      </c>
      <c r="B679" s="20">
        <v>45930</v>
      </c>
      <c r="C679" s="9" t="s">
        <v>206</v>
      </c>
      <c r="D679" s="14">
        <v>124457.53</v>
      </c>
      <c r="E679" s="14">
        <v>14153.01</v>
      </c>
      <c r="F679" s="14">
        <v>5551.76</v>
      </c>
      <c r="G679" s="14">
        <v>4832.99</v>
      </c>
      <c r="H679" s="14">
        <v>1776.84</v>
      </c>
      <c r="I679" s="14">
        <v>150772.13</v>
      </c>
      <c r="J679" s="19">
        <v>0.54677980066157683</v>
      </c>
    </row>
    <row r="680" spans="1:10" x14ac:dyDescent="0.3">
      <c r="A680" s="9" t="s">
        <v>191</v>
      </c>
      <c r="B680" s="20">
        <v>45930</v>
      </c>
      <c r="C680" s="9" t="s">
        <v>211</v>
      </c>
      <c r="D680" s="14">
        <v>76314.19</v>
      </c>
      <c r="E680" s="14">
        <v>8033.63</v>
      </c>
      <c r="F680" s="14">
        <v>5572.62</v>
      </c>
      <c r="G680" s="14">
        <v>1860.33</v>
      </c>
      <c r="H680" s="14">
        <v>4284.5600000000004</v>
      </c>
      <c r="I680" s="14">
        <v>96065.33</v>
      </c>
      <c r="J680" s="19">
        <v>0.54677980066157683</v>
      </c>
    </row>
    <row r="681" spans="1:10" x14ac:dyDescent="0.3">
      <c r="A681" s="9" t="s">
        <v>191</v>
      </c>
      <c r="B681" s="20">
        <v>45930</v>
      </c>
      <c r="C681" s="9" t="s">
        <v>223</v>
      </c>
      <c r="D681" s="14">
        <v>139023.54999999999</v>
      </c>
      <c r="E681" s="14">
        <v>3887.9</v>
      </c>
      <c r="F681" s="14">
        <v>8202.24</v>
      </c>
      <c r="G681" s="14">
        <v>1175.8399999999999</v>
      </c>
      <c r="H681" s="14">
        <v>2075.31</v>
      </c>
      <c r="I681" s="14">
        <v>154364.84</v>
      </c>
      <c r="J681" s="19">
        <v>0.54677980066157683</v>
      </c>
    </row>
    <row r="682" spans="1:10" x14ac:dyDescent="0.3">
      <c r="A682" s="9" t="s">
        <v>191</v>
      </c>
      <c r="B682" s="20">
        <v>45961</v>
      </c>
      <c r="C682" s="9" t="s">
        <v>222</v>
      </c>
      <c r="D682" s="14">
        <v>134653.29999999999</v>
      </c>
      <c r="E682" s="14">
        <v>7863.08</v>
      </c>
      <c r="F682" s="14">
        <v>1339.06</v>
      </c>
      <c r="G682" s="14">
        <v>9181.23</v>
      </c>
      <c r="H682" s="14">
        <v>1456.17</v>
      </c>
      <c r="I682" s="14">
        <v>154492.85</v>
      </c>
      <c r="J682" s="19">
        <v>0.6210059366324725</v>
      </c>
    </row>
    <row r="683" spans="1:10" x14ac:dyDescent="0.3">
      <c r="A683" s="9" t="s">
        <v>191</v>
      </c>
      <c r="B683" s="20">
        <v>45961</v>
      </c>
      <c r="C683" s="9" t="s">
        <v>235</v>
      </c>
      <c r="D683" s="14">
        <v>56247.11</v>
      </c>
      <c r="E683" s="14">
        <v>7297.49</v>
      </c>
      <c r="F683" s="14">
        <v>1872.88</v>
      </c>
      <c r="G683" s="14">
        <v>1321.31</v>
      </c>
      <c r="H683" s="14">
        <v>3370.3</v>
      </c>
      <c r="I683" s="14">
        <v>70109.09</v>
      </c>
      <c r="J683" s="19">
        <v>0.6210059366324725</v>
      </c>
    </row>
    <row r="684" spans="1:10" x14ac:dyDescent="0.3">
      <c r="A684" s="9" t="s">
        <v>191</v>
      </c>
      <c r="B684" s="20">
        <v>45961</v>
      </c>
      <c r="C684" s="9" t="s">
        <v>234</v>
      </c>
      <c r="D684" s="14">
        <v>78429.56</v>
      </c>
      <c r="E684" s="14">
        <v>4749.13</v>
      </c>
      <c r="F684" s="14">
        <v>2777.52</v>
      </c>
      <c r="G684" s="14">
        <v>2475.7600000000002</v>
      </c>
      <c r="H684" s="14">
        <v>1052.25</v>
      </c>
      <c r="I684" s="14">
        <v>89484.23</v>
      </c>
      <c r="J684" s="19">
        <v>0.6210059366324725</v>
      </c>
    </row>
    <row r="685" spans="1:10" x14ac:dyDescent="0.3">
      <c r="A685" s="9" t="s">
        <v>191</v>
      </c>
      <c r="B685" s="20">
        <v>45961</v>
      </c>
      <c r="C685" s="9" t="s">
        <v>219</v>
      </c>
      <c r="D685" s="14">
        <v>5003.2299999999996</v>
      </c>
      <c r="E685" s="14">
        <v>360.77</v>
      </c>
      <c r="F685" s="14">
        <v>401.66</v>
      </c>
      <c r="G685" s="14">
        <v>144.82</v>
      </c>
      <c r="H685" s="14">
        <v>65.989999999999995</v>
      </c>
      <c r="I685" s="14">
        <v>5976.46</v>
      </c>
      <c r="J685" s="19">
        <v>0.6210059366324725</v>
      </c>
    </row>
    <row r="686" spans="1:10" x14ac:dyDescent="0.3">
      <c r="A686" s="9" t="s">
        <v>191</v>
      </c>
      <c r="B686" s="20">
        <v>45961</v>
      </c>
      <c r="C686" s="9" t="s">
        <v>233</v>
      </c>
      <c r="D686" s="14">
        <v>16729.939999999999</v>
      </c>
      <c r="E686" s="14">
        <v>2546.62</v>
      </c>
      <c r="F686" s="14">
        <v>840.39</v>
      </c>
      <c r="G686" s="14">
        <v>184.26</v>
      </c>
      <c r="H686" s="14">
        <v>346.04</v>
      </c>
      <c r="I686" s="14">
        <v>20647.259999999998</v>
      </c>
      <c r="J686" s="19">
        <v>0.6210059366324725</v>
      </c>
    </row>
    <row r="687" spans="1:10" x14ac:dyDescent="0.3">
      <c r="A687" s="9" t="s">
        <v>191</v>
      </c>
      <c r="B687" s="20">
        <v>45961</v>
      </c>
      <c r="C687" s="9" t="s">
        <v>232</v>
      </c>
      <c r="D687" s="14">
        <v>177576.21</v>
      </c>
      <c r="E687" s="14">
        <v>7957.3</v>
      </c>
      <c r="F687" s="14">
        <v>13096.08</v>
      </c>
      <c r="G687" s="14">
        <v>14320.41</v>
      </c>
      <c r="H687" s="14">
        <v>2492.98</v>
      </c>
      <c r="I687" s="14">
        <v>215442.99</v>
      </c>
      <c r="J687" s="19">
        <v>0.6210059366324725</v>
      </c>
    </row>
    <row r="688" spans="1:10" x14ac:dyDescent="0.3">
      <c r="A688" s="9" t="s">
        <v>191</v>
      </c>
      <c r="B688" s="20">
        <v>45961</v>
      </c>
      <c r="C688" s="9" t="s">
        <v>231</v>
      </c>
      <c r="D688" s="14">
        <v>139874.62</v>
      </c>
      <c r="E688" s="14">
        <v>12999.07</v>
      </c>
      <c r="F688" s="14">
        <v>3479.05</v>
      </c>
      <c r="G688" s="14">
        <v>7847.07</v>
      </c>
      <c r="H688" s="14">
        <v>9475.11</v>
      </c>
      <c r="I688" s="14">
        <v>173674.93</v>
      </c>
      <c r="J688" s="19">
        <v>0.6210059366324725</v>
      </c>
    </row>
    <row r="689" spans="1:10" x14ac:dyDescent="0.3">
      <c r="A689" s="9" t="s">
        <v>191</v>
      </c>
      <c r="B689" s="20">
        <v>45961</v>
      </c>
      <c r="C689" s="9" t="s">
        <v>230</v>
      </c>
      <c r="D689" s="14">
        <v>133925.54999999999</v>
      </c>
      <c r="E689" s="14">
        <v>12211.99</v>
      </c>
      <c r="F689" s="14">
        <v>13464.14</v>
      </c>
      <c r="G689" s="14">
        <v>2258.92</v>
      </c>
      <c r="H689" s="14">
        <v>3800.22</v>
      </c>
      <c r="I689" s="14">
        <v>165660.82999999999</v>
      </c>
      <c r="J689" s="19">
        <v>0.6210059366324725</v>
      </c>
    </row>
    <row r="690" spans="1:10" x14ac:dyDescent="0.3">
      <c r="A690" s="9" t="s">
        <v>191</v>
      </c>
      <c r="B690" s="20">
        <v>45961</v>
      </c>
      <c r="C690" s="9" t="s">
        <v>229</v>
      </c>
      <c r="D690" s="14">
        <v>160614.37</v>
      </c>
      <c r="E690" s="14">
        <v>5087.01</v>
      </c>
      <c r="F690" s="14">
        <v>20403.09</v>
      </c>
      <c r="G690" s="14">
        <v>1373.47</v>
      </c>
      <c r="H690" s="14">
        <v>621.57000000000005</v>
      </c>
      <c r="I690" s="14">
        <v>188099.52</v>
      </c>
      <c r="J690" s="19">
        <v>0.6210059366324725</v>
      </c>
    </row>
    <row r="691" spans="1:10" x14ac:dyDescent="0.3">
      <c r="A691" s="9" t="s">
        <v>191</v>
      </c>
      <c r="B691" s="20">
        <v>45961</v>
      </c>
      <c r="C691" s="9" t="s">
        <v>228</v>
      </c>
      <c r="D691" s="14">
        <v>181721.54</v>
      </c>
      <c r="E691" s="14">
        <v>19175.87</v>
      </c>
      <c r="F691" s="14">
        <v>3567.34</v>
      </c>
      <c r="G691" s="14">
        <v>4470.6499999999996</v>
      </c>
      <c r="H691" s="14">
        <v>2867.34</v>
      </c>
      <c r="I691" s="14">
        <v>211802.74</v>
      </c>
      <c r="J691" s="19">
        <v>0.6210059366324725</v>
      </c>
    </row>
    <row r="692" spans="1:10" x14ac:dyDescent="0.3">
      <c r="A692" s="9" t="s">
        <v>191</v>
      </c>
      <c r="B692" s="20">
        <v>45961</v>
      </c>
      <c r="C692" s="9" t="s">
        <v>203</v>
      </c>
      <c r="D692" s="14">
        <v>186317.9</v>
      </c>
      <c r="E692" s="14">
        <v>6162.29</v>
      </c>
      <c r="F692" s="14">
        <v>17925.79</v>
      </c>
      <c r="G692" s="14">
        <v>781.98</v>
      </c>
      <c r="H692" s="14">
        <v>179.67</v>
      </c>
      <c r="I692" s="14">
        <v>211367.64</v>
      </c>
      <c r="J692" s="19">
        <v>0.6210059366324725</v>
      </c>
    </row>
    <row r="693" spans="1:10" x14ac:dyDescent="0.3">
      <c r="A693" s="9" t="s">
        <v>191</v>
      </c>
      <c r="B693" s="20">
        <v>45961</v>
      </c>
      <c r="C693" s="9" t="s">
        <v>216</v>
      </c>
      <c r="D693" s="14">
        <v>276.77</v>
      </c>
      <c r="E693" s="14">
        <v>7.42</v>
      </c>
      <c r="F693" s="14">
        <v>7.87</v>
      </c>
      <c r="G693" s="14">
        <v>8.2100000000000009</v>
      </c>
      <c r="H693" s="14">
        <v>3.33</v>
      </c>
      <c r="I693" s="14">
        <v>303.58999999999997</v>
      </c>
      <c r="J693" s="19">
        <v>0.6210059366324725</v>
      </c>
    </row>
    <row r="694" spans="1:10" x14ac:dyDescent="0.3">
      <c r="A694" s="9" t="s">
        <v>191</v>
      </c>
      <c r="B694" s="20">
        <v>45961</v>
      </c>
      <c r="C694" s="9" t="s">
        <v>227</v>
      </c>
      <c r="D694" s="14">
        <v>54795.33</v>
      </c>
      <c r="E694" s="14">
        <v>2247.5</v>
      </c>
      <c r="F694" s="14">
        <v>2526.66</v>
      </c>
      <c r="G694" s="14">
        <v>2932.19</v>
      </c>
      <c r="H694" s="14">
        <v>592.30999999999995</v>
      </c>
      <c r="I694" s="14">
        <v>63093.98</v>
      </c>
      <c r="J694" s="19">
        <v>0.6210059366324725</v>
      </c>
    </row>
    <row r="695" spans="1:10" x14ac:dyDescent="0.3">
      <c r="A695" s="9" t="s">
        <v>191</v>
      </c>
      <c r="B695" s="20">
        <v>45961</v>
      </c>
      <c r="C695" s="9" t="s">
        <v>226</v>
      </c>
      <c r="D695" s="14">
        <v>115190.12</v>
      </c>
      <c r="E695" s="14">
        <v>12592.27</v>
      </c>
      <c r="F695" s="14">
        <v>15737.15</v>
      </c>
      <c r="G695" s="14">
        <v>707.23</v>
      </c>
      <c r="H695" s="14">
        <v>5060.37</v>
      </c>
      <c r="I695" s="14">
        <v>149287.13</v>
      </c>
      <c r="J695" s="19">
        <v>0.6210059366324725</v>
      </c>
    </row>
    <row r="696" spans="1:10" x14ac:dyDescent="0.3">
      <c r="A696" s="9" t="s">
        <v>191</v>
      </c>
      <c r="B696" s="20">
        <v>45961</v>
      </c>
      <c r="C696" s="9" t="s">
        <v>205</v>
      </c>
      <c r="D696" s="14">
        <v>179856.81</v>
      </c>
      <c r="E696" s="14">
        <v>3581.78</v>
      </c>
      <c r="F696" s="14">
        <v>4299.22</v>
      </c>
      <c r="G696" s="14">
        <v>13514</v>
      </c>
      <c r="H696" s="14">
        <v>6840.07</v>
      </c>
      <c r="I696" s="14">
        <v>208091.88</v>
      </c>
      <c r="J696" s="19">
        <v>0.6210059366324725</v>
      </c>
    </row>
    <row r="697" spans="1:10" x14ac:dyDescent="0.3">
      <c r="A697" s="9" t="s">
        <v>191</v>
      </c>
      <c r="B697" s="20">
        <v>45961</v>
      </c>
      <c r="C697" s="9" t="s">
        <v>225</v>
      </c>
      <c r="D697" s="14">
        <v>17970.18</v>
      </c>
      <c r="E697" s="14">
        <v>900.67</v>
      </c>
      <c r="F697" s="14">
        <v>999.63</v>
      </c>
      <c r="G697" s="14">
        <v>1101.69</v>
      </c>
      <c r="H697" s="14">
        <v>124.43</v>
      </c>
      <c r="I697" s="14">
        <v>21096.6</v>
      </c>
      <c r="J697" s="19">
        <v>0.6210059366324725</v>
      </c>
    </row>
    <row r="698" spans="1:10" x14ac:dyDescent="0.3">
      <c r="A698" s="9" t="s">
        <v>191</v>
      </c>
      <c r="B698" s="20">
        <v>45961</v>
      </c>
      <c r="C698" s="9" t="s">
        <v>224</v>
      </c>
      <c r="D698" s="14">
        <v>65481.760000000002</v>
      </c>
      <c r="E698" s="14">
        <v>5481.51</v>
      </c>
      <c r="F698" s="14">
        <v>3468.64</v>
      </c>
      <c r="G698" s="14">
        <v>500.73</v>
      </c>
      <c r="H698" s="14">
        <v>915.77</v>
      </c>
      <c r="I698" s="14">
        <v>75848.41</v>
      </c>
      <c r="J698" s="19">
        <v>0.6210059366324725</v>
      </c>
    </row>
    <row r="699" spans="1:10" x14ac:dyDescent="0.3">
      <c r="A699" s="9" t="s">
        <v>191</v>
      </c>
      <c r="B699" s="20">
        <v>45961</v>
      </c>
      <c r="C699" s="9" t="s">
        <v>206</v>
      </c>
      <c r="D699" s="14">
        <v>160851.22</v>
      </c>
      <c r="E699" s="14">
        <v>13312.47</v>
      </c>
      <c r="F699" s="14">
        <v>312.12</v>
      </c>
      <c r="G699" s="14">
        <v>8257.2099999999991</v>
      </c>
      <c r="H699" s="14">
        <v>2121.8200000000002</v>
      </c>
      <c r="I699" s="14">
        <v>184854.84</v>
      </c>
      <c r="J699" s="19">
        <v>0.6210059366324725</v>
      </c>
    </row>
    <row r="700" spans="1:10" x14ac:dyDescent="0.3">
      <c r="A700" s="9" t="s">
        <v>191</v>
      </c>
      <c r="B700" s="20">
        <v>45961</v>
      </c>
      <c r="C700" s="9" t="s">
        <v>211</v>
      </c>
      <c r="D700" s="14">
        <v>173818.5</v>
      </c>
      <c r="E700" s="14">
        <v>9932.7999999999993</v>
      </c>
      <c r="F700" s="14">
        <v>7477.53</v>
      </c>
      <c r="G700" s="14">
        <v>5454.61</v>
      </c>
      <c r="H700" s="14">
        <v>7991.15</v>
      </c>
      <c r="I700" s="14">
        <v>204674.59</v>
      </c>
      <c r="J700" s="19">
        <v>0.6210059366324725</v>
      </c>
    </row>
    <row r="701" spans="1:10" x14ac:dyDescent="0.3">
      <c r="A701" s="9" t="s">
        <v>191</v>
      </c>
      <c r="B701" s="20">
        <v>45961</v>
      </c>
      <c r="C701" s="9" t="s">
        <v>223</v>
      </c>
      <c r="D701" s="14">
        <v>36677.24</v>
      </c>
      <c r="E701" s="14">
        <v>4143.18</v>
      </c>
      <c r="F701" s="14">
        <v>406.18</v>
      </c>
      <c r="G701" s="14">
        <v>823.28</v>
      </c>
      <c r="H701" s="14">
        <v>19.02</v>
      </c>
      <c r="I701" s="14">
        <v>42068.91</v>
      </c>
      <c r="J701" s="19">
        <v>0.6210059366324725</v>
      </c>
    </row>
    <row r="702" spans="1:10" x14ac:dyDescent="0.3">
      <c r="A702" s="9" t="s">
        <v>191</v>
      </c>
      <c r="B702" s="20">
        <v>45991</v>
      </c>
      <c r="C702" s="9" t="s">
        <v>222</v>
      </c>
      <c r="D702" s="14">
        <v>174782.56</v>
      </c>
      <c r="E702" s="14">
        <v>22388.25</v>
      </c>
      <c r="F702" s="14">
        <v>7953.35</v>
      </c>
      <c r="G702" s="14">
        <v>6921.72</v>
      </c>
      <c r="H702" s="14">
        <v>1178.6600000000001</v>
      </c>
      <c r="I702" s="14">
        <v>213224.54</v>
      </c>
      <c r="J702" s="19">
        <v>0.56130858770120329</v>
      </c>
    </row>
    <row r="703" spans="1:10" x14ac:dyDescent="0.3">
      <c r="A703" s="9" t="s">
        <v>191</v>
      </c>
      <c r="B703" s="20">
        <v>45991</v>
      </c>
      <c r="C703" s="9" t="s">
        <v>235</v>
      </c>
      <c r="D703" s="14">
        <v>38392.78</v>
      </c>
      <c r="E703" s="14">
        <v>4534.53</v>
      </c>
      <c r="F703" s="14">
        <v>1023.77</v>
      </c>
      <c r="G703" s="14">
        <v>1883.71</v>
      </c>
      <c r="H703" s="14">
        <v>372.36</v>
      </c>
      <c r="I703" s="14">
        <v>46207.14</v>
      </c>
      <c r="J703" s="19">
        <v>0.56130858770120329</v>
      </c>
    </row>
    <row r="704" spans="1:10" x14ac:dyDescent="0.3">
      <c r="A704" s="9" t="s">
        <v>191</v>
      </c>
      <c r="B704" s="20">
        <v>45991</v>
      </c>
      <c r="C704" s="9" t="s">
        <v>234</v>
      </c>
      <c r="D704" s="14">
        <v>55545.82</v>
      </c>
      <c r="E704" s="14">
        <v>4188.1499999999996</v>
      </c>
      <c r="F704" s="14">
        <v>3016.25</v>
      </c>
      <c r="G704" s="14">
        <v>597.1</v>
      </c>
      <c r="H704" s="14">
        <v>2253.42</v>
      </c>
      <c r="I704" s="14">
        <v>65600.75</v>
      </c>
      <c r="J704" s="19">
        <v>0.56130858770120329</v>
      </c>
    </row>
    <row r="705" spans="1:10" x14ac:dyDescent="0.3">
      <c r="A705" s="9" t="s">
        <v>191</v>
      </c>
      <c r="B705" s="20">
        <v>45991</v>
      </c>
      <c r="C705" s="9" t="s">
        <v>219</v>
      </c>
      <c r="D705" s="14">
        <v>14149.96</v>
      </c>
      <c r="E705" s="14">
        <v>1634.06</v>
      </c>
      <c r="F705" s="14">
        <v>1066.03</v>
      </c>
      <c r="G705" s="14">
        <v>322.77999999999997</v>
      </c>
      <c r="H705" s="14">
        <v>207.68</v>
      </c>
      <c r="I705" s="14">
        <v>17380.5</v>
      </c>
      <c r="J705" s="19">
        <v>0.56130858770120329</v>
      </c>
    </row>
    <row r="706" spans="1:10" x14ac:dyDescent="0.3">
      <c r="A706" s="9" t="s">
        <v>191</v>
      </c>
      <c r="B706" s="20">
        <v>45991</v>
      </c>
      <c r="C706" s="9" t="s">
        <v>233</v>
      </c>
      <c r="D706" s="14">
        <v>17647.28</v>
      </c>
      <c r="E706" s="14">
        <v>521.48</v>
      </c>
      <c r="F706" s="14">
        <v>600.53</v>
      </c>
      <c r="G706" s="14">
        <v>539.96</v>
      </c>
      <c r="H706" s="14">
        <v>55.33</v>
      </c>
      <c r="I706" s="14">
        <v>19364.580000000002</v>
      </c>
      <c r="J706" s="19">
        <v>0.56130858770120329</v>
      </c>
    </row>
    <row r="707" spans="1:10" x14ac:dyDescent="0.3">
      <c r="A707" s="9" t="s">
        <v>191</v>
      </c>
      <c r="B707" s="20">
        <v>45991</v>
      </c>
      <c r="C707" s="9" t="s">
        <v>232</v>
      </c>
      <c r="D707" s="14">
        <v>165217.51</v>
      </c>
      <c r="E707" s="14">
        <v>5103.6000000000004</v>
      </c>
      <c r="F707" s="14">
        <v>2870.59</v>
      </c>
      <c r="G707" s="14">
        <v>17723.48</v>
      </c>
      <c r="H707" s="14">
        <v>391.75</v>
      </c>
      <c r="I707" s="14">
        <v>191306.93</v>
      </c>
      <c r="J707" s="19">
        <v>0.56130858770120329</v>
      </c>
    </row>
    <row r="708" spans="1:10" x14ac:dyDescent="0.3">
      <c r="A708" s="9" t="s">
        <v>191</v>
      </c>
      <c r="B708" s="20">
        <v>45991</v>
      </c>
      <c r="C708" s="9" t="s">
        <v>231</v>
      </c>
      <c r="D708" s="14">
        <v>107242.54</v>
      </c>
      <c r="E708" s="14">
        <v>9770.24</v>
      </c>
      <c r="F708" s="14">
        <v>3120.09</v>
      </c>
      <c r="G708" s="14">
        <v>3085.36</v>
      </c>
      <c r="H708" s="14">
        <v>2243.48</v>
      </c>
      <c r="I708" s="14">
        <v>125461.71</v>
      </c>
      <c r="J708" s="19">
        <v>0.56130858770120329</v>
      </c>
    </row>
    <row r="709" spans="1:10" x14ac:dyDescent="0.3">
      <c r="A709" s="9" t="s">
        <v>191</v>
      </c>
      <c r="B709" s="20">
        <v>45991</v>
      </c>
      <c r="C709" s="9" t="s">
        <v>230</v>
      </c>
      <c r="D709" s="14">
        <v>127971.11</v>
      </c>
      <c r="E709" s="14">
        <v>7382.54</v>
      </c>
      <c r="F709" s="14">
        <v>6820.86</v>
      </c>
      <c r="G709" s="14">
        <v>5548.92</v>
      </c>
      <c r="H709" s="14">
        <v>318.52</v>
      </c>
      <c r="I709" s="14">
        <v>148041.93</v>
      </c>
      <c r="J709" s="19">
        <v>0.56130858770120329</v>
      </c>
    </row>
    <row r="710" spans="1:10" x14ac:dyDescent="0.3">
      <c r="A710" s="9" t="s">
        <v>191</v>
      </c>
      <c r="B710" s="20">
        <v>45991</v>
      </c>
      <c r="C710" s="9" t="s">
        <v>229</v>
      </c>
      <c r="D710" s="14">
        <v>168702.13</v>
      </c>
      <c r="E710" s="14">
        <v>16977.61</v>
      </c>
      <c r="F710" s="14">
        <v>10346.129999999999</v>
      </c>
      <c r="G710" s="14">
        <v>5482.24</v>
      </c>
      <c r="H710" s="14">
        <v>525.01</v>
      </c>
      <c r="I710" s="14">
        <v>202033.12</v>
      </c>
      <c r="J710" s="19">
        <v>0.56130858770120329</v>
      </c>
    </row>
    <row r="711" spans="1:10" x14ac:dyDescent="0.3">
      <c r="A711" s="9" t="s">
        <v>191</v>
      </c>
      <c r="B711" s="20">
        <v>45991</v>
      </c>
      <c r="C711" s="9" t="s">
        <v>228</v>
      </c>
      <c r="D711" s="14">
        <v>146206.60999999999</v>
      </c>
      <c r="E711" s="14">
        <v>2297.46</v>
      </c>
      <c r="F711" s="14">
        <v>4912.4399999999996</v>
      </c>
      <c r="G711" s="14">
        <v>6902.34</v>
      </c>
      <c r="H711" s="14">
        <v>8949.0300000000007</v>
      </c>
      <c r="I711" s="14">
        <v>169267.89</v>
      </c>
      <c r="J711" s="19">
        <v>0.56130858770120329</v>
      </c>
    </row>
    <row r="712" spans="1:10" x14ac:dyDescent="0.3">
      <c r="A712" s="9" t="s">
        <v>191</v>
      </c>
      <c r="B712" s="20">
        <v>45991</v>
      </c>
      <c r="C712" s="9" t="s">
        <v>203</v>
      </c>
      <c r="D712" s="14">
        <v>173119.71</v>
      </c>
      <c r="E712" s="14">
        <v>8159.72</v>
      </c>
      <c r="F712" s="14">
        <v>7558.34</v>
      </c>
      <c r="G712" s="14">
        <v>4007.95</v>
      </c>
      <c r="H712" s="14">
        <v>1432.12</v>
      </c>
      <c r="I712" s="14">
        <v>194277.84</v>
      </c>
      <c r="J712" s="19">
        <v>0.56130858770120329</v>
      </c>
    </row>
    <row r="713" spans="1:10" x14ac:dyDescent="0.3">
      <c r="A713" s="9" t="s">
        <v>191</v>
      </c>
      <c r="B713" s="20">
        <v>45991</v>
      </c>
      <c r="C713" s="9" t="s">
        <v>216</v>
      </c>
      <c r="D713" s="14">
        <v>86351.03</v>
      </c>
      <c r="E713" s="14">
        <v>6841.25</v>
      </c>
      <c r="F713" s="14">
        <v>3188.69</v>
      </c>
      <c r="G713" s="14">
        <v>9067.76</v>
      </c>
      <c r="H713" s="14">
        <v>565.58000000000004</v>
      </c>
      <c r="I713" s="14">
        <v>106014.31</v>
      </c>
      <c r="J713" s="19">
        <v>0.56130858770120329</v>
      </c>
    </row>
    <row r="714" spans="1:10" x14ac:dyDescent="0.3">
      <c r="A714" s="9" t="s">
        <v>191</v>
      </c>
      <c r="B714" s="20">
        <v>45991</v>
      </c>
      <c r="C714" s="9" t="s">
        <v>227</v>
      </c>
      <c r="D714" s="14">
        <v>171867.6</v>
      </c>
      <c r="E714" s="14">
        <v>10190.129999999999</v>
      </c>
      <c r="F714" s="14">
        <v>1847.47</v>
      </c>
      <c r="G714" s="14">
        <v>1270.25</v>
      </c>
      <c r="H714" s="14">
        <v>3480.9</v>
      </c>
      <c r="I714" s="14">
        <v>188656.35</v>
      </c>
      <c r="J714" s="19">
        <v>0.56130858770120329</v>
      </c>
    </row>
    <row r="715" spans="1:10" x14ac:dyDescent="0.3">
      <c r="A715" s="9" t="s">
        <v>191</v>
      </c>
      <c r="B715" s="20">
        <v>45991</v>
      </c>
      <c r="C715" s="9" t="s">
        <v>226</v>
      </c>
      <c r="D715" s="14">
        <v>47916.28</v>
      </c>
      <c r="E715" s="14">
        <v>1266.22</v>
      </c>
      <c r="F715" s="14">
        <v>2970.59</v>
      </c>
      <c r="G715" s="14">
        <v>1201.6199999999999</v>
      </c>
      <c r="H715" s="14">
        <v>604.21</v>
      </c>
      <c r="I715" s="14">
        <v>53958.93</v>
      </c>
      <c r="J715" s="19">
        <v>0.56130858770120329</v>
      </c>
    </row>
    <row r="716" spans="1:10" x14ac:dyDescent="0.3">
      <c r="A716" s="9" t="s">
        <v>191</v>
      </c>
      <c r="B716" s="20">
        <v>45991</v>
      </c>
      <c r="C716" s="9" t="s">
        <v>205</v>
      </c>
      <c r="D716" s="14">
        <v>156414.63</v>
      </c>
      <c r="E716" s="14">
        <v>10909.62</v>
      </c>
      <c r="F716" s="14">
        <v>3169.99</v>
      </c>
      <c r="G716" s="14">
        <v>4078.16</v>
      </c>
      <c r="H716" s="14">
        <v>5045.96</v>
      </c>
      <c r="I716" s="14">
        <v>179618.35</v>
      </c>
      <c r="J716" s="19">
        <v>0.56130858770120329</v>
      </c>
    </row>
    <row r="717" spans="1:10" x14ac:dyDescent="0.3">
      <c r="A717" s="9" t="s">
        <v>191</v>
      </c>
      <c r="B717" s="20">
        <v>45991</v>
      </c>
      <c r="C717" s="9" t="s">
        <v>225</v>
      </c>
      <c r="D717" s="14">
        <v>14412.39</v>
      </c>
      <c r="E717" s="14">
        <v>491.59</v>
      </c>
      <c r="F717" s="14">
        <v>307.70999999999998</v>
      </c>
      <c r="G717" s="14">
        <v>527.5</v>
      </c>
      <c r="H717" s="14">
        <v>189.3</v>
      </c>
      <c r="I717" s="14">
        <v>15928.49</v>
      </c>
      <c r="J717" s="19">
        <v>0.56130858770120329</v>
      </c>
    </row>
    <row r="718" spans="1:10" x14ac:dyDescent="0.3">
      <c r="A718" s="9" t="s">
        <v>191</v>
      </c>
      <c r="B718" s="20">
        <v>45991</v>
      </c>
      <c r="C718" s="9" t="s">
        <v>224</v>
      </c>
      <c r="D718" s="14">
        <v>80099.56</v>
      </c>
      <c r="E718" s="14">
        <v>5665.34</v>
      </c>
      <c r="F718" s="14">
        <v>3543.76</v>
      </c>
      <c r="G718" s="14">
        <v>415.78</v>
      </c>
      <c r="H718" s="14">
        <v>735.32</v>
      </c>
      <c r="I718" s="14">
        <v>90459.76</v>
      </c>
      <c r="J718" s="19">
        <v>0.56130858770120329</v>
      </c>
    </row>
    <row r="719" spans="1:10" x14ac:dyDescent="0.3">
      <c r="A719" s="9" t="s">
        <v>191</v>
      </c>
      <c r="B719" s="20">
        <v>45991</v>
      </c>
      <c r="C719" s="9" t="s">
        <v>206</v>
      </c>
      <c r="D719" s="14">
        <v>15861.59</v>
      </c>
      <c r="E719" s="14">
        <v>2015.08</v>
      </c>
      <c r="F719" s="14">
        <v>301.27999999999997</v>
      </c>
      <c r="G719" s="14">
        <v>707.34</v>
      </c>
      <c r="H719" s="14">
        <v>934.27</v>
      </c>
      <c r="I719" s="14">
        <v>19819.55</v>
      </c>
      <c r="J719" s="19">
        <v>0.56130858770120329</v>
      </c>
    </row>
    <row r="720" spans="1:10" x14ac:dyDescent="0.3">
      <c r="A720" s="9" t="s">
        <v>191</v>
      </c>
      <c r="B720" s="20">
        <v>45991</v>
      </c>
      <c r="C720" s="9" t="s">
        <v>211</v>
      </c>
      <c r="D720" s="14">
        <v>50896.13</v>
      </c>
      <c r="E720" s="14">
        <v>4583.91</v>
      </c>
      <c r="F720" s="14">
        <v>4424.67</v>
      </c>
      <c r="G720" s="14">
        <v>1784.54</v>
      </c>
      <c r="H720" s="14">
        <v>109.7</v>
      </c>
      <c r="I720" s="14">
        <v>61798.95</v>
      </c>
      <c r="J720" s="19">
        <v>0.56130858770120329</v>
      </c>
    </row>
    <row r="721" spans="1:10" x14ac:dyDescent="0.3">
      <c r="A721" s="9" t="s">
        <v>191</v>
      </c>
      <c r="B721" s="20">
        <v>45991</v>
      </c>
      <c r="C721" s="9" t="s">
        <v>223</v>
      </c>
      <c r="D721" s="14">
        <v>114287.01</v>
      </c>
      <c r="E721" s="14">
        <v>4320.3999999999996</v>
      </c>
      <c r="F721" s="14">
        <v>3886.18</v>
      </c>
      <c r="G721" s="14">
        <v>4384.07</v>
      </c>
      <c r="H721" s="14">
        <v>9373.74</v>
      </c>
      <c r="I721" s="14">
        <v>136251.39000000001</v>
      </c>
      <c r="J721" s="19">
        <v>0.56130858770120329</v>
      </c>
    </row>
    <row r="722" spans="1:10" x14ac:dyDescent="0.3">
      <c r="A722" s="9" t="s">
        <v>193</v>
      </c>
      <c r="B722" s="20">
        <v>45657</v>
      </c>
      <c r="C722" s="9" t="s">
        <v>222</v>
      </c>
      <c r="D722" s="14">
        <v>256668.68</v>
      </c>
      <c r="E722" s="14">
        <v>32185.360000000001</v>
      </c>
      <c r="F722" s="14">
        <v>23509.53</v>
      </c>
      <c r="G722" s="14">
        <v>12898.02</v>
      </c>
      <c r="H722" s="14">
        <v>1953.99</v>
      </c>
      <c r="I722" s="14">
        <v>327215.58</v>
      </c>
      <c r="J722" s="19">
        <v>0.59095077037639232</v>
      </c>
    </row>
    <row r="723" spans="1:10" x14ac:dyDescent="0.3">
      <c r="A723" s="9" t="s">
        <v>193</v>
      </c>
      <c r="B723" s="20">
        <v>45657</v>
      </c>
      <c r="C723" s="9" t="s">
        <v>221</v>
      </c>
      <c r="D723" s="14">
        <v>294113.75</v>
      </c>
      <c r="E723" s="14">
        <v>59973.279999999999</v>
      </c>
      <c r="F723" s="14">
        <v>10214.01</v>
      </c>
      <c r="G723" s="14">
        <v>15950.95</v>
      </c>
      <c r="H723" s="14">
        <v>2858.11</v>
      </c>
      <c r="I723" s="14">
        <v>383110.11</v>
      </c>
      <c r="J723" s="19">
        <v>0.59095077037639232</v>
      </c>
    </row>
    <row r="724" spans="1:10" x14ac:dyDescent="0.3">
      <c r="A724" s="9" t="s">
        <v>193</v>
      </c>
      <c r="B724" s="20">
        <v>45657</v>
      </c>
      <c r="C724" s="9" t="s">
        <v>220</v>
      </c>
      <c r="D724" s="14">
        <v>20811.93</v>
      </c>
      <c r="E724" s="14">
        <v>878.72</v>
      </c>
      <c r="F724" s="14">
        <v>2511.56</v>
      </c>
      <c r="G724" s="14">
        <v>673.12</v>
      </c>
      <c r="H724" s="14">
        <v>1159.76</v>
      </c>
      <c r="I724" s="14">
        <v>26035.08</v>
      </c>
      <c r="J724" s="19">
        <v>0.59095077037639232</v>
      </c>
    </row>
    <row r="725" spans="1:10" x14ac:dyDescent="0.3">
      <c r="A725" s="9" t="s">
        <v>193</v>
      </c>
      <c r="B725" s="20">
        <v>45657</v>
      </c>
      <c r="C725" s="9" t="s">
        <v>219</v>
      </c>
      <c r="D725" s="14">
        <v>129187.37</v>
      </c>
      <c r="E725" s="14">
        <v>20078.46</v>
      </c>
      <c r="F725" s="14">
        <v>11406.76</v>
      </c>
      <c r="G725" s="14">
        <v>4204.43</v>
      </c>
      <c r="H725" s="14">
        <v>5247.56</v>
      </c>
      <c r="I725" s="14">
        <v>170124.58</v>
      </c>
      <c r="J725" s="19">
        <v>0.59095077037639232</v>
      </c>
    </row>
    <row r="726" spans="1:10" x14ac:dyDescent="0.3">
      <c r="A726" s="9" t="s">
        <v>193</v>
      </c>
      <c r="B726" s="20">
        <v>45657</v>
      </c>
      <c r="C726" s="9" t="s">
        <v>218</v>
      </c>
      <c r="D726" s="14">
        <v>145791.10999999999</v>
      </c>
      <c r="E726" s="14">
        <v>14394.85</v>
      </c>
      <c r="F726" s="14">
        <v>9466.2000000000007</v>
      </c>
      <c r="G726" s="14">
        <v>12559.61</v>
      </c>
      <c r="H726" s="14">
        <v>461.43</v>
      </c>
      <c r="I726" s="14">
        <v>182673.2</v>
      </c>
      <c r="J726" s="19">
        <v>0.59095077037639232</v>
      </c>
    </row>
    <row r="727" spans="1:10" x14ac:dyDescent="0.3">
      <c r="A727" s="9" t="s">
        <v>193</v>
      </c>
      <c r="B727" s="20">
        <v>45657</v>
      </c>
      <c r="C727" s="9" t="s">
        <v>217</v>
      </c>
      <c r="D727" s="14">
        <v>65294.400000000001</v>
      </c>
      <c r="E727" s="14">
        <v>10091.74</v>
      </c>
      <c r="F727" s="14">
        <v>3884.17</v>
      </c>
      <c r="G727" s="14">
        <v>3971.15</v>
      </c>
      <c r="H727" s="14">
        <v>33.14</v>
      </c>
      <c r="I727" s="14">
        <v>83274.600000000006</v>
      </c>
      <c r="J727" s="19">
        <v>0.59095077037639232</v>
      </c>
    </row>
    <row r="728" spans="1:10" x14ac:dyDescent="0.3">
      <c r="A728" s="9" t="s">
        <v>193</v>
      </c>
      <c r="B728" s="20">
        <v>45657</v>
      </c>
      <c r="C728" s="9" t="s">
        <v>216</v>
      </c>
      <c r="D728" s="14">
        <v>190463.95</v>
      </c>
      <c r="E728" s="14">
        <v>9154.5499999999993</v>
      </c>
      <c r="F728" s="14">
        <v>25068.91</v>
      </c>
      <c r="G728" s="14">
        <v>18654.32</v>
      </c>
      <c r="H728" s="14">
        <v>8126.63</v>
      </c>
      <c r="I728" s="14">
        <v>251468.35</v>
      </c>
      <c r="J728" s="19">
        <v>0.59095077037639232</v>
      </c>
    </row>
    <row r="729" spans="1:10" x14ac:dyDescent="0.3">
      <c r="A729" s="9" t="s">
        <v>193</v>
      </c>
      <c r="B729" s="20">
        <v>45657</v>
      </c>
      <c r="C729" s="9" t="s">
        <v>215</v>
      </c>
      <c r="D729" s="14">
        <v>237002.78</v>
      </c>
      <c r="E729" s="14">
        <v>21424.400000000001</v>
      </c>
      <c r="F729" s="14">
        <v>7501.7</v>
      </c>
      <c r="G729" s="14">
        <v>55447.5</v>
      </c>
      <c r="H729" s="14">
        <v>17331.509999999998</v>
      </c>
      <c r="I729" s="14">
        <v>338707.89</v>
      </c>
      <c r="J729" s="19">
        <v>0.59095077037639232</v>
      </c>
    </row>
    <row r="730" spans="1:10" x14ac:dyDescent="0.3">
      <c r="A730" s="9" t="s">
        <v>193</v>
      </c>
      <c r="B730" s="20">
        <v>45657</v>
      </c>
      <c r="C730" s="9" t="s">
        <v>214</v>
      </c>
      <c r="D730" s="14">
        <v>108048.84</v>
      </c>
      <c r="E730" s="14">
        <v>11123.63</v>
      </c>
      <c r="F730" s="14">
        <v>1576.18</v>
      </c>
      <c r="G730" s="14">
        <v>11621.92</v>
      </c>
      <c r="H730" s="14">
        <v>6803.64</v>
      </c>
      <c r="I730" s="14">
        <v>139174.20000000001</v>
      </c>
      <c r="J730" s="19">
        <v>0.59095077037639232</v>
      </c>
    </row>
    <row r="731" spans="1:10" x14ac:dyDescent="0.3">
      <c r="A731" s="9" t="s">
        <v>193</v>
      </c>
      <c r="B731" s="20">
        <v>45657</v>
      </c>
      <c r="C731" s="9" t="s">
        <v>213</v>
      </c>
      <c r="D731" s="14">
        <v>212233.73</v>
      </c>
      <c r="E731" s="14">
        <v>19049.47</v>
      </c>
      <c r="F731" s="14">
        <v>1314.48</v>
      </c>
      <c r="G731" s="14">
        <v>19294.43</v>
      </c>
      <c r="H731" s="14">
        <v>12065.59</v>
      </c>
      <c r="I731" s="14">
        <v>263957.7</v>
      </c>
      <c r="J731" s="19">
        <v>0.59095077037639232</v>
      </c>
    </row>
    <row r="732" spans="1:10" x14ac:dyDescent="0.3">
      <c r="A732" s="9" t="s">
        <v>193</v>
      </c>
      <c r="B732" s="20">
        <v>45657</v>
      </c>
      <c r="C732" s="9" t="s">
        <v>212</v>
      </c>
      <c r="D732" s="14">
        <v>61814.42</v>
      </c>
      <c r="E732" s="14">
        <v>11964.55</v>
      </c>
      <c r="F732" s="14">
        <v>1619.69</v>
      </c>
      <c r="G732" s="14">
        <v>5035.59</v>
      </c>
      <c r="H732" s="14">
        <v>793.44</v>
      </c>
      <c r="I732" s="14">
        <v>81227.679999999993</v>
      </c>
      <c r="J732" s="19">
        <v>0.59095077037639232</v>
      </c>
    </row>
    <row r="733" spans="1:10" x14ac:dyDescent="0.3">
      <c r="A733" s="9" t="s">
        <v>193</v>
      </c>
      <c r="B733" s="20">
        <v>45657</v>
      </c>
      <c r="C733" s="9" t="s">
        <v>211</v>
      </c>
      <c r="D733" s="14">
        <v>183167.98</v>
      </c>
      <c r="E733" s="14">
        <v>32504.23</v>
      </c>
      <c r="F733" s="14">
        <v>7368.45</v>
      </c>
      <c r="G733" s="14">
        <v>2919.59</v>
      </c>
      <c r="H733" s="14">
        <v>2924.34</v>
      </c>
      <c r="I733" s="14">
        <v>228884.6</v>
      </c>
      <c r="J733" s="19">
        <v>0.59095077037639232</v>
      </c>
    </row>
    <row r="734" spans="1:10" x14ac:dyDescent="0.3">
      <c r="A734" s="9" t="s">
        <v>193</v>
      </c>
      <c r="B734" s="20">
        <v>45657</v>
      </c>
      <c r="C734" s="9" t="s">
        <v>210</v>
      </c>
      <c r="D734" s="14">
        <v>239995.26</v>
      </c>
      <c r="E734" s="14">
        <v>32502.94</v>
      </c>
      <c r="F734" s="14">
        <v>9961.73</v>
      </c>
      <c r="G734" s="14">
        <v>32075.64</v>
      </c>
      <c r="H734" s="14">
        <v>5575.12</v>
      </c>
      <c r="I734" s="14">
        <v>320110.69</v>
      </c>
      <c r="J734" s="19">
        <v>0.59095077037639232</v>
      </c>
    </row>
    <row r="735" spans="1:10" x14ac:dyDescent="0.3">
      <c r="A735" s="9" t="s">
        <v>193</v>
      </c>
      <c r="B735" s="20">
        <v>45657</v>
      </c>
      <c r="C735" s="9" t="s">
        <v>209</v>
      </c>
      <c r="D735" s="14">
        <v>317635.52</v>
      </c>
      <c r="E735" s="14">
        <v>42135.519999999997</v>
      </c>
      <c r="F735" s="14">
        <v>16917.57</v>
      </c>
      <c r="G735" s="14">
        <v>12888.76</v>
      </c>
      <c r="H735" s="14">
        <v>1561.58</v>
      </c>
      <c r="I735" s="14">
        <v>391138.96</v>
      </c>
      <c r="J735" s="19">
        <v>0.59095077037639232</v>
      </c>
    </row>
    <row r="736" spans="1:10" x14ac:dyDescent="0.3">
      <c r="A736" s="9" t="s">
        <v>193</v>
      </c>
      <c r="B736" s="20">
        <v>45657</v>
      </c>
      <c r="C736" s="9" t="s">
        <v>208</v>
      </c>
      <c r="D736" s="14">
        <v>301133.34999999998</v>
      </c>
      <c r="E736" s="14">
        <v>11434.52</v>
      </c>
      <c r="F736" s="14">
        <v>15901.53</v>
      </c>
      <c r="G736" s="14">
        <v>20187.07</v>
      </c>
      <c r="H736" s="14">
        <v>15478.74</v>
      </c>
      <c r="I736" s="14">
        <v>364135.22</v>
      </c>
      <c r="J736" s="19">
        <v>0.59095077037639232</v>
      </c>
    </row>
    <row r="737" spans="1:10" x14ac:dyDescent="0.3">
      <c r="A737" s="9" t="s">
        <v>193</v>
      </c>
      <c r="B737" s="20">
        <v>45657</v>
      </c>
      <c r="C737" s="9" t="s">
        <v>207</v>
      </c>
      <c r="D737" s="14">
        <v>197100.59</v>
      </c>
      <c r="E737" s="14">
        <v>8045.93</v>
      </c>
      <c r="F737" s="14">
        <v>20728.57</v>
      </c>
      <c r="G737" s="14">
        <v>14873.84</v>
      </c>
      <c r="H737" s="14">
        <v>10218.370000000001</v>
      </c>
      <c r="I737" s="14">
        <v>250967.29</v>
      </c>
      <c r="J737" s="19">
        <v>0.59095077037639232</v>
      </c>
    </row>
    <row r="738" spans="1:10" x14ac:dyDescent="0.3">
      <c r="A738" s="9" t="s">
        <v>193</v>
      </c>
      <c r="B738" s="20">
        <v>45657</v>
      </c>
      <c r="C738" s="9" t="s">
        <v>206</v>
      </c>
      <c r="D738" s="14">
        <v>280465.75</v>
      </c>
      <c r="E738" s="14">
        <v>16327.21</v>
      </c>
      <c r="F738" s="14">
        <v>20236.099999999999</v>
      </c>
      <c r="G738" s="14">
        <v>21140.94</v>
      </c>
      <c r="H738" s="14">
        <v>15670.5</v>
      </c>
      <c r="I738" s="14">
        <v>353840.5</v>
      </c>
      <c r="J738" s="19">
        <v>0.59095077037639232</v>
      </c>
    </row>
    <row r="739" spans="1:10" x14ac:dyDescent="0.3">
      <c r="A739" s="9" t="s">
        <v>193</v>
      </c>
      <c r="B739" s="20">
        <v>45657</v>
      </c>
      <c r="C739" s="9" t="s">
        <v>205</v>
      </c>
      <c r="D739" s="14">
        <v>115436.16</v>
      </c>
      <c r="E739" s="14">
        <v>33920.89</v>
      </c>
      <c r="F739" s="14">
        <v>1305.99</v>
      </c>
      <c r="G739" s="14">
        <v>3327.26</v>
      </c>
      <c r="H739" s="14">
        <v>2512.35</v>
      </c>
      <c r="I739" s="14">
        <v>156502.65</v>
      </c>
      <c r="J739" s="19">
        <v>0.59095077037639232</v>
      </c>
    </row>
    <row r="740" spans="1:10" x14ac:dyDescent="0.3">
      <c r="A740" s="9" t="s">
        <v>193</v>
      </c>
      <c r="B740" s="20">
        <v>45657</v>
      </c>
      <c r="C740" s="9" t="s">
        <v>204</v>
      </c>
      <c r="D740" s="14">
        <v>22419.15</v>
      </c>
      <c r="E740" s="14">
        <v>427</v>
      </c>
      <c r="F740" s="14">
        <v>1677.32</v>
      </c>
      <c r="G740" s="14">
        <v>585.28</v>
      </c>
      <c r="H740" s="14">
        <v>2153.9499999999998</v>
      </c>
      <c r="I740" s="14">
        <v>27262.7</v>
      </c>
      <c r="J740" s="19">
        <v>0.59095077037639232</v>
      </c>
    </row>
    <row r="741" spans="1:10" x14ac:dyDescent="0.3">
      <c r="A741" s="9" t="s">
        <v>193</v>
      </c>
      <c r="B741" s="20">
        <v>45657</v>
      </c>
      <c r="C741" s="9" t="s">
        <v>203</v>
      </c>
      <c r="D741" s="14">
        <v>172794.88</v>
      </c>
      <c r="E741" s="14">
        <v>13176.96</v>
      </c>
      <c r="F741" s="14">
        <v>21897.02</v>
      </c>
      <c r="G741" s="14">
        <v>14136.64</v>
      </c>
      <c r="H741" s="14">
        <v>6232.35</v>
      </c>
      <c r="I741" s="14">
        <v>228237.86</v>
      </c>
      <c r="J741" s="19">
        <v>0.59095077037639232</v>
      </c>
    </row>
    <row r="742" spans="1:10" x14ac:dyDescent="0.3">
      <c r="A742" s="9" t="s">
        <v>193</v>
      </c>
      <c r="B742" s="20">
        <v>45688</v>
      </c>
      <c r="C742" s="9" t="s">
        <v>222</v>
      </c>
      <c r="D742" s="14">
        <v>88215.52</v>
      </c>
      <c r="E742" s="14">
        <v>6884.01</v>
      </c>
      <c r="F742" s="14">
        <v>12856.97</v>
      </c>
      <c r="G742" s="14">
        <v>2825.68</v>
      </c>
      <c r="H742" s="14">
        <v>8417.7000000000007</v>
      </c>
      <c r="I742" s="14">
        <v>119199.88</v>
      </c>
      <c r="J742" s="19">
        <v>0.64549752708003194</v>
      </c>
    </row>
    <row r="743" spans="1:10" x14ac:dyDescent="0.3">
      <c r="A743" s="9" t="s">
        <v>193</v>
      </c>
      <c r="B743" s="20">
        <v>45688</v>
      </c>
      <c r="C743" s="9" t="s">
        <v>221</v>
      </c>
      <c r="D743" s="14">
        <v>318505.23</v>
      </c>
      <c r="E743" s="14">
        <v>42134.44</v>
      </c>
      <c r="F743" s="14">
        <v>10337.16</v>
      </c>
      <c r="G743" s="14">
        <v>23853.17</v>
      </c>
      <c r="H743" s="14">
        <v>2914.98</v>
      </c>
      <c r="I743" s="14">
        <v>397744.98</v>
      </c>
      <c r="J743" s="19">
        <v>0.64549752708003194</v>
      </c>
    </row>
    <row r="744" spans="1:10" x14ac:dyDescent="0.3">
      <c r="A744" s="9" t="s">
        <v>193</v>
      </c>
      <c r="B744" s="20">
        <v>45688</v>
      </c>
      <c r="C744" s="9" t="s">
        <v>220</v>
      </c>
      <c r="D744" s="14">
        <v>294356.13</v>
      </c>
      <c r="E744" s="14">
        <v>11604.12</v>
      </c>
      <c r="F744" s="14">
        <v>49935.18</v>
      </c>
      <c r="G744" s="14">
        <v>15605.89</v>
      </c>
      <c r="H744" s="14">
        <v>9101.16</v>
      </c>
      <c r="I744" s="14">
        <v>380602.48</v>
      </c>
      <c r="J744" s="19">
        <v>0.64549752708003194</v>
      </c>
    </row>
    <row r="745" spans="1:10" x14ac:dyDescent="0.3">
      <c r="A745" s="9" t="s">
        <v>193</v>
      </c>
      <c r="B745" s="20">
        <v>45688</v>
      </c>
      <c r="C745" s="9" t="s">
        <v>219</v>
      </c>
      <c r="D745" s="14">
        <v>80351.14</v>
      </c>
      <c r="E745" s="14">
        <v>8591.56</v>
      </c>
      <c r="F745" s="14">
        <v>9862.27</v>
      </c>
      <c r="G745" s="14">
        <v>3017.63</v>
      </c>
      <c r="H745" s="14">
        <v>628.71</v>
      </c>
      <c r="I745" s="14">
        <v>102451.31</v>
      </c>
      <c r="J745" s="19">
        <v>0.64549752708003194</v>
      </c>
    </row>
    <row r="746" spans="1:10" x14ac:dyDescent="0.3">
      <c r="A746" s="9" t="s">
        <v>193</v>
      </c>
      <c r="B746" s="20">
        <v>45688</v>
      </c>
      <c r="C746" s="9" t="s">
        <v>218</v>
      </c>
      <c r="D746" s="14">
        <v>13299.05</v>
      </c>
      <c r="E746" s="14">
        <v>1585.48</v>
      </c>
      <c r="F746" s="14">
        <v>1519.58</v>
      </c>
      <c r="G746" s="14">
        <v>1203.3599999999999</v>
      </c>
      <c r="H746" s="14">
        <v>414.12</v>
      </c>
      <c r="I746" s="14">
        <v>18021.59</v>
      </c>
      <c r="J746" s="19">
        <v>0.64549752708003194</v>
      </c>
    </row>
    <row r="747" spans="1:10" x14ac:dyDescent="0.3">
      <c r="A747" s="9" t="s">
        <v>193</v>
      </c>
      <c r="B747" s="20">
        <v>45688</v>
      </c>
      <c r="C747" s="9" t="s">
        <v>217</v>
      </c>
      <c r="D747" s="14">
        <v>99885.87</v>
      </c>
      <c r="E747" s="14">
        <v>11969.87</v>
      </c>
      <c r="F747" s="14">
        <v>3689.98</v>
      </c>
      <c r="G747" s="14">
        <v>16711.77</v>
      </c>
      <c r="H747" s="14">
        <v>3655.75</v>
      </c>
      <c r="I747" s="14">
        <v>135913.25</v>
      </c>
      <c r="J747" s="19">
        <v>0.64549752708003194</v>
      </c>
    </row>
    <row r="748" spans="1:10" x14ac:dyDescent="0.3">
      <c r="A748" s="9" t="s">
        <v>193</v>
      </c>
      <c r="B748" s="20">
        <v>45688</v>
      </c>
      <c r="C748" s="9" t="s">
        <v>216</v>
      </c>
      <c r="D748" s="14">
        <v>132158.66</v>
      </c>
      <c r="E748" s="14">
        <v>13010.28</v>
      </c>
      <c r="F748" s="14">
        <v>20159.98</v>
      </c>
      <c r="G748" s="14">
        <v>11209.52</v>
      </c>
      <c r="H748" s="14">
        <v>6181.81</v>
      </c>
      <c r="I748" s="14">
        <v>182720.24</v>
      </c>
      <c r="J748" s="19">
        <v>0.64549752708003194</v>
      </c>
    </row>
    <row r="749" spans="1:10" x14ac:dyDescent="0.3">
      <c r="A749" s="9" t="s">
        <v>193</v>
      </c>
      <c r="B749" s="20">
        <v>45688</v>
      </c>
      <c r="C749" s="9" t="s">
        <v>215</v>
      </c>
      <c r="D749" s="14">
        <v>319734.75</v>
      </c>
      <c r="E749" s="14">
        <v>33859.339999999997</v>
      </c>
      <c r="F749" s="14">
        <v>9549.17</v>
      </c>
      <c r="G749" s="14">
        <v>8316.52</v>
      </c>
      <c r="H749" s="14">
        <v>35243.440000000002</v>
      </c>
      <c r="I749" s="14">
        <v>406703.22</v>
      </c>
      <c r="J749" s="19">
        <v>0.64549752708003194</v>
      </c>
    </row>
    <row r="750" spans="1:10" x14ac:dyDescent="0.3">
      <c r="A750" s="9" t="s">
        <v>193</v>
      </c>
      <c r="B750" s="20">
        <v>45688</v>
      </c>
      <c r="C750" s="9" t="s">
        <v>214</v>
      </c>
      <c r="D750" s="14">
        <v>236713.2</v>
      </c>
      <c r="E750" s="14">
        <v>20539.14</v>
      </c>
      <c r="F750" s="14">
        <v>18270.490000000002</v>
      </c>
      <c r="G750" s="14">
        <v>10994.8</v>
      </c>
      <c r="H750" s="14">
        <v>894.36</v>
      </c>
      <c r="I750" s="14">
        <v>287412</v>
      </c>
      <c r="J750" s="19">
        <v>0.64549752708003194</v>
      </c>
    </row>
    <row r="751" spans="1:10" x14ac:dyDescent="0.3">
      <c r="A751" s="9" t="s">
        <v>193</v>
      </c>
      <c r="B751" s="20">
        <v>45688</v>
      </c>
      <c r="C751" s="9" t="s">
        <v>213</v>
      </c>
      <c r="D751" s="14">
        <v>353773.44</v>
      </c>
      <c r="E751" s="14">
        <v>39155.94</v>
      </c>
      <c r="F751" s="14">
        <v>12523</v>
      </c>
      <c r="G751" s="14">
        <v>55375.16</v>
      </c>
      <c r="H751" s="14">
        <v>4170.1099999999997</v>
      </c>
      <c r="I751" s="14">
        <v>464997.65</v>
      </c>
      <c r="J751" s="19">
        <v>0.64549752708003194</v>
      </c>
    </row>
    <row r="752" spans="1:10" x14ac:dyDescent="0.3">
      <c r="A752" s="9" t="s">
        <v>193</v>
      </c>
      <c r="B752" s="20">
        <v>45688</v>
      </c>
      <c r="C752" s="9" t="s">
        <v>212</v>
      </c>
      <c r="D752" s="14">
        <v>347759.33</v>
      </c>
      <c r="E752" s="14">
        <v>20082.39</v>
      </c>
      <c r="F752" s="14">
        <v>49776.55</v>
      </c>
      <c r="G752" s="14">
        <v>18928.939999999999</v>
      </c>
      <c r="H752" s="14">
        <v>12171.57</v>
      </c>
      <c r="I752" s="14">
        <v>448718.79</v>
      </c>
      <c r="J752" s="19">
        <v>0.64549752708003194</v>
      </c>
    </row>
    <row r="753" spans="1:10" x14ac:dyDescent="0.3">
      <c r="A753" s="9" t="s">
        <v>193</v>
      </c>
      <c r="B753" s="20">
        <v>45688</v>
      </c>
      <c r="C753" s="9" t="s">
        <v>211</v>
      </c>
      <c r="D753" s="14">
        <v>29502.17</v>
      </c>
      <c r="E753" s="14">
        <v>2940.42</v>
      </c>
      <c r="F753" s="14">
        <v>2629.32</v>
      </c>
      <c r="G753" s="14">
        <v>2268.4699999999998</v>
      </c>
      <c r="H753" s="14">
        <v>303.64</v>
      </c>
      <c r="I753" s="14">
        <v>37644.019999999997</v>
      </c>
      <c r="J753" s="19">
        <v>0.64549752708003194</v>
      </c>
    </row>
    <row r="754" spans="1:10" x14ac:dyDescent="0.3">
      <c r="A754" s="9" t="s">
        <v>193</v>
      </c>
      <c r="B754" s="20">
        <v>45688</v>
      </c>
      <c r="C754" s="9" t="s">
        <v>210</v>
      </c>
      <c r="D754" s="14">
        <v>33947.96</v>
      </c>
      <c r="E754" s="14">
        <v>5086.93</v>
      </c>
      <c r="F754" s="14">
        <v>1716.53</v>
      </c>
      <c r="G754" s="14">
        <v>1717.51</v>
      </c>
      <c r="H754" s="14">
        <v>726.91</v>
      </c>
      <c r="I754" s="14">
        <v>43195.839999999997</v>
      </c>
      <c r="J754" s="19">
        <v>0.64549752708003194</v>
      </c>
    </row>
    <row r="755" spans="1:10" x14ac:dyDescent="0.3">
      <c r="A755" s="9" t="s">
        <v>193</v>
      </c>
      <c r="B755" s="20">
        <v>45688</v>
      </c>
      <c r="C755" s="9" t="s">
        <v>209</v>
      </c>
      <c r="D755" s="14">
        <v>192509.06</v>
      </c>
      <c r="E755" s="14">
        <v>25657.42</v>
      </c>
      <c r="F755" s="14">
        <v>12783.84</v>
      </c>
      <c r="G755" s="14">
        <v>744.47</v>
      </c>
      <c r="H755" s="14">
        <v>3242.13</v>
      </c>
      <c r="I755" s="14">
        <v>234936.92</v>
      </c>
      <c r="J755" s="19">
        <v>0.64549752708003194</v>
      </c>
    </row>
    <row r="756" spans="1:10" x14ac:dyDescent="0.3">
      <c r="A756" s="9" t="s">
        <v>193</v>
      </c>
      <c r="B756" s="20">
        <v>45688</v>
      </c>
      <c r="C756" s="9" t="s">
        <v>208</v>
      </c>
      <c r="D756" s="14">
        <v>183905.16</v>
      </c>
      <c r="E756" s="14">
        <v>23552.55</v>
      </c>
      <c r="F756" s="14">
        <v>16102.81</v>
      </c>
      <c r="G756" s="14">
        <v>8463.5300000000007</v>
      </c>
      <c r="H756" s="14">
        <v>10435.4</v>
      </c>
      <c r="I756" s="14">
        <v>242459.45</v>
      </c>
      <c r="J756" s="19">
        <v>0.64549752708003194</v>
      </c>
    </row>
    <row r="757" spans="1:10" x14ac:dyDescent="0.3">
      <c r="A757" s="9" t="s">
        <v>193</v>
      </c>
      <c r="B757" s="20">
        <v>45688</v>
      </c>
      <c r="C757" s="9" t="s">
        <v>207</v>
      </c>
      <c r="D757" s="14">
        <v>319326.46000000002</v>
      </c>
      <c r="E757" s="14">
        <v>43494.59</v>
      </c>
      <c r="F757" s="14">
        <v>5488.61</v>
      </c>
      <c r="G757" s="14">
        <v>22708.95</v>
      </c>
      <c r="H757" s="14">
        <v>6468.16</v>
      </c>
      <c r="I757" s="14">
        <v>397486.77</v>
      </c>
      <c r="J757" s="19">
        <v>0.64549752708003194</v>
      </c>
    </row>
    <row r="758" spans="1:10" x14ac:dyDescent="0.3">
      <c r="A758" s="9" t="s">
        <v>193</v>
      </c>
      <c r="B758" s="20">
        <v>45688</v>
      </c>
      <c r="C758" s="9" t="s">
        <v>206</v>
      </c>
      <c r="D758" s="14">
        <v>114012.41</v>
      </c>
      <c r="E758" s="14">
        <v>26213.29</v>
      </c>
      <c r="F758" s="14">
        <v>4326.16</v>
      </c>
      <c r="G758" s="14">
        <v>4289.1899999999996</v>
      </c>
      <c r="H758" s="14">
        <v>525.5</v>
      </c>
      <c r="I758" s="14">
        <v>149366.54999999999</v>
      </c>
      <c r="J758" s="19">
        <v>0.64549752708003194</v>
      </c>
    </row>
    <row r="759" spans="1:10" x14ac:dyDescent="0.3">
      <c r="A759" s="9" t="s">
        <v>193</v>
      </c>
      <c r="B759" s="20">
        <v>45688</v>
      </c>
      <c r="C759" s="9" t="s">
        <v>205</v>
      </c>
      <c r="D759" s="14">
        <v>306548.13</v>
      </c>
      <c r="E759" s="14">
        <v>46937.69</v>
      </c>
      <c r="F759" s="14">
        <v>24483.91</v>
      </c>
      <c r="G759" s="14">
        <v>57.82</v>
      </c>
      <c r="H759" s="14">
        <v>8519.86</v>
      </c>
      <c r="I759" s="14">
        <v>386547.4</v>
      </c>
      <c r="J759" s="19">
        <v>0.64549752708003194</v>
      </c>
    </row>
    <row r="760" spans="1:10" x14ac:dyDescent="0.3">
      <c r="A760" s="9" t="s">
        <v>193</v>
      </c>
      <c r="B760" s="20">
        <v>45688</v>
      </c>
      <c r="C760" s="9" t="s">
        <v>204</v>
      </c>
      <c r="D760" s="14">
        <v>8767.5499999999993</v>
      </c>
      <c r="E760" s="14">
        <v>1728.3</v>
      </c>
      <c r="F760" s="14">
        <v>387.11</v>
      </c>
      <c r="G760" s="14">
        <v>821.07</v>
      </c>
      <c r="H760" s="14">
        <v>169.4</v>
      </c>
      <c r="I760" s="14">
        <v>11873.43</v>
      </c>
      <c r="J760" s="19">
        <v>0.64549752708003194</v>
      </c>
    </row>
    <row r="761" spans="1:10" x14ac:dyDescent="0.3">
      <c r="A761" s="9" t="s">
        <v>193</v>
      </c>
      <c r="B761" s="20">
        <v>45688</v>
      </c>
      <c r="C761" s="9" t="s">
        <v>203</v>
      </c>
      <c r="D761" s="14">
        <v>345153.05</v>
      </c>
      <c r="E761" s="14">
        <v>23878.2</v>
      </c>
      <c r="F761" s="14">
        <v>51530.49</v>
      </c>
      <c r="G761" s="14">
        <v>23664.240000000002</v>
      </c>
      <c r="H761" s="14">
        <v>5167.95</v>
      </c>
      <c r="I761" s="14">
        <v>449393.94</v>
      </c>
      <c r="J761" s="19">
        <v>0.64549752708003194</v>
      </c>
    </row>
    <row r="762" spans="1:10" x14ac:dyDescent="0.3">
      <c r="A762" s="9" t="s">
        <v>193</v>
      </c>
      <c r="B762" s="20">
        <v>45716</v>
      </c>
      <c r="C762" s="9" t="s">
        <v>222</v>
      </c>
      <c r="D762" s="14">
        <v>34439.46</v>
      </c>
      <c r="E762" s="14">
        <v>769.88</v>
      </c>
      <c r="F762" s="14">
        <v>2461.02</v>
      </c>
      <c r="G762" s="14">
        <v>4605.01</v>
      </c>
      <c r="H762" s="14">
        <v>159.11000000000001</v>
      </c>
      <c r="I762" s="14">
        <v>42434.49</v>
      </c>
      <c r="J762" s="19">
        <v>0.52794957547094568</v>
      </c>
    </row>
    <row r="763" spans="1:10" x14ac:dyDescent="0.3">
      <c r="A763" s="9" t="s">
        <v>193</v>
      </c>
      <c r="B763" s="20">
        <v>45716</v>
      </c>
      <c r="C763" s="9" t="s">
        <v>221</v>
      </c>
      <c r="D763" s="14">
        <v>19638.59</v>
      </c>
      <c r="E763" s="14">
        <v>3005.14</v>
      </c>
      <c r="F763" s="14">
        <v>1837.78</v>
      </c>
      <c r="G763" s="14">
        <v>304.69</v>
      </c>
      <c r="H763" s="14">
        <v>1291.46</v>
      </c>
      <c r="I763" s="14">
        <v>26077.65</v>
      </c>
      <c r="J763" s="19">
        <v>0.52794957547094568</v>
      </c>
    </row>
    <row r="764" spans="1:10" x14ac:dyDescent="0.3">
      <c r="A764" s="9" t="s">
        <v>193</v>
      </c>
      <c r="B764" s="20">
        <v>45716</v>
      </c>
      <c r="C764" s="9" t="s">
        <v>220</v>
      </c>
      <c r="D764" s="14">
        <v>111795.21</v>
      </c>
      <c r="E764" s="14">
        <v>19388.48</v>
      </c>
      <c r="F764" s="14">
        <v>13510.09</v>
      </c>
      <c r="G764" s="14">
        <v>1387.31</v>
      </c>
      <c r="H764" s="14">
        <v>2759.82</v>
      </c>
      <c r="I764" s="14">
        <v>148840.91</v>
      </c>
      <c r="J764" s="19">
        <v>0.52794957547094568</v>
      </c>
    </row>
    <row r="765" spans="1:10" x14ac:dyDescent="0.3">
      <c r="A765" s="9" t="s">
        <v>193</v>
      </c>
      <c r="B765" s="20">
        <v>45716</v>
      </c>
      <c r="C765" s="9" t="s">
        <v>219</v>
      </c>
      <c r="D765" s="14">
        <v>265898.13</v>
      </c>
      <c r="E765" s="14">
        <v>14334.49</v>
      </c>
      <c r="F765" s="14">
        <v>22264.39</v>
      </c>
      <c r="G765" s="14">
        <v>10931.09</v>
      </c>
      <c r="H765" s="14">
        <v>17532.990000000002</v>
      </c>
      <c r="I765" s="14">
        <v>330961.09999999998</v>
      </c>
      <c r="J765" s="19">
        <v>0.52794957547094568</v>
      </c>
    </row>
    <row r="766" spans="1:10" x14ac:dyDescent="0.3">
      <c r="A766" s="9" t="s">
        <v>193</v>
      </c>
      <c r="B766" s="20">
        <v>45716</v>
      </c>
      <c r="C766" s="9" t="s">
        <v>218</v>
      </c>
      <c r="D766" s="14">
        <v>319502.36</v>
      </c>
      <c r="E766" s="14">
        <v>49278.77</v>
      </c>
      <c r="F766" s="14">
        <v>11499.13</v>
      </c>
      <c r="G766" s="14">
        <v>29878.43</v>
      </c>
      <c r="H766" s="14">
        <v>2335.58</v>
      </c>
      <c r="I766" s="14">
        <v>412494.26</v>
      </c>
      <c r="J766" s="19">
        <v>0.52794957547094568</v>
      </c>
    </row>
    <row r="767" spans="1:10" x14ac:dyDescent="0.3">
      <c r="A767" s="9" t="s">
        <v>193</v>
      </c>
      <c r="B767" s="20">
        <v>45716</v>
      </c>
      <c r="C767" s="9" t="s">
        <v>217</v>
      </c>
      <c r="D767" s="14">
        <v>303181.38</v>
      </c>
      <c r="E767" s="14">
        <v>30982.89</v>
      </c>
      <c r="F767" s="14">
        <v>72882.990000000005</v>
      </c>
      <c r="G767" s="14">
        <v>3361.6</v>
      </c>
      <c r="H767" s="14">
        <v>9410.4</v>
      </c>
      <c r="I767" s="14">
        <v>419819.25</v>
      </c>
      <c r="J767" s="19">
        <v>0.52794957547094568</v>
      </c>
    </row>
    <row r="768" spans="1:10" x14ac:dyDescent="0.3">
      <c r="A768" s="9" t="s">
        <v>193</v>
      </c>
      <c r="B768" s="20">
        <v>45716</v>
      </c>
      <c r="C768" s="9" t="s">
        <v>216</v>
      </c>
      <c r="D768" s="14">
        <v>50616.84</v>
      </c>
      <c r="E768" s="14">
        <v>3675.3</v>
      </c>
      <c r="F768" s="14">
        <v>3433.57</v>
      </c>
      <c r="G768" s="14">
        <v>9719.73</v>
      </c>
      <c r="H768" s="14">
        <v>169.11</v>
      </c>
      <c r="I768" s="14">
        <v>67614.55</v>
      </c>
      <c r="J768" s="19">
        <v>0.52794957547094568</v>
      </c>
    </row>
    <row r="769" spans="1:10" x14ac:dyDescent="0.3">
      <c r="A769" s="9" t="s">
        <v>193</v>
      </c>
      <c r="B769" s="20">
        <v>45716</v>
      </c>
      <c r="C769" s="9" t="s">
        <v>215</v>
      </c>
      <c r="D769" s="14">
        <v>312096.33</v>
      </c>
      <c r="E769" s="14">
        <v>48390.76</v>
      </c>
      <c r="F769" s="14">
        <v>10764.14</v>
      </c>
      <c r="G769" s="14">
        <v>4815.22</v>
      </c>
      <c r="H769" s="14">
        <v>14113.48</v>
      </c>
      <c r="I769" s="14">
        <v>390179.93</v>
      </c>
      <c r="J769" s="19">
        <v>0.52794957547094568</v>
      </c>
    </row>
    <row r="770" spans="1:10" x14ac:dyDescent="0.3">
      <c r="A770" s="9" t="s">
        <v>193</v>
      </c>
      <c r="B770" s="20">
        <v>45716</v>
      </c>
      <c r="C770" s="9" t="s">
        <v>214</v>
      </c>
      <c r="D770" s="14">
        <v>283565.09999999998</v>
      </c>
      <c r="E770" s="14">
        <v>41095.019999999997</v>
      </c>
      <c r="F770" s="14">
        <v>25298.11</v>
      </c>
      <c r="G770" s="14">
        <v>16537.919999999998</v>
      </c>
      <c r="H770" s="14">
        <v>3337.71</v>
      </c>
      <c r="I770" s="14">
        <v>369833.86</v>
      </c>
      <c r="J770" s="19">
        <v>0.52794957547094568</v>
      </c>
    </row>
    <row r="771" spans="1:10" x14ac:dyDescent="0.3">
      <c r="A771" s="9" t="s">
        <v>193</v>
      </c>
      <c r="B771" s="20">
        <v>45716</v>
      </c>
      <c r="C771" s="9" t="s">
        <v>213</v>
      </c>
      <c r="D771" s="14">
        <v>17757.349999999999</v>
      </c>
      <c r="E771" s="14">
        <v>1889.38</v>
      </c>
      <c r="F771" s="14">
        <v>377.71</v>
      </c>
      <c r="G771" s="14">
        <v>169.65</v>
      </c>
      <c r="H771" s="14">
        <v>2103.84</v>
      </c>
      <c r="I771" s="14">
        <v>22297.93</v>
      </c>
      <c r="J771" s="19">
        <v>0.52794957547094568</v>
      </c>
    </row>
    <row r="772" spans="1:10" x14ac:dyDescent="0.3">
      <c r="A772" s="9" t="s">
        <v>193</v>
      </c>
      <c r="B772" s="20">
        <v>45716</v>
      </c>
      <c r="C772" s="9" t="s">
        <v>212</v>
      </c>
      <c r="D772" s="14">
        <v>15764.23</v>
      </c>
      <c r="E772" s="14">
        <v>1658.24</v>
      </c>
      <c r="F772" s="14">
        <v>900.37</v>
      </c>
      <c r="G772" s="14">
        <v>2393.2800000000002</v>
      </c>
      <c r="H772" s="14">
        <v>298.69</v>
      </c>
      <c r="I772" s="14">
        <v>21014.79</v>
      </c>
      <c r="J772" s="19">
        <v>0.52794957547094568</v>
      </c>
    </row>
    <row r="773" spans="1:10" x14ac:dyDescent="0.3">
      <c r="A773" s="9" t="s">
        <v>193</v>
      </c>
      <c r="B773" s="20">
        <v>45716</v>
      </c>
      <c r="C773" s="9" t="s">
        <v>211</v>
      </c>
      <c r="D773" s="14">
        <v>238627.44</v>
      </c>
      <c r="E773" s="14">
        <v>36954.269999999997</v>
      </c>
      <c r="F773" s="14">
        <v>6445.42</v>
      </c>
      <c r="G773" s="14">
        <v>32085.72</v>
      </c>
      <c r="H773" s="14">
        <v>9561.2000000000007</v>
      </c>
      <c r="I773" s="14">
        <v>323674.03999999998</v>
      </c>
      <c r="J773" s="19">
        <v>0.52794957547094568</v>
      </c>
    </row>
    <row r="774" spans="1:10" x14ac:dyDescent="0.3">
      <c r="A774" s="9" t="s">
        <v>193</v>
      </c>
      <c r="B774" s="20">
        <v>45716</v>
      </c>
      <c r="C774" s="9" t="s">
        <v>210</v>
      </c>
      <c r="D774" s="14">
        <v>7986</v>
      </c>
      <c r="E774" s="14">
        <v>659.7</v>
      </c>
      <c r="F774" s="14">
        <v>290</v>
      </c>
      <c r="G774" s="14">
        <v>45.94</v>
      </c>
      <c r="H774" s="14">
        <v>1135.57</v>
      </c>
      <c r="I774" s="14">
        <v>10117.209999999999</v>
      </c>
      <c r="J774" s="19">
        <v>0.52794957547094568</v>
      </c>
    </row>
    <row r="775" spans="1:10" x14ac:dyDescent="0.3">
      <c r="A775" s="9" t="s">
        <v>193</v>
      </c>
      <c r="B775" s="20">
        <v>45716</v>
      </c>
      <c r="C775" s="9" t="s">
        <v>209</v>
      </c>
      <c r="D775" s="14">
        <v>12311.06</v>
      </c>
      <c r="E775" s="14">
        <v>892.83</v>
      </c>
      <c r="F775" s="14">
        <v>177.15</v>
      </c>
      <c r="G775" s="14">
        <v>1246.06</v>
      </c>
      <c r="H775" s="14">
        <v>656.97</v>
      </c>
      <c r="I775" s="14">
        <v>15284.07</v>
      </c>
      <c r="J775" s="19">
        <v>0.52794957547094568</v>
      </c>
    </row>
    <row r="776" spans="1:10" x14ac:dyDescent="0.3">
      <c r="A776" s="9" t="s">
        <v>193</v>
      </c>
      <c r="B776" s="20">
        <v>45716</v>
      </c>
      <c r="C776" s="9" t="s">
        <v>208</v>
      </c>
      <c r="D776" s="14">
        <v>94700.03</v>
      </c>
      <c r="E776" s="14">
        <v>11038.53</v>
      </c>
      <c r="F776" s="14">
        <v>9455.68</v>
      </c>
      <c r="G776" s="14">
        <v>4157.75</v>
      </c>
      <c r="H776" s="14">
        <v>5191.2299999999996</v>
      </c>
      <c r="I776" s="14">
        <v>124543.22</v>
      </c>
      <c r="J776" s="19">
        <v>0.52794957547094568</v>
      </c>
    </row>
    <row r="777" spans="1:10" x14ac:dyDescent="0.3">
      <c r="A777" s="9" t="s">
        <v>193</v>
      </c>
      <c r="B777" s="20">
        <v>45716</v>
      </c>
      <c r="C777" s="9" t="s">
        <v>207</v>
      </c>
      <c r="D777" s="14">
        <v>108852.21</v>
      </c>
      <c r="E777" s="14">
        <v>13184.39</v>
      </c>
      <c r="F777" s="14">
        <v>1794.09</v>
      </c>
      <c r="G777" s="14">
        <v>7572.35</v>
      </c>
      <c r="H777" s="14">
        <v>3616.52</v>
      </c>
      <c r="I777" s="14">
        <v>135019.56</v>
      </c>
      <c r="J777" s="19">
        <v>0.52794957547094568</v>
      </c>
    </row>
    <row r="778" spans="1:10" x14ac:dyDescent="0.3">
      <c r="A778" s="9" t="s">
        <v>193</v>
      </c>
      <c r="B778" s="20">
        <v>45716</v>
      </c>
      <c r="C778" s="9" t="s">
        <v>206</v>
      </c>
      <c r="D778" s="14">
        <v>65059.57</v>
      </c>
      <c r="E778" s="14">
        <v>8751.06</v>
      </c>
      <c r="F778" s="14">
        <v>5410.64</v>
      </c>
      <c r="G778" s="14">
        <v>1429.67</v>
      </c>
      <c r="H778" s="14">
        <v>462.9</v>
      </c>
      <c r="I778" s="14">
        <v>81113.84</v>
      </c>
      <c r="J778" s="19">
        <v>0.52794957547094568</v>
      </c>
    </row>
    <row r="779" spans="1:10" x14ac:dyDescent="0.3">
      <c r="A779" s="9" t="s">
        <v>193</v>
      </c>
      <c r="B779" s="20">
        <v>45716</v>
      </c>
      <c r="C779" s="9" t="s">
        <v>205</v>
      </c>
      <c r="D779" s="14">
        <v>215098.6</v>
      </c>
      <c r="E779" s="14">
        <v>24148.240000000002</v>
      </c>
      <c r="F779" s="14">
        <v>30931.97</v>
      </c>
      <c r="G779" s="14">
        <v>12206.2</v>
      </c>
      <c r="H779" s="14">
        <v>3559.33</v>
      </c>
      <c r="I779" s="14">
        <v>285944.34000000003</v>
      </c>
      <c r="J779" s="19">
        <v>0.52794957547094568</v>
      </c>
    </row>
    <row r="780" spans="1:10" x14ac:dyDescent="0.3">
      <c r="A780" s="9" t="s">
        <v>193</v>
      </c>
      <c r="B780" s="20">
        <v>45716</v>
      </c>
      <c r="C780" s="9" t="s">
        <v>204</v>
      </c>
      <c r="D780" s="14">
        <v>268536.49</v>
      </c>
      <c r="E780" s="14">
        <v>47950.5</v>
      </c>
      <c r="F780" s="14">
        <v>43086.47</v>
      </c>
      <c r="G780" s="14">
        <v>14419.84</v>
      </c>
      <c r="H780" s="14">
        <v>6146.13</v>
      </c>
      <c r="I780" s="14">
        <v>380139.42</v>
      </c>
      <c r="J780" s="19">
        <v>0.52794957547094568</v>
      </c>
    </row>
    <row r="781" spans="1:10" x14ac:dyDescent="0.3">
      <c r="A781" s="9" t="s">
        <v>193</v>
      </c>
      <c r="B781" s="20">
        <v>45716</v>
      </c>
      <c r="C781" s="9" t="s">
        <v>203</v>
      </c>
      <c r="D781" s="14">
        <v>334642.87</v>
      </c>
      <c r="E781" s="14">
        <v>44440.66</v>
      </c>
      <c r="F781" s="14">
        <v>26558.74</v>
      </c>
      <c r="G781" s="14">
        <v>3100.59</v>
      </c>
      <c r="H781" s="14">
        <v>12107.98</v>
      </c>
      <c r="I781" s="14">
        <v>420850.84</v>
      </c>
      <c r="J781" s="19">
        <v>0.52794957547094568</v>
      </c>
    </row>
    <row r="782" spans="1:10" x14ac:dyDescent="0.3">
      <c r="A782" s="9" t="s">
        <v>193</v>
      </c>
      <c r="B782" s="20">
        <v>45747</v>
      </c>
      <c r="C782" s="9" t="s">
        <v>222</v>
      </c>
      <c r="D782" s="14">
        <v>153702.38</v>
      </c>
      <c r="E782" s="14">
        <v>22773.22</v>
      </c>
      <c r="F782" s="14">
        <v>8993.0300000000007</v>
      </c>
      <c r="G782" s="14">
        <v>6062.51</v>
      </c>
      <c r="H782" s="14">
        <v>380.89</v>
      </c>
      <c r="I782" s="14">
        <v>191912.03</v>
      </c>
      <c r="J782" s="19">
        <v>0.60664147966207382</v>
      </c>
    </row>
    <row r="783" spans="1:10" x14ac:dyDescent="0.3">
      <c r="A783" s="9" t="s">
        <v>193</v>
      </c>
      <c r="B783" s="20">
        <v>45747</v>
      </c>
      <c r="C783" s="9" t="s">
        <v>221</v>
      </c>
      <c r="D783" s="14">
        <v>300960.59000000003</v>
      </c>
      <c r="E783" s="14">
        <v>19505.39</v>
      </c>
      <c r="F783" s="14">
        <v>18553.93</v>
      </c>
      <c r="G783" s="14">
        <v>28611.759999999998</v>
      </c>
      <c r="H783" s="14">
        <v>22312.36</v>
      </c>
      <c r="I783" s="14">
        <v>389944.04</v>
      </c>
      <c r="J783" s="19">
        <v>0.60664147966207382</v>
      </c>
    </row>
    <row r="784" spans="1:10" x14ac:dyDescent="0.3">
      <c r="A784" s="9" t="s">
        <v>193</v>
      </c>
      <c r="B784" s="20">
        <v>45747</v>
      </c>
      <c r="C784" s="9" t="s">
        <v>220</v>
      </c>
      <c r="D784" s="14">
        <v>237173.32</v>
      </c>
      <c r="E784" s="14">
        <v>14806.46</v>
      </c>
      <c r="F784" s="14">
        <v>14116.83</v>
      </c>
      <c r="G784" s="14">
        <v>44741.279999999999</v>
      </c>
      <c r="H784" s="14">
        <v>14503.36</v>
      </c>
      <c r="I784" s="14">
        <v>325341.25</v>
      </c>
      <c r="J784" s="19">
        <v>0.60664147966207382</v>
      </c>
    </row>
    <row r="785" spans="1:10" x14ac:dyDescent="0.3">
      <c r="A785" s="9" t="s">
        <v>193</v>
      </c>
      <c r="B785" s="20">
        <v>45747</v>
      </c>
      <c r="C785" s="9" t="s">
        <v>219</v>
      </c>
      <c r="D785" s="14">
        <v>151280.85999999999</v>
      </c>
      <c r="E785" s="14">
        <v>27329.919999999998</v>
      </c>
      <c r="F785" s="14">
        <v>4436.09</v>
      </c>
      <c r="G785" s="14">
        <v>15580.7</v>
      </c>
      <c r="H785" s="14">
        <v>263.94</v>
      </c>
      <c r="I785" s="14">
        <v>198891.51</v>
      </c>
      <c r="J785" s="19">
        <v>0.60664147966207382</v>
      </c>
    </row>
    <row r="786" spans="1:10" x14ac:dyDescent="0.3">
      <c r="A786" s="9" t="s">
        <v>193</v>
      </c>
      <c r="B786" s="20">
        <v>45747</v>
      </c>
      <c r="C786" s="9" t="s">
        <v>218</v>
      </c>
      <c r="D786" s="14">
        <v>103478.09</v>
      </c>
      <c r="E786" s="14">
        <v>8355.06</v>
      </c>
      <c r="F786" s="14">
        <v>16542.54</v>
      </c>
      <c r="G786" s="14">
        <v>7494.28</v>
      </c>
      <c r="H786" s="14">
        <v>1587.41</v>
      </c>
      <c r="I786" s="14">
        <v>137457.38</v>
      </c>
      <c r="J786" s="19">
        <v>0.60664147966207382</v>
      </c>
    </row>
    <row r="787" spans="1:10" x14ac:dyDescent="0.3">
      <c r="A787" s="9" t="s">
        <v>193</v>
      </c>
      <c r="B787" s="20">
        <v>45747</v>
      </c>
      <c r="C787" s="9" t="s">
        <v>217</v>
      </c>
      <c r="D787" s="14">
        <v>195436.38</v>
      </c>
      <c r="E787" s="14">
        <v>27569.3</v>
      </c>
      <c r="F787" s="14">
        <v>9543.19</v>
      </c>
      <c r="G787" s="14">
        <v>12185.94</v>
      </c>
      <c r="H787" s="14">
        <v>5639.48</v>
      </c>
      <c r="I787" s="14">
        <v>250374.28</v>
      </c>
      <c r="J787" s="19">
        <v>0.60664147966207382</v>
      </c>
    </row>
    <row r="788" spans="1:10" x14ac:dyDescent="0.3">
      <c r="A788" s="9" t="s">
        <v>193</v>
      </c>
      <c r="B788" s="20">
        <v>45747</v>
      </c>
      <c r="C788" s="9" t="s">
        <v>216</v>
      </c>
      <c r="D788" s="14">
        <v>59229.78</v>
      </c>
      <c r="E788" s="14">
        <v>8863.16</v>
      </c>
      <c r="F788" s="14">
        <v>4416.7700000000004</v>
      </c>
      <c r="G788" s="14">
        <v>3855.56</v>
      </c>
      <c r="H788" s="14">
        <v>1961.05</v>
      </c>
      <c r="I788" s="14">
        <v>78326.33</v>
      </c>
      <c r="J788" s="19">
        <v>0.60664147966207382</v>
      </c>
    </row>
    <row r="789" spans="1:10" x14ac:dyDescent="0.3">
      <c r="A789" s="9" t="s">
        <v>193</v>
      </c>
      <c r="B789" s="20">
        <v>45747</v>
      </c>
      <c r="C789" s="9" t="s">
        <v>215</v>
      </c>
      <c r="D789" s="14">
        <v>219564.28</v>
      </c>
      <c r="E789" s="14">
        <v>20041.599999999999</v>
      </c>
      <c r="F789" s="14">
        <v>7011.06</v>
      </c>
      <c r="G789" s="14">
        <v>28817.06</v>
      </c>
      <c r="H789" s="14">
        <v>4137.76</v>
      </c>
      <c r="I789" s="14">
        <v>279571.77</v>
      </c>
      <c r="J789" s="19">
        <v>0.60664147966207382</v>
      </c>
    </row>
    <row r="790" spans="1:10" x14ac:dyDescent="0.3">
      <c r="A790" s="9" t="s">
        <v>193</v>
      </c>
      <c r="B790" s="20">
        <v>45747</v>
      </c>
      <c r="C790" s="9" t="s">
        <v>214</v>
      </c>
      <c r="D790" s="14">
        <v>259548.53</v>
      </c>
      <c r="E790" s="14">
        <v>29835.78</v>
      </c>
      <c r="F790" s="14">
        <v>9102.31</v>
      </c>
      <c r="G790" s="14">
        <v>8773.67</v>
      </c>
      <c r="H790" s="14">
        <v>7417.83</v>
      </c>
      <c r="I790" s="14">
        <v>314678.12</v>
      </c>
      <c r="J790" s="19">
        <v>0.60664147966207382</v>
      </c>
    </row>
    <row r="791" spans="1:10" x14ac:dyDescent="0.3">
      <c r="A791" s="9" t="s">
        <v>193</v>
      </c>
      <c r="B791" s="20">
        <v>45747</v>
      </c>
      <c r="C791" s="9" t="s">
        <v>213</v>
      </c>
      <c r="D791" s="14">
        <v>128335.85</v>
      </c>
      <c r="E791" s="14">
        <v>18197.169999999998</v>
      </c>
      <c r="F791" s="14">
        <v>7441.76</v>
      </c>
      <c r="G791" s="14">
        <v>9661.8799999999992</v>
      </c>
      <c r="H791" s="14">
        <v>5066.84</v>
      </c>
      <c r="I791" s="14">
        <v>168703.49</v>
      </c>
      <c r="J791" s="19">
        <v>0.60664147966207382</v>
      </c>
    </row>
    <row r="792" spans="1:10" x14ac:dyDescent="0.3">
      <c r="A792" s="9" t="s">
        <v>193</v>
      </c>
      <c r="B792" s="20">
        <v>45747</v>
      </c>
      <c r="C792" s="9" t="s">
        <v>212</v>
      </c>
      <c r="D792" s="14">
        <v>272591.34999999998</v>
      </c>
      <c r="E792" s="14">
        <v>23628.89</v>
      </c>
      <c r="F792" s="14">
        <v>14703.69</v>
      </c>
      <c r="G792" s="14">
        <v>31138.02</v>
      </c>
      <c r="H792" s="14">
        <v>9916</v>
      </c>
      <c r="I792" s="14">
        <v>351977.95</v>
      </c>
      <c r="J792" s="19">
        <v>0.60664147966207382</v>
      </c>
    </row>
    <row r="793" spans="1:10" x14ac:dyDescent="0.3">
      <c r="A793" s="9" t="s">
        <v>193</v>
      </c>
      <c r="B793" s="20">
        <v>45747</v>
      </c>
      <c r="C793" s="9" t="s">
        <v>211</v>
      </c>
      <c r="D793" s="14">
        <v>250138.89</v>
      </c>
      <c r="E793" s="14">
        <v>32194.959999999999</v>
      </c>
      <c r="F793" s="14">
        <v>5237.29</v>
      </c>
      <c r="G793" s="14">
        <v>49573.69</v>
      </c>
      <c r="H793" s="14">
        <v>3500.68</v>
      </c>
      <c r="I793" s="14">
        <v>340645.51</v>
      </c>
      <c r="J793" s="19">
        <v>0.60664147966207382</v>
      </c>
    </row>
    <row r="794" spans="1:10" x14ac:dyDescent="0.3">
      <c r="A794" s="9" t="s">
        <v>193</v>
      </c>
      <c r="B794" s="20">
        <v>45747</v>
      </c>
      <c r="C794" s="9" t="s">
        <v>210</v>
      </c>
      <c r="D794" s="14">
        <v>101640.47</v>
      </c>
      <c r="E794" s="14">
        <v>16737.689999999999</v>
      </c>
      <c r="F794" s="14">
        <v>6671.43</v>
      </c>
      <c r="G794" s="14">
        <v>2644.81</v>
      </c>
      <c r="H794" s="14">
        <v>4524.67</v>
      </c>
      <c r="I794" s="14">
        <v>132219.07</v>
      </c>
      <c r="J794" s="19">
        <v>0.60664147966207382</v>
      </c>
    </row>
    <row r="795" spans="1:10" x14ac:dyDescent="0.3">
      <c r="A795" s="9" t="s">
        <v>193</v>
      </c>
      <c r="B795" s="20">
        <v>45747</v>
      </c>
      <c r="C795" s="9" t="s">
        <v>209</v>
      </c>
      <c r="D795" s="14">
        <v>201986.34</v>
      </c>
      <c r="E795" s="14">
        <v>22352.13</v>
      </c>
      <c r="F795" s="14">
        <v>11447.78</v>
      </c>
      <c r="G795" s="14">
        <v>5587.18</v>
      </c>
      <c r="H795" s="14">
        <v>756.04</v>
      </c>
      <c r="I795" s="14">
        <v>242129.47</v>
      </c>
      <c r="J795" s="19">
        <v>0.60664147966207382</v>
      </c>
    </row>
    <row r="796" spans="1:10" x14ac:dyDescent="0.3">
      <c r="A796" s="9" t="s">
        <v>193</v>
      </c>
      <c r="B796" s="20">
        <v>45747</v>
      </c>
      <c r="C796" s="9" t="s">
        <v>208</v>
      </c>
      <c r="D796" s="14">
        <v>17409.39</v>
      </c>
      <c r="E796" s="14">
        <v>1612.66</v>
      </c>
      <c r="F796" s="14">
        <v>3100.86</v>
      </c>
      <c r="G796" s="14">
        <v>149.33000000000001</v>
      </c>
      <c r="H796" s="14">
        <v>552.16</v>
      </c>
      <c r="I796" s="14">
        <v>22824.39</v>
      </c>
      <c r="J796" s="19">
        <v>0.60664147966207382</v>
      </c>
    </row>
    <row r="797" spans="1:10" x14ac:dyDescent="0.3">
      <c r="A797" s="9" t="s">
        <v>193</v>
      </c>
      <c r="B797" s="20">
        <v>45747</v>
      </c>
      <c r="C797" s="9" t="s">
        <v>207</v>
      </c>
      <c r="D797" s="14">
        <v>71448.95</v>
      </c>
      <c r="E797" s="14">
        <v>5760.65</v>
      </c>
      <c r="F797" s="14">
        <v>6280.8</v>
      </c>
      <c r="G797" s="14">
        <v>4599.4799999999996</v>
      </c>
      <c r="H797" s="14">
        <v>2514.0100000000002</v>
      </c>
      <c r="I797" s="14">
        <v>90603.89</v>
      </c>
      <c r="J797" s="19">
        <v>0.60664147966207382</v>
      </c>
    </row>
    <row r="798" spans="1:10" x14ac:dyDescent="0.3">
      <c r="A798" s="9" t="s">
        <v>193</v>
      </c>
      <c r="B798" s="20">
        <v>45747</v>
      </c>
      <c r="C798" s="9" t="s">
        <v>206</v>
      </c>
      <c r="D798" s="14">
        <v>218047.17</v>
      </c>
      <c r="E798" s="14">
        <v>13247.3</v>
      </c>
      <c r="F798" s="14">
        <v>46019.14</v>
      </c>
      <c r="G798" s="14">
        <v>8158.56</v>
      </c>
      <c r="H798" s="14">
        <v>748.37</v>
      </c>
      <c r="I798" s="14">
        <v>286220.53999999998</v>
      </c>
      <c r="J798" s="19">
        <v>0.60664147966207382</v>
      </c>
    </row>
    <row r="799" spans="1:10" x14ac:dyDescent="0.3">
      <c r="A799" s="9" t="s">
        <v>193</v>
      </c>
      <c r="B799" s="20">
        <v>45747</v>
      </c>
      <c r="C799" s="9" t="s">
        <v>205</v>
      </c>
      <c r="D799" s="14">
        <v>106143.61</v>
      </c>
      <c r="E799" s="14">
        <v>23817.82</v>
      </c>
      <c r="F799" s="14">
        <v>8469.94</v>
      </c>
      <c r="G799" s="14">
        <v>9199.02</v>
      </c>
      <c r="H799" s="14">
        <v>468.99</v>
      </c>
      <c r="I799" s="14">
        <v>148099.37</v>
      </c>
      <c r="J799" s="19">
        <v>0.60664147966207382</v>
      </c>
    </row>
    <row r="800" spans="1:10" x14ac:dyDescent="0.3">
      <c r="A800" s="9" t="s">
        <v>193</v>
      </c>
      <c r="B800" s="20">
        <v>45747</v>
      </c>
      <c r="C800" s="9" t="s">
        <v>204</v>
      </c>
      <c r="D800" s="14">
        <v>342191.58</v>
      </c>
      <c r="E800" s="14">
        <v>25397.58</v>
      </c>
      <c r="F800" s="14">
        <v>37538.11</v>
      </c>
      <c r="G800" s="14">
        <v>30022.89</v>
      </c>
      <c r="H800" s="14">
        <v>83.29</v>
      </c>
      <c r="I800" s="14">
        <v>435233.44</v>
      </c>
      <c r="J800" s="19">
        <v>0.60664147966207382</v>
      </c>
    </row>
    <row r="801" spans="1:10" x14ac:dyDescent="0.3">
      <c r="A801" s="9" t="s">
        <v>193</v>
      </c>
      <c r="B801" s="20">
        <v>45747</v>
      </c>
      <c r="C801" s="9" t="s">
        <v>203</v>
      </c>
      <c r="D801" s="14">
        <v>189310.72</v>
      </c>
      <c r="E801" s="14">
        <v>9639.74</v>
      </c>
      <c r="F801" s="14">
        <v>13747.37</v>
      </c>
      <c r="G801" s="14">
        <v>25329.39</v>
      </c>
      <c r="H801" s="14">
        <v>1246.95</v>
      </c>
      <c r="I801" s="14">
        <v>239274.17</v>
      </c>
      <c r="J801" s="19">
        <v>0.60664147966207382</v>
      </c>
    </row>
    <row r="802" spans="1:10" x14ac:dyDescent="0.3">
      <c r="A802" s="9" t="s">
        <v>193</v>
      </c>
      <c r="B802" s="20">
        <v>45777</v>
      </c>
      <c r="C802" s="9" t="s">
        <v>222</v>
      </c>
      <c r="D802" s="14">
        <v>7453.19</v>
      </c>
      <c r="E802" s="14">
        <v>656.02</v>
      </c>
      <c r="F802" s="14">
        <v>212.97</v>
      </c>
      <c r="G802" s="14">
        <v>454.7</v>
      </c>
      <c r="H802" s="14">
        <v>708.68</v>
      </c>
      <c r="I802" s="14">
        <v>9485.56</v>
      </c>
      <c r="J802" s="19">
        <v>0.5272145685280063</v>
      </c>
    </row>
    <row r="803" spans="1:10" x14ac:dyDescent="0.3">
      <c r="A803" s="9" t="s">
        <v>193</v>
      </c>
      <c r="B803" s="20">
        <v>45777</v>
      </c>
      <c r="C803" s="9" t="s">
        <v>221</v>
      </c>
      <c r="D803" s="14">
        <v>270003.99</v>
      </c>
      <c r="E803" s="14">
        <v>41284.93</v>
      </c>
      <c r="F803" s="14">
        <v>7891.03</v>
      </c>
      <c r="G803" s="14">
        <v>13274.27</v>
      </c>
      <c r="H803" s="14">
        <v>7663.18</v>
      </c>
      <c r="I803" s="14">
        <v>340117.4</v>
      </c>
      <c r="J803" s="19">
        <v>0.5272145685280063</v>
      </c>
    </row>
    <row r="804" spans="1:10" x14ac:dyDescent="0.3">
      <c r="A804" s="9" t="s">
        <v>193</v>
      </c>
      <c r="B804" s="20">
        <v>45777</v>
      </c>
      <c r="C804" s="9" t="s">
        <v>220</v>
      </c>
      <c r="D804" s="14">
        <v>137383.57</v>
      </c>
      <c r="E804" s="14">
        <v>9274.68</v>
      </c>
      <c r="F804" s="14">
        <v>9772.3700000000008</v>
      </c>
      <c r="G804" s="14">
        <v>15010.51</v>
      </c>
      <c r="H804" s="14">
        <v>5886.89</v>
      </c>
      <c r="I804" s="14">
        <v>177328.01</v>
      </c>
      <c r="J804" s="19">
        <v>0.5272145685280063</v>
      </c>
    </row>
    <row r="805" spans="1:10" x14ac:dyDescent="0.3">
      <c r="A805" s="9" t="s">
        <v>193</v>
      </c>
      <c r="B805" s="20">
        <v>45777</v>
      </c>
      <c r="C805" s="9" t="s">
        <v>219</v>
      </c>
      <c r="D805" s="14">
        <v>326754.44</v>
      </c>
      <c r="E805" s="14">
        <v>35010.629999999997</v>
      </c>
      <c r="F805" s="14">
        <v>26867.21</v>
      </c>
      <c r="G805" s="14">
        <v>9175.26</v>
      </c>
      <c r="H805" s="14">
        <v>11583.3</v>
      </c>
      <c r="I805" s="14">
        <v>409390.84</v>
      </c>
      <c r="J805" s="19">
        <v>0.5272145685280063</v>
      </c>
    </row>
    <row r="806" spans="1:10" x14ac:dyDescent="0.3">
      <c r="A806" s="9" t="s">
        <v>193</v>
      </c>
      <c r="B806" s="20">
        <v>45777</v>
      </c>
      <c r="C806" s="9" t="s">
        <v>218</v>
      </c>
      <c r="D806" s="14">
        <v>222111.87</v>
      </c>
      <c r="E806" s="14">
        <v>29612.35</v>
      </c>
      <c r="F806" s="14">
        <v>3040.6</v>
      </c>
      <c r="G806" s="14">
        <v>41145.089999999997</v>
      </c>
      <c r="H806" s="14">
        <v>6105.78</v>
      </c>
      <c r="I806" s="14">
        <v>302015.69</v>
      </c>
      <c r="J806" s="19">
        <v>0.5272145685280063</v>
      </c>
    </row>
    <row r="807" spans="1:10" x14ac:dyDescent="0.3">
      <c r="A807" s="9" t="s">
        <v>193</v>
      </c>
      <c r="B807" s="20">
        <v>45777</v>
      </c>
      <c r="C807" s="9" t="s">
        <v>217</v>
      </c>
      <c r="D807" s="14">
        <v>158611.84</v>
      </c>
      <c r="E807" s="14">
        <v>9545.14</v>
      </c>
      <c r="F807" s="14">
        <v>15747.48</v>
      </c>
      <c r="G807" s="14">
        <v>12150.44</v>
      </c>
      <c r="H807" s="14">
        <v>1344.1</v>
      </c>
      <c r="I807" s="14">
        <v>197398.99</v>
      </c>
      <c r="J807" s="19">
        <v>0.5272145685280063</v>
      </c>
    </row>
    <row r="808" spans="1:10" x14ac:dyDescent="0.3">
      <c r="A808" s="9" t="s">
        <v>193</v>
      </c>
      <c r="B808" s="20">
        <v>45777</v>
      </c>
      <c r="C808" s="9" t="s">
        <v>216</v>
      </c>
      <c r="D808" s="14">
        <v>107526.11</v>
      </c>
      <c r="E808" s="14">
        <v>8742.2000000000007</v>
      </c>
      <c r="F808" s="14">
        <v>7727.31</v>
      </c>
      <c r="G808" s="14">
        <v>5917.1</v>
      </c>
      <c r="H808" s="14">
        <v>288.75</v>
      </c>
      <c r="I808" s="14">
        <v>130201.47</v>
      </c>
      <c r="J808" s="19">
        <v>0.5272145685280063</v>
      </c>
    </row>
    <row r="809" spans="1:10" x14ac:dyDescent="0.3">
      <c r="A809" s="9" t="s">
        <v>193</v>
      </c>
      <c r="B809" s="20">
        <v>45777</v>
      </c>
      <c r="C809" s="9" t="s">
        <v>215</v>
      </c>
      <c r="D809" s="14">
        <v>55364.9</v>
      </c>
      <c r="E809" s="14">
        <v>4344.21</v>
      </c>
      <c r="F809" s="14">
        <v>8161.35</v>
      </c>
      <c r="G809" s="14">
        <v>1145.69</v>
      </c>
      <c r="H809" s="14">
        <v>6168.84</v>
      </c>
      <c r="I809" s="14">
        <v>75184.990000000005</v>
      </c>
      <c r="J809" s="19">
        <v>0.5272145685280063</v>
      </c>
    </row>
    <row r="810" spans="1:10" x14ac:dyDescent="0.3">
      <c r="A810" s="9" t="s">
        <v>193</v>
      </c>
      <c r="B810" s="20">
        <v>45777</v>
      </c>
      <c r="C810" s="9" t="s">
        <v>214</v>
      </c>
      <c r="D810" s="14">
        <v>120925.75</v>
      </c>
      <c r="E810" s="14">
        <v>7132.35</v>
      </c>
      <c r="F810" s="14">
        <v>13640.88</v>
      </c>
      <c r="G810" s="14">
        <v>13810.34</v>
      </c>
      <c r="H810" s="14">
        <v>1298.06</v>
      </c>
      <c r="I810" s="14">
        <v>156807.37</v>
      </c>
      <c r="J810" s="19">
        <v>0.5272145685280063</v>
      </c>
    </row>
    <row r="811" spans="1:10" x14ac:dyDescent="0.3">
      <c r="A811" s="9" t="s">
        <v>193</v>
      </c>
      <c r="B811" s="20">
        <v>45777</v>
      </c>
      <c r="C811" s="9" t="s">
        <v>213</v>
      </c>
      <c r="D811" s="14">
        <v>142068.91</v>
      </c>
      <c r="E811" s="14">
        <v>14540.06</v>
      </c>
      <c r="F811" s="14">
        <v>7729.09</v>
      </c>
      <c r="G811" s="14">
        <v>12196.7</v>
      </c>
      <c r="H811" s="14">
        <v>140.13</v>
      </c>
      <c r="I811" s="14">
        <v>176674.89</v>
      </c>
      <c r="J811" s="19">
        <v>0.5272145685280063</v>
      </c>
    </row>
    <row r="812" spans="1:10" x14ac:dyDescent="0.3">
      <c r="A812" s="9" t="s">
        <v>193</v>
      </c>
      <c r="B812" s="20">
        <v>45777</v>
      </c>
      <c r="C812" s="9" t="s">
        <v>212</v>
      </c>
      <c r="D812" s="14">
        <v>304264.71999999997</v>
      </c>
      <c r="E812" s="14">
        <v>14060.96</v>
      </c>
      <c r="F812" s="14">
        <v>32007.65</v>
      </c>
      <c r="G812" s="14">
        <v>27578.09</v>
      </c>
      <c r="H812" s="14">
        <v>11279.71</v>
      </c>
      <c r="I812" s="14">
        <v>389191.12</v>
      </c>
      <c r="J812" s="19">
        <v>0.5272145685280063</v>
      </c>
    </row>
    <row r="813" spans="1:10" x14ac:dyDescent="0.3">
      <c r="A813" s="9" t="s">
        <v>193</v>
      </c>
      <c r="B813" s="20">
        <v>45777</v>
      </c>
      <c r="C813" s="9" t="s">
        <v>211</v>
      </c>
      <c r="D813" s="14">
        <v>248562.98</v>
      </c>
      <c r="E813" s="14">
        <v>32116.65</v>
      </c>
      <c r="F813" s="14">
        <v>18064.64</v>
      </c>
      <c r="G813" s="14">
        <v>22810.91</v>
      </c>
      <c r="H813" s="14">
        <v>773.98</v>
      </c>
      <c r="I813" s="14">
        <v>322329.15000000002</v>
      </c>
      <c r="J813" s="19">
        <v>0.5272145685280063</v>
      </c>
    </row>
    <row r="814" spans="1:10" x14ac:dyDescent="0.3">
      <c r="A814" s="9" t="s">
        <v>193</v>
      </c>
      <c r="B814" s="20">
        <v>45777</v>
      </c>
      <c r="C814" s="9" t="s">
        <v>210</v>
      </c>
      <c r="D814" s="14">
        <v>90769.01</v>
      </c>
      <c r="E814" s="14">
        <v>2816.73</v>
      </c>
      <c r="F814" s="14">
        <v>8305.92</v>
      </c>
      <c r="G814" s="14">
        <v>1233.8499999999999</v>
      </c>
      <c r="H814" s="14">
        <v>7279.77</v>
      </c>
      <c r="I814" s="14">
        <v>110405.29</v>
      </c>
      <c r="J814" s="19">
        <v>0.5272145685280063</v>
      </c>
    </row>
    <row r="815" spans="1:10" x14ac:dyDescent="0.3">
      <c r="A815" s="9" t="s">
        <v>193</v>
      </c>
      <c r="B815" s="20">
        <v>45777</v>
      </c>
      <c r="C815" s="9" t="s">
        <v>209</v>
      </c>
      <c r="D815" s="14">
        <v>111232.42</v>
      </c>
      <c r="E815" s="14">
        <v>13618.45</v>
      </c>
      <c r="F815" s="14">
        <v>2141.4499999999998</v>
      </c>
      <c r="G815" s="14">
        <v>8471.82</v>
      </c>
      <c r="H815" s="14">
        <v>5371.19</v>
      </c>
      <c r="I815" s="14">
        <v>140835.32999999999</v>
      </c>
      <c r="J815" s="19">
        <v>0.5272145685280063</v>
      </c>
    </row>
    <row r="816" spans="1:10" x14ac:dyDescent="0.3">
      <c r="A816" s="9" t="s">
        <v>193</v>
      </c>
      <c r="B816" s="20">
        <v>45777</v>
      </c>
      <c r="C816" s="9" t="s">
        <v>208</v>
      </c>
      <c r="D816" s="14">
        <v>53346.9</v>
      </c>
      <c r="E816" s="14">
        <v>4993.47</v>
      </c>
      <c r="F816" s="14">
        <v>2561.9899999999998</v>
      </c>
      <c r="G816" s="14">
        <v>4870.7299999999996</v>
      </c>
      <c r="H816" s="14">
        <v>175.62</v>
      </c>
      <c r="I816" s="14">
        <v>65948.710000000006</v>
      </c>
      <c r="J816" s="19">
        <v>0.5272145685280063</v>
      </c>
    </row>
    <row r="817" spans="1:10" x14ac:dyDescent="0.3">
      <c r="A817" s="9" t="s">
        <v>193</v>
      </c>
      <c r="B817" s="20">
        <v>45777</v>
      </c>
      <c r="C817" s="9" t="s">
        <v>207</v>
      </c>
      <c r="D817" s="14">
        <v>232308.36</v>
      </c>
      <c r="E817" s="14">
        <v>19670.27</v>
      </c>
      <c r="F817" s="14">
        <v>32646.79</v>
      </c>
      <c r="G817" s="14">
        <v>10463.39</v>
      </c>
      <c r="H817" s="14">
        <v>6965.37</v>
      </c>
      <c r="I817" s="14">
        <v>302054.18</v>
      </c>
      <c r="J817" s="19">
        <v>0.5272145685280063</v>
      </c>
    </row>
    <row r="818" spans="1:10" x14ac:dyDescent="0.3">
      <c r="A818" s="9" t="s">
        <v>193</v>
      </c>
      <c r="B818" s="20">
        <v>45777</v>
      </c>
      <c r="C818" s="9" t="s">
        <v>206</v>
      </c>
      <c r="D818" s="14">
        <v>199247.43</v>
      </c>
      <c r="E818" s="14">
        <v>20803.34</v>
      </c>
      <c r="F818" s="14">
        <v>19521.939999999999</v>
      </c>
      <c r="G818" s="14">
        <v>8819.56</v>
      </c>
      <c r="H818" s="14">
        <v>5821.12</v>
      </c>
      <c r="I818" s="14">
        <v>254213.4</v>
      </c>
      <c r="J818" s="19">
        <v>0.5272145685280063</v>
      </c>
    </row>
    <row r="819" spans="1:10" x14ac:dyDescent="0.3">
      <c r="A819" s="9" t="s">
        <v>193</v>
      </c>
      <c r="B819" s="20">
        <v>45777</v>
      </c>
      <c r="C819" s="9" t="s">
        <v>205</v>
      </c>
      <c r="D819" s="14">
        <v>197590.64</v>
      </c>
      <c r="E819" s="14">
        <v>36219.74</v>
      </c>
      <c r="F819" s="14">
        <v>19682.330000000002</v>
      </c>
      <c r="G819" s="14">
        <v>7454.55</v>
      </c>
      <c r="H819" s="14">
        <v>4010.35</v>
      </c>
      <c r="I819" s="14">
        <v>264957.59999999998</v>
      </c>
      <c r="J819" s="19">
        <v>0.5272145685280063</v>
      </c>
    </row>
    <row r="820" spans="1:10" x14ac:dyDescent="0.3">
      <c r="A820" s="9" t="s">
        <v>193</v>
      </c>
      <c r="B820" s="20">
        <v>45777</v>
      </c>
      <c r="C820" s="9" t="s">
        <v>204</v>
      </c>
      <c r="D820" s="14">
        <v>7003.95</v>
      </c>
      <c r="E820" s="14">
        <v>1050.1099999999999</v>
      </c>
      <c r="F820" s="14">
        <v>1004.62</v>
      </c>
      <c r="G820" s="14">
        <v>52.8</v>
      </c>
      <c r="H820" s="14">
        <v>428.01</v>
      </c>
      <c r="I820" s="14">
        <v>9539.49</v>
      </c>
      <c r="J820" s="19">
        <v>0.5272145685280063</v>
      </c>
    </row>
    <row r="821" spans="1:10" x14ac:dyDescent="0.3">
      <c r="A821" s="9" t="s">
        <v>193</v>
      </c>
      <c r="B821" s="20">
        <v>45777</v>
      </c>
      <c r="C821" s="9" t="s">
        <v>203</v>
      </c>
      <c r="D821" s="14">
        <v>215665.2</v>
      </c>
      <c r="E821" s="14">
        <v>50537.51</v>
      </c>
      <c r="F821" s="14">
        <v>11937.04</v>
      </c>
      <c r="G821" s="14">
        <v>4847.17</v>
      </c>
      <c r="H821" s="14">
        <v>3115.45</v>
      </c>
      <c r="I821" s="14">
        <v>286102.38</v>
      </c>
      <c r="J821" s="19">
        <v>0.5272145685280063</v>
      </c>
    </row>
    <row r="822" spans="1:10" x14ac:dyDescent="0.3">
      <c r="A822" s="9" t="s">
        <v>193</v>
      </c>
      <c r="B822" s="20">
        <v>45808</v>
      </c>
      <c r="C822" s="9" t="s">
        <v>222</v>
      </c>
      <c r="D822" s="14">
        <v>101370.57</v>
      </c>
      <c r="E822" s="14">
        <v>6894</v>
      </c>
      <c r="F822" s="14">
        <v>12665.36</v>
      </c>
      <c r="G822" s="14">
        <v>1926.79</v>
      </c>
      <c r="H822" s="14">
        <v>7208.19</v>
      </c>
      <c r="I822" s="14">
        <v>130064.91</v>
      </c>
      <c r="J822" s="19">
        <v>0.69122144885384784</v>
      </c>
    </row>
    <row r="823" spans="1:10" x14ac:dyDescent="0.3">
      <c r="A823" s="9" t="s">
        <v>193</v>
      </c>
      <c r="B823" s="20">
        <v>45808</v>
      </c>
      <c r="C823" s="9" t="s">
        <v>221</v>
      </c>
      <c r="D823" s="14">
        <v>185169.32</v>
      </c>
      <c r="E823" s="14">
        <v>11295.07</v>
      </c>
      <c r="F823" s="14">
        <v>27170.43</v>
      </c>
      <c r="G823" s="14">
        <v>13126.12</v>
      </c>
      <c r="H823" s="14">
        <v>1123.6099999999999</v>
      </c>
      <c r="I823" s="14">
        <v>237884.55</v>
      </c>
      <c r="J823" s="19">
        <v>0.69122144885384784</v>
      </c>
    </row>
    <row r="824" spans="1:10" x14ac:dyDescent="0.3">
      <c r="A824" s="9" t="s">
        <v>193</v>
      </c>
      <c r="B824" s="20">
        <v>45808</v>
      </c>
      <c r="C824" s="9" t="s">
        <v>220</v>
      </c>
      <c r="D824" s="14">
        <v>237933.34</v>
      </c>
      <c r="E824" s="14">
        <v>20903.66</v>
      </c>
      <c r="F824" s="14">
        <v>14565.1</v>
      </c>
      <c r="G824" s="14">
        <v>16685.68</v>
      </c>
      <c r="H824" s="14">
        <v>2110.25</v>
      </c>
      <c r="I824" s="14">
        <v>292198.02</v>
      </c>
      <c r="J824" s="19">
        <v>0.69122144885384784</v>
      </c>
    </row>
    <row r="825" spans="1:10" x14ac:dyDescent="0.3">
      <c r="A825" s="9" t="s">
        <v>193</v>
      </c>
      <c r="B825" s="20">
        <v>45808</v>
      </c>
      <c r="C825" s="9" t="s">
        <v>219</v>
      </c>
      <c r="D825" s="14">
        <v>265370.21999999997</v>
      </c>
      <c r="E825" s="14">
        <v>10602.72</v>
      </c>
      <c r="F825" s="14">
        <v>13777.7</v>
      </c>
      <c r="G825" s="14">
        <v>28656</v>
      </c>
      <c r="H825" s="14">
        <v>5156.72</v>
      </c>
      <c r="I825" s="14">
        <v>323563.36</v>
      </c>
      <c r="J825" s="19">
        <v>0.69122144885384784</v>
      </c>
    </row>
    <row r="826" spans="1:10" x14ac:dyDescent="0.3">
      <c r="A826" s="9" t="s">
        <v>193</v>
      </c>
      <c r="B826" s="20">
        <v>45808</v>
      </c>
      <c r="C826" s="9" t="s">
        <v>218</v>
      </c>
      <c r="D826" s="14">
        <v>234332.82</v>
      </c>
      <c r="E826" s="14">
        <v>38432.83</v>
      </c>
      <c r="F826" s="14">
        <v>9339.41</v>
      </c>
      <c r="G826" s="14">
        <v>5320.97</v>
      </c>
      <c r="H826" s="14">
        <v>11026.32</v>
      </c>
      <c r="I826" s="14">
        <v>298452.34999999998</v>
      </c>
      <c r="J826" s="19">
        <v>0.69122144885384784</v>
      </c>
    </row>
    <row r="827" spans="1:10" x14ac:dyDescent="0.3">
      <c r="A827" s="9" t="s">
        <v>193</v>
      </c>
      <c r="B827" s="20">
        <v>45808</v>
      </c>
      <c r="C827" s="9" t="s">
        <v>217</v>
      </c>
      <c r="D827" s="14">
        <v>281583.99</v>
      </c>
      <c r="E827" s="14">
        <v>29008.42</v>
      </c>
      <c r="F827" s="14">
        <v>32743.4</v>
      </c>
      <c r="G827" s="14">
        <v>12339.99</v>
      </c>
      <c r="H827" s="14">
        <v>26370.17</v>
      </c>
      <c r="I827" s="14">
        <v>382045.97</v>
      </c>
      <c r="J827" s="19">
        <v>0.69122144885384784</v>
      </c>
    </row>
    <row r="828" spans="1:10" x14ac:dyDescent="0.3">
      <c r="A828" s="9" t="s">
        <v>193</v>
      </c>
      <c r="B828" s="20">
        <v>45808</v>
      </c>
      <c r="C828" s="9" t="s">
        <v>216</v>
      </c>
      <c r="D828" s="14">
        <v>307038.92</v>
      </c>
      <c r="E828" s="14">
        <v>36530.730000000003</v>
      </c>
      <c r="F828" s="14">
        <v>36033.21</v>
      </c>
      <c r="G828" s="14">
        <v>19967.03</v>
      </c>
      <c r="H828" s="14">
        <v>2397.8200000000002</v>
      </c>
      <c r="I828" s="14">
        <v>401967.72</v>
      </c>
      <c r="J828" s="19">
        <v>0.69122144885384784</v>
      </c>
    </row>
    <row r="829" spans="1:10" x14ac:dyDescent="0.3">
      <c r="A829" s="9" t="s">
        <v>193</v>
      </c>
      <c r="B829" s="20">
        <v>45808</v>
      </c>
      <c r="C829" s="9" t="s">
        <v>215</v>
      </c>
      <c r="D829" s="14">
        <v>53056.46</v>
      </c>
      <c r="E829" s="14">
        <v>6169.96</v>
      </c>
      <c r="F829" s="14">
        <v>3481.53</v>
      </c>
      <c r="G829" s="14">
        <v>1031.47</v>
      </c>
      <c r="H829" s="14">
        <v>899.3</v>
      </c>
      <c r="I829" s="14">
        <v>64638.71</v>
      </c>
      <c r="J829" s="19">
        <v>0.69122144885384784</v>
      </c>
    </row>
    <row r="830" spans="1:10" x14ac:dyDescent="0.3">
      <c r="A830" s="9" t="s">
        <v>193</v>
      </c>
      <c r="B830" s="20">
        <v>45808</v>
      </c>
      <c r="C830" s="9" t="s">
        <v>214</v>
      </c>
      <c r="D830" s="14">
        <v>173038.44</v>
      </c>
      <c r="E830" s="14">
        <v>13827.01</v>
      </c>
      <c r="F830" s="14">
        <v>3552.3</v>
      </c>
      <c r="G830" s="14">
        <v>12645.1</v>
      </c>
      <c r="H830" s="14">
        <v>7120.79</v>
      </c>
      <c r="I830" s="14">
        <v>210183.64</v>
      </c>
      <c r="J830" s="19">
        <v>0.69122144885384784</v>
      </c>
    </row>
    <row r="831" spans="1:10" x14ac:dyDescent="0.3">
      <c r="A831" s="9" t="s">
        <v>193</v>
      </c>
      <c r="B831" s="20">
        <v>45808</v>
      </c>
      <c r="C831" s="9" t="s">
        <v>213</v>
      </c>
      <c r="D831" s="14">
        <v>334089.28000000003</v>
      </c>
      <c r="E831" s="14">
        <v>46814.15</v>
      </c>
      <c r="F831" s="14">
        <v>3813.21</v>
      </c>
      <c r="G831" s="14">
        <v>29312.12</v>
      </c>
      <c r="H831" s="14">
        <v>3271.33</v>
      </c>
      <c r="I831" s="14">
        <v>417300.09</v>
      </c>
      <c r="J831" s="19">
        <v>0.69122144885384784</v>
      </c>
    </row>
    <row r="832" spans="1:10" x14ac:dyDescent="0.3">
      <c r="A832" s="9" t="s">
        <v>193</v>
      </c>
      <c r="B832" s="20">
        <v>45808</v>
      </c>
      <c r="C832" s="9" t="s">
        <v>212</v>
      </c>
      <c r="D832" s="14">
        <v>117620.41</v>
      </c>
      <c r="E832" s="14">
        <v>12779.67</v>
      </c>
      <c r="F832" s="14">
        <v>14652.78</v>
      </c>
      <c r="G832" s="14">
        <v>3374.8</v>
      </c>
      <c r="H832" s="14">
        <v>949.41</v>
      </c>
      <c r="I832" s="14">
        <v>149377.07</v>
      </c>
      <c r="J832" s="19">
        <v>0.69122144885384784</v>
      </c>
    </row>
    <row r="833" spans="1:10" x14ac:dyDescent="0.3">
      <c r="A833" s="9" t="s">
        <v>193</v>
      </c>
      <c r="B833" s="20">
        <v>45808</v>
      </c>
      <c r="C833" s="9" t="s">
        <v>211</v>
      </c>
      <c r="D833" s="14">
        <v>89372.36</v>
      </c>
      <c r="E833" s="14">
        <v>8797.17</v>
      </c>
      <c r="F833" s="14">
        <v>8215.27</v>
      </c>
      <c r="G833" s="14">
        <v>16000.11</v>
      </c>
      <c r="H833" s="14">
        <v>1821.31</v>
      </c>
      <c r="I833" s="14">
        <v>124206.22</v>
      </c>
      <c r="J833" s="19">
        <v>0.69122144885384784</v>
      </c>
    </row>
    <row r="834" spans="1:10" x14ac:dyDescent="0.3">
      <c r="A834" s="9" t="s">
        <v>193</v>
      </c>
      <c r="B834" s="20">
        <v>45808</v>
      </c>
      <c r="C834" s="9" t="s">
        <v>210</v>
      </c>
      <c r="D834" s="14">
        <v>281750.38</v>
      </c>
      <c r="E834" s="14">
        <v>51620.19</v>
      </c>
      <c r="F834" s="14">
        <v>6406.8</v>
      </c>
      <c r="G834" s="14">
        <v>18998.03</v>
      </c>
      <c r="H834" s="14">
        <v>2757.43</v>
      </c>
      <c r="I834" s="14">
        <v>361532.83</v>
      </c>
      <c r="J834" s="19">
        <v>0.69122144885384784</v>
      </c>
    </row>
    <row r="835" spans="1:10" x14ac:dyDescent="0.3">
      <c r="A835" s="9" t="s">
        <v>193</v>
      </c>
      <c r="B835" s="20">
        <v>45808</v>
      </c>
      <c r="C835" s="9" t="s">
        <v>209</v>
      </c>
      <c r="D835" s="14">
        <v>151951.47</v>
      </c>
      <c r="E835" s="14">
        <v>15423.74</v>
      </c>
      <c r="F835" s="14">
        <v>2088.29</v>
      </c>
      <c r="G835" s="14">
        <v>8576.94</v>
      </c>
      <c r="H835" s="14">
        <v>12859.34</v>
      </c>
      <c r="I835" s="14">
        <v>190899.78</v>
      </c>
      <c r="J835" s="19">
        <v>0.69122144885384784</v>
      </c>
    </row>
    <row r="836" spans="1:10" x14ac:dyDescent="0.3">
      <c r="A836" s="9" t="s">
        <v>193</v>
      </c>
      <c r="B836" s="20">
        <v>45808</v>
      </c>
      <c r="C836" s="9" t="s">
        <v>208</v>
      </c>
      <c r="D836" s="14">
        <v>235981.78</v>
      </c>
      <c r="E836" s="14">
        <v>26343.59</v>
      </c>
      <c r="F836" s="14">
        <v>16023.79</v>
      </c>
      <c r="G836" s="14">
        <v>3013.5</v>
      </c>
      <c r="H836" s="14">
        <v>3588.29</v>
      </c>
      <c r="I836" s="14">
        <v>284950.95</v>
      </c>
      <c r="J836" s="19">
        <v>0.69122144885384784</v>
      </c>
    </row>
    <row r="837" spans="1:10" x14ac:dyDescent="0.3">
      <c r="A837" s="9" t="s">
        <v>193</v>
      </c>
      <c r="B837" s="20">
        <v>45808</v>
      </c>
      <c r="C837" s="9" t="s">
        <v>207</v>
      </c>
      <c r="D837" s="14">
        <v>220012.85</v>
      </c>
      <c r="E837" s="14">
        <v>45599.87</v>
      </c>
      <c r="F837" s="14">
        <v>14368.77</v>
      </c>
      <c r="G837" s="14">
        <v>3393.41</v>
      </c>
      <c r="H837" s="14">
        <v>4619.54</v>
      </c>
      <c r="I837" s="14">
        <v>287994.45</v>
      </c>
      <c r="J837" s="19">
        <v>0.69122144885384784</v>
      </c>
    </row>
    <row r="838" spans="1:10" x14ac:dyDescent="0.3">
      <c r="A838" s="9" t="s">
        <v>193</v>
      </c>
      <c r="B838" s="20">
        <v>45808</v>
      </c>
      <c r="C838" s="9" t="s">
        <v>206</v>
      </c>
      <c r="D838" s="14">
        <v>43608.25</v>
      </c>
      <c r="E838" s="14">
        <v>3627.25</v>
      </c>
      <c r="F838" s="14">
        <v>1909.81</v>
      </c>
      <c r="G838" s="14">
        <v>2003.43</v>
      </c>
      <c r="H838" s="14">
        <v>3938.23</v>
      </c>
      <c r="I838" s="14">
        <v>55086.98</v>
      </c>
      <c r="J838" s="19">
        <v>0.69122144885384784</v>
      </c>
    </row>
    <row r="839" spans="1:10" x14ac:dyDescent="0.3">
      <c r="A839" s="9" t="s">
        <v>193</v>
      </c>
      <c r="B839" s="20">
        <v>45808</v>
      </c>
      <c r="C839" s="9" t="s">
        <v>205</v>
      </c>
      <c r="D839" s="14">
        <v>351728.09</v>
      </c>
      <c r="E839" s="14">
        <v>43777.59</v>
      </c>
      <c r="F839" s="14">
        <v>30746.68</v>
      </c>
      <c r="G839" s="14">
        <v>9003.5400000000009</v>
      </c>
      <c r="H839" s="14">
        <v>11144.59</v>
      </c>
      <c r="I839" s="14">
        <v>446400.49</v>
      </c>
      <c r="J839" s="19">
        <v>0.69122144885384784</v>
      </c>
    </row>
    <row r="840" spans="1:10" x14ac:dyDescent="0.3">
      <c r="A840" s="9" t="s">
        <v>193</v>
      </c>
      <c r="B840" s="20">
        <v>45808</v>
      </c>
      <c r="C840" s="9" t="s">
        <v>204</v>
      </c>
      <c r="D840" s="14">
        <v>314635.78999999998</v>
      </c>
      <c r="E840" s="14">
        <v>50171.83</v>
      </c>
      <c r="F840" s="14">
        <v>23696.65</v>
      </c>
      <c r="G840" s="14">
        <v>7817.03</v>
      </c>
      <c r="H840" s="14">
        <v>7995.08</v>
      </c>
      <c r="I840" s="14">
        <v>404316.38</v>
      </c>
      <c r="J840" s="19">
        <v>0.69122144885384784</v>
      </c>
    </row>
    <row r="841" spans="1:10" x14ac:dyDescent="0.3">
      <c r="A841" s="9" t="s">
        <v>193</v>
      </c>
      <c r="B841" s="20">
        <v>45808</v>
      </c>
      <c r="C841" s="9" t="s">
        <v>203</v>
      </c>
      <c r="D841" s="14">
        <v>148337.63</v>
      </c>
      <c r="E841" s="14">
        <v>25201.599999999999</v>
      </c>
      <c r="F841" s="14">
        <v>2064.63</v>
      </c>
      <c r="G841" s="14">
        <v>4648.76</v>
      </c>
      <c r="H841" s="14">
        <v>8583.4699999999993</v>
      </c>
      <c r="I841" s="14">
        <v>188836.09</v>
      </c>
      <c r="J841" s="19">
        <v>0.69122144885384784</v>
      </c>
    </row>
    <row r="842" spans="1:10" x14ac:dyDescent="0.3">
      <c r="A842" s="9" t="s">
        <v>193</v>
      </c>
      <c r="B842" s="20">
        <v>45838</v>
      </c>
      <c r="C842" s="9" t="s">
        <v>222</v>
      </c>
      <c r="D842" s="14">
        <v>202328.35</v>
      </c>
      <c r="E842" s="14">
        <v>19857.150000000001</v>
      </c>
      <c r="F842" s="14">
        <v>29018.92</v>
      </c>
      <c r="G842" s="14">
        <v>7397.95</v>
      </c>
      <c r="H842" s="14">
        <v>9898.58</v>
      </c>
      <c r="I842" s="14">
        <v>268500.95</v>
      </c>
      <c r="J842" s="19">
        <v>0.58819149974100671</v>
      </c>
    </row>
    <row r="843" spans="1:10" x14ac:dyDescent="0.3">
      <c r="A843" s="9" t="s">
        <v>193</v>
      </c>
      <c r="B843" s="20">
        <v>45838</v>
      </c>
      <c r="C843" s="9" t="s">
        <v>221</v>
      </c>
      <c r="D843" s="14">
        <v>256478</v>
      </c>
      <c r="E843" s="14">
        <v>31345.32</v>
      </c>
      <c r="F843" s="14">
        <v>32123.53</v>
      </c>
      <c r="G843" s="14">
        <v>8005.13</v>
      </c>
      <c r="H843" s="14">
        <v>1825.2</v>
      </c>
      <c r="I843" s="14">
        <v>329777.19</v>
      </c>
      <c r="J843" s="19">
        <v>0.58819149974100671</v>
      </c>
    </row>
    <row r="844" spans="1:10" x14ac:dyDescent="0.3">
      <c r="A844" s="9" t="s">
        <v>193</v>
      </c>
      <c r="B844" s="20">
        <v>45838</v>
      </c>
      <c r="C844" s="9" t="s">
        <v>220</v>
      </c>
      <c r="D844" s="14">
        <v>63155.96</v>
      </c>
      <c r="E844" s="14">
        <v>5236.3</v>
      </c>
      <c r="F844" s="14">
        <v>6502.22</v>
      </c>
      <c r="G844" s="14">
        <v>159.03</v>
      </c>
      <c r="H844" s="14">
        <v>3876.34</v>
      </c>
      <c r="I844" s="14">
        <v>78929.850000000006</v>
      </c>
      <c r="J844" s="19">
        <v>0.58819149974100671</v>
      </c>
    </row>
    <row r="845" spans="1:10" x14ac:dyDescent="0.3">
      <c r="A845" s="9" t="s">
        <v>193</v>
      </c>
      <c r="B845" s="20">
        <v>45838</v>
      </c>
      <c r="C845" s="9" t="s">
        <v>219</v>
      </c>
      <c r="D845" s="14">
        <v>190549.89</v>
      </c>
      <c r="E845" s="14">
        <v>10600.12</v>
      </c>
      <c r="F845" s="14">
        <v>33041.39</v>
      </c>
      <c r="G845" s="14">
        <v>5889.2</v>
      </c>
      <c r="H845" s="14">
        <v>363.46</v>
      </c>
      <c r="I845" s="14">
        <v>240444.06</v>
      </c>
      <c r="J845" s="19">
        <v>0.58819149974100671</v>
      </c>
    </row>
    <row r="846" spans="1:10" x14ac:dyDescent="0.3">
      <c r="A846" s="9" t="s">
        <v>193</v>
      </c>
      <c r="B846" s="20">
        <v>45838</v>
      </c>
      <c r="C846" s="9" t="s">
        <v>218</v>
      </c>
      <c r="D846" s="14">
        <v>240601.24</v>
      </c>
      <c r="E846" s="14">
        <v>17070.849999999999</v>
      </c>
      <c r="F846" s="14">
        <v>14043.74</v>
      </c>
      <c r="G846" s="14">
        <v>29589.119999999999</v>
      </c>
      <c r="H846" s="14">
        <v>15212.92</v>
      </c>
      <c r="I846" s="14">
        <v>316517.87</v>
      </c>
      <c r="J846" s="19">
        <v>0.58819149974100671</v>
      </c>
    </row>
    <row r="847" spans="1:10" x14ac:dyDescent="0.3">
      <c r="A847" s="9" t="s">
        <v>193</v>
      </c>
      <c r="B847" s="20">
        <v>45838</v>
      </c>
      <c r="C847" s="9" t="s">
        <v>217</v>
      </c>
      <c r="D847" s="14">
        <v>279828.31</v>
      </c>
      <c r="E847" s="14">
        <v>33452.620000000003</v>
      </c>
      <c r="F847" s="14">
        <v>15749.24</v>
      </c>
      <c r="G847" s="14">
        <v>37575.760000000002</v>
      </c>
      <c r="H847" s="14">
        <v>5328.16</v>
      </c>
      <c r="I847" s="14">
        <v>371934.09</v>
      </c>
      <c r="J847" s="19">
        <v>0.58819149974100671</v>
      </c>
    </row>
    <row r="848" spans="1:10" x14ac:dyDescent="0.3">
      <c r="A848" s="9" t="s">
        <v>193</v>
      </c>
      <c r="B848" s="20">
        <v>45838</v>
      </c>
      <c r="C848" s="9" t="s">
        <v>216</v>
      </c>
      <c r="D848" s="14">
        <v>222140.03</v>
      </c>
      <c r="E848" s="14">
        <v>30273.05</v>
      </c>
      <c r="F848" s="14">
        <v>9339.48</v>
      </c>
      <c r="G848" s="14">
        <v>6989.93</v>
      </c>
      <c r="H848" s="14">
        <v>6552.2</v>
      </c>
      <c r="I848" s="14">
        <v>275294.69</v>
      </c>
      <c r="J848" s="19">
        <v>0.58819149974100671</v>
      </c>
    </row>
    <row r="849" spans="1:10" x14ac:dyDescent="0.3">
      <c r="A849" s="9" t="s">
        <v>193</v>
      </c>
      <c r="B849" s="20">
        <v>45838</v>
      </c>
      <c r="C849" s="9" t="s">
        <v>215</v>
      </c>
      <c r="D849" s="14">
        <v>283701.53999999998</v>
      </c>
      <c r="E849" s="14">
        <v>33936.28</v>
      </c>
      <c r="F849" s="14">
        <v>42213.52</v>
      </c>
      <c r="G849" s="14">
        <v>4165.54</v>
      </c>
      <c r="H849" s="14">
        <v>531.15</v>
      </c>
      <c r="I849" s="14">
        <v>364548.03</v>
      </c>
      <c r="J849" s="19">
        <v>0.58819149974100671</v>
      </c>
    </row>
    <row r="850" spans="1:10" x14ac:dyDescent="0.3">
      <c r="A850" s="9" t="s">
        <v>193</v>
      </c>
      <c r="B850" s="20">
        <v>45838</v>
      </c>
      <c r="C850" s="9" t="s">
        <v>214</v>
      </c>
      <c r="D850" s="14">
        <v>165029.64000000001</v>
      </c>
      <c r="E850" s="14">
        <v>16279.71</v>
      </c>
      <c r="F850" s="14">
        <v>17060.3</v>
      </c>
      <c r="G850" s="14">
        <v>7508.82</v>
      </c>
      <c r="H850" s="14">
        <v>5794.11</v>
      </c>
      <c r="I850" s="14">
        <v>211672.57</v>
      </c>
      <c r="J850" s="19">
        <v>0.58819149974100671</v>
      </c>
    </row>
    <row r="851" spans="1:10" x14ac:dyDescent="0.3">
      <c r="A851" s="9" t="s">
        <v>193</v>
      </c>
      <c r="B851" s="20">
        <v>45838</v>
      </c>
      <c r="C851" s="9" t="s">
        <v>213</v>
      </c>
      <c r="D851" s="14">
        <v>173568.42</v>
      </c>
      <c r="E851" s="14">
        <v>19905.919999999998</v>
      </c>
      <c r="F851" s="14">
        <v>11037.76</v>
      </c>
      <c r="G851" s="14">
        <v>2257.88</v>
      </c>
      <c r="H851" s="14">
        <v>15900.59</v>
      </c>
      <c r="I851" s="14">
        <v>222670.58</v>
      </c>
      <c r="J851" s="19">
        <v>0.58819149974100671</v>
      </c>
    </row>
    <row r="852" spans="1:10" x14ac:dyDescent="0.3">
      <c r="A852" s="9" t="s">
        <v>193</v>
      </c>
      <c r="B852" s="20">
        <v>45838</v>
      </c>
      <c r="C852" s="9" t="s">
        <v>212</v>
      </c>
      <c r="D852" s="14">
        <v>127808.3</v>
      </c>
      <c r="E852" s="14">
        <v>7225.89</v>
      </c>
      <c r="F852" s="14">
        <v>4317.12</v>
      </c>
      <c r="G852" s="14">
        <v>23001.46</v>
      </c>
      <c r="H852" s="14">
        <v>4173.84</v>
      </c>
      <c r="I852" s="14">
        <v>166526.62</v>
      </c>
      <c r="J852" s="19">
        <v>0.58819149974100671</v>
      </c>
    </row>
    <row r="853" spans="1:10" x14ac:dyDescent="0.3">
      <c r="A853" s="9" t="s">
        <v>193</v>
      </c>
      <c r="B853" s="20">
        <v>45838</v>
      </c>
      <c r="C853" s="9" t="s">
        <v>211</v>
      </c>
      <c r="D853" s="14">
        <v>238287.4</v>
      </c>
      <c r="E853" s="14">
        <v>44679</v>
      </c>
      <c r="F853" s="14">
        <v>21751.07</v>
      </c>
      <c r="G853" s="14">
        <v>9475.4599999999991</v>
      </c>
      <c r="H853" s="14">
        <v>2865.37</v>
      </c>
      <c r="I853" s="14">
        <v>317058.3</v>
      </c>
      <c r="J853" s="19">
        <v>0.58819149974100671</v>
      </c>
    </row>
    <row r="854" spans="1:10" x14ac:dyDescent="0.3">
      <c r="A854" s="9" t="s">
        <v>193</v>
      </c>
      <c r="B854" s="20">
        <v>45838</v>
      </c>
      <c r="C854" s="9" t="s">
        <v>210</v>
      </c>
      <c r="D854" s="14">
        <v>290633.59000000003</v>
      </c>
      <c r="E854" s="14">
        <v>36998.639999999999</v>
      </c>
      <c r="F854" s="14">
        <v>22551.38</v>
      </c>
      <c r="G854" s="14">
        <v>6359.9</v>
      </c>
      <c r="H854" s="14">
        <v>5590.18</v>
      </c>
      <c r="I854" s="14">
        <v>362133.69</v>
      </c>
      <c r="J854" s="19">
        <v>0.58819149974100671</v>
      </c>
    </row>
    <row r="855" spans="1:10" x14ac:dyDescent="0.3">
      <c r="A855" s="9" t="s">
        <v>193</v>
      </c>
      <c r="B855" s="20">
        <v>45838</v>
      </c>
      <c r="C855" s="9" t="s">
        <v>209</v>
      </c>
      <c r="D855" s="14">
        <v>153510.91</v>
      </c>
      <c r="E855" s="14">
        <v>27016.9</v>
      </c>
      <c r="F855" s="14">
        <v>9915.1299999999992</v>
      </c>
      <c r="G855" s="14">
        <v>9915.86</v>
      </c>
      <c r="H855" s="14">
        <v>9424.2900000000009</v>
      </c>
      <c r="I855" s="14">
        <v>209783.09</v>
      </c>
      <c r="J855" s="19">
        <v>0.58819149974100671</v>
      </c>
    </row>
    <row r="856" spans="1:10" x14ac:dyDescent="0.3">
      <c r="A856" s="9" t="s">
        <v>193</v>
      </c>
      <c r="B856" s="20">
        <v>45838</v>
      </c>
      <c r="C856" s="9" t="s">
        <v>208</v>
      </c>
      <c r="D856" s="14">
        <v>32281.68</v>
      </c>
      <c r="E856" s="14">
        <v>2574.87</v>
      </c>
      <c r="F856" s="14">
        <v>2610.89</v>
      </c>
      <c r="G856" s="14">
        <v>1378.04</v>
      </c>
      <c r="H856" s="14">
        <v>768.32</v>
      </c>
      <c r="I856" s="14">
        <v>39613.800000000003</v>
      </c>
      <c r="J856" s="19">
        <v>0.58819149974100671</v>
      </c>
    </row>
    <row r="857" spans="1:10" x14ac:dyDescent="0.3">
      <c r="A857" s="9" t="s">
        <v>193</v>
      </c>
      <c r="B857" s="20">
        <v>45838</v>
      </c>
      <c r="C857" s="9" t="s">
        <v>207</v>
      </c>
      <c r="D857" s="14">
        <v>62887.75</v>
      </c>
      <c r="E857" s="14">
        <v>7801.91</v>
      </c>
      <c r="F857" s="14">
        <v>4047.6</v>
      </c>
      <c r="G857" s="14">
        <v>1095.98</v>
      </c>
      <c r="H857" s="14">
        <v>2012.44</v>
      </c>
      <c r="I857" s="14">
        <v>77845.679999999993</v>
      </c>
      <c r="J857" s="19">
        <v>0.58819149974100671</v>
      </c>
    </row>
    <row r="858" spans="1:10" x14ac:dyDescent="0.3">
      <c r="A858" s="9" t="s">
        <v>193</v>
      </c>
      <c r="B858" s="20">
        <v>45838</v>
      </c>
      <c r="C858" s="9" t="s">
        <v>206</v>
      </c>
      <c r="D858" s="14">
        <v>180558.93</v>
      </c>
      <c r="E858" s="14">
        <v>12389.95</v>
      </c>
      <c r="F858" s="14">
        <v>35744.93</v>
      </c>
      <c r="G858" s="14">
        <v>8811.0499999999993</v>
      </c>
      <c r="H858" s="14">
        <v>21884.76</v>
      </c>
      <c r="I858" s="14">
        <v>259389.61</v>
      </c>
      <c r="J858" s="19">
        <v>0.58819149974100671</v>
      </c>
    </row>
    <row r="859" spans="1:10" x14ac:dyDescent="0.3">
      <c r="A859" s="9" t="s">
        <v>193</v>
      </c>
      <c r="B859" s="20">
        <v>45838</v>
      </c>
      <c r="C859" s="9" t="s">
        <v>205</v>
      </c>
      <c r="D859" s="14">
        <v>153712.98000000001</v>
      </c>
      <c r="E859" s="14">
        <v>4907.54</v>
      </c>
      <c r="F859" s="14">
        <v>10717.23</v>
      </c>
      <c r="G859" s="14">
        <v>13092.74</v>
      </c>
      <c r="H859" s="14">
        <v>2262.6</v>
      </c>
      <c r="I859" s="14">
        <v>184693.09</v>
      </c>
      <c r="J859" s="19">
        <v>0.58819149974100671</v>
      </c>
    </row>
    <row r="860" spans="1:10" x14ac:dyDescent="0.3">
      <c r="A860" s="9" t="s">
        <v>193</v>
      </c>
      <c r="B860" s="20">
        <v>45838</v>
      </c>
      <c r="C860" s="9" t="s">
        <v>204</v>
      </c>
      <c r="D860" s="14">
        <v>33204.730000000003</v>
      </c>
      <c r="E860" s="14">
        <v>3138.87</v>
      </c>
      <c r="F860" s="14">
        <v>3407.37</v>
      </c>
      <c r="G860" s="14">
        <v>152.53</v>
      </c>
      <c r="H860" s="14">
        <v>2803.03</v>
      </c>
      <c r="I860" s="14">
        <v>42706.53</v>
      </c>
      <c r="J860" s="19">
        <v>0.58819149974100671</v>
      </c>
    </row>
    <row r="861" spans="1:10" x14ac:dyDescent="0.3">
      <c r="A861" s="9" t="s">
        <v>193</v>
      </c>
      <c r="B861" s="20">
        <v>45838</v>
      </c>
      <c r="C861" s="9" t="s">
        <v>203</v>
      </c>
      <c r="D861" s="14">
        <v>269092.49</v>
      </c>
      <c r="E861" s="14">
        <v>45418.49</v>
      </c>
      <c r="F861" s="14">
        <v>8166.64</v>
      </c>
      <c r="G861" s="14">
        <v>17729.349999999999</v>
      </c>
      <c r="H861" s="14">
        <v>380.7</v>
      </c>
      <c r="I861" s="14">
        <v>340787.66</v>
      </c>
      <c r="J861" s="19">
        <v>0.58819149974100671</v>
      </c>
    </row>
    <row r="862" spans="1:10" x14ac:dyDescent="0.3">
      <c r="A862" s="9" t="s">
        <v>193</v>
      </c>
      <c r="B862" s="20">
        <v>45869</v>
      </c>
      <c r="C862" s="9" t="s">
        <v>222</v>
      </c>
      <c r="D862" s="14">
        <v>161959.32</v>
      </c>
      <c r="E862" s="14">
        <v>24335.03</v>
      </c>
      <c r="F862" s="14">
        <v>6473.54</v>
      </c>
      <c r="G862" s="14">
        <v>2132.13</v>
      </c>
      <c r="H862" s="14">
        <v>984.45</v>
      </c>
      <c r="I862" s="14">
        <v>195884.47</v>
      </c>
      <c r="J862" s="19">
        <v>0.57636267848710132</v>
      </c>
    </row>
    <row r="863" spans="1:10" x14ac:dyDescent="0.3">
      <c r="A863" s="9" t="s">
        <v>193</v>
      </c>
      <c r="B863" s="20">
        <v>45869</v>
      </c>
      <c r="C863" s="9" t="s">
        <v>221</v>
      </c>
      <c r="D863" s="14">
        <v>322670.01</v>
      </c>
      <c r="E863" s="14">
        <v>17039.919999999998</v>
      </c>
      <c r="F863" s="14">
        <v>27077.46</v>
      </c>
      <c r="G863" s="14">
        <v>21625.33</v>
      </c>
      <c r="H863" s="14">
        <v>18647.84</v>
      </c>
      <c r="I863" s="14">
        <v>407060.56</v>
      </c>
      <c r="J863" s="19">
        <v>0.57636267848710132</v>
      </c>
    </row>
    <row r="864" spans="1:10" x14ac:dyDescent="0.3">
      <c r="A864" s="9" t="s">
        <v>193</v>
      </c>
      <c r="B864" s="20">
        <v>45869</v>
      </c>
      <c r="C864" s="9" t="s">
        <v>220</v>
      </c>
      <c r="D864" s="14">
        <v>248081.05</v>
      </c>
      <c r="E864" s="14">
        <v>27494.63</v>
      </c>
      <c r="F864" s="14">
        <v>17089.919999999998</v>
      </c>
      <c r="G864" s="14">
        <v>2970.9</v>
      </c>
      <c r="H864" s="14">
        <v>41806.51</v>
      </c>
      <c r="I864" s="14">
        <v>337443.01</v>
      </c>
      <c r="J864" s="19">
        <v>0.57636267848710132</v>
      </c>
    </row>
    <row r="865" spans="1:10" x14ac:dyDescent="0.3">
      <c r="A865" s="9" t="s">
        <v>193</v>
      </c>
      <c r="B865" s="20">
        <v>45869</v>
      </c>
      <c r="C865" s="9" t="s">
        <v>219</v>
      </c>
      <c r="D865" s="14">
        <v>4954.7</v>
      </c>
      <c r="E865" s="14">
        <v>552.19000000000005</v>
      </c>
      <c r="F865" s="14">
        <v>524.27</v>
      </c>
      <c r="G865" s="14">
        <v>235.16</v>
      </c>
      <c r="H865" s="14">
        <v>36.72</v>
      </c>
      <c r="I865" s="14">
        <v>6303.05</v>
      </c>
      <c r="J865" s="19">
        <v>0.57636267848710132</v>
      </c>
    </row>
    <row r="866" spans="1:10" x14ac:dyDescent="0.3">
      <c r="A866" s="9" t="s">
        <v>193</v>
      </c>
      <c r="B866" s="20">
        <v>45869</v>
      </c>
      <c r="C866" s="9" t="s">
        <v>218</v>
      </c>
      <c r="D866" s="14">
        <v>226659.26</v>
      </c>
      <c r="E866" s="14">
        <v>9292.89</v>
      </c>
      <c r="F866" s="14">
        <v>72910.820000000007</v>
      </c>
      <c r="G866" s="14">
        <v>16490.95</v>
      </c>
      <c r="H866" s="14">
        <v>3827.38</v>
      </c>
      <c r="I866" s="14">
        <v>329181.3</v>
      </c>
      <c r="J866" s="19">
        <v>0.57636267848710132</v>
      </c>
    </row>
    <row r="867" spans="1:10" x14ac:dyDescent="0.3">
      <c r="A867" s="9" t="s">
        <v>193</v>
      </c>
      <c r="B867" s="20">
        <v>45869</v>
      </c>
      <c r="C867" s="9" t="s">
        <v>217</v>
      </c>
      <c r="D867" s="14">
        <v>341276.95</v>
      </c>
      <c r="E867" s="14">
        <v>39588.78</v>
      </c>
      <c r="F867" s="14">
        <v>36307.19</v>
      </c>
      <c r="G867" s="14">
        <v>9046.98</v>
      </c>
      <c r="H867" s="14">
        <v>12050.02</v>
      </c>
      <c r="I867" s="14">
        <v>438269.92</v>
      </c>
      <c r="J867" s="19">
        <v>0.57636267848710132</v>
      </c>
    </row>
    <row r="868" spans="1:10" x14ac:dyDescent="0.3">
      <c r="A868" s="9" t="s">
        <v>193</v>
      </c>
      <c r="B868" s="20">
        <v>45869</v>
      </c>
      <c r="C868" s="9" t="s">
        <v>216</v>
      </c>
      <c r="D868" s="14">
        <v>266346.39</v>
      </c>
      <c r="E868" s="14">
        <v>52411.81</v>
      </c>
      <c r="F868" s="14">
        <v>7848.24</v>
      </c>
      <c r="G868" s="14">
        <v>7635.82</v>
      </c>
      <c r="H868" s="14">
        <v>1494.16</v>
      </c>
      <c r="I868" s="14">
        <v>335736.42</v>
      </c>
      <c r="J868" s="19">
        <v>0.57636267848710132</v>
      </c>
    </row>
    <row r="869" spans="1:10" x14ac:dyDescent="0.3">
      <c r="A869" s="9" t="s">
        <v>193</v>
      </c>
      <c r="B869" s="20">
        <v>45869</v>
      </c>
      <c r="C869" s="9" t="s">
        <v>215</v>
      </c>
      <c r="D869" s="14">
        <v>211822.93</v>
      </c>
      <c r="E869" s="14">
        <v>38187.58</v>
      </c>
      <c r="F869" s="14">
        <v>13442.74</v>
      </c>
      <c r="G869" s="14">
        <v>17916.07</v>
      </c>
      <c r="H869" s="14">
        <v>1598.02</v>
      </c>
      <c r="I869" s="14">
        <v>282967.34999999998</v>
      </c>
      <c r="J869" s="19">
        <v>0.57636267848710132</v>
      </c>
    </row>
    <row r="870" spans="1:10" x14ac:dyDescent="0.3">
      <c r="A870" s="9" t="s">
        <v>193</v>
      </c>
      <c r="B870" s="20">
        <v>45869</v>
      </c>
      <c r="C870" s="9" t="s">
        <v>214</v>
      </c>
      <c r="D870" s="14">
        <v>101676.72</v>
      </c>
      <c r="E870" s="14">
        <v>17303.43</v>
      </c>
      <c r="F870" s="14">
        <v>8731.01</v>
      </c>
      <c r="G870" s="14">
        <v>358.28</v>
      </c>
      <c r="H870" s="14">
        <v>5536.57</v>
      </c>
      <c r="I870" s="14">
        <v>133606.01</v>
      </c>
      <c r="J870" s="19">
        <v>0.57636267848710132</v>
      </c>
    </row>
    <row r="871" spans="1:10" x14ac:dyDescent="0.3">
      <c r="A871" s="9" t="s">
        <v>193</v>
      </c>
      <c r="B871" s="20">
        <v>45869</v>
      </c>
      <c r="C871" s="9" t="s">
        <v>213</v>
      </c>
      <c r="D871" s="14">
        <v>136485.45000000001</v>
      </c>
      <c r="E871" s="14">
        <v>7377.53</v>
      </c>
      <c r="F871" s="14">
        <v>8994.58</v>
      </c>
      <c r="G871" s="14">
        <v>12326.92</v>
      </c>
      <c r="H871" s="14">
        <v>4782.5600000000004</v>
      </c>
      <c r="I871" s="14">
        <v>169967.04</v>
      </c>
      <c r="J871" s="19">
        <v>0.57636267848710132</v>
      </c>
    </row>
    <row r="872" spans="1:10" x14ac:dyDescent="0.3">
      <c r="A872" s="9" t="s">
        <v>193</v>
      </c>
      <c r="B872" s="20">
        <v>45869</v>
      </c>
      <c r="C872" s="9" t="s">
        <v>212</v>
      </c>
      <c r="D872" s="14">
        <v>143305.91</v>
      </c>
      <c r="E872" s="14">
        <v>21381.96</v>
      </c>
      <c r="F872" s="14">
        <v>3262.93</v>
      </c>
      <c r="G872" s="14">
        <v>5716.33</v>
      </c>
      <c r="H872" s="14">
        <v>554.47</v>
      </c>
      <c r="I872" s="14">
        <v>174221.6</v>
      </c>
      <c r="J872" s="19">
        <v>0.57636267848710132</v>
      </c>
    </row>
    <row r="873" spans="1:10" x14ac:dyDescent="0.3">
      <c r="A873" s="9" t="s">
        <v>193</v>
      </c>
      <c r="B873" s="20">
        <v>45869</v>
      </c>
      <c r="C873" s="9" t="s">
        <v>211</v>
      </c>
      <c r="D873" s="14">
        <v>230140.33</v>
      </c>
      <c r="E873" s="14">
        <v>32653.89</v>
      </c>
      <c r="F873" s="14">
        <v>21494.39</v>
      </c>
      <c r="G873" s="14">
        <v>23803.24</v>
      </c>
      <c r="H873" s="14">
        <v>1820.27</v>
      </c>
      <c r="I873" s="14">
        <v>309912.13</v>
      </c>
      <c r="J873" s="19">
        <v>0.57636267848710132</v>
      </c>
    </row>
    <row r="874" spans="1:10" x14ac:dyDescent="0.3">
      <c r="A874" s="9" t="s">
        <v>193</v>
      </c>
      <c r="B874" s="20">
        <v>45869</v>
      </c>
      <c r="C874" s="9" t="s">
        <v>210</v>
      </c>
      <c r="D874" s="14">
        <v>188177.14</v>
      </c>
      <c r="E874" s="14">
        <v>9878.09</v>
      </c>
      <c r="F874" s="14">
        <v>15489.81</v>
      </c>
      <c r="G874" s="14">
        <v>18627.37</v>
      </c>
      <c r="H874" s="14">
        <v>6339.99</v>
      </c>
      <c r="I874" s="14">
        <v>238512.41</v>
      </c>
      <c r="J874" s="19">
        <v>0.57636267848710132</v>
      </c>
    </row>
    <row r="875" spans="1:10" x14ac:dyDescent="0.3">
      <c r="A875" s="9" t="s">
        <v>193</v>
      </c>
      <c r="B875" s="20">
        <v>45869</v>
      </c>
      <c r="C875" s="9" t="s">
        <v>209</v>
      </c>
      <c r="D875" s="14">
        <v>30353.27</v>
      </c>
      <c r="E875" s="14">
        <v>3791.4</v>
      </c>
      <c r="F875" s="14">
        <v>2555.65</v>
      </c>
      <c r="G875" s="14">
        <v>700.34</v>
      </c>
      <c r="H875" s="14">
        <v>838.95</v>
      </c>
      <c r="I875" s="14">
        <v>38239.620000000003</v>
      </c>
      <c r="J875" s="19">
        <v>0.57636267848710132</v>
      </c>
    </row>
    <row r="876" spans="1:10" x14ac:dyDescent="0.3">
      <c r="A876" s="9" t="s">
        <v>193</v>
      </c>
      <c r="B876" s="20">
        <v>45869</v>
      </c>
      <c r="C876" s="9" t="s">
        <v>208</v>
      </c>
      <c r="D876" s="14">
        <v>203629.81</v>
      </c>
      <c r="E876" s="14">
        <v>45944.62</v>
      </c>
      <c r="F876" s="14">
        <v>12713.33</v>
      </c>
      <c r="G876" s="14">
        <v>9025.44</v>
      </c>
      <c r="H876" s="14">
        <v>2024.11</v>
      </c>
      <c r="I876" s="14">
        <v>273337.3</v>
      </c>
      <c r="J876" s="19">
        <v>0.57636267848710132</v>
      </c>
    </row>
    <row r="877" spans="1:10" x14ac:dyDescent="0.3">
      <c r="A877" s="9" t="s">
        <v>193</v>
      </c>
      <c r="B877" s="20">
        <v>45869</v>
      </c>
      <c r="C877" s="9" t="s">
        <v>207</v>
      </c>
      <c r="D877" s="14">
        <v>395649.35</v>
      </c>
      <c r="E877" s="14">
        <v>48027.05</v>
      </c>
      <c r="F877" s="14">
        <v>25427.06</v>
      </c>
      <c r="G877" s="14">
        <v>23219.97</v>
      </c>
      <c r="H877" s="14">
        <v>11989.88</v>
      </c>
      <c r="I877" s="14">
        <v>504313.31</v>
      </c>
      <c r="J877" s="19">
        <v>0.57636267848710132</v>
      </c>
    </row>
    <row r="878" spans="1:10" x14ac:dyDescent="0.3">
      <c r="A878" s="9" t="s">
        <v>193</v>
      </c>
      <c r="B878" s="20">
        <v>45869</v>
      </c>
      <c r="C878" s="9" t="s">
        <v>206</v>
      </c>
      <c r="D878" s="14">
        <v>12624.17</v>
      </c>
      <c r="E878" s="14">
        <v>1461.83</v>
      </c>
      <c r="F878" s="14">
        <v>852.96</v>
      </c>
      <c r="G878" s="14">
        <v>648.63</v>
      </c>
      <c r="H878" s="14">
        <v>175.91</v>
      </c>
      <c r="I878" s="14">
        <v>15763.5</v>
      </c>
      <c r="J878" s="19">
        <v>0.57636267848710132</v>
      </c>
    </row>
    <row r="879" spans="1:10" x14ac:dyDescent="0.3">
      <c r="A879" s="9" t="s">
        <v>193</v>
      </c>
      <c r="B879" s="20">
        <v>45869</v>
      </c>
      <c r="C879" s="9" t="s">
        <v>205</v>
      </c>
      <c r="D879" s="14">
        <v>79790.27</v>
      </c>
      <c r="E879" s="14">
        <v>4050.85</v>
      </c>
      <c r="F879" s="14">
        <v>1424.98</v>
      </c>
      <c r="G879" s="14">
        <v>6349.42</v>
      </c>
      <c r="H879" s="14">
        <v>6557.09</v>
      </c>
      <c r="I879" s="14">
        <v>98172.61</v>
      </c>
      <c r="J879" s="19">
        <v>0.57636267848710132</v>
      </c>
    </row>
    <row r="880" spans="1:10" x14ac:dyDescent="0.3">
      <c r="A880" s="9" t="s">
        <v>193</v>
      </c>
      <c r="B880" s="20">
        <v>45869</v>
      </c>
      <c r="C880" s="9" t="s">
        <v>204</v>
      </c>
      <c r="D880" s="14">
        <v>112492.13</v>
      </c>
      <c r="E880" s="14">
        <v>11579.4</v>
      </c>
      <c r="F880" s="14">
        <v>12667.6</v>
      </c>
      <c r="G880" s="14">
        <v>2402.23</v>
      </c>
      <c r="H880" s="14">
        <v>657.44</v>
      </c>
      <c r="I880" s="14">
        <v>139798.79999999999</v>
      </c>
      <c r="J880" s="19">
        <v>0.57636267848710132</v>
      </c>
    </row>
    <row r="881" spans="1:10" x14ac:dyDescent="0.3">
      <c r="A881" s="9" t="s">
        <v>193</v>
      </c>
      <c r="B881" s="20">
        <v>45869</v>
      </c>
      <c r="C881" s="9" t="s">
        <v>203</v>
      </c>
      <c r="D881" s="14">
        <v>52694.68</v>
      </c>
      <c r="E881" s="14">
        <v>3960.15</v>
      </c>
      <c r="F881" s="14">
        <v>530.64</v>
      </c>
      <c r="G881" s="14">
        <v>4491.97</v>
      </c>
      <c r="H881" s="14">
        <v>1802.88</v>
      </c>
      <c r="I881" s="14">
        <v>63480.32</v>
      </c>
      <c r="J881" s="19">
        <v>0.57636267848710132</v>
      </c>
    </row>
    <row r="882" spans="1:10" x14ac:dyDescent="0.3">
      <c r="A882" s="9" t="s">
        <v>193</v>
      </c>
      <c r="B882" s="20">
        <v>45900</v>
      </c>
      <c r="C882" s="9" t="s">
        <v>222</v>
      </c>
      <c r="D882" s="14">
        <v>400884.36</v>
      </c>
      <c r="E882" s="14">
        <v>40343.279999999999</v>
      </c>
      <c r="F882" s="14">
        <v>10729.98</v>
      </c>
      <c r="G882" s="14">
        <v>29023.87</v>
      </c>
      <c r="H882" s="14">
        <v>1819.88</v>
      </c>
      <c r="I882" s="14">
        <v>482801.38</v>
      </c>
      <c r="J882" s="19">
        <v>0.58579472228646934</v>
      </c>
    </row>
    <row r="883" spans="1:10" x14ac:dyDescent="0.3">
      <c r="A883" s="9" t="s">
        <v>193</v>
      </c>
      <c r="B883" s="20">
        <v>45900</v>
      </c>
      <c r="C883" s="9" t="s">
        <v>221</v>
      </c>
      <c r="D883" s="14">
        <v>354350.28</v>
      </c>
      <c r="E883" s="14">
        <v>8824.09</v>
      </c>
      <c r="F883" s="14">
        <v>27921.41</v>
      </c>
      <c r="G883" s="14">
        <v>7507.06</v>
      </c>
      <c r="H883" s="14">
        <v>15640.81</v>
      </c>
      <c r="I883" s="14">
        <v>414243.64</v>
      </c>
      <c r="J883" s="19">
        <v>0.58579472228646934</v>
      </c>
    </row>
    <row r="884" spans="1:10" x14ac:dyDescent="0.3">
      <c r="A884" s="9" t="s">
        <v>193</v>
      </c>
      <c r="B884" s="20">
        <v>45900</v>
      </c>
      <c r="C884" s="9" t="s">
        <v>220</v>
      </c>
      <c r="D884" s="14">
        <v>148077.62</v>
      </c>
      <c r="E884" s="14">
        <v>21645.11</v>
      </c>
      <c r="F884" s="14">
        <v>21546.04</v>
      </c>
      <c r="G884" s="14">
        <v>2026.94</v>
      </c>
      <c r="H884" s="14">
        <v>1430.28</v>
      </c>
      <c r="I884" s="14">
        <v>194726.01</v>
      </c>
      <c r="J884" s="19">
        <v>0.58579472228646934</v>
      </c>
    </row>
    <row r="885" spans="1:10" x14ac:dyDescent="0.3">
      <c r="A885" s="9" t="s">
        <v>193</v>
      </c>
      <c r="B885" s="20">
        <v>45900</v>
      </c>
      <c r="C885" s="9" t="s">
        <v>219</v>
      </c>
      <c r="D885" s="14">
        <v>261975.66</v>
      </c>
      <c r="E885" s="14">
        <v>9267.3700000000008</v>
      </c>
      <c r="F885" s="14">
        <v>18612.27</v>
      </c>
      <c r="G885" s="14">
        <v>28163.26</v>
      </c>
      <c r="H885" s="14">
        <v>3761.9</v>
      </c>
      <c r="I885" s="14">
        <v>321780.46000000002</v>
      </c>
      <c r="J885" s="19">
        <v>0.58579472228646934</v>
      </c>
    </row>
    <row r="886" spans="1:10" x14ac:dyDescent="0.3">
      <c r="A886" s="9" t="s">
        <v>193</v>
      </c>
      <c r="B886" s="20">
        <v>45900</v>
      </c>
      <c r="C886" s="9" t="s">
        <v>218</v>
      </c>
      <c r="D886" s="14">
        <v>313484.92</v>
      </c>
      <c r="E886" s="14">
        <v>25285.18</v>
      </c>
      <c r="F886" s="14">
        <v>33034.519999999997</v>
      </c>
      <c r="G886" s="14">
        <v>27037.599999999999</v>
      </c>
      <c r="H886" s="14">
        <v>16378.5</v>
      </c>
      <c r="I886" s="14">
        <v>415220.71</v>
      </c>
      <c r="J886" s="19">
        <v>0.58579472228646934</v>
      </c>
    </row>
    <row r="887" spans="1:10" x14ac:dyDescent="0.3">
      <c r="A887" s="9" t="s">
        <v>193</v>
      </c>
      <c r="B887" s="20">
        <v>45900</v>
      </c>
      <c r="C887" s="9" t="s">
        <v>217</v>
      </c>
      <c r="D887" s="14">
        <v>240629.65</v>
      </c>
      <c r="E887" s="14">
        <v>39860</v>
      </c>
      <c r="F887" s="14">
        <v>14428.42</v>
      </c>
      <c r="G887" s="14">
        <v>2820.33</v>
      </c>
      <c r="H887" s="14">
        <v>24170.52</v>
      </c>
      <c r="I887" s="14">
        <v>321908.92</v>
      </c>
      <c r="J887" s="19">
        <v>0.58579472228646934</v>
      </c>
    </row>
    <row r="888" spans="1:10" x14ac:dyDescent="0.3">
      <c r="A888" s="9" t="s">
        <v>193</v>
      </c>
      <c r="B888" s="20">
        <v>45900</v>
      </c>
      <c r="C888" s="9" t="s">
        <v>216</v>
      </c>
      <c r="D888" s="14">
        <v>230496.93</v>
      </c>
      <c r="E888" s="14">
        <v>39229.33</v>
      </c>
      <c r="F888" s="14">
        <v>19054.12</v>
      </c>
      <c r="G888" s="14">
        <v>109.23</v>
      </c>
      <c r="H888" s="14">
        <v>4173.92</v>
      </c>
      <c r="I888" s="14">
        <v>293063.52</v>
      </c>
      <c r="J888" s="19">
        <v>0.58579472228646934</v>
      </c>
    </row>
    <row r="889" spans="1:10" x14ac:dyDescent="0.3">
      <c r="A889" s="9" t="s">
        <v>193</v>
      </c>
      <c r="B889" s="20">
        <v>45900</v>
      </c>
      <c r="C889" s="9" t="s">
        <v>215</v>
      </c>
      <c r="D889" s="14">
        <v>313048.74</v>
      </c>
      <c r="E889" s="14">
        <v>49376.81</v>
      </c>
      <c r="F889" s="14">
        <v>5541.84</v>
      </c>
      <c r="G889" s="14">
        <v>24043.48</v>
      </c>
      <c r="H889" s="14">
        <v>24467.02</v>
      </c>
      <c r="I889" s="14">
        <v>416477.89</v>
      </c>
      <c r="J889" s="19">
        <v>0.58579472228646934</v>
      </c>
    </row>
    <row r="890" spans="1:10" x14ac:dyDescent="0.3">
      <c r="A890" s="9" t="s">
        <v>193</v>
      </c>
      <c r="B890" s="20">
        <v>45900</v>
      </c>
      <c r="C890" s="9" t="s">
        <v>214</v>
      </c>
      <c r="D890" s="14">
        <v>3205.82</v>
      </c>
      <c r="E890" s="14">
        <v>624.02</v>
      </c>
      <c r="F890" s="14">
        <v>132.55000000000001</v>
      </c>
      <c r="G890" s="14">
        <v>127.6</v>
      </c>
      <c r="H890" s="14">
        <v>94.15</v>
      </c>
      <c r="I890" s="14">
        <v>4184.1400000000003</v>
      </c>
      <c r="J890" s="19">
        <v>0.58579472228646934</v>
      </c>
    </row>
    <row r="891" spans="1:10" x14ac:dyDescent="0.3">
      <c r="A891" s="9" t="s">
        <v>193</v>
      </c>
      <c r="B891" s="20">
        <v>45900</v>
      </c>
      <c r="C891" s="9" t="s">
        <v>213</v>
      </c>
      <c r="D891" s="14">
        <v>299901.64</v>
      </c>
      <c r="E891" s="14">
        <v>28437.55</v>
      </c>
      <c r="F891" s="14">
        <v>33108.61</v>
      </c>
      <c r="G891" s="14">
        <v>8303.43</v>
      </c>
      <c r="H891" s="14">
        <v>4581.3100000000004</v>
      </c>
      <c r="I891" s="14">
        <v>374332.54</v>
      </c>
      <c r="J891" s="19">
        <v>0.58579472228646934</v>
      </c>
    </row>
    <row r="892" spans="1:10" x14ac:dyDescent="0.3">
      <c r="A892" s="9" t="s">
        <v>193</v>
      </c>
      <c r="B892" s="20">
        <v>45900</v>
      </c>
      <c r="C892" s="9" t="s">
        <v>212</v>
      </c>
      <c r="D892" s="14">
        <v>32789.75</v>
      </c>
      <c r="E892" s="14">
        <v>2911.05</v>
      </c>
      <c r="F892" s="14">
        <v>1343.72</v>
      </c>
      <c r="G892" s="14">
        <v>2626.09</v>
      </c>
      <c r="H892" s="14">
        <v>1759.47</v>
      </c>
      <c r="I892" s="14">
        <v>41430.080000000002</v>
      </c>
      <c r="J892" s="19">
        <v>0.58579472228646934</v>
      </c>
    </row>
    <row r="893" spans="1:10" x14ac:dyDescent="0.3">
      <c r="A893" s="9" t="s">
        <v>193</v>
      </c>
      <c r="B893" s="20">
        <v>45900</v>
      </c>
      <c r="C893" s="9" t="s">
        <v>211</v>
      </c>
      <c r="D893" s="14">
        <v>161574.31</v>
      </c>
      <c r="E893" s="14">
        <v>25058.28</v>
      </c>
      <c r="F893" s="14">
        <v>9371.52</v>
      </c>
      <c r="G893" s="14">
        <v>8998.66</v>
      </c>
      <c r="H893" s="14">
        <v>4077.98</v>
      </c>
      <c r="I893" s="14">
        <v>209080.75</v>
      </c>
      <c r="J893" s="19">
        <v>0.58579472228646934</v>
      </c>
    </row>
    <row r="894" spans="1:10" x14ac:dyDescent="0.3">
      <c r="A894" s="9" t="s">
        <v>193</v>
      </c>
      <c r="B894" s="20">
        <v>45900</v>
      </c>
      <c r="C894" s="9" t="s">
        <v>210</v>
      </c>
      <c r="D894" s="14">
        <v>48807.89</v>
      </c>
      <c r="E894" s="14">
        <v>1013.69</v>
      </c>
      <c r="F894" s="14">
        <v>2823.03</v>
      </c>
      <c r="G894" s="14">
        <v>1611.45</v>
      </c>
      <c r="H894" s="14">
        <v>2775.83</v>
      </c>
      <c r="I894" s="14">
        <v>57031.89</v>
      </c>
      <c r="J894" s="19">
        <v>0.58579472228646934</v>
      </c>
    </row>
    <row r="895" spans="1:10" x14ac:dyDescent="0.3">
      <c r="A895" s="9" t="s">
        <v>193</v>
      </c>
      <c r="B895" s="20">
        <v>45900</v>
      </c>
      <c r="C895" s="9" t="s">
        <v>209</v>
      </c>
      <c r="D895" s="14">
        <v>229202.06</v>
      </c>
      <c r="E895" s="14">
        <v>30498.63</v>
      </c>
      <c r="F895" s="14">
        <v>2654.53</v>
      </c>
      <c r="G895" s="14">
        <v>20602.52</v>
      </c>
      <c r="H895" s="14">
        <v>6225.46</v>
      </c>
      <c r="I895" s="14">
        <v>289183.19</v>
      </c>
      <c r="J895" s="19">
        <v>0.58579472228646934</v>
      </c>
    </row>
    <row r="896" spans="1:10" x14ac:dyDescent="0.3">
      <c r="A896" s="9" t="s">
        <v>193</v>
      </c>
      <c r="B896" s="20">
        <v>45900</v>
      </c>
      <c r="C896" s="9" t="s">
        <v>208</v>
      </c>
      <c r="D896" s="14">
        <v>52670.55</v>
      </c>
      <c r="E896" s="14">
        <v>2756.41</v>
      </c>
      <c r="F896" s="14">
        <v>2821.69</v>
      </c>
      <c r="G896" s="14">
        <v>3405.32</v>
      </c>
      <c r="H896" s="14">
        <v>4926.84</v>
      </c>
      <c r="I896" s="14">
        <v>66580.820000000007</v>
      </c>
      <c r="J896" s="19">
        <v>0.58579472228646934</v>
      </c>
    </row>
    <row r="897" spans="1:10" x14ac:dyDescent="0.3">
      <c r="A897" s="9" t="s">
        <v>193</v>
      </c>
      <c r="B897" s="20">
        <v>45900</v>
      </c>
      <c r="C897" s="9" t="s">
        <v>207</v>
      </c>
      <c r="D897" s="14">
        <v>203512.77</v>
      </c>
      <c r="E897" s="14">
        <v>12161.89</v>
      </c>
      <c r="F897" s="14">
        <v>23501.26</v>
      </c>
      <c r="G897" s="14">
        <v>4084.13</v>
      </c>
      <c r="H897" s="14">
        <v>20731.150000000001</v>
      </c>
      <c r="I897" s="14">
        <v>263991.2</v>
      </c>
      <c r="J897" s="19">
        <v>0.58579472228646934</v>
      </c>
    </row>
    <row r="898" spans="1:10" x14ac:dyDescent="0.3">
      <c r="A898" s="9" t="s">
        <v>193</v>
      </c>
      <c r="B898" s="20">
        <v>45900</v>
      </c>
      <c r="C898" s="9" t="s">
        <v>206</v>
      </c>
      <c r="D898" s="14">
        <v>39232.61</v>
      </c>
      <c r="E898" s="14">
        <v>4817.87</v>
      </c>
      <c r="F898" s="14">
        <v>4217.13</v>
      </c>
      <c r="G898" s="14">
        <v>1726.89</v>
      </c>
      <c r="H898" s="14">
        <v>50.03</v>
      </c>
      <c r="I898" s="14">
        <v>50044.53</v>
      </c>
      <c r="J898" s="19">
        <v>0.58579472228646934</v>
      </c>
    </row>
    <row r="899" spans="1:10" x14ac:dyDescent="0.3">
      <c r="A899" s="9" t="s">
        <v>193</v>
      </c>
      <c r="B899" s="20">
        <v>45900</v>
      </c>
      <c r="C899" s="9" t="s">
        <v>205</v>
      </c>
      <c r="D899" s="14">
        <v>82671.240000000005</v>
      </c>
      <c r="E899" s="14">
        <v>2846.6</v>
      </c>
      <c r="F899" s="14">
        <v>8700.11</v>
      </c>
      <c r="G899" s="14">
        <v>5240.8100000000004</v>
      </c>
      <c r="H899" s="14">
        <v>416.93</v>
      </c>
      <c r="I899" s="14">
        <v>99875.69</v>
      </c>
      <c r="J899" s="19">
        <v>0.58579472228646934</v>
      </c>
    </row>
    <row r="900" spans="1:10" x14ac:dyDescent="0.3">
      <c r="A900" s="9" t="s">
        <v>193</v>
      </c>
      <c r="B900" s="20">
        <v>45900</v>
      </c>
      <c r="C900" s="9" t="s">
        <v>204</v>
      </c>
      <c r="D900" s="14">
        <v>126425.12</v>
      </c>
      <c r="E900" s="14">
        <v>10128.32</v>
      </c>
      <c r="F900" s="14">
        <v>9110.68</v>
      </c>
      <c r="G900" s="14">
        <v>18787.810000000001</v>
      </c>
      <c r="H900" s="14">
        <v>2454.4899999999998</v>
      </c>
      <c r="I900" s="14">
        <v>166906.41</v>
      </c>
      <c r="J900" s="19">
        <v>0.58579472228646934</v>
      </c>
    </row>
    <row r="901" spans="1:10" x14ac:dyDescent="0.3">
      <c r="A901" s="9" t="s">
        <v>193</v>
      </c>
      <c r="B901" s="20">
        <v>45900</v>
      </c>
      <c r="C901" s="9" t="s">
        <v>203</v>
      </c>
      <c r="D901" s="14">
        <v>121430.53</v>
      </c>
      <c r="E901" s="14">
        <v>14666.59</v>
      </c>
      <c r="F901" s="14">
        <v>8936.9699999999993</v>
      </c>
      <c r="G901" s="14">
        <v>7684.87</v>
      </c>
      <c r="H901" s="14">
        <v>1568.32</v>
      </c>
      <c r="I901" s="14">
        <v>154287.26999999999</v>
      </c>
      <c r="J901" s="19">
        <v>0.58579472228646934</v>
      </c>
    </row>
    <row r="902" spans="1:10" x14ac:dyDescent="0.3">
      <c r="A902" s="9" t="s">
        <v>193</v>
      </c>
      <c r="B902" s="20">
        <v>45930</v>
      </c>
      <c r="C902" s="9" t="s">
        <v>222</v>
      </c>
      <c r="D902" s="14">
        <v>329202.90000000002</v>
      </c>
      <c r="E902" s="14">
        <v>39803.379999999997</v>
      </c>
      <c r="F902" s="14">
        <v>47519.78</v>
      </c>
      <c r="G902" s="14">
        <v>9889.1</v>
      </c>
      <c r="H902" s="14">
        <v>6322.75</v>
      </c>
      <c r="I902" s="14">
        <v>432737.91</v>
      </c>
      <c r="J902" s="19">
        <v>0.70528908333573315</v>
      </c>
    </row>
    <row r="903" spans="1:10" x14ac:dyDescent="0.3">
      <c r="A903" s="9" t="s">
        <v>193</v>
      </c>
      <c r="B903" s="20">
        <v>45930</v>
      </c>
      <c r="C903" s="9" t="s">
        <v>221</v>
      </c>
      <c r="D903" s="14">
        <v>149909.9</v>
      </c>
      <c r="E903" s="14">
        <v>13875.73</v>
      </c>
      <c r="F903" s="14">
        <v>30089.25</v>
      </c>
      <c r="G903" s="14">
        <v>1138.95</v>
      </c>
      <c r="H903" s="14">
        <v>2.77</v>
      </c>
      <c r="I903" s="14">
        <v>195016.6</v>
      </c>
      <c r="J903" s="19">
        <v>0.70528908333573315</v>
      </c>
    </row>
    <row r="904" spans="1:10" x14ac:dyDescent="0.3">
      <c r="A904" s="9" t="s">
        <v>193</v>
      </c>
      <c r="B904" s="20">
        <v>45930</v>
      </c>
      <c r="C904" s="9" t="s">
        <v>220</v>
      </c>
      <c r="D904" s="14">
        <v>296541.94</v>
      </c>
      <c r="E904" s="14">
        <v>26814.1</v>
      </c>
      <c r="F904" s="14">
        <v>16512.03</v>
      </c>
      <c r="G904" s="14">
        <v>26860.01</v>
      </c>
      <c r="H904" s="14">
        <v>18487.91</v>
      </c>
      <c r="I904" s="14">
        <v>385215.99</v>
      </c>
      <c r="J904" s="19">
        <v>0.70528908333573315</v>
      </c>
    </row>
    <row r="905" spans="1:10" x14ac:dyDescent="0.3">
      <c r="A905" s="9" t="s">
        <v>193</v>
      </c>
      <c r="B905" s="20">
        <v>45930</v>
      </c>
      <c r="C905" s="9" t="s">
        <v>219</v>
      </c>
      <c r="D905" s="14">
        <v>38258.620000000003</v>
      </c>
      <c r="E905" s="14">
        <v>4966.12</v>
      </c>
      <c r="F905" s="14">
        <v>2825.24</v>
      </c>
      <c r="G905" s="14">
        <v>2372.85</v>
      </c>
      <c r="H905" s="14">
        <v>2112.2199999999998</v>
      </c>
      <c r="I905" s="14">
        <v>50535.040000000001</v>
      </c>
      <c r="J905" s="19">
        <v>0.70528908333573315</v>
      </c>
    </row>
    <row r="906" spans="1:10" x14ac:dyDescent="0.3">
      <c r="A906" s="9" t="s">
        <v>193</v>
      </c>
      <c r="B906" s="20">
        <v>45930</v>
      </c>
      <c r="C906" s="9" t="s">
        <v>218</v>
      </c>
      <c r="D906" s="14">
        <v>171332.51</v>
      </c>
      <c r="E906" s="14">
        <v>21340.85</v>
      </c>
      <c r="F906" s="14">
        <v>1857.63</v>
      </c>
      <c r="G906" s="14">
        <v>11779.63</v>
      </c>
      <c r="H906" s="14">
        <v>11237.44</v>
      </c>
      <c r="I906" s="14">
        <v>217548.06</v>
      </c>
      <c r="J906" s="19">
        <v>0.70528908333573315</v>
      </c>
    </row>
    <row r="907" spans="1:10" x14ac:dyDescent="0.3">
      <c r="A907" s="9" t="s">
        <v>193</v>
      </c>
      <c r="B907" s="20">
        <v>45930</v>
      </c>
      <c r="C907" s="9" t="s">
        <v>217</v>
      </c>
      <c r="D907" s="14">
        <v>75649.3</v>
      </c>
      <c r="E907" s="14">
        <v>6010.61</v>
      </c>
      <c r="F907" s="14">
        <v>10350.08</v>
      </c>
      <c r="G907" s="14">
        <v>5658.02</v>
      </c>
      <c r="H907" s="14">
        <v>2623.84</v>
      </c>
      <c r="I907" s="14">
        <v>100291.84</v>
      </c>
      <c r="J907" s="19">
        <v>0.70528908333573315</v>
      </c>
    </row>
    <row r="908" spans="1:10" x14ac:dyDescent="0.3">
      <c r="A908" s="9" t="s">
        <v>193</v>
      </c>
      <c r="B908" s="20">
        <v>45930</v>
      </c>
      <c r="C908" s="9" t="s">
        <v>216</v>
      </c>
      <c r="D908" s="14">
        <v>66028.39</v>
      </c>
      <c r="E908" s="14">
        <v>8701.83</v>
      </c>
      <c r="F908" s="14">
        <v>3806.17</v>
      </c>
      <c r="G908" s="14">
        <v>3407.29</v>
      </c>
      <c r="H908" s="14">
        <v>1039.8699999999999</v>
      </c>
      <c r="I908" s="14">
        <v>82983.56</v>
      </c>
      <c r="J908" s="19">
        <v>0.70528908333573315</v>
      </c>
    </row>
    <row r="909" spans="1:10" x14ac:dyDescent="0.3">
      <c r="A909" s="9" t="s">
        <v>193</v>
      </c>
      <c r="B909" s="20">
        <v>45930</v>
      </c>
      <c r="C909" s="9" t="s">
        <v>215</v>
      </c>
      <c r="D909" s="14">
        <v>310845.51</v>
      </c>
      <c r="E909" s="14">
        <v>37581.68</v>
      </c>
      <c r="F909" s="14">
        <v>19412.490000000002</v>
      </c>
      <c r="G909" s="14">
        <v>6170.87</v>
      </c>
      <c r="H909" s="14">
        <v>6053.21</v>
      </c>
      <c r="I909" s="14">
        <v>380063.76</v>
      </c>
      <c r="J909" s="19">
        <v>0.70528908333573315</v>
      </c>
    </row>
    <row r="910" spans="1:10" x14ac:dyDescent="0.3">
      <c r="A910" s="9" t="s">
        <v>193</v>
      </c>
      <c r="B910" s="20">
        <v>45930</v>
      </c>
      <c r="C910" s="9" t="s">
        <v>214</v>
      </c>
      <c r="D910" s="14">
        <v>213584.28</v>
      </c>
      <c r="E910" s="14">
        <v>30683.21</v>
      </c>
      <c r="F910" s="14">
        <v>8152.22</v>
      </c>
      <c r="G910" s="14">
        <v>5390.98</v>
      </c>
      <c r="H910" s="14">
        <v>24532.65</v>
      </c>
      <c r="I910" s="14">
        <v>282343.34999999998</v>
      </c>
      <c r="J910" s="19">
        <v>0.70528908333573315</v>
      </c>
    </row>
    <row r="911" spans="1:10" x14ac:dyDescent="0.3">
      <c r="A911" s="9" t="s">
        <v>193</v>
      </c>
      <c r="B911" s="20">
        <v>45930</v>
      </c>
      <c r="C911" s="9" t="s">
        <v>213</v>
      </c>
      <c r="D911" s="14">
        <v>179074.23</v>
      </c>
      <c r="E911" s="14">
        <v>9258.84</v>
      </c>
      <c r="F911" s="14">
        <v>24443.33</v>
      </c>
      <c r="G911" s="14">
        <v>2460.4</v>
      </c>
      <c r="H911" s="14">
        <v>6715.08</v>
      </c>
      <c r="I911" s="14">
        <v>221951.88</v>
      </c>
      <c r="J911" s="19">
        <v>0.70528908333573315</v>
      </c>
    </row>
    <row r="912" spans="1:10" x14ac:dyDescent="0.3">
      <c r="A912" s="9" t="s">
        <v>193</v>
      </c>
      <c r="B912" s="20">
        <v>45930</v>
      </c>
      <c r="C912" s="9" t="s">
        <v>212</v>
      </c>
      <c r="D912" s="14">
        <v>339341.1</v>
      </c>
      <c r="E912" s="14">
        <v>34237.54</v>
      </c>
      <c r="F912" s="14">
        <v>16803.97</v>
      </c>
      <c r="G912" s="14">
        <v>76011.759999999995</v>
      </c>
      <c r="H912" s="14">
        <v>9392.0499999999993</v>
      </c>
      <c r="I912" s="14">
        <v>475786.43</v>
      </c>
      <c r="J912" s="19">
        <v>0.70528908333573315</v>
      </c>
    </row>
    <row r="913" spans="1:10" x14ac:dyDescent="0.3">
      <c r="A913" s="9" t="s">
        <v>193</v>
      </c>
      <c r="B913" s="20">
        <v>45930</v>
      </c>
      <c r="C913" s="9" t="s">
        <v>211</v>
      </c>
      <c r="D913" s="14">
        <v>296988.14</v>
      </c>
      <c r="E913" s="14">
        <v>23680.21</v>
      </c>
      <c r="F913" s="14">
        <v>42473.83</v>
      </c>
      <c r="G913" s="14">
        <v>19490.8</v>
      </c>
      <c r="H913" s="14">
        <v>2801.55</v>
      </c>
      <c r="I913" s="14">
        <v>385434.54</v>
      </c>
      <c r="J913" s="19">
        <v>0.70528908333573315</v>
      </c>
    </row>
    <row r="914" spans="1:10" x14ac:dyDescent="0.3">
      <c r="A914" s="9" t="s">
        <v>193</v>
      </c>
      <c r="B914" s="20">
        <v>45930</v>
      </c>
      <c r="C914" s="9" t="s">
        <v>210</v>
      </c>
      <c r="D914" s="14">
        <v>130665.36</v>
      </c>
      <c r="E914" s="14">
        <v>10378.07</v>
      </c>
      <c r="F914" s="14">
        <v>6061.21</v>
      </c>
      <c r="G914" s="14">
        <v>13924.62</v>
      </c>
      <c r="H914" s="14">
        <v>8510.77</v>
      </c>
      <c r="I914" s="14">
        <v>169540.03</v>
      </c>
      <c r="J914" s="19">
        <v>0.70528908333573315</v>
      </c>
    </row>
    <row r="915" spans="1:10" x14ac:dyDescent="0.3">
      <c r="A915" s="9" t="s">
        <v>193</v>
      </c>
      <c r="B915" s="20">
        <v>45930</v>
      </c>
      <c r="C915" s="9" t="s">
        <v>209</v>
      </c>
      <c r="D915" s="14">
        <v>307515.44</v>
      </c>
      <c r="E915" s="14">
        <v>39513.21</v>
      </c>
      <c r="F915" s="14">
        <v>39645.279999999999</v>
      </c>
      <c r="G915" s="14">
        <v>11568.07</v>
      </c>
      <c r="H915" s="14">
        <v>868.39</v>
      </c>
      <c r="I915" s="14">
        <v>399110.40000000002</v>
      </c>
      <c r="J915" s="19">
        <v>0.70528908333573315</v>
      </c>
    </row>
    <row r="916" spans="1:10" x14ac:dyDescent="0.3">
      <c r="A916" s="9" t="s">
        <v>193</v>
      </c>
      <c r="B916" s="20">
        <v>45930</v>
      </c>
      <c r="C916" s="9" t="s">
        <v>208</v>
      </c>
      <c r="D916" s="14">
        <v>170853.03</v>
      </c>
      <c r="E916" s="14">
        <v>7847.13</v>
      </c>
      <c r="F916" s="14">
        <v>16785.009999999998</v>
      </c>
      <c r="G916" s="14">
        <v>16601.509999999998</v>
      </c>
      <c r="H916" s="14">
        <v>2058.92</v>
      </c>
      <c r="I916" s="14">
        <v>214145.6</v>
      </c>
      <c r="J916" s="19">
        <v>0.70528908333573315</v>
      </c>
    </row>
    <row r="917" spans="1:10" x14ac:dyDescent="0.3">
      <c r="A917" s="9" t="s">
        <v>193</v>
      </c>
      <c r="B917" s="20">
        <v>45930</v>
      </c>
      <c r="C917" s="9" t="s">
        <v>207</v>
      </c>
      <c r="D917" s="14">
        <v>204950.97</v>
      </c>
      <c r="E917" s="14">
        <v>16262.74</v>
      </c>
      <c r="F917" s="14">
        <v>19078.650000000001</v>
      </c>
      <c r="G917" s="14">
        <v>1283.8900000000001</v>
      </c>
      <c r="H917" s="14">
        <v>798.28</v>
      </c>
      <c r="I917" s="14">
        <v>242374.53</v>
      </c>
      <c r="J917" s="19">
        <v>0.70528908333573315</v>
      </c>
    </row>
    <row r="918" spans="1:10" x14ac:dyDescent="0.3">
      <c r="A918" s="9" t="s">
        <v>193</v>
      </c>
      <c r="B918" s="20">
        <v>45930</v>
      </c>
      <c r="C918" s="9" t="s">
        <v>206</v>
      </c>
      <c r="D918" s="14">
        <v>146061.56</v>
      </c>
      <c r="E918" s="14">
        <v>1755.78</v>
      </c>
      <c r="F918" s="14">
        <v>23867.87</v>
      </c>
      <c r="G918" s="14">
        <v>5358.04</v>
      </c>
      <c r="H918" s="14">
        <v>817.61</v>
      </c>
      <c r="I918" s="14">
        <v>177860.86</v>
      </c>
      <c r="J918" s="19">
        <v>0.70528908333573315</v>
      </c>
    </row>
    <row r="919" spans="1:10" x14ac:dyDescent="0.3">
      <c r="A919" s="9" t="s">
        <v>193</v>
      </c>
      <c r="B919" s="20">
        <v>45930</v>
      </c>
      <c r="C919" s="9" t="s">
        <v>205</v>
      </c>
      <c r="D919" s="14">
        <v>412756.9</v>
      </c>
      <c r="E919" s="14">
        <v>54387.68</v>
      </c>
      <c r="F919" s="14">
        <v>21286.54</v>
      </c>
      <c r="G919" s="14">
        <v>20597.91</v>
      </c>
      <c r="H919" s="14">
        <v>8328.75</v>
      </c>
      <c r="I919" s="14">
        <v>517357.79</v>
      </c>
      <c r="J919" s="19">
        <v>0.70528908333573315</v>
      </c>
    </row>
    <row r="920" spans="1:10" x14ac:dyDescent="0.3">
      <c r="A920" s="9" t="s">
        <v>193</v>
      </c>
      <c r="B920" s="20">
        <v>45930</v>
      </c>
      <c r="C920" s="9" t="s">
        <v>204</v>
      </c>
      <c r="D920" s="14">
        <v>312250.82</v>
      </c>
      <c r="E920" s="14">
        <v>65886.22</v>
      </c>
      <c r="F920" s="14">
        <v>3130.03</v>
      </c>
      <c r="G920" s="14">
        <v>22567.599999999999</v>
      </c>
      <c r="H920" s="14">
        <v>694.84</v>
      </c>
      <c r="I920" s="14">
        <v>404529.52</v>
      </c>
      <c r="J920" s="19">
        <v>0.70528908333573315</v>
      </c>
    </row>
    <row r="921" spans="1:10" x14ac:dyDescent="0.3">
      <c r="A921" s="9" t="s">
        <v>193</v>
      </c>
      <c r="B921" s="20">
        <v>45930</v>
      </c>
      <c r="C921" s="9" t="s">
        <v>203</v>
      </c>
      <c r="D921" s="14">
        <v>181798.98</v>
      </c>
      <c r="E921" s="14">
        <v>18950.8</v>
      </c>
      <c r="F921" s="14">
        <v>6046.63</v>
      </c>
      <c r="G921" s="14">
        <v>9596.42</v>
      </c>
      <c r="H921" s="14">
        <v>25500.27</v>
      </c>
      <c r="I921" s="14">
        <v>241893.1</v>
      </c>
      <c r="J921" s="19">
        <v>0.70528908333573315</v>
      </c>
    </row>
    <row r="922" spans="1:10" x14ac:dyDescent="0.3">
      <c r="A922" s="9" t="s">
        <v>193</v>
      </c>
      <c r="B922" s="20">
        <v>45961</v>
      </c>
      <c r="C922" s="9" t="s">
        <v>222</v>
      </c>
      <c r="D922" s="14">
        <v>57807.82</v>
      </c>
      <c r="E922" s="14">
        <v>7835.78</v>
      </c>
      <c r="F922" s="14">
        <v>3663.43</v>
      </c>
      <c r="G922" s="14">
        <v>2254.2800000000002</v>
      </c>
      <c r="H922" s="14">
        <v>1961.98</v>
      </c>
      <c r="I922" s="14">
        <v>73523.289999999994</v>
      </c>
      <c r="J922" s="19">
        <v>0.61502789560529869</v>
      </c>
    </row>
    <row r="923" spans="1:10" x14ac:dyDescent="0.3">
      <c r="A923" s="9" t="s">
        <v>193</v>
      </c>
      <c r="B923" s="20">
        <v>45961</v>
      </c>
      <c r="C923" s="9" t="s">
        <v>221</v>
      </c>
      <c r="D923" s="14">
        <v>373638.32</v>
      </c>
      <c r="E923" s="14">
        <v>89007.91</v>
      </c>
      <c r="F923" s="14">
        <v>14005.05</v>
      </c>
      <c r="G923" s="14">
        <v>10980.64</v>
      </c>
      <c r="H923" s="14">
        <v>5704.9</v>
      </c>
      <c r="I923" s="14">
        <v>493336.83</v>
      </c>
      <c r="J923" s="19">
        <v>0.61502789560529869</v>
      </c>
    </row>
    <row r="924" spans="1:10" x14ac:dyDescent="0.3">
      <c r="A924" s="9" t="s">
        <v>193</v>
      </c>
      <c r="B924" s="20">
        <v>45961</v>
      </c>
      <c r="C924" s="9" t="s">
        <v>220</v>
      </c>
      <c r="D924" s="14">
        <v>102109.68</v>
      </c>
      <c r="E924" s="14">
        <v>10376.86</v>
      </c>
      <c r="F924" s="14">
        <v>9770.9599999999991</v>
      </c>
      <c r="G924" s="14">
        <v>4195.8900000000003</v>
      </c>
      <c r="H924" s="14">
        <v>391.76</v>
      </c>
      <c r="I924" s="14">
        <v>126845.15</v>
      </c>
      <c r="J924" s="19">
        <v>0.61502789560529869</v>
      </c>
    </row>
    <row r="925" spans="1:10" x14ac:dyDescent="0.3">
      <c r="A925" s="9" t="s">
        <v>193</v>
      </c>
      <c r="B925" s="20">
        <v>45961</v>
      </c>
      <c r="C925" s="9" t="s">
        <v>219</v>
      </c>
      <c r="D925" s="14">
        <v>331493.51</v>
      </c>
      <c r="E925" s="14">
        <v>53573.22</v>
      </c>
      <c r="F925" s="14">
        <v>15088.15</v>
      </c>
      <c r="G925" s="14">
        <v>15948.26</v>
      </c>
      <c r="H925" s="14">
        <v>1873.44</v>
      </c>
      <c r="I925" s="14">
        <v>417976.58</v>
      </c>
      <c r="J925" s="19">
        <v>0.61502789560529869</v>
      </c>
    </row>
    <row r="926" spans="1:10" x14ac:dyDescent="0.3">
      <c r="A926" s="9" t="s">
        <v>193</v>
      </c>
      <c r="B926" s="20">
        <v>45961</v>
      </c>
      <c r="C926" s="9" t="s">
        <v>218</v>
      </c>
      <c r="D926" s="14">
        <v>201353</v>
      </c>
      <c r="E926" s="14">
        <v>33566.39</v>
      </c>
      <c r="F926" s="14">
        <v>21448.98</v>
      </c>
      <c r="G926" s="14">
        <v>8085.57</v>
      </c>
      <c r="H926" s="14">
        <v>544.80999999999995</v>
      </c>
      <c r="I926" s="14">
        <v>264998.74</v>
      </c>
      <c r="J926" s="19">
        <v>0.61502789560529869</v>
      </c>
    </row>
    <row r="927" spans="1:10" x14ac:dyDescent="0.3">
      <c r="A927" s="9" t="s">
        <v>193</v>
      </c>
      <c r="B927" s="20">
        <v>45961</v>
      </c>
      <c r="C927" s="9" t="s">
        <v>217</v>
      </c>
      <c r="D927" s="14">
        <v>7695.23</v>
      </c>
      <c r="E927" s="14">
        <v>720.28</v>
      </c>
      <c r="F927" s="14">
        <v>438.02</v>
      </c>
      <c r="G927" s="14">
        <v>473.3</v>
      </c>
      <c r="H927" s="14">
        <v>138.59</v>
      </c>
      <c r="I927" s="14">
        <v>9465.42</v>
      </c>
      <c r="J927" s="19">
        <v>0.61502789560529869</v>
      </c>
    </row>
    <row r="928" spans="1:10" x14ac:dyDescent="0.3">
      <c r="A928" s="9" t="s">
        <v>193</v>
      </c>
      <c r="B928" s="20">
        <v>45961</v>
      </c>
      <c r="C928" s="9" t="s">
        <v>216</v>
      </c>
      <c r="D928" s="14">
        <v>159371.01999999999</v>
      </c>
      <c r="E928" s="14">
        <v>26610.45</v>
      </c>
      <c r="F928" s="14">
        <v>7477.36</v>
      </c>
      <c r="G928" s="14">
        <v>1501</v>
      </c>
      <c r="H928" s="14">
        <v>13161.97</v>
      </c>
      <c r="I928" s="14">
        <v>208121.81</v>
      </c>
      <c r="J928" s="19">
        <v>0.61502789560529869</v>
      </c>
    </row>
    <row r="929" spans="1:10" x14ac:dyDescent="0.3">
      <c r="A929" s="9" t="s">
        <v>193</v>
      </c>
      <c r="B929" s="20">
        <v>45961</v>
      </c>
      <c r="C929" s="9" t="s">
        <v>215</v>
      </c>
      <c r="D929" s="14">
        <v>47439.67</v>
      </c>
      <c r="E929" s="14">
        <v>6902.95</v>
      </c>
      <c r="F929" s="14">
        <v>3496.96</v>
      </c>
      <c r="G929" s="14">
        <v>1680.66</v>
      </c>
      <c r="H929" s="14">
        <v>1998.66</v>
      </c>
      <c r="I929" s="14">
        <v>61518.9</v>
      </c>
      <c r="J929" s="19">
        <v>0.61502789560529869</v>
      </c>
    </row>
    <row r="930" spans="1:10" x14ac:dyDescent="0.3">
      <c r="A930" s="9" t="s">
        <v>193</v>
      </c>
      <c r="B930" s="20">
        <v>45961</v>
      </c>
      <c r="C930" s="9" t="s">
        <v>214</v>
      </c>
      <c r="D930" s="14">
        <v>92798.399999999994</v>
      </c>
      <c r="E930" s="14">
        <v>17867.560000000001</v>
      </c>
      <c r="F930" s="14">
        <v>3914.78</v>
      </c>
      <c r="G930" s="14">
        <v>2129.66</v>
      </c>
      <c r="H930" s="14">
        <v>3930</v>
      </c>
      <c r="I930" s="14">
        <v>120640.41</v>
      </c>
      <c r="J930" s="19">
        <v>0.61502789560529869</v>
      </c>
    </row>
    <row r="931" spans="1:10" x14ac:dyDescent="0.3">
      <c r="A931" s="9" t="s">
        <v>193</v>
      </c>
      <c r="B931" s="20">
        <v>45961</v>
      </c>
      <c r="C931" s="9" t="s">
        <v>213</v>
      </c>
      <c r="D931" s="14">
        <v>212537.81</v>
      </c>
      <c r="E931" s="14">
        <v>31723.37</v>
      </c>
      <c r="F931" s="14">
        <v>15540.14</v>
      </c>
      <c r="G931" s="14">
        <v>3429.84</v>
      </c>
      <c r="H931" s="14">
        <v>27960.639999999999</v>
      </c>
      <c r="I931" s="14">
        <v>291191.8</v>
      </c>
      <c r="J931" s="19">
        <v>0.61502789560529869</v>
      </c>
    </row>
    <row r="932" spans="1:10" x14ac:dyDescent="0.3">
      <c r="A932" s="9" t="s">
        <v>193</v>
      </c>
      <c r="B932" s="20">
        <v>45961</v>
      </c>
      <c r="C932" s="9" t="s">
        <v>212</v>
      </c>
      <c r="D932" s="14">
        <v>260405.08</v>
      </c>
      <c r="E932" s="14">
        <v>30424.29</v>
      </c>
      <c r="F932" s="14">
        <v>29440.65</v>
      </c>
      <c r="G932" s="14">
        <v>6428.58</v>
      </c>
      <c r="H932" s="14">
        <v>5622.62</v>
      </c>
      <c r="I932" s="14">
        <v>332321.23</v>
      </c>
      <c r="J932" s="19">
        <v>0.61502789560529869</v>
      </c>
    </row>
    <row r="933" spans="1:10" x14ac:dyDescent="0.3">
      <c r="A933" s="9" t="s">
        <v>193</v>
      </c>
      <c r="B933" s="20">
        <v>45961</v>
      </c>
      <c r="C933" s="9" t="s">
        <v>211</v>
      </c>
      <c r="D933" s="14">
        <v>265275.78000000003</v>
      </c>
      <c r="E933" s="14">
        <v>32082.16</v>
      </c>
      <c r="F933" s="14">
        <v>12327.91</v>
      </c>
      <c r="G933" s="14">
        <v>12597.56</v>
      </c>
      <c r="H933" s="14">
        <v>9452.93</v>
      </c>
      <c r="I933" s="14">
        <v>331736.34000000003</v>
      </c>
      <c r="J933" s="19">
        <v>0.61502789560529869</v>
      </c>
    </row>
    <row r="934" spans="1:10" x14ac:dyDescent="0.3">
      <c r="A934" s="9" t="s">
        <v>193</v>
      </c>
      <c r="B934" s="20">
        <v>45961</v>
      </c>
      <c r="C934" s="9" t="s">
        <v>210</v>
      </c>
      <c r="D934" s="14">
        <v>356485.54</v>
      </c>
      <c r="E934" s="14">
        <v>36608.82</v>
      </c>
      <c r="F934" s="14">
        <v>12051.37</v>
      </c>
      <c r="G934" s="14">
        <v>51566.05</v>
      </c>
      <c r="H934" s="14">
        <v>7877.44</v>
      </c>
      <c r="I934" s="14">
        <v>464589.23</v>
      </c>
      <c r="J934" s="19">
        <v>0.61502789560529869</v>
      </c>
    </row>
    <row r="935" spans="1:10" x14ac:dyDescent="0.3">
      <c r="A935" s="9" t="s">
        <v>193</v>
      </c>
      <c r="B935" s="20">
        <v>45961</v>
      </c>
      <c r="C935" s="9" t="s">
        <v>209</v>
      </c>
      <c r="D935" s="14">
        <v>255523.65</v>
      </c>
      <c r="E935" s="14">
        <v>13029.97</v>
      </c>
      <c r="F935" s="14">
        <v>5375.59</v>
      </c>
      <c r="G935" s="14">
        <v>2113.63</v>
      </c>
      <c r="H935" s="14">
        <v>26322.07</v>
      </c>
      <c r="I935" s="14">
        <v>302364.90999999997</v>
      </c>
      <c r="J935" s="19">
        <v>0.61502789560529869</v>
      </c>
    </row>
    <row r="936" spans="1:10" x14ac:dyDescent="0.3">
      <c r="A936" s="9" t="s">
        <v>193</v>
      </c>
      <c r="B936" s="20">
        <v>45961</v>
      </c>
      <c r="C936" s="9" t="s">
        <v>208</v>
      </c>
      <c r="D936" s="14">
        <v>35560.49</v>
      </c>
      <c r="E936" s="14">
        <v>2279.58</v>
      </c>
      <c r="F936" s="14">
        <v>4566.7299999999996</v>
      </c>
      <c r="G936" s="14">
        <v>339.3</v>
      </c>
      <c r="H936" s="14">
        <v>5632.83</v>
      </c>
      <c r="I936" s="14">
        <v>48378.93</v>
      </c>
      <c r="J936" s="19">
        <v>0.61502789560529869</v>
      </c>
    </row>
    <row r="937" spans="1:10" x14ac:dyDescent="0.3">
      <c r="A937" s="9" t="s">
        <v>193</v>
      </c>
      <c r="B937" s="20">
        <v>45961</v>
      </c>
      <c r="C937" s="9" t="s">
        <v>207</v>
      </c>
      <c r="D937" s="14">
        <v>280882.34000000003</v>
      </c>
      <c r="E937" s="14">
        <v>28891.27</v>
      </c>
      <c r="F937" s="14">
        <v>23183.16</v>
      </c>
      <c r="G937" s="14">
        <v>19617.060000000001</v>
      </c>
      <c r="H937" s="14">
        <v>7745.08</v>
      </c>
      <c r="I937" s="14">
        <v>360318.9</v>
      </c>
      <c r="J937" s="19">
        <v>0.61502789560529869</v>
      </c>
    </row>
    <row r="938" spans="1:10" x14ac:dyDescent="0.3">
      <c r="A938" s="9" t="s">
        <v>193</v>
      </c>
      <c r="B938" s="20">
        <v>45961</v>
      </c>
      <c r="C938" s="9" t="s">
        <v>206</v>
      </c>
      <c r="D938" s="14">
        <v>238657.68</v>
      </c>
      <c r="E938" s="14">
        <v>23547.73</v>
      </c>
      <c r="F938" s="14">
        <v>27419.53</v>
      </c>
      <c r="G938" s="14">
        <v>10669.35</v>
      </c>
      <c r="H938" s="14">
        <v>11810.17</v>
      </c>
      <c r="I938" s="14">
        <v>312104.46000000002</v>
      </c>
      <c r="J938" s="19">
        <v>0.61502789560529869</v>
      </c>
    </row>
    <row r="939" spans="1:10" x14ac:dyDescent="0.3">
      <c r="A939" s="9" t="s">
        <v>193</v>
      </c>
      <c r="B939" s="20">
        <v>45961</v>
      </c>
      <c r="C939" s="9" t="s">
        <v>205</v>
      </c>
      <c r="D939" s="14">
        <v>349316.71</v>
      </c>
      <c r="E939" s="14">
        <v>16486.89</v>
      </c>
      <c r="F939" s="14">
        <v>60255.89</v>
      </c>
      <c r="G939" s="14">
        <v>2623.09</v>
      </c>
      <c r="H939" s="14">
        <v>13225.54</v>
      </c>
      <c r="I939" s="14">
        <v>441908.12</v>
      </c>
      <c r="J939" s="19">
        <v>0.61502789560529869</v>
      </c>
    </row>
    <row r="940" spans="1:10" x14ac:dyDescent="0.3">
      <c r="A940" s="9" t="s">
        <v>193</v>
      </c>
      <c r="B940" s="20">
        <v>45961</v>
      </c>
      <c r="C940" s="9" t="s">
        <v>204</v>
      </c>
      <c r="D940" s="14">
        <v>73032.2</v>
      </c>
      <c r="E940" s="14">
        <v>6901.62</v>
      </c>
      <c r="F940" s="14">
        <v>7495.28</v>
      </c>
      <c r="G940" s="14">
        <v>3779.07</v>
      </c>
      <c r="H940" s="14">
        <v>2788.82</v>
      </c>
      <c r="I940" s="14">
        <v>93996.99</v>
      </c>
      <c r="J940" s="19">
        <v>0.61502789560529869</v>
      </c>
    </row>
    <row r="941" spans="1:10" x14ac:dyDescent="0.3">
      <c r="A941" s="9" t="s">
        <v>193</v>
      </c>
      <c r="B941" s="20">
        <v>45961</v>
      </c>
      <c r="C941" s="9" t="s">
        <v>203</v>
      </c>
      <c r="D941" s="14">
        <v>168983.72</v>
      </c>
      <c r="E941" s="14">
        <v>23099.49</v>
      </c>
      <c r="F941" s="14">
        <v>8277.18</v>
      </c>
      <c r="G941" s="14">
        <v>10591.98</v>
      </c>
      <c r="H941" s="14">
        <v>3750.02</v>
      </c>
      <c r="I941" s="14">
        <v>214702.38</v>
      </c>
      <c r="J941" s="19">
        <v>0.61502789560529869</v>
      </c>
    </row>
    <row r="942" spans="1:10" x14ac:dyDescent="0.3">
      <c r="A942" s="9" t="s">
        <v>193</v>
      </c>
      <c r="B942" s="20">
        <v>45991</v>
      </c>
      <c r="C942" s="9" t="s">
        <v>222</v>
      </c>
      <c r="D942" s="14">
        <v>197213.95</v>
      </c>
      <c r="E942" s="14">
        <v>34314.160000000003</v>
      </c>
      <c r="F942" s="14">
        <v>12607.5</v>
      </c>
      <c r="G942" s="14">
        <v>12006.57</v>
      </c>
      <c r="H942" s="14">
        <v>2175.86</v>
      </c>
      <c r="I942" s="14">
        <v>258318.03</v>
      </c>
      <c r="J942" s="19">
        <v>0.65466369707865546</v>
      </c>
    </row>
    <row r="943" spans="1:10" x14ac:dyDescent="0.3">
      <c r="A943" s="9" t="s">
        <v>193</v>
      </c>
      <c r="B943" s="20">
        <v>45991</v>
      </c>
      <c r="C943" s="9" t="s">
        <v>221</v>
      </c>
      <c r="D943" s="14">
        <v>240799.53</v>
      </c>
      <c r="E943" s="14">
        <v>33266.129999999997</v>
      </c>
      <c r="F943" s="14">
        <v>7364.49</v>
      </c>
      <c r="G943" s="14">
        <v>13890.22</v>
      </c>
      <c r="H943" s="14">
        <v>4009.67</v>
      </c>
      <c r="I943" s="14">
        <v>299330.05</v>
      </c>
      <c r="J943" s="19">
        <v>0.65466369707865546</v>
      </c>
    </row>
    <row r="944" spans="1:10" x14ac:dyDescent="0.3">
      <c r="A944" s="9" t="s">
        <v>193</v>
      </c>
      <c r="B944" s="20">
        <v>45991</v>
      </c>
      <c r="C944" s="9" t="s">
        <v>220</v>
      </c>
      <c r="D944" s="14">
        <v>78044.59</v>
      </c>
      <c r="E944" s="14">
        <v>3200.39</v>
      </c>
      <c r="F944" s="14">
        <v>5463.47</v>
      </c>
      <c r="G944" s="14">
        <v>10732.32</v>
      </c>
      <c r="H944" s="14">
        <v>2106.17</v>
      </c>
      <c r="I944" s="14">
        <v>99546.94</v>
      </c>
      <c r="J944" s="19">
        <v>0.65466369707865546</v>
      </c>
    </row>
    <row r="945" spans="1:10" x14ac:dyDescent="0.3">
      <c r="A945" s="9" t="s">
        <v>193</v>
      </c>
      <c r="B945" s="20">
        <v>45991</v>
      </c>
      <c r="C945" s="9" t="s">
        <v>219</v>
      </c>
      <c r="D945" s="14">
        <v>383018.08</v>
      </c>
      <c r="E945" s="14">
        <v>69124.289999999994</v>
      </c>
      <c r="F945" s="14">
        <v>32507.78</v>
      </c>
      <c r="G945" s="14">
        <v>4228.4399999999996</v>
      </c>
      <c r="H945" s="14">
        <v>9957.25</v>
      </c>
      <c r="I945" s="14">
        <v>498835.83</v>
      </c>
      <c r="J945" s="19">
        <v>0.65466369707865546</v>
      </c>
    </row>
    <row r="946" spans="1:10" x14ac:dyDescent="0.3">
      <c r="A946" s="9" t="s">
        <v>193</v>
      </c>
      <c r="B946" s="20">
        <v>45991</v>
      </c>
      <c r="C946" s="9" t="s">
        <v>218</v>
      </c>
      <c r="D946" s="14">
        <v>192177</v>
      </c>
      <c r="E946" s="14">
        <v>36101.42</v>
      </c>
      <c r="F946" s="14">
        <v>10593.63</v>
      </c>
      <c r="G946" s="14">
        <v>3170.13</v>
      </c>
      <c r="H946" s="14">
        <v>4128.37</v>
      </c>
      <c r="I946" s="14">
        <v>246170.55</v>
      </c>
      <c r="J946" s="19">
        <v>0.65466369707865546</v>
      </c>
    </row>
    <row r="947" spans="1:10" x14ac:dyDescent="0.3">
      <c r="A947" s="9" t="s">
        <v>193</v>
      </c>
      <c r="B947" s="20">
        <v>45991</v>
      </c>
      <c r="C947" s="9" t="s">
        <v>217</v>
      </c>
      <c r="D947" s="14">
        <v>145005.20000000001</v>
      </c>
      <c r="E947" s="14">
        <v>29500.69</v>
      </c>
      <c r="F947" s="14">
        <v>6758.87</v>
      </c>
      <c r="G947" s="14">
        <v>5613.59</v>
      </c>
      <c r="H947" s="14">
        <v>2596.75</v>
      </c>
      <c r="I947" s="14">
        <v>189475.1</v>
      </c>
      <c r="J947" s="19">
        <v>0.65466369707865546</v>
      </c>
    </row>
    <row r="948" spans="1:10" x14ac:dyDescent="0.3">
      <c r="A948" s="9" t="s">
        <v>193</v>
      </c>
      <c r="B948" s="20">
        <v>45991</v>
      </c>
      <c r="C948" s="9" t="s">
        <v>216</v>
      </c>
      <c r="D948" s="14">
        <v>41149.32</v>
      </c>
      <c r="E948" s="14">
        <v>8727.42</v>
      </c>
      <c r="F948" s="14">
        <v>1182.8599999999999</v>
      </c>
      <c r="G948" s="14">
        <v>2071.09</v>
      </c>
      <c r="H948" s="14">
        <v>406.34</v>
      </c>
      <c r="I948" s="14">
        <v>53537.03</v>
      </c>
      <c r="J948" s="19">
        <v>0.65466369707865546</v>
      </c>
    </row>
    <row r="949" spans="1:10" x14ac:dyDescent="0.3">
      <c r="A949" s="9" t="s">
        <v>193</v>
      </c>
      <c r="B949" s="20">
        <v>45991</v>
      </c>
      <c r="C949" s="9" t="s">
        <v>215</v>
      </c>
      <c r="D949" s="14">
        <v>452442.91</v>
      </c>
      <c r="E949" s="14">
        <v>91792.18</v>
      </c>
      <c r="F949" s="14">
        <v>4928.43</v>
      </c>
      <c r="G949" s="14">
        <v>16610.05</v>
      </c>
      <c r="H949" s="14">
        <v>2195.8000000000002</v>
      </c>
      <c r="I949" s="14">
        <v>567969.37</v>
      </c>
      <c r="J949" s="19">
        <v>0.65466369707865546</v>
      </c>
    </row>
    <row r="950" spans="1:10" x14ac:dyDescent="0.3">
      <c r="A950" s="9" t="s">
        <v>193</v>
      </c>
      <c r="B950" s="20">
        <v>45991</v>
      </c>
      <c r="C950" s="9" t="s">
        <v>214</v>
      </c>
      <c r="D950" s="14">
        <v>37201.01</v>
      </c>
      <c r="E950" s="14">
        <v>3212.26</v>
      </c>
      <c r="F950" s="14">
        <v>1186.04</v>
      </c>
      <c r="G950" s="14">
        <v>3177.63</v>
      </c>
      <c r="H950" s="14">
        <v>2572.87</v>
      </c>
      <c r="I950" s="14">
        <v>47349.8</v>
      </c>
      <c r="J950" s="19">
        <v>0.65466369707865546</v>
      </c>
    </row>
    <row r="951" spans="1:10" x14ac:dyDescent="0.3">
      <c r="A951" s="9" t="s">
        <v>193</v>
      </c>
      <c r="B951" s="20">
        <v>45991</v>
      </c>
      <c r="C951" s="9" t="s">
        <v>213</v>
      </c>
      <c r="D951" s="14">
        <v>147486.87</v>
      </c>
      <c r="E951" s="14">
        <v>16520.89</v>
      </c>
      <c r="F951" s="14">
        <v>16106.42</v>
      </c>
      <c r="G951" s="14">
        <v>4948.58</v>
      </c>
      <c r="H951" s="14">
        <v>4245.78</v>
      </c>
      <c r="I951" s="14">
        <v>189308.55</v>
      </c>
      <c r="J951" s="19">
        <v>0.65466369707865546</v>
      </c>
    </row>
    <row r="952" spans="1:10" x14ac:dyDescent="0.3">
      <c r="A952" s="9" t="s">
        <v>193</v>
      </c>
      <c r="B952" s="20">
        <v>45991</v>
      </c>
      <c r="C952" s="9" t="s">
        <v>212</v>
      </c>
      <c r="D952" s="14">
        <v>277396.90999999997</v>
      </c>
      <c r="E952" s="14">
        <v>22920.22</v>
      </c>
      <c r="F952" s="14">
        <v>23414.31</v>
      </c>
      <c r="G952" s="14">
        <v>24807.48</v>
      </c>
      <c r="H952" s="14">
        <v>8450.61</v>
      </c>
      <c r="I952" s="14">
        <v>356989.52</v>
      </c>
      <c r="J952" s="19">
        <v>0.65466369707865546</v>
      </c>
    </row>
    <row r="953" spans="1:10" x14ac:dyDescent="0.3">
      <c r="A953" s="9" t="s">
        <v>193</v>
      </c>
      <c r="B953" s="20">
        <v>45991</v>
      </c>
      <c r="C953" s="9" t="s">
        <v>211</v>
      </c>
      <c r="D953" s="14">
        <v>7833.71</v>
      </c>
      <c r="E953" s="14">
        <v>1833.55</v>
      </c>
      <c r="F953" s="14">
        <v>122.05</v>
      </c>
      <c r="G953" s="14">
        <v>213.49</v>
      </c>
      <c r="H953" s="14">
        <v>193.36</v>
      </c>
      <c r="I953" s="14">
        <v>10196.16</v>
      </c>
      <c r="J953" s="19">
        <v>0.65466369707865546</v>
      </c>
    </row>
    <row r="954" spans="1:10" x14ac:dyDescent="0.3">
      <c r="A954" s="9" t="s">
        <v>193</v>
      </c>
      <c r="B954" s="20">
        <v>45991</v>
      </c>
      <c r="C954" s="9" t="s">
        <v>210</v>
      </c>
      <c r="D954" s="14">
        <v>326320.62</v>
      </c>
      <c r="E954" s="14">
        <v>49227.360000000001</v>
      </c>
      <c r="F954" s="14">
        <v>18900.28</v>
      </c>
      <c r="G954" s="14">
        <v>11789.57</v>
      </c>
      <c r="H954" s="14">
        <v>1769.78</v>
      </c>
      <c r="I954" s="14">
        <v>408007.62</v>
      </c>
      <c r="J954" s="19">
        <v>0.65466369707865546</v>
      </c>
    </row>
    <row r="955" spans="1:10" x14ac:dyDescent="0.3">
      <c r="A955" s="9" t="s">
        <v>193</v>
      </c>
      <c r="B955" s="20">
        <v>45991</v>
      </c>
      <c r="C955" s="9" t="s">
        <v>209</v>
      </c>
      <c r="D955" s="14">
        <v>90837.58</v>
      </c>
      <c r="E955" s="14">
        <v>6764.27</v>
      </c>
      <c r="F955" s="14">
        <v>12368.33</v>
      </c>
      <c r="G955" s="14">
        <v>4203.84</v>
      </c>
      <c r="H955" s="14">
        <v>3002.76</v>
      </c>
      <c r="I955" s="14">
        <v>117176.79</v>
      </c>
      <c r="J955" s="19">
        <v>0.65466369707865546</v>
      </c>
    </row>
    <row r="956" spans="1:10" x14ac:dyDescent="0.3">
      <c r="A956" s="9" t="s">
        <v>193</v>
      </c>
      <c r="B956" s="20">
        <v>45991</v>
      </c>
      <c r="C956" s="9" t="s">
        <v>208</v>
      </c>
      <c r="D956" s="14">
        <v>112396.23</v>
      </c>
      <c r="E956" s="14">
        <v>10835.37</v>
      </c>
      <c r="F956" s="14">
        <v>5291.62</v>
      </c>
      <c r="G956" s="14">
        <v>4515.29</v>
      </c>
      <c r="H956" s="14">
        <v>8196.5</v>
      </c>
      <c r="I956" s="14">
        <v>141235.01</v>
      </c>
      <c r="J956" s="19">
        <v>0.65466369707865546</v>
      </c>
    </row>
    <row r="957" spans="1:10" x14ac:dyDescent="0.3">
      <c r="A957" s="9" t="s">
        <v>193</v>
      </c>
      <c r="B957" s="20">
        <v>45991</v>
      </c>
      <c r="C957" s="9" t="s">
        <v>207</v>
      </c>
      <c r="D957" s="14">
        <v>188833.32</v>
      </c>
      <c r="E957" s="14">
        <v>31044.47</v>
      </c>
      <c r="F957" s="14">
        <v>24895.53</v>
      </c>
      <c r="G957" s="14">
        <v>3171.15</v>
      </c>
      <c r="H957" s="14">
        <v>11331.33</v>
      </c>
      <c r="I957" s="14">
        <v>259275.8</v>
      </c>
      <c r="J957" s="19">
        <v>0.65466369707865546</v>
      </c>
    </row>
    <row r="958" spans="1:10" x14ac:dyDescent="0.3">
      <c r="A958" s="9" t="s">
        <v>193</v>
      </c>
      <c r="B958" s="20">
        <v>45991</v>
      </c>
      <c r="C958" s="9" t="s">
        <v>206</v>
      </c>
      <c r="D958" s="14">
        <v>434264.33</v>
      </c>
      <c r="E958" s="14">
        <v>42327.11</v>
      </c>
      <c r="F958" s="14">
        <v>27317.73</v>
      </c>
      <c r="G958" s="14">
        <v>14659.08</v>
      </c>
      <c r="H958" s="14">
        <v>11991.27</v>
      </c>
      <c r="I958" s="14">
        <v>530559.52</v>
      </c>
      <c r="J958" s="19">
        <v>0.65466369707865546</v>
      </c>
    </row>
    <row r="959" spans="1:10" x14ac:dyDescent="0.3">
      <c r="A959" s="9" t="s">
        <v>193</v>
      </c>
      <c r="B959" s="20">
        <v>45991</v>
      </c>
      <c r="C959" s="9" t="s">
        <v>205</v>
      </c>
      <c r="D959" s="14">
        <v>395346.21</v>
      </c>
      <c r="E959" s="14">
        <v>28827.65</v>
      </c>
      <c r="F959" s="14">
        <v>73216.69</v>
      </c>
      <c r="G959" s="14">
        <v>7234.49</v>
      </c>
      <c r="H959" s="14">
        <v>10657.74</v>
      </c>
      <c r="I959" s="14">
        <v>515282.78</v>
      </c>
      <c r="J959" s="19">
        <v>0.65466369707865546</v>
      </c>
    </row>
    <row r="960" spans="1:10" x14ac:dyDescent="0.3">
      <c r="A960" s="9" t="s">
        <v>193</v>
      </c>
      <c r="B960" s="20">
        <v>45991</v>
      </c>
      <c r="C960" s="9" t="s">
        <v>204</v>
      </c>
      <c r="D960" s="14">
        <v>135639.31</v>
      </c>
      <c r="E960" s="14">
        <v>29173.55</v>
      </c>
      <c r="F960" s="14">
        <v>12829.88</v>
      </c>
      <c r="G960" s="14">
        <v>2228.14</v>
      </c>
      <c r="H960" s="14">
        <v>1651.72</v>
      </c>
      <c r="I960" s="14">
        <v>181522.6</v>
      </c>
      <c r="J960" s="19">
        <v>0.65466369707865546</v>
      </c>
    </row>
    <row r="961" spans="1:10" x14ac:dyDescent="0.3">
      <c r="A961" s="9" t="s">
        <v>193</v>
      </c>
      <c r="B961" s="20">
        <v>45991</v>
      </c>
      <c r="C961" s="9" t="s">
        <v>203</v>
      </c>
      <c r="D961" s="14">
        <v>127832.78</v>
      </c>
      <c r="E961" s="14">
        <v>9748.9599999999991</v>
      </c>
      <c r="F961" s="14">
        <v>10194.14</v>
      </c>
      <c r="G961" s="14">
        <v>9077.5499999999993</v>
      </c>
      <c r="H961" s="14">
        <v>2349.5700000000002</v>
      </c>
      <c r="I961" s="14">
        <v>159203</v>
      </c>
      <c r="J961" s="19">
        <v>0.65466369707865546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6312-B68D-4D6A-A1A4-52AF3C4E0962}">
  <sheetPr>
    <tabColor theme="6" tint="0.39997558519241921"/>
  </sheetPr>
  <dimension ref="A1:K961"/>
  <sheetViews>
    <sheetView workbookViewId="0">
      <selection activeCell="O28" sqref="O28"/>
    </sheetView>
  </sheetViews>
  <sheetFormatPr defaultRowHeight="14.4" x14ac:dyDescent="0.3"/>
  <cols>
    <col min="1" max="3" width="25.6640625" style="9" customWidth="1"/>
    <col min="4" max="10" width="19.33203125" style="15" customWidth="1"/>
    <col min="11" max="11" width="36.88671875" style="19" customWidth="1"/>
  </cols>
  <sheetData>
    <row r="1" spans="1:11" x14ac:dyDescent="0.3">
      <c r="A1" s="13" t="s">
        <v>22</v>
      </c>
      <c r="B1" s="13" t="s">
        <v>197</v>
      </c>
      <c r="C1" s="13" t="s">
        <v>262</v>
      </c>
      <c r="D1" s="21" t="s">
        <v>185</v>
      </c>
      <c r="E1" s="21" t="s">
        <v>261</v>
      </c>
      <c r="F1" s="21" t="s">
        <v>189</v>
      </c>
      <c r="G1" s="21" t="s">
        <v>188</v>
      </c>
      <c r="H1" s="21" t="s">
        <v>260</v>
      </c>
      <c r="I1" s="21" t="s">
        <v>259</v>
      </c>
      <c r="J1" s="21" t="s">
        <v>258</v>
      </c>
      <c r="K1" s="22" t="s">
        <v>257</v>
      </c>
    </row>
    <row r="2" spans="1:11" x14ac:dyDescent="0.3">
      <c r="A2" s="9" t="s">
        <v>186</v>
      </c>
      <c r="B2" s="20">
        <v>45657</v>
      </c>
      <c r="C2" s="9" t="s">
        <v>256</v>
      </c>
      <c r="D2" s="15">
        <v>56073.53</v>
      </c>
      <c r="E2" s="15">
        <v>51272.36</v>
      </c>
      <c r="F2" s="15">
        <v>57885.86</v>
      </c>
      <c r="G2" s="15">
        <v>27996.959999999999</v>
      </c>
      <c r="H2" s="15">
        <v>2339.69</v>
      </c>
      <c r="I2" s="15">
        <v>195568.4</v>
      </c>
      <c r="J2" s="15">
        <v>139494.87</v>
      </c>
      <c r="K2" s="19">
        <v>0.73492510655912824</v>
      </c>
    </row>
    <row r="3" spans="1:11" x14ac:dyDescent="0.3">
      <c r="A3" s="9" t="s">
        <v>186</v>
      </c>
      <c r="B3" s="20">
        <v>45657</v>
      </c>
      <c r="C3" s="9" t="s">
        <v>206</v>
      </c>
      <c r="D3" s="15">
        <v>8186.17</v>
      </c>
      <c r="E3" s="15">
        <v>1215.6199999999999</v>
      </c>
      <c r="F3" s="15">
        <v>3473.55</v>
      </c>
      <c r="G3" s="15">
        <v>4249.2299999999996</v>
      </c>
      <c r="H3" s="15">
        <v>373.66</v>
      </c>
      <c r="I3" s="15">
        <v>17498.22</v>
      </c>
      <c r="J3" s="15">
        <v>9312.0499999999993</v>
      </c>
      <c r="K3" s="19">
        <v>0.73492510655912824</v>
      </c>
    </row>
    <row r="4" spans="1:11" x14ac:dyDescent="0.3">
      <c r="A4" s="9" t="s">
        <v>186</v>
      </c>
      <c r="B4" s="20">
        <v>45657</v>
      </c>
      <c r="C4" s="9" t="s">
        <v>223</v>
      </c>
      <c r="D4" s="15">
        <v>164127.38</v>
      </c>
      <c r="E4" s="15">
        <v>74755.509999999995</v>
      </c>
      <c r="F4" s="15">
        <v>101760.13</v>
      </c>
      <c r="G4" s="15">
        <v>34513.43</v>
      </c>
      <c r="H4" s="15">
        <v>21283.51</v>
      </c>
      <c r="I4" s="15">
        <v>396439.96</v>
      </c>
      <c r="J4" s="15">
        <v>232312.57</v>
      </c>
      <c r="K4" s="19">
        <v>0.73492510655912824</v>
      </c>
    </row>
    <row r="5" spans="1:11" x14ac:dyDescent="0.3">
      <c r="A5" s="9" t="s">
        <v>186</v>
      </c>
      <c r="B5" s="20">
        <v>45657</v>
      </c>
      <c r="C5" s="9" t="s">
        <v>245</v>
      </c>
      <c r="D5" s="15">
        <v>96688.42</v>
      </c>
      <c r="E5" s="15">
        <v>45167.21</v>
      </c>
      <c r="F5" s="15">
        <v>38726.85</v>
      </c>
      <c r="G5" s="15">
        <v>92935.88</v>
      </c>
      <c r="H5" s="15">
        <v>15561.46</v>
      </c>
      <c r="I5" s="15">
        <v>289079.83</v>
      </c>
      <c r="J5" s="15">
        <v>192391.41</v>
      </c>
      <c r="K5" s="19">
        <v>0.73492510655912824</v>
      </c>
    </row>
    <row r="6" spans="1:11" x14ac:dyDescent="0.3">
      <c r="A6" s="9" t="s">
        <v>186</v>
      </c>
      <c r="B6" s="20">
        <v>45657</v>
      </c>
      <c r="C6" s="9" t="s">
        <v>212</v>
      </c>
      <c r="D6" s="15">
        <v>98605.38</v>
      </c>
      <c r="E6" s="15">
        <v>57456.7</v>
      </c>
      <c r="F6" s="15">
        <v>20266.04</v>
      </c>
      <c r="G6" s="15">
        <v>43299.44</v>
      </c>
      <c r="H6" s="15">
        <v>28545.25</v>
      </c>
      <c r="I6" s="15">
        <v>248172.81</v>
      </c>
      <c r="J6" s="15">
        <v>149567.43</v>
      </c>
      <c r="K6" s="19">
        <v>0.73492510655912824</v>
      </c>
    </row>
    <row r="7" spans="1:11" x14ac:dyDescent="0.3">
      <c r="A7" s="9" t="s">
        <v>186</v>
      </c>
      <c r="B7" s="20">
        <v>45657</v>
      </c>
      <c r="C7" s="9" t="s">
        <v>255</v>
      </c>
      <c r="D7" s="15">
        <v>132378.29</v>
      </c>
      <c r="E7" s="15">
        <v>46786.16</v>
      </c>
      <c r="F7" s="15">
        <v>25506.98</v>
      </c>
      <c r="G7" s="15">
        <v>44417.29</v>
      </c>
      <c r="H7" s="15">
        <v>62131.79</v>
      </c>
      <c r="I7" s="15">
        <v>311220.51</v>
      </c>
      <c r="J7" s="15">
        <v>178842.22</v>
      </c>
      <c r="K7" s="19">
        <v>0.73492510655912824</v>
      </c>
    </row>
    <row r="8" spans="1:11" x14ac:dyDescent="0.3">
      <c r="A8" s="9" t="s">
        <v>186</v>
      </c>
      <c r="B8" s="20">
        <v>45657</v>
      </c>
      <c r="C8" s="9" t="s">
        <v>231</v>
      </c>
      <c r="D8" s="15">
        <v>21253.01</v>
      </c>
      <c r="E8" s="15">
        <v>8188.87</v>
      </c>
      <c r="F8" s="15">
        <v>11392.72</v>
      </c>
      <c r="G8" s="15">
        <v>19153.71</v>
      </c>
      <c r="H8" s="15">
        <v>5448.6</v>
      </c>
      <c r="I8" s="15">
        <v>65436.91</v>
      </c>
      <c r="J8" s="15">
        <v>44183.9</v>
      </c>
      <c r="K8" s="19">
        <v>0.73492510655912824</v>
      </c>
    </row>
    <row r="9" spans="1:11" x14ac:dyDescent="0.3">
      <c r="A9" s="9" t="s">
        <v>186</v>
      </c>
      <c r="B9" s="20">
        <v>45657</v>
      </c>
      <c r="C9" s="9" t="s">
        <v>224</v>
      </c>
      <c r="D9" s="15">
        <v>64546.31</v>
      </c>
      <c r="E9" s="15">
        <v>44274.77</v>
      </c>
      <c r="F9" s="15">
        <v>9639.74</v>
      </c>
      <c r="G9" s="15">
        <v>11193.74</v>
      </c>
      <c r="H9" s="15">
        <v>7185.45</v>
      </c>
      <c r="I9" s="15">
        <v>136840.01</v>
      </c>
      <c r="J9" s="15">
        <v>72293.7</v>
      </c>
      <c r="K9" s="19">
        <v>0.73492510655912824</v>
      </c>
    </row>
    <row r="10" spans="1:11" x14ac:dyDescent="0.3">
      <c r="A10" s="9" t="s">
        <v>186</v>
      </c>
      <c r="B10" s="20">
        <v>45657</v>
      </c>
      <c r="C10" s="9" t="s">
        <v>228</v>
      </c>
      <c r="D10" s="15">
        <v>34442.46</v>
      </c>
      <c r="E10" s="15">
        <v>19509.72</v>
      </c>
      <c r="F10" s="15">
        <v>28273.55</v>
      </c>
      <c r="G10" s="15">
        <v>7687.09</v>
      </c>
      <c r="H10" s="15">
        <v>2428.0300000000002</v>
      </c>
      <c r="I10" s="15">
        <v>92340.85</v>
      </c>
      <c r="J10" s="15">
        <v>57898.400000000001</v>
      </c>
      <c r="K10" s="19">
        <v>0.73492510655912824</v>
      </c>
    </row>
    <row r="11" spans="1:11" x14ac:dyDescent="0.3">
      <c r="A11" s="9" t="s">
        <v>186</v>
      </c>
      <c r="B11" s="20">
        <v>45657</v>
      </c>
      <c r="C11" s="9" t="s">
        <v>254</v>
      </c>
      <c r="D11" s="15">
        <v>129506.03</v>
      </c>
      <c r="E11" s="15">
        <v>70460.88</v>
      </c>
      <c r="F11" s="15">
        <v>45604.6</v>
      </c>
      <c r="G11" s="15">
        <v>2584.4</v>
      </c>
      <c r="H11" s="15">
        <v>21411.72</v>
      </c>
      <c r="I11" s="15">
        <v>269567.63</v>
      </c>
      <c r="J11" s="15">
        <v>140061.6</v>
      </c>
      <c r="K11" s="19">
        <v>0.73492510655912824</v>
      </c>
    </row>
    <row r="12" spans="1:11" x14ac:dyDescent="0.3">
      <c r="A12" s="9" t="s">
        <v>186</v>
      </c>
      <c r="B12" s="20">
        <v>45657</v>
      </c>
      <c r="C12" s="9" t="s">
        <v>253</v>
      </c>
      <c r="D12" s="15">
        <v>19108.84</v>
      </c>
      <c r="E12" s="15">
        <v>11662.68</v>
      </c>
      <c r="F12" s="15">
        <v>3994.74</v>
      </c>
      <c r="G12" s="15">
        <v>1961.62</v>
      </c>
      <c r="H12" s="15">
        <v>3977.06</v>
      </c>
      <c r="I12" s="15">
        <v>40704.949999999997</v>
      </c>
      <c r="J12" s="15">
        <v>21596.11</v>
      </c>
      <c r="K12" s="19">
        <v>0.73492510655912824</v>
      </c>
    </row>
    <row r="13" spans="1:11" x14ac:dyDescent="0.3">
      <c r="A13" s="9" t="s">
        <v>186</v>
      </c>
      <c r="B13" s="20">
        <v>45657</v>
      </c>
      <c r="C13" s="9" t="s">
        <v>252</v>
      </c>
      <c r="D13" s="15">
        <v>77771.64</v>
      </c>
      <c r="E13" s="15">
        <v>118797.81</v>
      </c>
      <c r="F13" s="15">
        <v>35617.769999999997</v>
      </c>
      <c r="G13" s="15">
        <v>31963.759999999998</v>
      </c>
      <c r="H13" s="15">
        <v>24074.06</v>
      </c>
      <c r="I13" s="15">
        <v>288225.03999999998</v>
      </c>
      <c r="J13" s="15">
        <v>210453.4</v>
      </c>
      <c r="K13" s="19">
        <v>0.73492510655912824</v>
      </c>
    </row>
    <row r="14" spans="1:11" x14ac:dyDescent="0.3">
      <c r="A14" s="9" t="s">
        <v>186</v>
      </c>
      <c r="B14" s="20">
        <v>45657</v>
      </c>
      <c r="C14" s="9" t="s">
        <v>251</v>
      </c>
      <c r="D14" s="15">
        <v>81728.649999999994</v>
      </c>
      <c r="E14" s="15">
        <v>61443.45</v>
      </c>
      <c r="F14" s="15">
        <v>6700</v>
      </c>
      <c r="G14" s="15">
        <v>7244.42</v>
      </c>
      <c r="H14" s="15">
        <v>33239.26</v>
      </c>
      <c r="I14" s="15">
        <v>190355.79</v>
      </c>
      <c r="J14" s="15">
        <v>108627.13</v>
      </c>
      <c r="K14" s="19">
        <v>0.73492510655912824</v>
      </c>
    </row>
    <row r="15" spans="1:11" x14ac:dyDescent="0.3">
      <c r="A15" s="9" t="s">
        <v>186</v>
      </c>
      <c r="B15" s="20">
        <v>45657</v>
      </c>
      <c r="C15" s="9" t="s">
        <v>250</v>
      </c>
      <c r="D15" s="15">
        <v>54074.83</v>
      </c>
      <c r="E15" s="15">
        <v>47155.37</v>
      </c>
      <c r="F15" s="15">
        <v>9802.51</v>
      </c>
      <c r="G15" s="15">
        <v>32526.61</v>
      </c>
      <c r="H15" s="15">
        <v>15038.99</v>
      </c>
      <c r="I15" s="15">
        <v>158598.31</v>
      </c>
      <c r="J15" s="15">
        <v>104523.48</v>
      </c>
      <c r="K15" s="19">
        <v>0.73492510655912824</v>
      </c>
    </row>
    <row r="16" spans="1:11" x14ac:dyDescent="0.3">
      <c r="A16" s="9" t="s">
        <v>186</v>
      </c>
      <c r="B16" s="20">
        <v>45657</v>
      </c>
      <c r="C16" s="9" t="s">
        <v>209</v>
      </c>
      <c r="D16" s="15">
        <v>20369.27</v>
      </c>
      <c r="E16" s="15">
        <v>3659.65</v>
      </c>
      <c r="F16" s="15">
        <v>7692.66</v>
      </c>
      <c r="G16" s="15">
        <v>11030.09</v>
      </c>
      <c r="H16" s="15">
        <v>2223.0100000000002</v>
      </c>
      <c r="I16" s="15">
        <v>44974.68</v>
      </c>
      <c r="J16" s="15">
        <v>24605.41</v>
      </c>
      <c r="K16" s="19">
        <v>0.73492510655912824</v>
      </c>
    </row>
    <row r="17" spans="1:11" x14ac:dyDescent="0.3">
      <c r="A17" s="9" t="s">
        <v>186</v>
      </c>
      <c r="B17" s="20">
        <v>45657</v>
      </c>
      <c r="C17" s="9" t="s">
        <v>229</v>
      </c>
      <c r="D17" s="15">
        <v>109414.49</v>
      </c>
      <c r="E17" s="15">
        <v>55901.01</v>
      </c>
      <c r="F17" s="15">
        <v>30186.93</v>
      </c>
      <c r="G17" s="15">
        <v>57639.199999999997</v>
      </c>
      <c r="H17" s="15">
        <v>17213.88</v>
      </c>
      <c r="I17" s="15">
        <v>270355.51</v>
      </c>
      <c r="J17" s="15">
        <v>160941.01999999999</v>
      </c>
      <c r="K17" s="19">
        <v>0.73492510655912824</v>
      </c>
    </row>
    <row r="18" spans="1:11" x14ac:dyDescent="0.3">
      <c r="A18" s="9" t="s">
        <v>186</v>
      </c>
      <c r="B18" s="20">
        <v>45657</v>
      </c>
      <c r="C18" s="9" t="s">
        <v>249</v>
      </c>
      <c r="D18" s="15">
        <v>119074.28</v>
      </c>
      <c r="E18" s="15">
        <v>72248.759999999995</v>
      </c>
      <c r="F18" s="15">
        <v>34786.300000000003</v>
      </c>
      <c r="G18" s="15">
        <v>66564.570000000007</v>
      </c>
      <c r="H18" s="15">
        <v>18356.84</v>
      </c>
      <c r="I18" s="15">
        <v>311030.74</v>
      </c>
      <c r="J18" s="15">
        <v>191956.46</v>
      </c>
      <c r="K18" s="19">
        <v>0.73492510655912824</v>
      </c>
    </row>
    <row r="19" spans="1:11" x14ac:dyDescent="0.3">
      <c r="A19" s="9" t="s">
        <v>186</v>
      </c>
      <c r="B19" s="20">
        <v>45657</v>
      </c>
      <c r="C19" s="9" t="s">
        <v>243</v>
      </c>
      <c r="D19" s="15">
        <v>137098.64000000001</v>
      </c>
      <c r="E19" s="15">
        <v>40946.660000000003</v>
      </c>
      <c r="F19" s="15">
        <v>36049.9</v>
      </c>
      <c r="G19" s="15">
        <v>23802.47</v>
      </c>
      <c r="H19" s="15">
        <v>47134.75</v>
      </c>
      <c r="I19" s="15">
        <v>285032.42</v>
      </c>
      <c r="J19" s="15">
        <v>147933.79</v>
      </c>
      <c r="K19" s="19">
        <v>0.73492510655912824</v>
      </c>
    </row>
    <row r="20" spans="1:11" x14ac:dyDescent="0.3">
      <c r="A20" s="9" t="s">
        <v>186</v>
      </c>
      <c r="B20" s="20">
        <v>45657</v>
      </c>
      <c r="C20" s="9" t="s">
        <v>237</v>
      </c>
      <c r="D20" s="15">
        <v>19340.64</v>
      </c>
      <c r="E20" s="15">
        <v>13718.35</v>
      </c>
      <c r="F20" s="15">
        <v>7246.09</v>
      </c>
      <c r="G20" s="15">
        <v>2600.11</v>
      </c>
      <c r="H20" s="15">
        <v>33306.720000000001</v>
      </c>
      <c r="I20" s="15">
        <v>76211.92</v>
      </c>
      <c r="J20" s="15">
        <v>56871.27</v>
      </c>
      <c r="K20" s="19">
        <v>0.73492510655912824</v>
      </c>
    </row>
    <row r="21" spans="1:11" x14ac:dyDescent="0.3">
      <c r="A21" s="9" t="s">
        <v>186</v>
      </c>
      <c r="B21" s="20">
        <v>45657</v>
      </c>
      <c r="C21" s="9" t="s">
        <v>248</v>
      </c>
      <c r="D21" s="15">
        <v>127369.51</v>
      </c>
      <c r="E21" s="15">
        <v>58480.78</v>
      </c>
      <c r="F21" s="15">
        <v>64245.279999999999</v>
      </c>
      <c r="G21" s="15">
        <v>57630.17</v>
      </c>
      <c r="H21" s="15">
        <v>4204.53</v>
      </c>
      <c r="I21" s="15">
        <v>311930.27</v>
      </c>
      <c r="J21" s="15">
        <v>184560.77</v>
      </c>
      <c r="K21" s="19">
        <v>0.73492510655912824</v>
      </c>
    </row>
    <row r="22" spans="1:11" x14ac:dyDescent="0.3">
      <c r="A22" s="9" t="s">
        <v>186</v>
      </c>
      <c r="B22" s="20">
        <v>45688</v>
      </c>
      <c r="C22" s="9" t="s">
        <v>256</v>
      </c>
      <c r="D22" s="15">
        <v>129700.72</v>
      </c>
      <c r="E22" s="15">
        <v>92623.28</v>
      </c>
      <c r="F22" s="15">
        <v>61436.29</v>
      </c>
      <c r="G22" s="15">
        <v>48151.86</v>
      </c>
      <c r="H22" s="15">
        <v>6313.57</v>
      </c>
      <c r="I22" s="15">
        <v>338225.72</v>
      </c>
      <c r="J22" s="15">
        <v>208525</v>
      </c>
      <c r="K22" s="19">
        <v>0.68640401535805795</v>
      </c>
    </row>
    <row r="23" spans="1:11" x14ac:dyDescent="0.3">
      <c r="A23" s="9" t="s">
        <v>186</v>
      </c>
      <c r="B23" s="20">
        <v>45688</v>
      </c>
      <c r="C23" s="9" t="s">
        <v>206</v>
      </c>
      <c r="D23" s="15">
        <v>16472.22</v>
      </c>
      <c r="E23" s="15">
        <v>3040.2</v>
      </c>
      <c r="F23" s="15">
        <v>3985.94</v>
      </c>
      <c r="G23" s="15">
        <v>8677.56</v>
      </c>
      <c r="H23" s="15">
        <v>4152.26</v>
      </c>
      <c r="I23" s="15">
        <v>36328.18</v>
      </c>
      <c r="J23" s="15">
        <v>19855.97</v>
      </c>
      <c r="K23" s="19">
        <v>0.68640401535805795</v>
      </c>
    </row>
    <row r="24" spans="1:11" x14ac:dyDescent="0.3">
      <c r="A24" s="9" t="s">
        <v>186</v>
      </c>
      <c r="B24" s="20">
        <v>45688</v>
      </c>
      <c r="C24" s="9" t="s">
        <v>223</v>
      </c>
      <c r="D24" s="15">
        <v>54902.63</v>
      </c>
      <c r="E24" s="15">
        <v>50319.48</v>
      </c>
      <c r="F24" s="15">
        <v>25144.71</v>
      </c>
      <c r="G24" s="15">
        <v>25138.21</v>
      </c>
      <c r="H24" s="15">
        <v>6240.93</v>
      </c>
      <c r="I24" s="15">
        <v>161745.96</v>
      </c>
      <c r="J24" s="15">
        <v>106843.33</v>
      </c>
      <c r="K24" s="19">
        <v>0.68640401535805795</v>
      </c>
    </row>
    <row r="25" spans="1:11" x14ac:dyDescent="0.3">
      <c r="A25" s="9" t="s">
        <v>186</v>
      </c>
      <c r="B25" s="20">
        <v>45688</v>
      </c>
      <c r="C25" s="9" t="s">
        <v>245</v>
      </c>
      <c r="D25" s="15">
        <v>80710.73</v>
      </c>
      <c r="E25" s="15">
        <v>68353.070000000007</v>
      </c>
      <c r="F25" s="15">
        <v>4530.03</v>
      </c>
      <c r="G25" s="15">
        <v>66633.41</v>
      </c>
      <c r="H25" s="15">
        <v>9838</v>
      </c>
      <c r="I25" s="15">
        <v>230065.24</v>
      </c>
      <c r="J25" s="15">
        <v>149354.51</v>
      </c>
      <c r="K25" s="19">
        <v>0.68640401535805795</v>
      </c>
    </row>
    <row r="26" spans="1:11" x14ac:dyDescent="0.3">
      <c r="A26" s="9" t="s">
        <v>186</v>
      </c>
      <c r="B26" s="20">
        <v>45688</v>
      </c>
      <c r="C26" s="9" t="s">
        <v>212</v>
      </c>
      <c r="D26" s="15">
        <v>36922.11</v>
      </c>
      <c r="E26" s="15">
        <v>35460.720000000001</v>
      </c>
      <c r="F26" s="15">
        <v>10000.959999999999</v>
      </c>
      <c r="G26" s="15">
        <v>11762.37</v>
      </c>
      <c r="H26" s="15">
        <v>7193.18</v>
      </c>
      <c r="I26" s="15">
        <v>101339.33</v>
      </c>
      <c r="J26" s="15">
        <v>64417.23</v>
      </c>
      <c r="K26" s="19">
        <v>0.68640401535805795</v>
      </c>
    </row>
    <row r="27" spans="1:11" x14ac:dyDescent="0.3">
      <c r="A27" s="9" t="s">
        <v>186</v>
      </c>
      <c r="B27" s="20">
        <v>45688</v>
      </c>
      <c r="C27" s="9" t="s">
        <v>255</v>
      </c>
      <c r="D27" s="15">
        <v>93624.53</v>
      </c>
      <c r="E27" s="15">
        <v>46273.120000000003</v>
      </c>
      <c r="F27" s="15">
        <v>80253.89</v>
      </c>
      <c r="G27" s="15">
        <v>46459.26</v>
      </c>
      <c r="H27" s="15">
        <v>57699.6</v>
      </c>
      <c r="I27" s="15">
        <v>324310.40000000002</v>
      </c>
      <c r="J27" s="15">
        <v>230685.87</v>
      </c>
      <c r="K27" s="19">
        <v>0.68640401535805795</v>
      </c>
    </row>
    <row r="28" spans="1:11" x14ac:dyDescent="0.3">
      <c r="A28" s="9" t="s">
        <v>186</v>
      </c>
      <c r="B28" s="20">
        <v>45688</v>
      </c>
      <c r="C28" s="9" t="s">
        <v>231</v>
      </c>
      <c r="D28" s="15">
        <v>134617.53</v>
      </c>
      <c r="E28" s="15">
        <v>46269.19</v>
      </c>
      <c r="F28" s="15">
        <v>25557.52</v>
      </c>
      <c r="G28" s="15">
        <v>79775.53</v>
      </c>
      <c r="H28" s="15">
        <v>30003.77</v>
      </c>
      <c r="I28" s="15">
        <v>316223.55</v>
      </c>
      <c r="J28" s="15">
        <v>181606.02</v>
      </c>
      <c r="K28" s="19">
        <v>0.68640401535805795</v>
      </c>
    </row>
    <row r="29" spans="1:11" x14ac:dyDescent="0.3">
      <c r="A29" s="9" t="s">
        <v>186</v>
      </c>
      <c r="B29" s="20">
        <v>45688</v>
      </c>
      <c r="C29" s="9" t="s">
        <v>224</v>
      </c>
      <c r="D29" s="15">
        <v>24466.65</v>
      </c>
      <c r="E29" s="15">
        <v>21434.7</v>
      </c>
      <c r="F29" s="15">
        <v>9662.42</v>
      </c>
      <c r="G29" s="15">
        <v>3722.11</v>
      </c>
      <c r="H29" s="15">
        <v>7352.11</v>
      </c>
      <c r="I29" s="15">
        <v>66638</v>
      </c>
      <c r="J29" s="15">
        <v>42171.35</v>
      </c>
      <c r="K29" s="19">
        <v>0.68640401535805795</v>
      </c>
    </row>
    <row r="30" spans="1:11" x14ac:dyDescent="0.3">
      <c r="A30" s="9" t="s">
        <v>186</v>
      </c>
      <c r="B30" s="20">
        <v>45688</v>
      </c>
      <c r="C30" s="9" t="s">
        <v>228</v>
      </c>
      <c r="D30" s="15">
        <v>37432.410000000003</v>
      </c>
      <c r="E30" s="15">
        <v>18009.27</v>
      </c>
      <c r="F30" s="15">
        <v>12396.54</v>
      </c>
      <c r="G30" s="15">
        <v>8068.71</v>
      </c>
      <c r="H30" s="15">
        <v>1291.9100000000001</v>
      </c>
      <c r="I30" s="15">
        <v>77198.84</v>
      </c>
      <c r="J30" s="15">
        <v>39766.43</v>
      </c>
      <c r="K30" s="19">
        <v>0.68640401535805795</v>
      </c>
    </row>
    <row r="31" spans="1:11" x14ac:dyDescent="0.3">
      <c r="A31" s="9" t="s">
        <v>186</v>
      </c>
      <c r="B31" s="20">
        <v>45688</v>
      </c>
      <c r="C31" s="9" t="s">
        <v>254</v>
      </c>
      <c r="D31" s="15">
        <v>14121.82</v>
      </c>
      <c r="E31" s="15">
        <v>5730.83</v>
      </c>
      <c r="F31" s="15">
        <v>1102.8699999999999</v>
      </c>
      <c r="G31" s="15">
        <v>2077.6</v>
      </c>
      <c r="H31" s="15">
        <v>7228.09</v>
      </c>
      <c r="I31" s="15">
        <v>30261.200000000001</v>
      </c>
      <c r="J31" s="15">
        <v>16139.39</v>
      </c>
      <c r="K31" s="19">
        <v>0.68640401535805795</v>
      </c>
    </row>
    <row r="32" spans="1:11" x14ac:dyDescent="0.3">
      <c r="A32" s="9" t="s">
        <v>186</v>
      </c>
      <c r="B32" s="20">
        <v>45688</v>
      </c>
      <c r="C32" s="9" t="s">
        <v>253</v>
      </c>
      <c r="D32" s="15">
        <v>68674.92</v>
      </c>
      <c r="E32" s="15">
        <v>40369.86</v>
      </c>
      <c r="F32" s="15">
        <v>70591.92</v>
      </c>
      <c r="G32" s="15">
        <v>19563.02</v>
      </c>
      <c r="H32" s="15">
        <v>18403.97</v>
      </c>
      <c r="I32" s="15">
        <v>217603.68</v>
      </c>
      <c r="J32" s="15">
        <v>148928.76</v>
      </c>
      <c r="K32" s="19">
        <v>0.68640401535805795</v>
      </c>
    </row>
    <row r="33" spans="1:11" x14ac:dyDescent="0.3">
      <c r="A33" s="9" t="s">
        <v>186</v>
      </c>
      <c r="B33" s="20">
        <v>45688</v>
      </c>
      <c r="C33" s="9" t="s">
        <v>252</v>
      </c>
      <c r="D33" s="15">
        <v>22917.71</v>
      </c>
      <c r="E33" s="15">
        <v>13336.63</v>
      </c>
      <c r="F33" s="15">
        <v>18096.150000000001</v>
      </c>
      <c r="G33" s="15">
        <v>16433.3</v>
      </c>
      <c r="H33" s="15">
        <v>934.47</v>
      </c>
      <c r="I33" s="15">
        <v>71718.259999999995</v>
      </c>
      <c r="J33" s="15">
        <v>48800.55</v>
      </c>
      <c r="K33" s="19">
        <v>0.68640401535805795</v>
      </c>
    </row>
    <row r="34" spans="1:11" x14ac:dyDescent="0.3">
      <c r="A34" s="9" t="s">
        <v>186</v>
      </c>
      <c r="B34" s="20">
        <v>45688</v>
      </c>
      <c r="C34" s="9" t="s">
        <v>251</v>
      </c>
      <c r="D34" s="15">
        <v>119931.97</v>
      </c>
      <c r="E34" s="15">
        <v>47115.22</v>
      </c>
      <c r="F34" s="15">
        <v>40936.43</v>
      </c>
      <c r="G34" s="15">
        <v>5011.82</v>
      </c>
      <c r="H34" s="15">
        <v>48434.26</v>
      </c>
      <c r="I34" s="15">
        <v>261429.7</v>
      </c>
      <c r="J34" s="15">
        <v>141497.72</v>
      </c>
      <c r="K34" s="19">
        <v>0.68640401535805795</v>
      </c>
    </row>
    <row r="35" spans="1:11" x14ac:dyDescent="0.3">
      <c r="A35" s="9" t="s">
        <v>186</v>
      </c>
      <c r="B35" s="20">
        <v>45688</v>
      </c>
      <c r="C35" s="9" t="s">
        <v>250</v>
      </c>
      <c r="D35" s="15">
        <v>147759.12</v>
      </c>
      <c r="E35" s="15">
        <v>138041.76999999999</v>
      </c>
      <c r="F35" s="15">
        <v>46189.68</v>
      </c>
      <c r="G35" s="15">
        <v>24906.21</v>
      </c>
      <c r="H35" s="15">
        <v>4411.49</v>
      </c>
      <c r="I35" s="15">
        <v>361308.27</v>
      </c>
      <c r="J35" s="15">
        <v>213549.15</v>
      </c>
      <c r="K35" s="19">
        <v>0.68640401535805795</v>
      </c>
    </row>
    <row r="36" spans="1:11" x14ac:dyDescent="0.3">
      <c r="A36" s="9" t="s">
        <v>186</v>
      </c>
      <c r="B36" s="20">
        <v>45688</v>
      </c>
      <c r="C36" s="9" t="s">
        <v>209</v>
      </c>
      <c r="D36" s="15">
        <v>70370.52</v>
      </c>
      <c r="E36" s="15">
        <v>70733.649999999994</v>
      </c>
      <c r="F36" s="15">
        <v>86947.75</v>
      </c>
      <c r="G36" s="15">
        <v>25094.79</v>
      </c>
      <c r="H36" s="15">
        <v>46333.66</v>
      </c>
      <c r="I36" s="15">
        <v>299480.37</v>
      </c>
      <c r="J36" s="15">
        <v>229109.85</v>
      </c>
      <c r="K36" s="19">
        <v>0.68640401535805795</v>
      </c>
    </row>
    <row r="37" spans="1:11" x14ac:dyDescent="0.3">
      <c r="A37" s="9" t="s">
        <v>186</v>
      </c>
      <c r="B37" s="20">
        <v>45688</v>
      </c>
      <c r="C37" s="9" t="s">
        <v>229</v>
      </c>
      <c r="D37" s="15">
        <v>22464.74</v>
      </c>
      <c r="E37" s="15">
        <v>14686.82</v>
      </c>
      <c r="F37" s="15">
        <v>6748.03</v>
      </c>
      <c r="G37" s="15">
        <v>3602.64</v>
      </c>
      <c r="H37" s="15">
        <v>5282.64</v>
      </c>
      <c r="I37" s="15">
        <v>52784.87</v>
      </c>
      <c r="J37" s="15">
        <v>30320.13</v>
      </c>
      <c r="K37" s="19">
        <v>0.68640401535805795</v>
      </c>
    </row>
    <row r="38" spans="1:11" x14ac:dyDescent="0.3">
      <c r="A38" s="9" t="s">
        <v>186</v>
      </c>
      <c r="B38" s="20">
        <v>45688</v>
      </c>
      <c r="C38" s="9" t="s">
        <v>249</v>
      </c>
      <c r="D38" s="15">
        <v>49907.45</v>
      </c>
      <c r="E38" s="15">
        <v>57848.88</v>
      </c>
      <c r="F38" s="15">
        <v>17100.400000000001</v>
      </c>
      <c r="G38" s="15">
        <v>7239.71</v>
      </c>
      <c r="H38" s="15">
        <v>4389.8999999999996</v>
      </c>
      <c r="I38" s="15">
        <v>136486.35</v>
      </c>
      <c r="J38" s="15">
        <v>86578.89</v>
      </c>
      <c r="K38" s="19">
        <v>0.68640401535805795</v>
      </c>
    </row>
    <row r="39" spans="1:11" x14ac:dyDescent="0.3">
      <c r="A39" s="9" t="s">
        <v>186</v>
      </c>
      <c r="B39" s="20">
        <v>45688</v>
      </c>
      <c r="C39" s="9" t="s">
        <v>243</v>
      </c>
      <c r="D39" s="15">
        <v>92412.46</v>
      </c>
      <c r="E39" s="15">
        <v>62753.67</v>
      </c>
      <c r="F39" s="15">
        <v>17372.689999999999</v>
      </c>
      <c r="G39" s="15">
        <v>24575.01</v>
      </c>
      <c r="H39" s="15">
        <v>4064</v>
      </c>
      <c r="I39" s="15">
        <v>201177.84</v>
      </c>
      <c r="J39" s="15">
        <v>108765.37</v>
      </c>
      <c r="K39" s="19">
        <v>0.68640401535805795</v>
      </c>
    </row>
    <row r="40" spans="1:11" x14ac:dyDescent="0.3">
      <c r="A40" s="9" t="s">
        <v>186</v>
      </c>
      <c r="B40" s="20">
        <v>45688</v>
      </c>
      <c r="C40" s="9" t="s">
        <v>237</v>
      </c>
      <c r="D40" s="15">
        <v>82210.240000000005</v>
      </c>
      <c r="E40" s="15">
        <v>43455.56</v>
      </c>
      <c r="F40" s="15">
        <v>28827.26</v>
      </c>
      <c r="G40" s="15">
        <v>23293.46</v>
      </c>
      <c r="H40" s="15">
        <v>4339.8100000000004</v>
      </c>
      <c r="I40" s="15">
        <v>182126.32</v>
      </c>
      <c r="J40" s="15">
        <v>99916.08</v>
      </c>
      <c r="K40" s="19">
        <v>0.68640401535805795</v>
      </c>
    </row>
    <row r="41" spans="1:11" x14ac:dyDescent="0.3">
      <c r="A41" s="9" t="s">
        <v>186</v>
      </c>
      <c r="B41" s="20">
        <v>45688</v>
      </c>
      <c r="C41" s="9" t="s">
        <v>248</v>
      </c>
      <c r="D41" s="15">
        <v>103209.87</v>
      </c>
      <c r="E41" s="15">
        <v>43053.48</v>
      </c>
      <c r="F41" s="15">
        <v>21718.17</v>
      </c>
      <c r="G41" s="15">
        <v>24507.49</v>
      </c>
      <c r="H41" s="15">
        <v>19864.939999999999</v>
      </c>
      <c r="I41" s="15">
        <v>212353.95</v>
      </c>
      <c r="J41" s="15">
        <v>109144.08</v>
      </c>
      <c r="K41" s="19">
        <v>0.68640401535805795</v>
      </c>
    </row>
    <row r="42" spans="1:11" x14ac:dyDescent="0.3">
      <c r="A42" s="9" t="s">
        <v>186</v>
      </c>
      <c r="B42" s="20">
        <v>45716</v>
      </c>
      <c r="C42" s="9" t="s">
        <v>256</v>
      </c>
      <c r="D42" s="15">
        <v>42567.46</v>
      </c>
      <c r="E42" s="15">
        <v>30893.13</v>
      </c>
      <c r="F42" s="15">
        <v>47922.36</v>
      </c>
      <c r="G42" s="15">
        <v>34821.24</v>
      </c>
      <c r="H42" s="15">
        <v>4493.58</v>
      </c>
      <c r="I42" s="15">
        <v>160697.78</v>
      </c>
      <c r="J42" s="15">
        <v>118130.32</v>
      </c>
      <c r="K42" s="19">
        <v>0.8284168513971979</v>
      </c>
    </row>
    <row r="43" spans="1:11" x14ac:dyDescent="0.3">
      <c r="A43" s="9" t="s">
        <v>186</v>
      </c>
      <c r="B43" s="20">
        <v>45716</v>
      </c>
      <c r="C43" s="9" t="s">
        <v>206</v>
      </c>
      <c r="D43" s="15">
        <v>72565.55</v>
      </c>
      <c r="E43" s="15">
        <v>22576.63</v>
      </c>
      <c r="F43" s="15">
        <v>22410.71</v>
      </c>
      <c r="G43" s="15">
        <v>72578.63</v>
      </c>
      <c r="H43" s="15">
        <v>35248.120000000003</v>
      </c>
      <c r="I43" s="15">
        <v>225379.63</v>
      </c>
      <c r="J43" s="15">
        <v>152814.09</v>
      </c>
      <c r="K43" s="19">
        <v>0.8284168513971979</v>
      </c>
    </row>
    <row r="44" spans="1:11" x14ac:dyDescent="0.3">
      <c r="A44" s="9" t="s">
        <v>186</v>
      </c>
      <c r="B44" s="20">
        <v>45716</v>
      </c>
      <c r="C44" s="9" t="s">
        <v>223</v>
      </c>
      <c r="D44" s="15">
        <v>76805.490000000005</v>
      </c>
      <c r="E44" s="15">
        <v>56452.86</v>
      </c>
      <c r="F44" s="15">
        <v>13811.95</v>
      </c>
      <c r="G44" s="15">
        <v>24234.23</v>
      </c>
      <c r="H44" s="15">
        <v>84947.26</v>
      </c>
      <c r="I44" s="15">
        <v>256251.79</v>
      </c>
      <c r="J44" s="15">
        <v>179446.3</v>
      </c>
      <c r="K44" s="19">
        <v>0.8284168513971979</v>
      </c>
    </row>
    <row r="45" spans="1:11" x14ac:dyDescent="0.3">
      <c r="A45" s="9" t="s">
        <v>186</v>
      </c>
      <c r="B45" s="20">
        <v>45716</v>
      </c>
      <c r="C45" s="9" t="s">
        <v>245</v>
      </c>
      <c r="D45" s="15">
        <v>92685.19</v>
      </c>
      <c r="E45" s="15">
        <v>191777.06</v>
      </c>
      <c r="F45" s="15">
        <v>30005.759999999998</v>
      </c>
      <c r="G45" s="15">
        <v>15283.08</v>
      </c>
      <c r="H45" s="15">
        <v>2431.58</v>
      </c>
      <c r="I45" s="15">
        <v>332182.67</v>
      </c>
      <c r="J45" s="15">
        <v>239497.48</v>
      </c>
      <c r="K45" s="19">
        <v>0.8284168513971979</v>
      </c>
    </row>
    <row r="46" spans="1:11" x14ac:dyDescent="0.3">
      <c r="A46" s="9" t="s">
        <v>186</v>
      </c>
      <c r="B46" s="20">
        <v>45716</v>
      </c>
      <c r="C46" s="9" t="s">
        <v>212</v>
      </c>
      <c r="D46" s="15">
        <v>22889.48</v>
      </c>
      <c r="E46" s="15">
        <v>20581.32</v>
      </c>
      <c r="F46" s="15">
        <v>15860.04</v>
      </c>
      <c r="G46" s="15">
        <v>18577.66</v>
      </c>
      <c r="H46" s="15">
        <v>3578.6</v>
      </c>
      <c r="I46" s="15">
        <v>81487.09</v>
      </c>
      <c r="J46" s="15">
        <v>58597.62</v>
      </c>
      <c r="K46" s="19">
        <v>0.8284168513971979</v>
      </c>
    </row>
    <row r="47" spans="1:11" x14ac:dyDescent="0.3">
      <c r="A47" s="9" t="s">
        <v>186</v>
      </c>
      <c r="B47" s="20">
        <v>45716</v>
      </c>
      <c r="C47" s="9" t="s">
        <v>255</v>
      </c>
      <c r="D47" s="15">
        <v>136900.04999999999</v>
      </c>
      <c r="E47" s="15">
        <v>53678.48</v>
      </c>
      <c r="F47" s="15">
        <v>105464.85</v>
      </c>
      <c r="G47" s="15">
        <v>68095.740000000005</v>
      </c>
      <c r="H47" s="15">
        <v>17236.439999999999</v>
      </c>
      <c r="I47" s="15">
        <v>381375.56</v>
      </c>
      <c r="J47" s="15">
        <v>244475.51</v>
      </c>
      <c r="K47" s="19">
        <v>0.8284168513971979</v>
      </c>
    </row>
    <row r="48" spans="1:11" x14ac:dyDescent="0.3">
      <c r="A48" s="9" t="s">
        <v>186</v>
      </c>
      <c r="B48" s="20">
        <v>45716</v>
      </c>
      <c r="C48" s="9" t="s">
        <v>231</v>
      </c>
      <c r="D48" s="15">
        <v>62621.85</v>
      </c>
      <c r="E48" s="15">
        <v>78814.63</v>
      </c>
      <c r="F48" s="15">
        <v>30925.68</v>
      </c>
      <c r="G48" s="15">
        <v>7503.32</v>
      </c>
      <c r="H48" s="15">
        <v>43277.37</v>
      </c>
      <c r="I48" s="15">
        <v>223142.85</v>
      </c>
      <c r="J48" s="15">
        <v>160521.01</v>
      </c>
      <c r="K48" s="19">
        <v>0.8284168513971979</v>
      </c>
    </row>
    <row r="49" spans="1:11" x14ac:dyDescent="0.3">
      <c r="A49" s="9" t="s">
        <v>186</v>
      </c>
      <c r="B49" s="20">
        <v>45716</v>
      </c>
      <c r="C49" s="9" t="s">
        <v>224</v>
      </c>
      <c r="D49" s="15">
        <v>86264.33</v>
      </c>
      <c r="E49" s="15">
        <v>20336.11</v>
      </c>
      <c r="F49" s="15">
        <v>28551.52</v>
      </c>
      <c r="G49" s="15">
        <v>17423.41</v>
      </c>
      <c r="H49" s="15">
        <v>36214.28</v>
      </c>
      <c r="I49" s="15">
        <v>188789.66</v>
      </c>
      <c r="J49" s="15">
        <v>102525.33</v>
      </c>
      <c r="K49" s="19">
        <v>0.8284168513971979</v>
      </c>
    </row>
    <row r="50" spans="1:11" x14ac:dyDescent="0.3">
      <c r="A50" s="9" t="s">
        <v>186</v>
      </c>
      <c r="B50" s="20">
        <v>45716</v>
      </c>
      <c r="C50" s="9" t="s">
        <v>228</v>
      </c>
      <c r="D50" s="15">
        <v>54584.54</v>
      </c>
      <c r="E50" s="15">
        <v>34124.080000000002</v>
      </c>
      <c r="F50" s="15">
        <v>28696.84</v>
      </c>
      <c r="G50" s="15">
        <v>6463.78</v>
      </c>
      <c r="H50" s="15">
        <v>24511.56</v>
      </c>
      <c r="I50" s="15">
        <v>148380.81</v>
      </c>
      <c r="J50" s="15">
        <v>93796.26</v>
      </c>
      <c r="K50" s="19">
        <v>0.8284168513971979</v>
      </c>
    </row>
    <row r="51" spans="1:11" x14ac:dyDescent="0.3">
      <c r="A51" s="9" t="s">
        <v>186</v>
      </c>
      <c r="B51" s="20">
        <v>45716</v>
      </c>
      <c r="C51" s="9" t="s">
        <v>254</v>
      </c>
      <c r="D51" s="15">
        <v>104869.21</v>
      </c>
      <c r="E51" s="15">
        <v>104384.63</v>
      </c>
      <c r="F51" s="15">
        <v>19445.84</v>
      </c>
      <c r="G51" s="15">
        <v>87464.97</v>
      </c>
      <c r="H51" s="15">
        <v>63391.23</v>
      </c>
      <c r="I51" s="15">
        <v>379555.88</v>
      </c>
      <c r="J51" s="15">
        <v>274686.67</v>
      </c>
      <c r="K51" s="19">
        <v>0.8284168513971979</v>
      </c>
    </row>
    <row r="52" spans="1:11" x14ac:dyDescent="0.3">
      <c r="A52" s="9" t="s">
        <v>186</v>
      </c>
      <c r="B52" s="20">
        <v>45716</v>
      </c>
      <c r="C52" s="9" t="s">
        <v>253</v>
      </c>
      <c r="D52" s="15">
        <v>200308.68</v>
      </c>
      <c r="E52" s="15">
        <v>36843.03</v>
      </c>
      <c r="F52" s="15">
        <v>106599.89</v>
      </c>
      <c r="G52" s="15">
        <v>65127.35</v>
      </c>
      <c r="H52" s="15">
        <v>56407.63</v>
      </c>
      <c r="I52" s="15">
        <v>465286.57</v>
      </c>
      <c r="J52" s="15">
        <v>264977.89</v>
      </c>
      <c r="K52" s="19">
        <v>0.8284168513971979</v>
      </c>
    </row>
    <row r="53" spans="1:11" x14ac:dyDescent="0.3">
      <c r="A53" s="9" t="s">
        <v>186</v>
      </c>
      <c r="B53" s="20">
        <v>45716</v>
      </c>
      <c r="C53" s="9" t="s">
        <v>252</v>
      </c>
      <c r="D53" s="15">
        <v>130017.38</v>
      </c>
      <c r="E53" s="15">
        <v>39703.35</v>
      </c>
      <c r="F53" s="15">
        <v>58677.26</v>
      </c>
      <c r="G53" s="15">
        <v>21797.19</v>
      </c>
      <c r="H53" s="15">
        <v>32473.34</v>
      </c>
      <c r="I53" s="15">
        <v>282668.53000000003</v>
      </c>
      <c r="J53" s="15">
        <v>152651.15</v>
      </c>
      <c r="K53" s="19">
        <v>0.8284168513971979</v>
      </c>
    </row>
    <row r="54" spans="1:11" x14ac:dyDescent="0.3">
      <c r="A54" s="9" t="s">
        <v>186</v>
      </c>
      <c r="B54" s="20">
        <v>45716</v>
      </c>
      <c r="C54" s="9" t="s">
        <v>251</v>
      </c>
      <c r="D54" s="15">
        <v>53469.99</v>
      </c>
      <c r="E54" s="15">
        <v>18057.3</v>
      </c>
      <c r="F54" s="15">
        <v>28683.439999999999</v>
      </c>
      <c r="G54" s="15">
        <v>17969.990000000002</v>
      </c>
      <c r="H54" s="15">
        <v>32197.74</v>
      </c>
      <c r="I54" s="15">
        <v>150378.46</v>
      </c>
      <c r="J54" s="15">
        <v>96908.47</v>
      </c>
      <c r="K54" s="19">
        <v>0.8284168513971979</v>
      </c>
    </row>
    <row r="55" spans="1:11" x14ac:dyDescent="0.3">
      <c r="A55" s="9" t="s">
        <v>186</v>
      </c>
      <c r="B55" s="20">
        <v>45716</v>
      </c>
      <c r="C55" s="9" t="s">
        <v>250</v>
      </c>
      <c r="D55" s="15">
        <v>82912.789999999994</v>
      </c>
      <c r="E55" s="15">
        <v>112726.12</v>
      </c>
      <c r="F55" s="15">
        <v>58978.19</v>
      </c>
      <c r="G55" s="15">
        <v>91810.22</v>
      </c>
      <c r="H55" s="15">
        <v>8961.2000000000007</v>
      </c>
      <c r="I55" s="15">
        <v>355388.52</v>
      </c>
      <c r="J55" s="15">
        <v>272475.73</v>
      </c>
      <c r="K55" s="19">
        <v>0.8284168513971979</v>
      </c>
    </row>
    <row r="56" spans="1:11" x14ac:dyDescent="0.3">
      <c r="A56" s="9" t="s">
        <v>186</v>
      </c>
      <c r="B56" s="20">
        <v>45716</v>
      </c>
      <c r="C56" s="9" t="s">
        <v>209</v>
      </c>
      <c r="D56" s="15">
        <v>3452.35</v>
      </c>
      <c r="E56" s="15">
        <v>1590.68</v>
      </c>
      <c r="F56" s="15">
        <v>1812.88</v>
      </c>
      <c r="G56" s="15">
        <v>448.39</v>
      </c>
      <c r="H56" s="15">
        <v>720</v>
      </c>
      <c r="I56" s="15">
        <v>8024.3</v>
      </c>
      <c r="J56" s="15">
        <v>4571.9399999999996</v>
      </c>
      <c r="K56" s="19">
        <v>0.8284168513971979</v>
      </c>
    </row>
    <row r="57" spans="1:11" x14ac:dyDescent="0.3">
      <c r="A57" s="9" t="s">
        <v>186</v>
      </c>
      <c r="B57" s="20">
        <v>45716</v>
      </c>
      <c r="C57" s="9" t="s">
        <v>229</v>
      </c>
      <c r="D57" s="15">
        <v>11331.25</v>
      </c>
      <c r="E57" s="15">
        <v>3448.12</v>
      </c>
      <c r="F57" s="15">
        <v>7633.18</v>
      </c>
      <c r="G57" s="15">
        <v>937.69</v>
      </c>
      <c r="H57" s="15">
        <v>1669.51</v>
      </c>
      <c r="I57" s="15">
        <v>25019.759999999998</v>
      </c>
      <c r="J57" s="15">
        <v>13688.51</v>
      </c>
      <c r="K57" s="19">
        <v>0.8284168513971979</v>
      </c>
    </row>
    <row r="58" spans="1:11" x14ac:dyDescent="0.3">
      <c r="A58" s="9" t="s">
        <v>186</v>
      </c>
      <c r="B58" s="20">
        <v>45716</v>
      </c>
      <c r="C58" s="9" t="s">
        <v>249</v>
      </c>
      <c r="D58" s="15">
        <v>125594.17</v>
      </c>
      <c r="E58" s="15">
        <v>34487.800000000003</v>
      </c>
      <c r="F58" s="15">
        <v>70009.429999999993</v>
      </c>
      <c r="G58" s="15">
        <v>24780.57</v>
      </c>
      <c r="H58" s="15">
        <v>6867.07</v>
      </c>
      <c r="I58" s="15">
        <v>261739.05</v>
      </c>
      <c r="J58" s="15">
        <v>136144.88</v>
      </c>
      <c r="K58" s="19">
        <v>0.8284168513971979</v>
      </c>
    </row>
    <row r="59" spans="1:11" x14ac:dyDescent="0.3">
      <c r="A59" s="9" t="s">
        <v>186</v>
      </c>
      <c r="B59" s="20">
        <v>45716</v>
      </c>
      <c r="C59" s="9" t="s">
        <v>243</v>
      </c>
      <c r="D59" s="15">
        <v>131254.23000000001</v>
      </c>
      <c r="E59" s="15">
        <v>70431.81</v>
      </c>
      <c r="F59" s="15">
        <v>14465.09</v>
      </c>
      <c r="G59" s="15">
        <v>33014.959999999999</v>
      </c>
      <c r="H59" s="15">
        <v>46318.93</v>
      </c>
      <c r="I59" s="15">
        <v>295485.01</v>
      </c>
      <c r="J59" s="15">
        <v>164230.78</v>
      </c>
      <c r="K59" s="19">
        <v>0.8284168513971979</v>
      </c>
    </row>
    <row r="60" spans="1:11" x14ac:dyDescent="0.3">
      <c r="A60" s="9" t="s">
        <v>186</v>
      </c>
      <c r="B60" s="20">
        <v>45716</v>
      </c>
      <c r="C60" s="9" t="s">
        <v>237</v>
      </c>
      <c r="D60" s="15">
        <v>1314.98</v>
      </c>
      <c r="E60" s="15">
        <v>338.18</v>
      </c>
      <c r="F60" s="15">
        <v>797.97</v>
      </c>
      <c r="G60" s="15">
        <v>383.12</v>
      </c>
      <c r="H60" s="15">
        <v>312.70999999999998</v>
      </c>
      <c r="I60" s="15">
        <v>3146.95</v>
      </c>
      <c r="J60" s="15">
        <v>1831.98</v>
      </c>
      <c r="K60" s="19">
        <v>0.8284168513971979</v>
      </c>
    </row>
    <row r="61" spans="1:11" x14ac:dyDescent="0.3">
      <c r="A61" s="9" t="s">
        <v>186</v>
      </c>
      <c r="B61" s="20">
        <v>45716</v>
      </c>
      <c r="C61" s="9" t="s">
        <v>248</v>
      </c>
      <c r="D61" s="15">
        <v>28335.71</v>
      </c>
      <c r="E61" s="15">
        <v>8190.55</v>
      </c>
      <c r="F61" s="15">
        <v>24783.74</v>
      </c>
      <c r="G61" s="15">
        <v>10429.66</v>
      </c>
      <c r="H61" s="15">
        <v>9054.14</v>
      </c>
      <c r="I61" s="15">
        <v>80793.8</v>
      </c>
      <c r="J61" s="15">
        <v>52458.09</v>
      </c>
      <c r="K61" s="19">
        <v>0.8284168513971979</v>
      </c>
    </row>
    <row r="62" spans="1:11" x14ac:dyDescent="0.3">
      <c r="A62" s="9" t="s">
        <v>186</v>
      </c>
      <c r="B62" s="20">
        <v>45747</v>
      </c>
      <c r="C62" s="9" t="s">
        <v>256</v>
      </c>
      <c r="D62" s="15">
        <v>227035.34</v>
      </c>
      <c r="E62" s="15">
        <v>81284.210000000006</v>
      </c>
      <c r="F62" s="15">
        <v>30707.02</v>
      </c>
      <c r="G62" s="15">
        <v>93915.8</v>
      </c>
      <c r="H62" s="15">
        <v>51618.66</v>
      </c>
      <c r="I62" s="15">
        <v>484561.02</v>
      </c>
      <c r="J62" s="15">
        <v>257525.68</v>
      </c>
      <c r="K62" s="19">
        <v>0.81002463278632464</v>
      </c>
    </row>
    <row r="63" spans="1:11" x14ac:dyDescent="0.3">
      <c r="A63" s="9" t="s">
        <v>186</v>
      </c>
      <c r="B63" s="20">
        <v>45747</v>
      </c>
      <c r="C63" s="9" t="s">
        <v>206</v>
      </c>
      <c r="D63" s="15">
        <v>52253.16</v>
      </c>
      <c r="E63" s="15">
        <v>18911.330000000002</v>
      </c>
      <c r="F63" s="15">
        <v>25047.4</v>
      </c>
      <c r="G63" s="15">
        <v>18653.62</v>
      </c>
      <c r="H63" s="15">
        <v>7208.13</v>
      </c>
      <c r="I63" s="15">
        <v>122073.64</v>
      </c>
      <c r="J63" s="15">
        <v>69820.479999999996</v>
      </c>
      <c r="K63" s="19">
        <v>0.81002463278632464</v>
      </c>
    </row>
    <row r="64" spans="1:11" x14ac:dyDescent="0.3">
      <c r="A64" s="9" t="s">
        <v>186</v>
      </c>
      <c r="B64" s="20">
        <v>45747</v>
      </c>
      <c r="C64" s="9" t="s">
        <v>223</v>
      </c>
      <c r="D64" s="15">
        <v>4451.79</v>
      </c>
      <c r="E64" s="15">
        <v>1592.44</v>
      </c>
      <c r="F64" s="15">
        <v>5572.73</v>
      </c>
      <c r="G64" s="15">
        <v>2515.88</v>
      </c>
      <c r="H64" s="15">
        <v>1328.31</v>
      </c>
      <c r="I64" s="15">
        <v>15461.15</v>
      </c>
      <c r="J64" s="15">
        <v>11009.36</v>
      </c>
      <c r="K64" s="19">
        <v>0.81002463278632464</v>
      </c>
    </row>
    <row r="65" spans="1:11" x14ac:dyDescent="0.3">
      <c r="A65" s="9" t="s">
        <v>186</v>
      </c>
      <c r="B65" s="20">
        <v>45747</v>
      </c>
      <c r="C65" s="9" t="s">
        <v>245</v>
      </c>
      <c r="D65" s="15">
        <v>23199.52</v>
      </c>
      <c r="E65" s="15">
        <v>21213.09</v>
      </c>
      <c r="F65" s="15">
        <v>26055.23</v>
      </c>
      <c r="G65" s="15">
        <v>3438.76</v>
      </c>
      <c r="H65" s="15">
        <v>16013.41</v>
      </c>
      <c r="I65" s="15">
        <v>89920.02</v>
      </c>
      <c r="J65" s="15">
        <v>66720.5</v>
      </c>
      <c r="K65" s="19">
        <v>0.81002463278632464</v>
      </c>
    </row>
    <row r="66" spans="1:11" x14ac:dyDescent="0.3">
      <c r="A66" s="9" t="s">
        <v>186</v>
      </c>
      <c r="B66" s="20">
        <v>45747</v>
      </c>
      <c r="C66" s="9" t="s">
        <v>212</v>
      </c>
      <c r="D66" s="15">
        <v>115812.77</v>
      </c>
      <c r="E66" s="15">
        <v>41891.08</v>
      </c>
      <c r="F66" s="15">
        <v>62401.82</v>
      </c>
      <c r="G66" s="15">
        <v>41323.919999999998</v>
      </c>
      <c r="H66" s="15">
        <v>41106.879999999997</v>
      </c>
      <c r="I66" s="15">
        <v>302536.46000000002</v>
      </c>
      <c r="J66" s="15">
        <v>186723.7</v>
      </c>
      <c r="K66" s="19">
        <v>0.81002463278632464</v>
      </c>
    </row>
    <row r="67" spans="1:11" x14ac:dyDescent="0.3">
      <c r="A67" s="9" t="s">
        <v>186</v>
      </c>
      <c r="B67" s="20">
        <v>45747</v>
      </c>
      <c r="C67" s="9" t="s">
        <v>255</v>
      </c>
      <c r="D67" s="15">
        <v>13645.8</v>
      </c>
      <c r="E67" s="15">
        <v>16696.63</v>
      </c>
      <c r="F67" s="15">
        <v>9751.31</v>
      </c>
      <c r="G67" s="15">
        <v>9951.2800000000007</v>
      </c>
      <c r="H67" s="15">
        <v>4483.05</v>
      </c>
      <c r="I67" s="15">
        <v>54528.06</v>
      </c>
      <c r="J67" s="15">
        <v>40882.269999999997</v>
      </c>
      <c r="K67" s="19">
        <v>0.81002463278632464</v>
      </c>
    </row>
    <row r="68" spans="1:11" x14ac:dyDescent="0.3">
      <c r="A68" s="9" t="s">
        <v>186</v>
      </c>
      <c r="B68" s="20">
        <v>45747</v>
      </c>
      <c r="C68" s="9" t="s">
        <v>231</v>
      </c>
      <c r="D68" s="15">
        <v>29057.26</v>
      </c>
      <c r="E68" s="15">
        <v>7377.59</v>
      </c>
      <c r="F68" s="15">
        <v>4844.8999999999996</v>
      </c>
      <c r="G68" s="15">
        <v>10377.25</v>
      </c>
      <c r="H68" s="15">
        <v>10204.66</v>
      </c>
      <c r="I68" s="15">
        <v>61861.67</v>
      </c>
      <c r="J68" s="15">
        <v>32804.410000000003</v>
      </c>
      <c r="K68" s="19">
        <v>0.81002463278632464</v>
      </c>
    </row>
    <row r="69" spans="1:11" x14ac:dyDescent="0.3">
      <c r="A69" s="9" t="s">
        <v>186</v>
      </c>
      <c r="B69" s="20">
        <v>45747</v>
      </c>
      <c r="C69" s="9" t="s">
        <v>224</v>
      </c>
      <c r="D69" s="15">
        <v>216125.17</v>
      </c>
      <c r="E69" s="15">
        <v>117731.36</v>
      </c>
      <c r="F69" s="15">
        <v>73085.350000000006</v>
      </c>
      <c r="G69" s="15">
        <v>59919.33</v>
      </c>
      <c r="H69" s="15">
        <v>76026.009999999995</v>
      </c>
      <c r="I69" s="15">
        <v>542887.23</v>
      </c>
      <c r="J69" s="15">
        <v>326762.06</v>
      </c>
      <c r="K69" s="19">
        <v>0.81002463278632464</v>
      </c>
    </row>
    <row r="70" spans="1:11" x14ac:dyDescent="0.3">
      <c r="A70" s="9" t="s">
        <v>186</v>
      </c>
      <c r="B70" s="20">
        <v>45747</v>
      </c>
      <c r="C70" s="9" t="s">
        <v>228</v>
      </c>
      <c r="D70" s="15">
        <v>60541.07</v>
      </c>
      <c r="E70" s="15">
        <v>48532.17</v>
      </c>
      <c r="F70" s="15">
        <v>30186.54</v>
      </c>
      <c r="G70" s="15">
        <v>25192.41</v>
      </c>
      <c r="H70" s="15">
        <v>12126.78</v>
      </c>
      <c r="I70" s="15">
        <v>176578.97</v>
      </c>
      <c r="J70" s="15">
        <v>116037.89</v>
      </c>
      <c r="K70" s="19">
        <v>0.81002463278632464</v>
      </c>
    </row>
    <row r="71" spans="1:11" x14ac:dyDescent="0.3">
      <c r="A71" s="9" t="s">
        <v>186</v>
      </c>
      <c r="B71" s="20">
        <v>45747</v>
      </c>
      <c r="C71" s="9" t="s">
        <v>254</v>
      </c>
      <c r="D71" s="15">
        <v>17485.27</v>
      </c>
      <c r="E71" s="15">
        <v>4452.41</v>
      </c>
      <c r="F71" s="15">
        <v>2062.9</v>
      </c>
      <c r="G71" s="15">
        <v>13846.11</v>
      </c>
      <c r="H71" s="15">
        <v>463.49</v>
      </c>
      <c r="I71" s="15">
        <v>38310.19</v>
      </c>
      <c r="J71" s="15">
        <v>20824.91</v>
      </c>
      <c r="K71" s="19">
        <v>0.81002463278632464</v>
      </c>
    </row>
    <row r="72" spans="1:11" x14ac:dyDescent="0.3">
      <c r="A72" s="9" t="s">
        <v>186</v>
      </c>
      <c r="B72" s="20">
        <v>45747</v>
      </c>
      <c r="C72" s="9" t="s">
        <v>253</v>
      </c>
      <c r="D72" s="15">
        <v>75404.08</v>
      </c>
      <c r="E72" s="15">
        <v>8889.15</v>
      </c>
      <c r="F72" s="15">
        <v>50163.37</v>
      </c>
      <c r="G72" s="15">
        <v>30832.560000000001</v>
      </c>
      <c r="H72" s="15">
        <v>77615.53</v>
      </c>
      <c r="I72" s="15">
        <v>242904.69</v>
      </c>
      <c r="J72" s="15">
        <v>167500.60999999999</v>
      </c>
      <c r="K72" s="19">
        <v>0.81002463278632464</v>
      </c>
    </row>
    <row r="73" spans="1:11" x14ac:dyDescent="0.3">
      <c r="A73" s="9" t="s">
        <v>186</v>
      </c>
      <c r="B73" s="20">
        <v>45747</v>
      </c>
      <c r="C73" s="9" t="s">
        <v>252</v>
      </c>
      <c r="D73" s="15">
        <v>150661.18</v>
      </c>
      <c r="E73" s="15">
        <v>19806.8</v>
      </c>
      <c r="F73" s="15">
        <v>94102.36</v>
      </c>
      <c r="G73" s="15">
        <v>32449.08</v>
      </c>
      <c r="H73" s="15">
        <v>82027.78</v>
      </c>
      <c r="I73" s="15">
        <v>379047.2</v>
      </c>
      <c r="J73" s="15">
        <v>228386.02</v>
      </c>
      <c r="K73" s="19">
        <v>0.81002463278632464</v>
      </c>
    </row>
    <row r="74" spans="1:11" x14ac:dyDescent="0.3">
      <c r="A74" s="9" t="s">
        <v>186</v>
      </c>
      <c r="B74" s="20">
        <v>45747</v>
      </c>
      <c r="C74" s="9" t="s">
        <v>251</v>
      </c>
      <c r="D74" s="15">
        <v>98617.47</v>
      </c>
      <c r="E74" s="15">
        <v>53094.16</v>
      </c>
      <c r="F74" s="15">
        <v>6176.04</v>
      </c>
      <c r="G74" s="15">
        <v>53639.91</v>
      </c>
      <c r="H74" s="15">
        <v>37808.959999999999</v>
      </c>
      <c r="I74" s="15">
        <v>249336.53</v>
      </c>
      <c r="J74" s="15">
        <v>150719.06</v>
      </c>
      <c r="K74" s="19">
        <v>0.81002463278632464</v>
      </c>
    </row>
    <row r="75" spans="1:11" x14ac:dyDescent="0.3">
      <c r="A75" s="9" t="s">
        <v>186</v>
      </c>
      <c r="B75" s="20">
        <v>45747</v>
      </c>
      <c r="C75" s="9" t="s">
        <v>250</v>
      </c>
      <c r="D75" s="15">
        <v>16037.64</v>
      </c>
      <c r="E75" s="15">
        <v>3947.37</v>
      </c>
      <c r="F75" s="15">
        <v>28381.57</v>
      </c>
      <c r="G75" s="15">
        <v>9294.1299999999992</v>
      </c>
      <c r="H75" s="15">
        <v>1395.49</v>
      </c>
      <c r="I75" s="15">
        <v>59056.2</v>
      </c>
      <c r="J75" s="15">
        <v>43018.559999999998</v>
      </c>
      <c r="K75" s="19">
        <v>0.81002463278632464</v>
      </c>
    </row>
    <row r="76" spans="1:11" x14ac:dyDescent="0.3">
      <c r="A76" s="9" t="s">
        <v>186</v>
      </c>
      <c r="B76" s="20">
        <v>45747</v>
      </c>
      <c r="C76" s="9" t="s">
        <v>209</v>
      </c>
      <c r="D76" s="15">
        <v>145098.91</v>
      </c>
      <c r="E76" s="15">
        <v>82933.72</v>
      </c>
      <c r="F76" s="15">
        <v>28675.18</v>
      </c>
      <c r="G76" s="15">
        <v>50594.58</v>
      </c>
      <c r="H76" s="15">
        <v>6388.63</v>
      </c>
      <c r="I76" s="15">
        <v>313691.03000000003</v>
      </c>
      <c r="J76" s="15">
        <v>168592.12</v>
      </c>
      <c r="K76" s="19">
        <v>0.81002463278632464</v>
      </c>
    </row>
    <row r="77" spans="1:11" x14ac:dyDescent="0.3">
      <c r="A77" s="9" t="s">
        <v>186</v>
      </c>
      <c r="B77" s="20">
        <v>45747</v>
      </c>
      <c r="C77" s="9" t="s">
        <v>229</v>
      </c>
      <c r="D77" s="15">
        <v>17851.78</v>
      </c>
      <c r="E77" s="15">
        <v>8412.65</v>
      </c>
      <c r="F77" s="15">
        <v>6774.48</v>
      </c>
      <c r="G77" s="15">
        <v>7094.4</v>
      </c>
      <c r="H77" s="15">
        <v>343.23</v>
      </c>
      <c r="I77" s="15">
        <v>40476.54</v>
      </c>
      <c r="J77" s="15">
        <v>22624.76</v>
      </c>
      <c r="K77" s="19">
        <v>0.81002463278632464</v>
      </c>
    </row>
    <row r="78" spans="1:11" x14ac:dyDescent="0.3">
      <c r="A78" s="9" t="s">
        <v>186</v>
      </c>
      <c r="B78" s="20">
        <v>45747</v>
      </c>
      <c r="C78" s="9" t="s">
        <v>249</v>
      </c>
      <c r="D78" s="15">
        <v>105074.29</v>
      </c>
      <c r="E78" s="15">
        <v>64578.96</v>
      </c>
      <c r="F78" s="15">
        <v>65990.89</v>
      </c>
      <c r="G78" s="15">
        <v>92141.07</v>
      </c>
      <c r="H78" s="15">
        <v>16477.25</v>
      </c>
      <c r="I78" s="15">
        <v>344262.46</v>
      </c>
      <c r="J78" s="15">
        <v>239188.17</v>
      </c>
      <c r="K78" s="19">
        <v>0.81002463278632464</v>
      </c>
    </row>
    <row r="79" spans="1:11" x14ac:dyDescent="0.3">
      <c r="A79" s="9" t="s">
        <v>186</v>
      </c>
      <c r="B79" s="20">
        <v>45747</v>
      </c>
      <c r="C79" s="9" t="s">
        <v>243</v>
      </c>
      <c r="D79" s="15">
        <v>184994.85</v>
      </c>
      <c r="E79" s="15">
        <v>148349.49</v>
      </c>
      <c r="F79" s="15">
        <v>23925.86</v>
      </c>
      <c r="G79" s="15">
        <v>82398.94</v>
      </c>
      <c r="H79" s="15">
        <v>52832.04</v>
      </c>
      <c r="I79" s="15">
        <v>492501.18</v>
      </c>
      <c r="J79" s="15">
        <v>307506.33</v>
      </c>
      <c r="K79" s="19">
        <v>0.81002463278632464</v>
      </c>
    </row>
    <row r="80" spans="1:11" x14ac:dyDescent="0.3">
      <c r="A80" s="9" t="s">
        <v>186</v>
      </c>
      <c r="B80" s="20">
        <v>45747</v>
      </c>
      <c r="C80" s="9" t="s">
        <v>237</v>
      </c>
      <c r="D80" s="15">
        <v>7091.33</v>
      </c>
      <c r="E80" s="15">
        <v>5440.99</v>
      </c>
      <c r="F80" s="15">
        <v>2804.49</v>
      </c>
      <c r="G80" s="15">
        <v>1916.14</v>
      </c>
      <c r="H80" s="15">
        <v>3567.35</v>
      </c>
      <c r="I80" s="15">
        <v>20820.310000000001</v>
      </c>
      <c r="J80" s="15">
        <v>13728.97</v>
      </c>
      <c r="K80" s="19">
        <v>0.81002463278632464</v>
      </c>
    </row>
    <row r="81" spans="1:11" x14ac:dyDescent="0.3">
      <c r="A81" s="9" t="s">
        <v>186</v>
      </c>
      <c r="B81" s="20">
        <v>45747</v>
      </c>
      <c r="C81" s="9" t="s">
        <v>248</v>
      </c>
      <c r="D81" s="15">
        <v>178630.56</v>
      </c>
      <c r="E81" s="15">
        <v>68213.279999999999</v>
      </c>
      <c r="F81" s="15">
        <v>48643.17</v>
      </c>
      <c r="G81" s="15">
        <v>27265.8</v>
      </c>
      <c r="H81" s="15">
        <v>42701.85</v>
      </c>
      <c r="I81" s="15">
        <v>365454.65</v>
      </c>
      <c r="J81" s="15">
        <v>186824.09</v>
      </c>
      <c r="K81" s="19">
        <v>0.81002463278632464</v>
      </c>
    </row>
    <row r="82" spans="1:11" x14ac:dyDescent="0.3">
      <c r="A82" s="9" t="s">
        <v>186</v>
      </c>
      <c r="B82" s="20">
        <v>45777</v>
      </c>
      <c r="C82" s="9" t="s">
        <v>256</v>
      </c>
      <c r="D82" s="15">
        <v>147946.88</v>
      </c>
      <c r="E82" s="15">
        <v>82282.070000000007</v>
      </c>
      <c r="F82" s="15">
        <v>16567.7</v>
      </c>
      <c r="G82" s="15">
        <v>24276.84</v>
      </c>
      <c r="H82" s="15">
        <v>49731.73</v>
      </c>
      <c r="I82" s="15">
        <v>320805.21000000002</v>
      </c>
      <c r="J82" s="15">
        <v>172858.33</v>
      </c>
      <c r="K82" s="19">
        <v>0.73147696189677858</v>
      </c>
    </row>
    <row r="83" spans="1:11" x14ac:dyDescent="0.3">
      <c r="A83" s="9" t="s">
        <v>186</v>
      </c>
      <c r="B83" s="20">
        <v>45777</v>
      </c>
      <c r="C83" s="9" t="s">
        <v>206</v>
      </c>
      <c r="D83" s="15">
        <v>69250.41</v>
      </c>
      <c r="E83" s="15">
        <v>21922.99</v>
      </c>
      <c r="F83" s="15">
        <v>25683.45</v>
      </c>
      <c r="G83" s="15">
        <v>31876.67</v>
      </c>
      <c r="H83" s="15">
        <v>11959.5</v>
      </c>
      <c r="I83" s="15">
        <v>160693.03</v>
      </c>
      <c r="J83" s="15">
        <v>91442.62</v>
      </c>
      <c r="K83" s="19">
        <v>0.73147696189677858</v>
      </c>
    </row>
    <row r="84" spans="1:11" x14ac:dyDescent="0.3">
      <c r="A84" s="9" t="s">
        <v>186</v>
      </c>
      <c r="B84" s="20">
        <v>45777</v>
      </c>
      <c r="C84" s="9" t="s">
        <v>223</v>
      </c>
      <c r="D84" s="15">
        <v>91761.63</v>
      </c>
      <c r="E84" s="15">
        <v>66924.66</v>
      </c>
      <c r="F84" s="15">
        <v>12509.33</v>
      </c>
      <c r="G84" s="15">
        <v>7450.77</v>
      </c>
      <c r="H84" s="15">
        <v>6568.14</v>
      </c>
      <c r="I84" s="15">
        <v>185214.53</v>
      </c>
      <c r="J84" s="15">
        <v>93452.9</v>
      </c>
      <c r="K84" s="19">
        <v>0.73147696189677858</v>
      </c>
    </row>
    <row r="85" spans="1:11" x14ac:dyDescent="0.3">
      <c r="A85" s="9" t="s">
        <v>186</v>
      </c>
      <c r="B85" s="20">
        <v>45777</v>
      </c>
      <c r="C85" s="9" t="s">
        <v>245</v>
      </c>
      <c r="D85" s="15">
        <v>1319.85</v>
      </c>
      <c r="E85" s="15">
        <v>1954.34</v>
      </c>
      <c r="F85" s="15">
        <v>96.98</v>
      </c>
      <c r="G85" s="15">
        <v>503.93</v>
      </c>
      <c r="H85" s="15">
        <v>654.9</v>
      </c>
      <c r="I85" s="15">
        <v>4530</v>
      </c>
      <c r="J85" s="15">
        <v>3210.15</v>
      </c>
      <c r="K85" s="19">
        <v>0.73147696189677858</v>
      </c>
    </row>
    <row r="86" spans="1:11" x14ac:dyDescent="0.3">
      <c r="A86" s="9" t="s">
        <v>186</v>
      </c>
      <c r="B86" s="20">
        <v>45777</v>
      </c>
      <c r="C86" s="9" t="s">
        <v>212</v>
      </c>
      <c r="D86" s="15">
        <v>97380.17</v>
      </c>
      <c r="E86" s="15">
        <v>97040.92</v>
      </c>
      <c r="F86" s="15">
        <v>10831.95</v>
      </c>
      <c r="G86" s="15">
        <v>77289.759999999995</v>
      </c>
      <c r="H86" s="15">
        <v>55934.76</v>
      </c>
      <c r="I86" s="15">
        <v>338477.55</v>
      </c>
      <c r="J86" s="15">
        <v>241097.39</v>
      </c>
      <c r="K86" s="19">
        <v>0.73147696189677858</v>
      </c>
    </row>
    <row r="87" spans="1:11" x14ac:dyDescent="0.3">
      <c r="A87" s="9" t="s">
        <v>186</v>
      </c>
      <c r="B87" s="20">
        <v>45777</v>
      </c>
      <c r="C87" s="9" t="s">
        <v>255</v>
      </c>
      <c r="D87" s="15">
        <v>25419.87</v>
      </c>
      <c r="E87" s="15">
        <v>24929</v>
      </c>
      <c r="F87" s="15">
        <v>32948.300000000003</v>
      </c>
      <c r="G87" s="15">
        <v>16176.57</v>
      </c>
      <c r="H87" s="15">
        <v>981.92</v>
      </c>
      <c r="I87" s="15">
        <v>100455.66</v>
      </c>
      <c r="J87" s="15">
        <v>75035.789999999994</v>
      </c>
      <c r="K87" s="19">
        <v>0.73147696189677858</v>
      </c>
    </row>
    <row r="88" spans="1:11" x14ac:dyDescent="0.3">
      <c r="A88" s="9" t="s">
        <v>186</v>
      </c>
      <c r="B88" s="20">
        <v>45777</v>
      </c>
      <c r="C88" s="9" t="s">
        <v>231</v>
      </c>
      <c r="D88" s="15">
        <v>36411.65</v>
      </c>
      <c r="E88" s="15">
        <v>13315.6</v>
      </c>
      <c r="F88" s="15">
        <v>27494.21</v>
      </c>
      <c r="G88" s="15">
        <v>18085.25</v>
      </c>
      <c r="H88" s="15">
        <v>10197.19</v>
      </c>
      <c r="I88" s="15">
        <v>105503.9</v>
      </c>
      <c r="J88" s="15">
        <v>69092.25</v>
      </c>
      <c r="K88" s="19">
        <v>0.73147696189677858</v>
      </c>
    </row>
    <row r="89" spans="1:11" x14ac:dyDescent="0.3">
      <c r="A89" s="9" t="s">
        <v>186</v>
      </c>
      <c r="B89" s="20">
        <v>45777</v>
      </c>
      <c r="C89" s="9" t="s">
        <v>224</v>
      </c>
      <c r="D89" s="15">
        <v>33385.199999999997</v>
      </c>
      <c r="E89" s="15">
        <v>23228.14</v>
      </c>
      <c r="F89" s="15">
        <v>30557.759999999998</v>
      </c>
      <c r="G89" s="15">
        <v>39999.339999999997</v>
      </c>
      <c r="H89" s="15">
        <v>6347.6</v>
      </c>
      <c r="I89" s="15">
        <v>133518.04</v>
      </c>
      <c r="J89" s="15">
        <v>100132.84</v>
      </c>
      <c r="K89" s="19">
        <v>0.73147696189677858</v>
      </c>
    </row>
    <row r="90" spans="1:11" x14ac:dyDescent="0.3">
      <c r="A90" s="9" t="s">
        <v>186</v>
      </c>
      <c r="B90" s="20">
        <v>45777</v>
      </c>
      <c r="C90" s="9" t="s">
        <v>228</v>
      </c>
      <c r="D90" s="15">
        <v>37379.4</v>
      </c>
      <c r="E90" s="15">
        <v>14052.27</v>
      </c>
      <c r="F90" s="15">
        <v>10447.879999999999</v>
      </c>
      <c r="G90" s="15">
        <v>18177.349999999999</v>
      </c>
      <c r="H90" s="15">
        <v>8543.2199999999993</v>
      </c>
      <c r="I90" s="15">
        <v>88600.12</v>
      </c>
      <c r="J90" s="15">
        <v>51220.72</v>
      </c>
      <c r="K90" s="19">
        <v>0.73147696189677858</v>
      </c>
    </row>
    <row r="91" spans="1:11" x14ac:dyDescent="0.3">
      <c r="A91" s="9" t="s">
        <v>186</v>
      </c>
      <c r="B91" s="20">
        <v>45777</v>
      </c>
      <c r="C91" s="9" t="s">
        <v>254</v>
      </c>
      <c r="D91" s="15">
        <v>31288.77</v>
      </c>
      <c r="E91" s="15">
        <v>15543.43</v>
      </c>
      <c r="F91" s="15">
        <v>39806.839999999997</v>
      </c>
      <c r="G91" s="15">
        <v>14101.29</v>
      </c>
      <c r="H91" s="15">
        <v>17435.900000000001</v>
      </c>
      <c r="I91" s="15">
        <v>118176.22</v>
      </c>
      <c r="J91" s="15">
        <v>86887.45</v>
      </c>
      <c r="K91" s="19">
        <v>0.73147696189677858</v>
      </c>
    </row>
    <row r="92" spans="1:11" x14ac:dyDescent="0.3">
      <c r="A92" s="9" t="s">
        <v>186</v>
      </c>
      <c r="B92" s="20">
        <v>45777</v>
      </c>
      <c r="C92" s="9" t="s">
        <v>253</v>
      </c>
      <c r="D92" s="15">
        <v>48327.839999999997</v>
      </c>
      <c r="E92" s="15">
        <v>15284.49</v>
      </c>
      <c r="F92" s="15">
        <v>14164.16</v>
      </c>
      <c r="G92" s="15">
        <v>31456.9</v>
      </c>
      <c r="H92" s="15">
        <v>17298.95</v>
      </c>
      <c r="I92" s="15">
        <v>126532.34</v>
      </c>
      <c r="J92" s="15">
        <v>78204.5</v>
      </c>
      <c r="K92" s="19">
        <v>0.73147696189677858</v>
      </c>
    </row>
    <row r="93" spans="1:11" x14ac:dyDescent="0.3">
      <c r="A93" s="9" t="s">
        <v>186</v>
      </c>
      <c r="B93" s="20">
        <v>45777</v>
      </c>
      <c r="C93" s="9" t="s">
        <v>252</v>
      </c>
      <c r="D93" s="15">
        <v>179159.06</v>
      </c>
      <c r="E93" s="15">
        <v>56617.84</v>
      </c>
      <c r="F93" s="15">
        <v>51253.21</v>
      </c>
      <c r="G93" s="15">
        <v>143800.85999999999</v>
      </c>
      <c r="H93" s="15">
        <v>19555.93</v>
      </c>
      <c r="I93" s="15">
        <v>450386.89</v>
      </c>
      <c r="J93" s="15">
        <v>271227.83</v>
      </c>
      <c r="K93" s="19">
        <v>0.73147696189677858</v>
      </c>
    </row>
    <row r="94" spans="1:11" x14ac:dyDescent="0.3">
      <c r="A94" s="9" t="s">
        <v>186</v>
      </c>
      <c r="B94" s="20">
        <v>45777</v>
      </c>
      <c r="C94" s="9" t="s">
        <v>251</v>
      </c>
      <c r="D94" s="15">
        <v>87867.87</v>
      </c>
      <c r="E94" s="15">
        <v>44913.42</v>
      </c>
      <c r="F94" s="15">
        <v>38876.57</v>
      </c>
      <c r="G94" s="15">
        <v>31318.36</v>
      </c>
      <c r="H94" s="15">
        <v>128666.92</v>
      </c>
      <c r="I94" s="15">
        <v>331643.15000000002</v>
      </c>
      <c r="J94" s="15">
        <v>243775.27</v>
      </c>
      <c r="K94" s="19">
        <v>0.73147696189677858</v>
      </c>
    </row>
    <row r="95" spans="1:11" x14ac:dyDescent="0.3">
      <c r="A95" s="9" t="s">
        <v>186</v>
      </c>
      <c r="B95" s="20">
        <v>45777</v>
      </c>
      <c r="C95" s="9" t="s">
        <v>250</v>
      </c>
      <c r="D95" s="15">
        <v>61618.5</v>
      </c>
      <c r="E95" s="15">
        <v>22401.119999999999</v>
      </c>
      <c r="F95" s="15">
        <v>5678.83</v>
      </c>
      <c r="G95" s="15">
        <v>25697.85</v>
      </c>
      <c r="H95" s="15">
        <v>24784.52</v>
      </c>
      <c r="I95" s="15">
        <v>140180.82</v>
      </c>
      <c r="J95" s="15">
        <v>78562.320000000007</v>
      </c>
      <c r="K95" s="19">
        <v>0.73147696189677858</v>
      </c>
    </row>
    <row r="96" spans="1:11" x14ac:dyDescent="0.3">
      <c r="A96" s="9" t="s">
        <v>186</v>
      </c>
      <c r="B96" s="20">
        <v>45777</v>
      </c>
      <c r="C96" s="9" t="s">
        <v>209</v>
      </c>
      <c r="D96" s="15">
        <v>231913.35</v>
      </c>
      <c r="E96" s="15">
        <v>130170.46</v>
      </c>
      <c r="F96" s="15">
        <v>28109.19</v>
      </c>
      <c r="G96" s="15">
        <v>11981.19</v>
      </c>
      <c r="H96" s="15">
        <v>63196.62</v>
      </c>
      <c r="I96" s="15">
        <v>465370.81</v>
      </c>
      <c r="J96" s="15">
        <v>233457.46</v>
      </c>
      <c r="K96" s="19">
        <v>0.73147696189677858</v>
      </c>
    </row>
    <row r="97" spans="1:11" x14ac:dyDescent="0.3">
      <c r="A97" s="9" t="s">
        <v>186</v>
      </c>
      <c r="B97" s="20">
        <v>45777</v>
      </c>
      <c r="C97" s="9" t="s">
        <v>229</v>
      </c>
      <c r="D97" s="15">
        <v>6072.87</v>
      </c>
      <c r="E97" s="15">
        <v>2182.06</v>
      </c>
      <c r="F97" s="15">
        <v>5231.22</v>
      </c>
      <c r="G97" s="15">
        <v>1107.28</v>
      </c>
      <c r="H97" s="15">
        <v>2087.15</v>
      </c>
      <c r="I97" s="15">
        <v>16680.580000000002</v>
      </c>
      <c r="J97" s="15">
        <v>10607.71</v>
      </c>
      <c r="K97" s="19">
        <v>0.73147696189677858</v>
      </c>
    </row>
    <row r="98" spans="1:11" x14ac:dyDescent="0.3">
      <c r="A98" s="9" t="s">
        <v>186</v>
      </c>
      <c r="B98" s="20">
        <v>45777</v>
      </c>
      <c r="C98" s="9" t="s">
        <v>249</v>
      </c>
      <c r="D98" s="15">
        <v>104679.8</v>
      </c>
      <c r="E98" s="15">
        <v>58016.09</v>
      </c>
      <c r="F98" s="15">
        <v>36327.46</v>
      </c>
      <c r="G98" s="15">
        <v>37139.51</v>
      </c>
      <c r="H98" s="15">
        <v>26699.56</v>
      </c>
      <c r="I98" s="15">
        <v>262862.40999999997</v>
      </c>
      <c r="J98" s="15">
        <v>158182.60999999999</v>
      </c>
      <c r="K98" s="19">
        <v>0.73147696189677858</v>
      </c>
    </row>
    <row r="99" spans="1:11" x14ac:dyDescent="0.3">
      <c r="A99" s="9" t="s">
        <v>186</v>
      </c>
      <c r="B99" s="20">
        <v>45777</v>
      </c>
      <c r="C99" s="9" t="s">
        <v>243</v>
      </c>
      <c r="D99" s="15">
        <v>135169.26</v>
      </c>
      <c r="E99" s="15">
        <v>73623.5</v>
      </c>
      <c r="F99" s="15">
        <v>90577.4</v>
      </c>
      <c r="G99" s="15">
        <v>36681.379999999997</v>
      </c>
      <c r="H99" s="15">
        <v>39341.81</v>
      </c>
      <c r="I99" s="15">
        <v>375393.34</v>
      </c>
      <c r="J99" s="15">
        <v>240224.08</v>
      </c>
      <c r="K99" s="19">
        <v>0.73147696189677858</v>
      </c>
    </row>
    <row r="100" spans="1:11" x14ac:dyDescent="0.3">
      <c r="A100" s="9" t="s">
        <v>186</v>
      </c>
      <c r="B100" s="20">
        <v>45777</v>
      </c>
      <c r="C100" s="9" t="s">
        <v>237</v>
      </c>
      <c r="D100" s="15">
        <v>59485.83</v>
      </c>
      <c r="E100" s="15">
        <v>36384.720000000001</v>
      </c>
      <c r="F100" s="15">
        <v>8938.33</v>
      </c>
      <c r="G100" s="15">
        <v>5674.43</v>
      </c>
      <c r="H100" s="15">
        <v>9341.5400000000009</v>
      </c>
      <c r="I100" s="15">
        <v>119824.85</v>
      </c>
      <c r="J100" s="15">
        <v>60339.02</v>
      </c>
      <c r="K100" s="19">
        <v>0.73147696189677858</v>
      </c>
    </row>
    <row r="101" spans="1:11" x14ac:dyDescent="0.3">
      <c r="A101" s="9" t="s">
        <v>186</v>
      </c>
      <c r="B101" s="20">
        <v>45777</v>
      </c>
      <c r="C101" s="9" t="s">
        <v>248</v>
      </c>
      <c r="D101" s="15">
        <v>40088.81</v>
      </c>
      <c r="E101" s="15">
        <v>21328.11</v>
      </c>
      <c r="F101" s="15">
        <v>10834.78</v>
      </c>
      <c r="G101" s="15">
        <v>5412.95</v>
      </c>
      <c r="H101" s="15">
        <v>7199.09</v>
      </c>
      <c r="I101" s="15">
        <v>84863.74</v>
      </c>
      <c r="J101" s="15">
        <v>44774.93</v>
      </c>
      <c r="K101" s="19">
        <v>0.73147696189677858</v>
      </c>
    </row>
    <row r="102" spans="1:11" x14ac:dyDescent="0.3">
      <c r="A102" s="9" t="s">
        <v>186</v>
      </c>
      <c r="B102" s="20">
        <v>45808</v>
      </c>
      <c r="C102" s="9" t="s">
        <v>256</v>
      </c>
      <c r="D102" s="15">
        <v>168593.22</v>
      </c>
      <c r="E102" s="15">
        <v>42493.11</v>
      </c>
      <c r="F102" s="15">
        <v>98950.93</v>
      </c>
      <c r="G102" s="15">
        <v>22442.47</v>
      </c>
      <c r="H102" s="15">
        <v>21056.51</v>
      </c>
      <c r="I102" s="15">
        <v>353536.24</v>
      </c>
      <c r="J102" s="15">
        <v>184943.02</v>
      </c>
      <c r="K102" s="19">
        <v>0.68962454403076801</v>
      </c>
    </row>
    <row r="103" spans="1:11" x14ac:dyDescent="0.3">
      <c r="A103" s="9" t="s">
        <v>186</v>
      </c>
      <c r="B103" s="20">
        <v>45808</v>
      </c>
      <c r="C103" s="9" t="s">
        <v>206</v>
      </c>
      <c r="D103" s="15">
        <v>49619.92</v>
      </c>
      <c r="E103" s="15">
        <v>34652.519999999997</v>
      </c>
      <c r="F103" s="15">
        <v>9916.7099999999991</v>
      </c>
      <c r="G103" s="15">
        <v>2936.56</v>
      </c>
      <c r="H103" s="15">
        <v>5058.49</v>
      </c>
      <c r="I103" s="15">
        <v>102184.2</v>
      </c>
      <c r="J103" s="15">
        <v>52564.28</v>
      </c>
      <c r="K103" s="19">
        <v>0.68962454403076801</v>
      </c>
    </row>
    <row r="104" spans="1:11" x14ac:dyDescent="0.3">
      <c r="A104" s="9" t="s">
        <v>186</v>
      </c>
      <c r="B104" s="20">
        <v>45808</v>
      </c>
      <c r="C104" s="9" t="s">
        <v>223</v>
      </c>
      <c r="D104" s="15">
        <v>91775.43</v>
      </c>
      <c r="E104" s="15">
        <v>6511.3</v>
      </c>
      <c r="F104" s="15">
        <v>37103.81</v>
      </c>
      <c r="G104" s="15">
        <v>19989.71</v>
      </c>
      <c r="H104" s="15">
        <v>35268.85</v>
      </c>
      <c r="I104" s="15">
        <v>190649.1</v>
      </c>
      <c r="J104" s="15">
        <v>98873.67</v>
      </c>
      <c r="K104" s="19">
        <v>0.68962454403076801</v>
      </c>
    </row>
    <row r="105" spans="1:11" x14ac:dyDescent="0.3">
      <c r="A105" s="9" t="s">
        <v>186</v>
      </c>
      <c r="B105" s="20">
        <v>45808</v>
      </c>
      <c r="C105" s="9" t="s">
        <v>245</v>
      </c>
      <c r="D105" s="15">
        <v>86764.03</v>
      </c>
      <c r="E105" s="15">
        <v>58240.2</v>
      </c>
      <c r="F105" s="15">
        <v>73605.55</v>
      </c>
      <c r="G105" s="15">
        <v>38868.74</v>
      </c>
      <c r="H105" s="15">
        <v>16057.36</v>
      </c>
      <c r="I105" s="15">
        <v>273535.88</v>
      </c>
      <c r="J105" s="15">
        <v>186771.85</v>
      </c>
      <c r="K105" s="19">
        <v>0.68962454403076801</v>
      </c>
    </row>
    <row r="106" spans="1:11" x14ac:dyDescent="0.3">
      <c r="A106" s="9" t="s">
        <v>186</v>
      </c>
      <c r="B106" s="20">
        <v>45808</v>
      </c>
      <c r="C106" s="9" t="s">
        <v>212</v>
      </c>
      <c r="D106" s="15">
        <v>142551.51</v>
      </c>
      <c r="E106" s="15">
        <v>25690.03</v>
      </c>
      <c r="F106" s="15">
        <v>76880.11</v>
      </c>
      <c r="G106" s="15">
        <v>62891.77</v>
      </c>
      <c r="H106" s="15">
        <v>26055.63</v>
      </c>
      <c r="I106" s="15">
        <v>334069.06</v>
      </c>
      <c r="J106" s="15">
        <v>191517.55</v>
      </c>
      <c r="K106" s="19">
        <v>0.68962454403076801</v>
      </c>
    </row>
    <row r="107" spans="1:11" x14ac:dyDescent="0.3">
      <c r="A107" s="9" t="s">
        <v>186</v>
      </c>
      <c r="B107" s="20">
        <v>45808</v>
      </c>
      <c r="C107" s="9" t="s">
        <v>255</v>
      </c>
      <c r="D107" s="15">
        <v>11943.6</v>
      </c>
      <c r="E107" s="15">
        <v>2854.07</v>
      </c>
      <c r="F107" s="15">
        <v>7242.98</v>
      </c>
      <c r="G107" s="15">
        <v>1416.46</v>
      </c>
      <c r="H107" s="15">
        <v>2748.83</v>
      </c>
      <c r="I107" s="15">
        <v>26205.94</v>
      </c>
      <c r="J107" s="15">
        <v>14262.34</v>
      </c>
      <c r="K107" s="19">
        <v>0.68962454403076801</v>
      </c>
    </row>
    <row r="108" spans="1:11" x14ac:dyDescent="0.3">
      <c r="A108" s="9" t="s">
        <v>186</v>
      </c>
      <c r="B108" s="20">
        <v>45808</v>
      </c>
      <c r="C108" s="9" t="s">
        <v>231</v>
      </c>
      <c r="D108" s="15">
        <v>33625.39</v>
      </c>
      <c r="E108" s="15">
        <v>11307.61</v>
      </c>
      <c r="F108" s="15">
        <v>27970.09</v>
      </c>
      <c r="G108" s="15">
        <v>16146.49</v>
      </c>
      <c r="H108" s="15">
        <v>8100.18</v>
      </c>
      <c r="I108" s="15">
        <v>97149.77</v>
      </c>
      <c r="J108" s="15">
        <v>63524.39</v>
      </c>
      <c r="K108" s="19">
        <v>0.68962454403076801</v>
      </c>
    </row>
    <row r="109" spans="1:11" x14ac:dyDescent="0.3">
      <c r="A109" s="9" t="s">
        <v>186</v>
      </c>
      <c r="B109" s="20">
        <v>45808</v>
      </c>
      <c r="C109" s="9" t="s">
        <v>224</v>
      </c>
      <c r="D109" s="15">
        <v>151829.64000000001</v>
      </c>
      <c r="E109" s="15">
        <v>44559.15</v>
      </c>
      <c r="F109" s="15">
        <v>40646.18</v>
      </c>
      <c r="G109" s="15">
        <v>41771.21</v>
      </c>
      <c r="H109" s="15">
        <v>112515.61</v>
      </c>
      <c r="I109" s="15">
        <v>391321.79</v>
      </c>
      <c r="J109" s="15">
        <v>239492.15</v>
      </c>
      <c r="K109" s="19">
        <v>0.68962454403076801</v>
      </c>
    </row>
    <row r="110" spans="1:11" x14ac:dyDescent="0.3">
      <c r="A110" s="9" t="s">
        <v>186</v>
      </c>
      <c r="B110" s="20">
        <v>45808</v>
      </c>
      <c r="C110" s="9" t="s">
        <v>228</v>
      </c>
      <c r="D110" s="15">
        <v>127208.57</v>
      </c>
      <c r="E110" s="15">
        <v>24421.94</v>
      </c>
      <c r="F110" s="15">
        <v>34339.07</v>
      </c>
      <c r="G110" s="15">
        <v>27537.25</v>
      </c>
      <c r="H110" s="15">
        <v>55140.97</v>
      </c>
      <c r="I110" s="15">
        <v>268647.78999999998</v>
      </c>
      <c r="J110" s="15">
        <v>141439.23000000001</v>
      </c>
      <c r="K110" s="19">
        <v>0.68962454403076801</v>
      </c>
    </row>
    <row r="111" spans="1:11" x14ac:dyDescent="0.3">
      <c r="A111" s="9" t="s">
        <v>186</v>
      </c>
      <c r="B111" s="20">
        <v>45808</v>
      </c>
      <c r="C111" s="9" t="s">
        <v>254</v>
      </c>
      <c r="D111" s="15">
        <v>113941.87</v>
      </c>
      <c r="E111" s="15">
        <v>49854.39</v>
      </c>
      <c r="F111" s="15">
        <v>27436.16</v>
      </c>
      <c r="G111" s="15">
        <v>64006.33</v>
      </c>
      <c r="H111" s="15">
        <v>2520.7800000000002</v>
      </c>
      <c r="I111" s="15">
        <v>257759.53</v>
      </c>
      <c r="J111" s="15">
        <v>143817.66</v>
      </c>
      <c r="K111" s="19">
        <v>0.68962454403076801</v>
      </c>
    </row>
    <row r="112" spans="1:11" x14ac:dyDescent="0.3">
      <c r="A112" s="9" t="s">
        <v>186</v>
      </c>
      <c r="B112" s="20">
        <v>45808</v>
      </c>
      <c r="C112" s="9" t="s">
        <v>253</v>
      </c>
      <c r="D112" s="15">
        <v>51361.33</v>
      </c>
      <c r="E112" s="15">
        <v>22644.68</v>
      </c>
      <c r="F112" s="15">
        <v>7888.2</v>
      </c>
      <c r="G112" s="15">
        <v>22192.66</v>
      </c>
      <c r="H112" s="15">
        <v>10813</v>
      </c>
      <c r="I112" s="15">
        <v>114899.88</v>
      </c>
      <c r="J112" s="15">
        <v>63538.55</v>
      </c>
      <c r="K112" s="19">
        <v>0.68962454403076801</v>
      </c>
    </row>
    <row r="113" spans="1:11" x14ac:dyDescent="0.3">
      <c r="A113" s="9" t="s">
        <v>186</v>
      </c>
      <c r="B113" s="20">
        <v>45808</v>
      </c>
      <c r="C113" s="9" t="s">
        <v>252</v>
      </c>
      <c r="D113" s="15">
        <v>39887.69</v>
      </c>
      <c r="E113" s="15">
        <v>55660.13</v>
      </c>
      <c r="F113" s="15">
        <v>20885.64</v>
      </c>
      <c r="G113" s="15">
        <v>15193.26</v>
      </c>
      <c r="H113" s="15">
        <v>20351.25</v>
      </c>
      <c r="I113" s="15">
        <v>151977.96</v>
      </c>
      <c r="J113" s="15">
        <v>112090.27</v>
      </c>
      <c r="K113" s="19">
        <v>0.68962454403076801</v>
      </c>
    </row>
    <row r="114" spans="1:11" x14ac:dyDescent="0.3">
      <c r="A114" s="9" t="s">
        <v>186</v>
      </c>
      <c r="B114" s="20">
        <v>45808</v>
      </c>
      <c r="C114" s="9" t="s">
        <v>251</v>
      </c>
      <c r="D114" s="15">
        <v>22721.9</v>
      </c>
      <c r="E114" s="15">
        <v>5794.85</v>
      </c>
      <c r="F114" s="15">
        <v>36022</v>
      </c>
      <c r="G114" s="15">
        <v>23197.19</v>
      </c>
      <c r="H114" s="15">
        <v>2418.06</v>
      </c>
      <c r="I114" s="15">
        <v>90153.99</v>
      </c>
      <c r="J114" s="15">
        <v>67432.09</v>
      </c>
      <c r="K114" s="19">
        <v>0.68962454403076801</v>
      </c>
    </row>
    <row r="115" spans="1:11" x14ac:dyDescent="0.3">
      <c r="A115" s="9" t="s">
        <v>186</v>
      </c>
      <c r="B115" s="20">
        <v>45808</v>
      </c>
      <c r="C115" s="9" t="s">
        <v>250</v>
      </c>
      <c r="D115" s="15">
        <v>26768.55</v>
      </c>
      <c r="E115" s="15">
        <v>12827.07</v>
      </c>
      <c r="F115" s="15">
        <v>8818.36</v>
      </c>
      <c r="G115" s="15">
        <v>4641.28</v>
      </c>
      <c r="H115" s="15">
        <v>7917.39</v>
      </c>
      <c r="I115" s="15">
        <v>60972.65</v>
      </c>
      <c r="J115" s="15">
        <v>34204.1</v>
      </c>
      <c r="K115" s="19">
        <v>0.68962454403076801</v>
      </c>
    </row>
    <row r="116" spans="1:11" x14ac:dyDescent="0.3">
      <c r="A116" s="9" t="s">
        <v>186</v>
      </c>
      <c r="B116" s="20">
        <v>45808</v>
      </c>
      <c r="C116" s="9" t="s">
        <v>209</v>
      </c>
      <c r="D116" s="15">
        <v>49650.45</v>
      </c>
      <c r="E116" s="15">
        <v>19124.32</v>
      </c>
      <c r="F116" s="15">
        <v>35697.480000000003</v>
      </c>
      <c r="G116" s="15">
        <v>6043.19</v>
      </c>
      <c r="H116" s="15">
        <v>9972.58</v>
      </c>
      <c r="I116" s="15">
        <v>120488.01</v>
      </c>
      <c r="J116" s="15">
        <v>70837.56</v>
      </c>
      <c r="K116" s="19">
        <v>0.68962454403076801</v>
      </c>
    </row>
    <row r="117" spans="1:11" x14ac:dyDescent="0.3">
      <c r="A117" s="9" t="s">
        <v>186</v>
      </c>
      <c r="B117" s="20">
        <v>45808</v>
      </c>
      <c r="C117" s="9" t="s">
        <v>229</v>
      </c>
      <c r="D117" s="15">
        <v>58188.33</v>
      </c>
      <c r="E117" s="15">
        <v>23634.01</v>
      </c>
      <c r="F117" s="15">
        <v>90881.54</v>
      </c>
      <c r="G117" s="15">
        <v>6119.59</v>
      </c>
      <c r="H117" s="15">
        <v>18005.87</v>
      </c>
      <c r="I117" s="15">
        <v>196829.33</v>
      </c>
      <c r="J117" s="15">
        <v>138641.01</v>
      </c>
      <c r="K117" s="19">
        <v>0.68962454403076801</v>
      </c>
    </row>
    <row r="118" spans="1:11" x14ac:dyDescent="0.3">
      <c r="A118" s="9" t="s">
        <v>186</v>
      </c>
      <c r="B118" s="20">
        <v>45808</v>
      </c>
      <c r="C118" s="9" t="s">
        <v>249</v>
      </c>
      <c r="D118" s="15">
        <v>39459.019999999997</v>
      </c>
      <c r="E118" s="15">
        <v>43333.2</v>
      </c>
      <c r="F118" s="15">
        <v>17953.060000000001</v>
      </c>
      <c r="G118" s="15">
        <v>5008.66</v>
      </c>
      <c r="H118" s="15">
        <v>63899.99</v>
      </c>
      <c r="I118" s="15">
        <v>169653.92</v>
      </c>
      <c r="J118" s="15">
        <v>130194.9</v>
      </c>
      <c r="K118" s="19">
        <v>0.68962454403076801</v>
      </c>
    </row>
    <row r="119" spans="1:11" x14ac:dyDescent="0.3">
      <c r="A119" s="9" t="s">
        <v>186</v>
      </c>
      <c r="B119" s="20">
        <v>45808</v>
      </c>
      <c r="C119" s="9" t="s">
        <v>243</v>
      </c>
      <c r="D119" s="15">
        <v>60617.13</v>
      </c>
      <c r="E119" s="15">
        <v>19691.88</v>
      </c>
      <c r="F119" s="15">
        <v>58405.81</v>
      </c>
      <c r="G119" s="15">
        <v>44377.7</v>
      </c>
      <c r="H119" s="15">
        <v>7952.83</v>
      </c>
      <c r="I119" s="15">
        <v>191045.35</v>
      </c>
      <c r="J119" s="15">
        <v>130428.22</v>
      </c>
      <c r="K119" s="19">
        <v>0.68962454403076801</v>
      </c>
    </row>
    <row r="120" spans="1:11" x14ac:dyDescent="0.3">
      <c r="A120" s="9" t="s">
        <v>186</v>
      </c>
      <c r="B120" s="20">
        <v>45808</v>
      </c>
      <c r="C120" s="9" t="s">
        <v>237</v>
      </c>
      <c r="D120" s="15">
        <v>62962.31</v>
      </c>
      <c r="E120" s="15">
        <v>21413.85</v>
      </c>
      <c r="F120" s="15">
        <v>4781.99</v>
      </c>
      <c r="G120" s="15">
        <v>44610.8</v>
      </c>
      <c r="H120" s="15">
        <v>14735.72</v>
      </c>
      <c r="I120" s="15">
        <v>148504.66</v>
      </c>
      <c r="J120" s="15">
        <v>85542.35</v>
      </c>
      <c r="K120" s="19">
        <v>0.68962454403076801</v>
      </c>
    </row>
    <row r="121" spans="1:11" x14ac:dyDescent="0.3">
      <c r="A121" s="9" t="s">
        <v>186</v>
      </c>
      <c r="B121" s="20">
        <v>45808</v>
      </c>
      <c r="C121" s="9" t="s">
        <v>248</v>
      </c>
      <c r="D121" s="15">
        <v>60037.01</v>
      </c>
      <c r="E121" s="15">
        <v>35919.800000000003</v>
      </c>
      <c r="F121" s="15">
        <v>34676.050000000003</v>
      </c>
      <c r="G121" s="15">
        <v>36557.629999999997</v>
      </c>
      <c r="H121" s="15">
        <v>1279.31</v>
      </c>
      <c r="I121" s="15">
        <v>168469.8</v>
      </c>
      <c r="J121" s="15">
        <v>108432.79</v>
      </c>
      <c r="K121" s="19">
        <v>0.68962454403076801</v>
      </c>
    </row>
    <row r="122" spans="1:11" x14ac:dyDescent="0.3">
      <c r="A122" s="9" t="s">
        <v>186</v>
      </c>
      <c r="B122" s="20">
        <v>45838</v>
      </c>
      <c r="C122" s="9" t="s">
        <v>256</v>
      </c>
      <c r="D122" s="15">
        <v>7911.38</v>
      </c>
      <c r="E122" s="15">
        <v>3229.78</v>
      </c>
      <c r="F122" s="15">
        <v>4532.7299999999996</v>
      </c>
      <c r="G122" s="15">
        <v>607.80999999999995</v>
      </c>
      <c r="H122" s="15">
        <v>1982.7</v>
      </c>
      <c r="I122" s="15">
        <v>18264.39</v>
      </c>
      <c r="J122" s="15">
        <v>10353.02</v>
      </c>
      <c r="K122" s="19">
        <v>0.68205257818236809</v>
      </c>
    </row>
    <row r="123" spans="1:11" x14ac:dyDescent="0.3">
      <c r="A123" s="9" t="s">
        <v>186</v>
      </c>
      <c r="B123" s="20">
        <v>45838</v>
      </c>
      <c r="C123" s="9" t="s">
        <v>206</v>
      </c>
      <c r="D123" s="15">
        <v>41956.07</v>
      </c>
      <c r="E123" s="15">
        <v>18357.36</v>
      </c>
      <c r="F123" s="15">
        <v>10716.41</v>
      </c>
      <c r="G123" s="15">
        <v>6536.34</v>
      </c>
      <c r="H123" s="15">
        <v>17333.45</v>
      </c>
      <c r="I123" s="15">
        <v>94899.63</v>
      </c>
      <c r="J123" s="15">
        <v>52943.56</v>
      </c>
      <c r="K123" s="19">
        <v>0.68205257818236809</v>
      </c>
    </row>
    <row r="124" spans="1:11" x14ac:dyDescent="0.3">
      <c r="A124" s="9" t="s">
        <v>186</v>
      </c>
      <c r="B124" s="20">
        <v>45838</v>
      </c>
      <c r="C124" s="9" t="s">
        <v>223</v>
      </c>
      <c r="D124" s="15">
        <v>44208.99</v>
      </c>
      <c r="E124" s="15">
        <v>32468.33</v>
      </c>
      <c r="F124" s="15">
        <v>30553.39</v>
      </c>
      <c r="G124" s="15">
        <v>34450.620000000003</v>
      </c>
      <c r="H124" s="15">
        <v>12838.24</v>
      </c>
      <c r="I124" s="15">
        <v>154519.57</v>
      </c>
      <c r="J124" s="15">
        <v>110310.58</v>
      </c>
      <c r="K124" s="19">
        <v>0.68205257818236809</v>
      </c>
    </row>
    <row r="125" spans="1:11" x14ac:dyDescent="0.3">
      <c r="A125" s="9" t="s">
        <v>186</v>
      </c>
      <c r="B125" s="20">
        <v>45838</v>
      </c>
      <c r="C125" s="9" t="s">
        <v>245</v>
      </c>
      <c r="D125" s="15">
        <v>71304.13</v>
      </c>
      <c r="E125" s="15">
        <v>67211.44</v>
      </c>
      <c r="F125" s="15">
        <v>21059.18</v>
      </c>
      <c r="G125" s="15">
        <v>10992.34</v>
      </c>
      <c r="H125" s="15">
        <v>13341.69</v>
      </c>
      <c r="I125" s="15">
        <v>183908.79</v>
      </c>
      <c r="J125" s="15">
        <v>112604.66</v>
      </c>
      <c r="K125" s="19">
        <v>0.68205257818236809</v>
      </c>
    </row>
    <row r="126" spans="1:11" x14ac:dyDescent="0.3">
      <c r="A126" s="9" t="s">
        <v>186</v>
      </c>
      <c r="B126" s="20">
        <v>45838</v>
      </c>
      <c r="C126" s="9" t="s">
        <v>212</v>
      </c>
      <c r="D126" s="15">
        <v>20736.59</v>
      </c>
      <c r="E126" s="15">
        <v>9056.44</v>
      </c>
      <c r="F126" s="15">
        <v>5743.85</v>
      </c>
      <c r="G126" s="15">
        <v>2048.69</v>
      </c>
      <c r="H126" s="15">
        <v>22145.66</v>
      </c>
      <c r="I126" s="15">
        <v>59731.23</v>
      </c>
      <c r="J126" s="15">
        <v>38994.629999999997</v>
      </c>
      <c r="K126" s="19">
        <v>0.68205257818236809</v>
      </c>
    </row>
    <row r="127" spans="1:11" x14ac:dyDescent="0.3">
      <c r="A127" s="9" t="s">
        <v>186</v>
      </c>
      <c r="B127" s="20">
        <v>45838</v>
      </c>
      <c r="C127" s="9" t="s">
        <v>255</v>
      </c>
      <c r="D127" s="15">
        <v>65531.45</v>
      </c>
      <c r="E127" s="15">
        <v>43126.400000000001</v>
      </c>
      <c r="F127" s="15">
        <v>23360.46</v>
      </c>
      <c r="G127" s="15">
        <v>6888.31</v>
      </c>
      <c r="H127" s="15">
        <v>29262.36</v>
      </c>
      <c r="I127" s="15">
        <v>168168.99</v>
      </c>
      <c r="J127" s="15">
        <v>102637.54</v>
      </c>
      <c r="K127" s="19">
        <v>0.68205257818236809</v>
      </c>
    </row>
    <row r="128" spans="1:11" x14ac:dyDescent="0.3">
      <c r="A128" s="9" t="s">
        <v>186</v>
      </c>
      <c r="B128" s="20">
        <v>45838</v>
      </c>
      <c r="C128" s="9" t="s">
        <v>231</v>
      </c>
      <c r="D128" s="15">
        <v>57324.86</v>
      </c>
      <c r="E128" s="15">
        <v>13347.69</v>
      </c>
      <c r="F128" s="15">
        <v>46323.95</v>
      </c>
      <c r="G128" s="15">
        <v>20768.97</v>
      </c>
      <c r="H128" s="15">
        <v>19187.82</v>
      </c>
      <c r="I128" s="15">
        <v>156953.29</v>
      </c>
      <c r="J128" s="15">
        <v>99628.42</v>
      </c>
      <c r="K128" s="19">
        <v>0.68205257818236809</v>
      </c>
    </row>
    <row r="129" spans="1:11" x14ac:dyDescent="0.3">
      <c r="A129" s="9" t="s">
        <v>186</v>
      </c>
      <c r="B129" s="20">
        <v>45838</v>
      </c>
      <c r="C129" s="9" t="s">
        <v>224</v>
      </c>
      <c r="D129" s="15">
        <v>64182.69</v>
      </c>
      <c r="E129" s="15">
        <v>36896.32</v>
      </c>
      <c r="F129" s="15">
        <v>91504.19</v>
      </c>
      <c r="G129" s="15">
        <v>20204.28</v>
      </c>
      <c r="H129" s="15">
        <v>34243.07</v>
      </c>
      <c r="I129" s="15">
        <v>247030.55</v>
      </c>
      <c r="J129" s="15">
        <v>182847.86</v>
      </c>
      <c r="K129" s="19">
        <v>0.68205257818236809</v>
      </c>
    </row>
    <row r="130" spans="1:11" x14ac:dyDescent="0.3">
      <c r="A130" s="9" t="s">
        <v>186</v>
      </c>
      <c r="B130" s="20">
        <v>45838</v>
      </c>
      <c r="C130" s="9" t="s">
        <v>228</v>
      </c>
      <c r="D130" s="15">
        <v>177504.74</v>
      </c>
      <c r="E130" s="15">
        <v>47252.47</v>
      </c>
      <c r="F130" s="15">
        <v>29551.67</v>
      </c>
      <c r="G130" s="15">
        <v>57375.48</v>
      </c>
      <c r="H130" s="15">
        <v>73923.16</v>
      </c>
      <c r="I130" s="15">
        <v>385607.52</v>
      </c>
      <c r="J130" s="15">
        <v>208102.77</v>
      </c>
      <c r="K130" s="19">
        <v>0.68205257818236809</v>
      </c>
    </row>
    <row r="131" spans="1:11" x14ac:dyDescent="0.3">
      <c r="A131" s="9" t="s">
        <v>186</v>
      </c>
      <c r="B131" s="20">
        <v>45838</v>
      </c>
      <c r="C131" s="9" t="s">
        <v>254</v>
      </c>
      <c r="D131" s="15">
        <v>143874.72</v>
      </c>
      <c r="E131" s="15">
        <v>24933.39</v>
      </c>
      <c r="F131" s="15">
        <v>105151.5</v>
      </c>
      <c r="G131" s="15">
        <v>45267.38</v>
      </c>
      <c r="H131" s="15">
        <v>40878.33</v>
      </c>
      <c r="I131" s="15">
        <v>360105.32</v>
      </c>
      <c r="J131" s="15">
        <v>216230.6</v>
      </c>
      <c r="K131" s="19">
        <v>0.68205257818236809</v>
      </c>
    </row>
    <row r="132" spans="1:11" x14ac:dyDescent="0.3">
      <c r="A132" s="9" t="s">
        <v>186</v>
      </c>
      <c r="B132" s="20">
        <v>45838</v>
      </c>
      <c r="C132" s="9" t="s">
        <v>253</v>
      </c>
      <c r="D132" s="15">
        <v>100360.72</v>
      </c>
      <c r="E132" s="15">
        <v>13392.05</v>
      </c>
      <c r="F132" s="15">
        <v>52163.65</v>
      </c>
      <c r="G132" s="15">
        <v>26907.279999999999</v>
      </c>
      <c r="H132" s="15">
        <v>17549.53</v>
      </c>
      <c r="I132" s="15">
        <v>210373.23</v>
      </c>
      <c r="J132" s="15">
        <v>110012.51</v>
      </c>
      <c r="K132" s="19">
        <v>0.68205257818236809</v>
      </c>
    </row>
    <row r="133" spans="1:11" x14ac:dyDescent="0.3">
      <c r="A133" s="9" t="s">
        <v>186</v>
      </c>
      <c r="B133" s="20">
        <v>45838</v>
      </c>
      <c r="C133" s="9" t="s">
        <v>252</v>
      </c>
      <c r="D133" s="15">
        <v>63476.09</v>
      </c>
      <c r="E133" s="15">
        <v>21016.71</v>
      </c>
      <c r="F133" s="15">
        <v>15497.82</v>
      </c>
      <c r="G133" s="15">
        <v>99829.35</v>
      </c>
      <c r="H133" s="15">
        <v>55876.57</v>
      </c>
      <c r="I133" s="15">
        <v>255696.53</v>
      </c>
      <c r="J133" s="15">
        <v>192220.44</v>
      </c>
      <c r="K133" s="19">
        <v>0.68205257818236809</v>
      </c>
    </row>
    <row r="134" spans="1:11" x14ac:dyDescent="0.3">
      <c r="A134" s="9" t="s">
        <v>186</v>
      </c>
      <c r="B134" s="20">
        <v>45838</v>
      </c>
      <c r="C134" s="9" t="s">
        <v>251</v>
      </c>
      <c r="D134" s="15">
        <v>51481.77</v>
      </c>
      <c r="E134" s="15">
        <v>35721.1</v>
      </c>
      <c r="F134" s="15">
        <v>26616.85</v>
      </c>
      <c r="G134" s="15">
        <v>34223.410000000003</v>
      </c>
      <c r="H134" s="15">
        <v>43529.3</v>
      </c>
      <c r="I134" s="15">
        <v>191572.43</v>
      </c>
      <c r="J134" s="15">
        <v>140090.66</v>
      </c>
      <c r="K134" s="19">
        <v>0.68205257818236809</v>
      </c>
    </row>
    <row r="135" spans="1:11" x14ac:dyDescent="0.3">
      <c r="A135" s="9" t="s">
        <v>186</v>
      </c>
      <c r="B135" s="20">
        <v>45838</v>
      </c>
      <c r="C135" s="9" t="s">
        <v>250</v>
      </c>
      <c r="D135" s="15">
        <v>8920.1299999999992</v>
      </c>
      <c r="E135" s="15">
        <v>4215.8</v>
      </c>
      <c r="F135" s="15">
        <v>10717.47</v>
      </c>
      <c r="G135" s="15">
        <v>7321.33</v>
      </c>
      <c r="H135" s="15">
        <v>719.55</v>
      </c>
      <c r="I135" s="15">
        <v>31894.29</v>
      </c>
      <c r="J135" s="15">
        <v>22974.16</v>
      </c>
      <c r="K135" s="19">
        <v>0.68205257818236809</v>
      </c>
    </row>
    <row r="136" spans="1:11" x14ac:dyDescent="0.3">
      <c r="A136" s="9" t="s">
        <v>186</v>
      </c>
      <c r="B136" s="20">
        <v>45838</v>
      </c>
      <c r="C136" s="9" t="s">
        <v>209</v>
      </c>
      <c r="D136" s="15">
        <v>14962.56</v>
      </c>
      <c r="E136" s="15">
        <v>7595.81</v>
      </c>
      <c r="F136" s="15">
        <v>1068.3</v>
      </c>
      <c r="G136" s="15">
        <v>837.08</v>
      </c>
      <c r="H136" s="15">
        <v>6957.14</v>
      </c>
      <c r="I136" s="15">
        <v>31420.9</v>
      </c>
      <c r="J136" s="15">
        <v>16458.34</v>
      </c>
      <c r="K136" s="19">
        <v>0.68205257818236809</v>
      </c>
    </row>
    <row r="137" spans="1:11" x14ac:dyDescent="0.3">
      <c r="A137" s="9" t="s">
        <v>186</v>
      </c>
      <c r="B137" s="20">
        <v>45838</v>
      </c>
      <c r="C137" s="9" t="s">
        <v>229</v>
      </c>
      <c r="D137" s="15">
        <v>89490.75</v>
      </c>
      <c r="E137" s="15">
        <v>28881.46</v>
      </c>
      <c r="F137" s="15">
        <v>47745.11</v>
      </c>
      <c r="G137" s="15">
        <v>44575.65</v>
      </c>
      <c r="H137" s="15">
        <v>15474.3</v>
      </c>
      <c r="I137" s="15">
        <v>226167.28</v>
      </c>
      <c r="J137" s="15">
        <v>136676.51999999999</v>
      </c>
      <c r="K137" s="19">
        <v>0.68205257818236809</v>
      </c>
    </row>
    <row r="138" spans="1:11" x14ac:dyDescent="0.3">
      <c r="A138" s="9" t="s">
        <v>186</v>
      </c>
      <c r="B138" s="20">
        <v>45838</v>
      </c>
      <c r="C138" s="9" t="s">
        <v>249</v>
      </c>
      <c r="D138" s="15">
        <v>127089.94</v>
      </c>
      <c r="E138" s="15">
        <v>64111.14</v>
      </c>
      <c r="F138" s="15">
        <v>26406.880000000001</v>
      </c>
      <c r="G138" s="15">
        <v>12794.36</v>
      </c>
      <c r="H138" s="15">
        <v>50660.160000000003</v>
      </c>
      <c r="I138" s="15">
        <v>281062.49</v>
      </c>
      <c r="J138" s="15">
        <v>153972.54999999999</v>
      </c>
      <c r="K138" s="19">
        <v>0.68205257818236809</v>
      </c>
    </row>
    <row r="139" spans="1:11" x14ac:dyDescent="0.3">
      <c r="A139" s="9" t="s">
        <v>186</v>
      </c>
      <c r="B139" s="20">
        <v>45838</v>
      </c>
      <c r="C139" s="9" t="s">
        <v>243</v>
      </c>
      <c r="D139" s="15">
        <v>52111.27</v>
      </c>
      <c r="E139" s="15">
        <v>86921.27</v>
      </c>
      <c r="F139" s="15">
        <v>29930.9</v>
      </c>
      <c r="G139" s="15">
        <v>29921.02</v>
      </c>
      <c r="H139" s="15">
        <v>417.68</v>
      </c>
      <c r="I139" s="15">
        <v>199302.14</v>
      </c>
      <c r="J139" s="15">
        <v>147190.87</v>
      </c>
      <c r="K139" s="19">
        <v>0.68205257818236809</v>
      </c>
    </row>
    <row r="140" spans="1:11" x14ac:dyDescent="0.3">
      <c r="A140" s="9" t="s">
        <v>186</v>
      </c>
      <c r="B140" s="20">
        <v>45838</v>
      </c>
      <c r="C140" s="9" t="s">
        <v>237</v>
      </c>
      <c r="D140" s="15">
        <v>89884.29</v>
      </c>
      <c r="E140" s="15">
        <v>83576.37</v>
      </c>
      <c r="F140" s="15">
        <v>16873.45</v>
      </c>
      <c r="G140" s="15">
        <v>5559.37</v>
      </c>
      <c r="H140" s="15">
        <v>3297.69</v>
      </c>
      <c r="I140" s="15">
        <v>199191.17</v>
      </c>
      <c r="J140" s="15">
        <v>109306.88</v>
      </c>
      <c r="K140" s="19">
        <v>0.68205257818236809</v>
      </c>
    </row>
    <row r="141" spans="1:11" x14ac:dyDescent="0.3">
      <c r="A141" s="9" t="s">
        <v>186</v>
      </c>
      <c r="B141" s="20">
        <v>45838</v>
      </c>
      <c r="C141" s="9" t="s">
        <v>248</v>
      </c>
      <c r="D141" s="15">
        <v>47426.46</v>
      </c>
      <c r="E141" s="15">
        <v>74793.95</v>
      </c>
      <c r="F141" s="15">
        <v>10770.71</v>
      </c>
      <c r="G141" s="15">
        <v>18116.27</v>
      </c>
      <c r="H141" s="15">
        <v>30191.79</v>
      </c>
      <c r="I141" s="15">
        <v>181299.19</v>
      </c>
      <c r="J141" s="15">
        <v>133872.73000000001</v>
      </c>
      <c r="K141" s="19">
        <v>0.68205257818236809</v>
      </c>
    </row>
    <row r="142" spans="1:11" x14ac:dyDescent="0.3">
      <c r="A142" s="9" t="s">
        <v>186</v>
      </c>
      <c r="B142" s="20">
        <v>45869</v>
      </c>
      <c r="C142" s="9" t="s">
        <v>256</v>
      </c>
      <c r="D142" s="15">
        <v>99497.19</v>
      </c>
      <c r="E142" s="15">
        <v>26406.799999999999</v>
      </c>
      <c r="F142" s="15">
        <v>66687.009999999995</v>
      </c>
      <c r="G142" s="15">
        <v>39240.26</v>
      </c>
      <c r="H142" s="15">
        <v>20208.03</v>
      </c>
      <c r="I142" s="15">
        <v>252039.3</v>
      </c>
      <c r="J142" s="15">
        <v>152542.1</v>
      </c>
      <c r="K142" s="19">
        <v>0.8476634884503782</v>
      </c>
    </row>
    <row r="143" spans="1:11" x14ac:dyDescent="0.3">
      <c r="A143" s="9" t="s">
        <v>186</v>
      </c>
      <c r="B143" s="20">
        <v>45869</v>
      </c>
      <c r="C143" s="9" t="s">
        <v>206</v>
      </c>
      <c r="D143" s="15">
        <v>681</v>
      </c>
      <c r="E143" s="15">
        <v>242.78</v>
      </c>
      <c r="F143" s="15">
        <v>116.85</v>
      </c>
      <c r="G143" s="15">
        <v>246.4</v>
      </c>
      <c r="H143" s="15">
        <v>83.62</v>
      </c>
      <c r="I143" s="15">
        <v>1370.64</v>
      </c>
      <c r="J143" s="15">
        <v>689.64</v>
      </c>
      <c r="K143" s="19">
        <v>0.8476634884503782</v>
      </c>
    </row>
    <row r="144" spans="1:11" x14ac:dyDescent="0.3">
      <c r="A144" s="9" t="s">
        <v>186</v>
      </c>
      <c r="B144" s="20">
        <v>45869</v>
      </c>
      <c r="C144" s="9" t="s">
        <v>223</v>
      </c>
      <c r="D144" s="15">
        <v>114342.85</v>
      </c>
      <c r="E144" s="15">
        <v>34376.239999999998</v>
      </c>
      <c r="F144" s="15">
        <v>73584.45</v>
      </c>
      <c r="G144" s="15">
        <v>47809.39</v>
      </c>
      <c r="H144" s="15">
        <v>8219.65</v>
      </c>
      <c r="I144" s="15">
        <v>278332.58</v>
      </c>
      <c r="J144" s="15">
        <v>163989.73000000001</v>
      </c>
      <c r="K144" s="19">
        <v>0.8476634884503782</v>
      </c>
    </row>
    <row r="145" spans="1:11" x14ac:dyDescent="0.3">
      <c r="A145" s="9" t="s">
        <v>186</v>
      </c>
      <c r="B145" s="20">
        <v>45869</v>
      </c>
      <c r="C145" s="9" t="s">
        <v>245</v>
      </c>
      <c r="D145" s="15">
        <v>107499.64</v>
      </c>
      <c r="E145" s="15">
        <v>31114.81</v>
      </c>
      <c r="F145" s="15">
        <v>38027.56</v>
      </c>
      <c r="G145" s="15">
        <v>65266.99</v>
      </c>
      <c r="H145" s="15">
        <v>18072.52</v>
      </c>
      <c r="I145" s="15">
        <v>259981.52</v>
      </c>
      <c r="J145" s="15">
        <v>152481.88</v>
      </c>
      <c r="K145" s="19">
        <v>0.8476634884503782</v>
      </c>
    </row>
    <row r="146" spans="1:11" x14ac:dyDescent="0.3">
      <c r="A146" s="9" t="s">
        <v>186</v>
      </c>
      <c r="B146" s="20">
        <v>45869</v>
      </c>
      <c r="C146" s="9" t="s">
        <v>212</v>
      </c>
      <c r="D146" s="15">
        <v>110472.97</v>
      </c>
      <c r="E146" s="15">
        <v>53151.19</v>
      </c>
      <c r="F146" s="15">
        <v>69716.87</v>
      </c>
      <c r="G146" s="15">
        <v>30507.16</v>
      </c>
      <c r="H146" s="15">
        <v>23101.82</v>
      </c>
      <c r="I146" s="15">
        <v>286950.01</v>
      </c>
      <c r="J146" s="15">
        <v>176477.04</v>
      </c>
      <c r="K146" s="19">
        <v>0.8476634884503782</v>
      </c>
    </row>
    <row r="147" spans="1:11" x14ac:dyDescent="0.3">
      <c r="A147" s="9" t="s">
        <v>186</v>
      </c>
      <c r="B147" s="20">
        <v>45869</v>
      </c>
      <c r="C147" s="9" t="s">
        <v>255</v>
      </c>
      <c r="D147" s="15">
        <v>73314.880000000005</v>
      </c>
      <c r="E147" s="15">
        <v>64049.18</v>
      </c>
      <c r="F147" s="15">
        <v>87925.14</v>
      </c>
      <c r="G147" s="15">
        <v>71930.720000000001</v>
      </c>
      <c r="H147" s="15">
        <v>12457.8</v>
      </c>
      <c r="I147" s="15">
        <v>309677.71999999997</v>
      </c>
      <c r="J147" s="15">
        <v>236362.84</v>
      </c>
      <c r="K147" s="19">
        <v>0.8476634884503782</v>
      </c>
    </row>
    <row r="148" spans="1:11" x14ac:dyDescent="0.3">
      <c r="A148" s="9" t="s">
        <v>186</v>
      </c>
      <c r="B148" s="20">
        <v>45869</v>
      </c>
      <c r="C148" s="9" t="s">
        <v>231</v>
      </c>
      <c r="D148" s="15">
        <v>89487.46</v>
      </c>
      <c r="E148" s="15">
        <v>89678.8</v>
      </c>
      <c r="F148" s="15">
        <v>69491.960000000006</v>
      </c>
      <c r="G148" s="15">
        <v>12710.24</v>
      </c>
      <c r="H148" s="15">
        <v>6854.15</v>
      </c>
      <c r="I148" s="15">
        <v>268222.62</v>
      </c>
      <c r="J148" s="15">
        <v>178735.16</v>
      </c>
      <c r="K148" s="19">
        <v>0.8476634884503782</v>
      </c>
    </row>
    <row r="149" spans="1:11" x14ac:dyDescent="0.3">
      <c r="A149" s="9" t="s">
        <v>186</v>
      </c>
      <c r="B149" s="20">
        <v>45869</v>
      </c>
      <c r="C149" s="9" t="s">
        <v>224</v>
      </c>
      <c r="D149" s="15">
        <v>183320.28</v>
      </c>
      <c r="E149" s="15">
        <v>83451.61</v>
      </c>
      <c r="F149" s="15">
        <v>57268.98</v>
      </c>
      <c r="G149" s="15">
        <v>44397.62</v>
      </c>
      <c r="H149" s="15">
        <v>56027.360000000001</v>
      </c>
      <c r="I149" s="15">
        <v>424465.84</v>
      </c>
      <c r="J149" s="15">
        <v>241145.57</v>
      </c>
      <c r="K149" s="19">
        <v>0.8476634884503782</v>
      </c>
    </row>
    <row r="150" spans="1:11" x14ac:dyDescent="0.3">
      <c r="A150" s="9" t="s">
        <v>186</v>
      </c>
      <c r="B150" s="20">
        <v>45869</v>
      </c>
      <c r="C150" s="9" t="s">
        <v>228</v>
      </c>
      <c r="D150" s="15">
        <v>152044.19</v>
      </c>
      <c r="E150" s="15">
        <v>86954.33</v>
      </c>
      <c r="F150" s="15">
        <v>28555.24</v>
      </c>
      <c r="G150" s="15">
        <v>67985.070000000007</v>
      </c>
      <c r="H150" s="15">
        <v>7581.74</v>
      </c>
      <c r="I150" s="15">
        <v>343120.56</v>
      </c>
      <c r="J150" s="15">
        <v>191076.37</v>
      </c>
      <c r="K150" s="19">
        <v>0.8476634884503782</v>
      </c>
    </row>
    <row r="151" spans="1:11" x14ac:dyDescent="0.3">
      <c r="A151" s="9" t="s">
        <v>186</v>
      </c>
      <c r="B151" s="20">
        <v>45869</v>
      </c>
      <c r="C151" s="9" t="s">
        <v>254</v>
      </c>
      <c r="D151" s="15">
        <v>229400.52</v>
      </c>
      <c r="E151" s="15">
        <v>114822.11</v>
      </c>
      <c r="F151" s="15">
        <v>28866.2</v>
      </c>
      <c r="G151" s="15">
        <v>88514.72</v>
      </c>
      <c r="H151" s="15">
        <v>5436.82</v>
      </c>
      <c r="I151" s="15">
        <v>467040.36</v>
      </c>
      <c r="J151" s="15">
        <v>237639.84</v>
      </c>
      <c r="K151" s="19">
        <v>0.8476634884503782</v>
      </c>
    </row>
    <row r="152" spans="1:11" x14ac:dyDescent="0.3">
      <c r="A152" s="9" t="s">
        <v>186</v>
      </c>
      <c r="B152" s="20">
        <v>45869</v>
      </c>
      <c r="C152" s="9" t="s">
        <v>253</v>
      </c>
      <c r="D152" s="15">
        <v>67243.72</v>
      </c>
      <c r="E152" s="15">
        <v>47180.27</v>
      </c>
      <c r="F152" s="15">
        <v>22178.28</v>
      </c>
      <c r="G152" s="15">
        <v>5629.53</v>
      </c>
      <c r="H152" s="15">
        <v>30556.720000000001</v>
      </c>
      <c r="I152" s="15">
        <v>172788.53</v>
      </c>
      <c r="J152" s="15">
        <v>105544.81</v>
      </c>
      <c r="K152" s="19">
        <v>0.8476634884503782</v>
      </c>
    </row>
    <row r="153" spans="1:11" x14ac:dyDescent="0.3">
      <c r="A153" s="9" t="s">
        <v>186</v>
      </c>
      <c r="B153" s="20">
        <v>45869</v>
      </c>
      <c r="C153" s="9" t="s">
        <v>252</v>
      </c>
      <c r="D153" s="15">
        <v>46679.11</v>
      </c>
      <c r="E153" s="15">
        <v>13751.45</v>
      </c>
      <c r="F153" s="15">
        <v>11299.76</v>
      </c>
      <c r="G153" s="15">
        <v>7744.57</v>
      </c>
      <c r="H153" s="15">
        <v>26911.17</v>
      </c>
      <c r="I153" s="15">
        <v>106386.06</v>
      </c>
      <c r="J153" s="15">
        <v>59706.95</v>
      </c>
      <c r="K153" s="19">
        <v>0.8476634884503782</v>
      </c>
    </row>
    <row r="154" spans="1:11" x14ac:dyDescent="0.3">
      <c r="A154" s="9" t="s">
        <v>186</v>
      </c>
      <c r="B154" s="20">
        <v>45869</v>
      </c>
      <c r="C154" s="9" t="s">
        <v>251</v>
      </c>
      <c r="D154" s="15">
        <v>114651.33</v>
      </c>
      <c r="E154" s="15">
        <v>44798.64</v>
      </c>
      <c r="F154" s="15">
        <v>34744.36</v>
      </c>
      <c r="G154" s="15">
        <v>13730.94</v>
      </c>
      <c r="H154" s="15">
        <v>40406.449999999997</v>
      </c>
      <c r="I154" s="15">
        <v>248331.73</v>
      </c>
      <c r="J154" s="15">
        <v>133680.4</v>
      </c>
      <c r="K154" s="19">
        <v>0.8476634884503782</v>
      </c>
    </row>
    <row r="155" spans="1:11" x14ac:dyDescent="0.3">
      <c r="A155" s="9" t="s">
        <v>186</v>
      </c>
      <c r="B155" s="20">
        <v>45869</v>
      </c>
      <c r="C155" s="9" t="s">
        <v>250</v>
      </c>
      <c r="D155" s="15">
        <v>178986.68</v>
      </c>
      <c r="E155" s="15">
        <v>65127.28</v>
      </c>
      <c r="F155" s="15">
        <v>80426.44</v>
      </c>
      <c r="G155" s="15">
        <v>10639.25</v>
      </c>
      <c r="H155" s="15">
        <v>59230.37</v>
      </c>
      <c r="I155" s="15">
        <v>394410.03</v>
      </c>
      <c r="J155" s="15">
        <v>215423.34</v>
      </c>
      <c r="K155" s="19">
        <v>0.8476634884503782</v>
      </c>
    </row>
    <row r="156" spans="1:11" x14ac:dyDescent="0.3">
      <c r="A156" s="9" t="s">
        <v>186</v>
      </c>
      <c r="B156" s="20">
        <v>45869</v>
      </c>
      <c r="C156" s="9" t="s">
        <v>209</v>
      </c>
      <c r="D156" s="15">
        <v>80886.679999999993</v>
      </c>
      <c r="E156" s="15">
        <v>105786.42</v>
      </c>
      <c r="F156" s="15">
        <v>20194.45</v>
      </c>
      <c r="G156" s="15">
        <v>18796.919999999998</v>
      </c>
      <c r="H156" s="15">
        <v>63680.26</v>
      </c>
      <c r="I156" s="15">
        <v>289344.74</v>
      </c>
      <c r="J156" s="15">
        <v>208458.05</v>
      </c>
      <c r="K156" s="19">
        <v>0.8476634884503782</v>
      </c>
    </row>
    <row r="157" spans="1:11" x14ac:dyDescent="0.3">
      <c r="A157" s="9" t="s">
        <v>186</v>
      </c>
      <c r="B157" s="20">
        <v>45869</v>
      </c>
      <c r="C157" s="9" t="s">
        <v>229</v>
      </c>
      <c r="D157" s="15">
        <v>150003.26999999999</v>
      </c>
      <c r="E157" s="15">
        <v>41140.54</v>
      </c>
      <c r="F157" s="15">
        <v>13946.72</v>
      </c>
      <c r="G157" s="15">
        <v>52489.55</v>
      </c>
      <c r="H157" s="15">
        <v>54881.48</v>
      </c>
      <c r="I157" s="15">
        <v>312461.55</v>
      </c>
      <c r="J157" s="15">
        <v>162458.28</v>
      </c>
      <c r="K157" s="19">
        <v>0.8476634884503782</v>
      </c>
    </row>
    <row r="158" spans="1:11" x14ac:dyDescent="0.3">
      <c r="A158" s="9" t="s">
        <v>186</v>
      </c>
      <c r="B158" s="20">
        <v>45869</v>
      </c>
      <c r="C158" s="9" t="s">
        <v>249</v>
      </c>
      <c r="D158" s="15">
        <v>80950.45</v>
      </c>
      <c r="E158" s="15">
        <v>22505.47</v>
      </c>
      <c r="F158" s="15">
        <v>7100.48</v>
      </c>
      <c r="G158" s="15">
        <v>43073.7</v>
      </c>
      <c r="H158" s="15">
        <v>25188.12</v>
      </c>
      <c r="I158" s="15">
        <v>178818.22</v>
      </c>
      <c r="J158" s="15">
        <v>97867.77</v>
      </c>
      <c r="K158" s="19">
        <v>0.8476634884503782</v>
      </c>
    </row>
    <row r="159" spans="1:11" x14ac:dyDescent="0.3">
      <c r="A159" s="9" t="s">
        <v>186</v>
      </c>
      <c r="B159" s="20">
        <v>45869</v>
      </c>
      <c r="C159" s="9" t="s">
        <v>243</v>
      </c>
      <c r="D159" s="15">
        <v>51287.65</v>
      </c>
      <c r="E159" s="15">
        <v>30619.22</v>
      </c>
      <c r="F159" s="15">
        <v>24177.22</v>
      </c>
      <c r="G159" s="15">
        <v>9988.7900000000009</v>
      </c>
      <c r="H159" s="15">
        <v>1942.88</v>
      </c>
      <c r="I159" s="15">
        <v>118015.74</v>
      </c>
      <c r="J159" s="15">
        <v>66728.100000000006</v>
      </c>
      <c r="K159" s="19">
        <v>0.8476634884503782</v>
      </c>
    </row>
    <row r="160" spans="1:11" x14ac:dyDescent="0.3">
      <c r="A160" s="9" t="s">
        <v>186</v>
      </c>
      <c r="B160" s="20">
        <v>45869</v>
      </c>
      <c r="C160" s="9" t="s">
        <v>237</v>
      </c>
      <c r="D160" s="15">
        <v>2442.9</v>
      </c>
      <c r="E160" s="15">
        <v>2404.8200000000002</v>
      </c>
      <c r="F160" s="15">
        <v>24.46</v>
      </c>
      <c r="G160" s="15">
        <v>2386.71</v>
      </c>
      <c r="H160" s="15">
        <v>1278.6500000000001</v>
      </c>
      <c r="I160" s="15">
        <v>8537.5400000000009</v>
      </c>
      <c r="J160" s="15">
        <v>6094.64</v>
      </c>
      <c r="K160" s="19">
        <v>0.8476634884503782</v>
      </c>
    </row>
    <row r="161" spans="1:11" x14ac:dyDescent="0.3">
      <c r="A161" s="9" t="s">
        <v>186</v>
      </c>
      <c r="B161" s="20">
        <v>45869</v>
      </c>
      <c r="C161" s="9" t="s">
        <v>248</v>
      </c>
      <c r="D161" s="15">
        <v>97216.93</v>
      </c>
      <c r="E161" s="15">
        <v>31091.08</v>
      </c>
      <c r="F161" s="15">
        <v>24440.91</v>
      </c>
      <c r="G161" s="15">
        <v>42404.99</v>
      </c>
      <c r="H161" s="15">
        <v>3300.93</v>
      </c>
      <c r="I161" s="15">
        <v>198454.85</v>
      </c>
      <c r="J161" s="15">
        <v>101237.92</v>
      </c>
      <c r="K161" s="19">
        <v>0.8476634884503782</v>
      </c>
    </row>
    <row r="162" spans="1:11" x14ac:dyDescent="0.3">
      <c r="A162" s="9" t="s">
        <v>186</v>
      </c>
      <c r="B162" s="20">
        <v>45900</v>
      </c>
      <c r="C162" s="9" t="s">
        <v>256</v>
      </c>
      <c r="D162" s="15">
        <v>17404.91</v>
      </c>
      <c r="E162" s="15">
        <v>18833.14</v>
      </c>
      <c r="F162" s="15">
        <v>2139.35</v>
      </c>
      <c r="G162" s="15">
        <v>23715.49</v>
      </c>
      <c r="H162" s="15">
        <v>1591.67</v>
      </c>
      <c r="I162" s="15">
        <v>63684.56</v>
      </c>
      <c r="J162" s="15">
        <v>46279.65</v>
      </c>
      <c r="K162" s="19">
        <v>0.8071819832686925</v>
      </c>
    </row>
    <row r="163" spans="1:11" x14ac:dyDescent="0.3">
      <c r="A163" s="9" t="s">
        <v>186</v>
      </c>
      <c r="B163" s="20">
        <v>45900</v>
      </c>
      <c r="C163" s="9" t="s">
        <v>206</v>
      </c>
      <c r="D163" s="15">
        <v>128979.9</v>
      </c>
      <c r="E163" s="15">
        <v>77527.56</v>
      </c>
      <c r="F163" s="15">
        <v>41080.74</v>
      </c>
      <c r="G163" s="15">
        <v>42320.91</v>
      </c>
      <c r="H163" s="15">
        <v>2550.69</v>
      </c>
      <c r="I163" s="15">
        <v>292459.78999999998</v>
      </c>
      <c r="J163" s="15">
        <v>163479.9</v>
      </c>
      <c r="K163" s="19">
        <v>0.8071819832686925</v>
      </c>
    </row>
    <row r="164" spans="1:11" x14ac:dyDescent="0.3">
      <c r="A164" s="9" t="s">
        <v>186</v>
      </c>
      <c r="B164" s="20">
        <v>45900</v>
      </c>
      <c r="C164" s="9" t="s">
        <v>223</v>
      </c>
      <c r="D164" s="15">
        <v>107746.98</v>
      </c>
      <c r="E164" s="15">
        <v>47838.91</v>
      </c>
      <c r="F164" s="15">
        <v>64165.96</v>
      </c>
      <c r="G164" s="15">
        <v>37506.080000000002</v>
      </c>
      <c r="H164" s="15">
        <v>18138.47</v>
      </c>
      <c r="I164" s="15">
        <v>275396.40000000002</v>
      </c>
      <c r="J164" s="15">
        <v>167649.42000000001</v>
      </c>
      <c r="K164" s="19">
        <v>0.8071819832686925</v>
      </c>
    </row>
    <row r="165" spans="1:11" x14ac:dyDescent="0.3">
      <c r="A165" s="9" t="s">
        <v>186</v>
      </c>
      <c r="B165" s="20">
        <v>45900</v>
      </c>
      <c r="C165" s="9" t="s">
        <v>245</v>
      </c>
      <c r="D165" s="15">
        <v>134304.26</v>
      </c>
      <c r="E165" s="15">
        <v>20435.72</v>
      </c>
      <c r="F165" s="15">
        <v>184002.94</v>
      </c>
      <c r="G165" s="15">
        <v>50446.19</v>
      </c>
      <c r="H165" s="15">
        <v>30722.01</v>
      </c>
      <c r="I165" s="15">
        <v>419911.11</v>
      </c>
      <c r="J165" s="15">
        <v>285606.84999999998</v>
      </c>
      <c r="K165" s="19">
        <v>0.8071819832686925</v>
      </c>
    </row>
    <row r="166" spans="1:11" x14ac:dyDescent="0.3">
      <c r="A166" s="9" t="s">
        <v>186</v>
      </c>
      <c r="B166" s="20">
        <v>45900</v>
      </c>
      <c r="C166" s="9" t="s">
        <v>212</v>
      </c>
      <c r="D166" s="15">
        <v>194966.75</v>
      </c>
      <c r="E166" s="15">
        <v>96848.37</v>
      </c>
      <c r="F166" s="15">
        <v>102345.42</v>
      </c>
      <c r="G166" s="15">
        <v>53753.84</v>
      </c>
      <c r="H166" s="15">
        <v>25721.01</v>
      </c>
      <c r="I166" s="15">
        <v>473635.38</v>
      </c>
      <c r="J166" s="15">
        <v>278668.63</v>
      </c>
      <c r="K166" s="19">
        <v>0.8071819832686925</v>
      </c>
    </row>
    <row r="167" spans="1:11" x14ac:dyDescent="0.3">
      <c r="A167" s="9" t="s">
        <v>186</v>
      </c>
      <c r="B167" s="20">
        <v>45900</v>
      </c>
      <c r="C167" s="9" t="s">
        <v>255</v>
      </c>
      <c r="D167" s="15">
        <v>98513.51</v>
      </c>
      <c r="E167" s="15">
        <v>47903.64</v>
      </c>
      <c r="F167" s="15">
        <v>40113.89</v>
      </c>
      <c r="G167" s="15">
        <v>14881.98</v>
      </c>
      <c r="H167" s="15">
        <v>45143.96</v>
      </c>
      <c r="I167" s="15">
        <v>246556.98</v>
      </c>
      <c r="J167" s="15">
        <v>148043.47</v>
      </c>
      <c r="K167" s="19">
        <v>0.8071819832686925</v>
      </c>
    </row>
    <row r="168" spans="1:11" x14ac:dyDescent="0.3">
      <c r="A168" s="9" t="s">
        <v>186</v>
      </c>
      <c r="B168" s="20">
        <v>45900</v>
      </c>
      <c r="C168" s="9" t="s">
        <v>231</v>
      </c>
      <c r="D168" s="15">
        <v>171955.47</v>
      </c>
      <c r="E168" s="15">
        <v>25185.18</v>
      </c>
      <c r="F168" s="15">
        <v>87963.39</v>
      </c>
      <c r="G168" s="15">
        <v>60878.61</v>
      </c>
      <c r="H168" s="15">
        <v>9422.8799999999992</v>
      </c>
      <c r="I168" s="15">
        <v>355405.53</v>
      </c>
      <c r="J168" s="15">
        <v>183450.06</v>
      </c>
      <c r="K168" s="19">
        <v>0.8071819832686925</v>
      </c>
    </row>
    <row r="169" spans="1:11" x14ac:dyDescent="0.3">
      <c r="A169" s="9" t="s">
        <v>186</v>
      </c>
      <c r="B169" s="20">
        <v>45900</v>
      </c>
      <c r="C169" s="9" t="s">
        <v>224</v>
      </c>
      <c r="D169" s="15">
        <v>211414.42</v>
      </c>
      <c r="E169" s="15">
        <v>102470.9</v>
      </c>
      <c r="F169" s="15">
        <v>7211.71</v>
      </c>
      <c r="G169" s="15">
        <v>16236.46</v>
      </c>
      <c r="H169" s="15">
        <v>90887.31</v>
      </c>
      <c r="I169" s="15">
        <v>428220.8</v>
      </c>
      <c r="J169" s="15">
        <v>216806.38</v>
      </c>
      <c r="K169" s="19">
        <v>0.8071819832686925</v>
      </c>
    </row>
    <row r="170" spans="1:11" x14ac:dyDescent="0.3">
      <c r="A170" s="9" t="s">
        <v>186</v>
      </c>
      <c r="B170" s="20">
        <v>45900</v>
      </c>
      <c r="C170" s="9" t="s">
        <v>228</v>
      </c>
      <c r="D170" s="15">
        <v>104223.54</v>
      </c>
      <c r="E170" s="15">
        <v>74826.009999999995</v>
      </c>
      <c r="F170" s="15">
        <v>7391.22</v>
      </c>
      <c r="G170" s="15">
        <v>29320.29</v>
      </c>
      <c r="H170" s="15">
        <v>55087.24</v>
      </c>
      <c r="I170" s="15">
        <v>270848.3</v>
      </c>
      <c r="J170" s="15">
        <v>166624.76</v>
      </c>
      <c r="K170" s="19">
        <v>0.8071819832686925</v>
      </c>
    </row>
    <row r="171" spans="1:11" x14ac:dyDescent="0.3">
      <c r="A171" s="9" t="s">
        <v>186</v>
      </c>
      <c r="B171" s="20">
        <v>45900</v>
      </c>
      <c r="C171" s="9" t="s">
        <v>254</v>
      </c>
      <c r="D171" s="15">
        <v>48261.69</v>
      </c>
      <c r="E171" s="15">
        <v>25330.98</v>
      </c>
      <c r="F171" s="15">
        <v>50446.02</v>
      </c>
      <c r="G171" s="15">
        <v>9997.5</v>
      </c>
      <c r="H171" s="15">
        <v>1134.83</v>
      </c>
      <c r="I171" s="15">
        <v>135171.03</v>
      </c>
      <c r="J171" s="15">
        <v>86909.34</v>
      </c>
      <c r="K171" s="19">
        <v>0.8071819832686925</v>
      </c>
    </row>
    <row r="172" spans="1:11" x14ac:dyDescent="0.3">
      <c r="A172" s="9" t="s">
        <v>186</v>
      </c>
      <c r="B172" s="20">
        <v>45900</v>
      </c>
      <c r="C172" s="9" t="s">
        <v>253</v>
      </c>
      <c r="D172" s="15">
        <v>34653.64</v>
      </c>
      <c r="E172" s="15">
        <v>8215.43</v>
      </c>
      <c r="F172" s="15">
        <v>16553.11</v>
      </c>
      <c r="G172" s="15">
        <v>5847.48</v>
      </c>
      <c r="H172" s="15">
        <v>18167.060000000001</v>
      </c>
      <c r="I172" s="15">
        <v>83436.710000000006</v>
      </c>
      <c r="J172" s="15">
        <v>48783.07</v>
      </c>
      <c r="K172" s="19">
        <v>0.8071819832686925</v>
      </c>
    </row>
    <row r="173" spans="1:11" x14ac:dyDescent="0.3">
      <c r="A173" s="9" t="s">
        <v>186</v>
      </c>
      <c r="B173" s="20">
        <v>45900</v>
      </c>
      <c r="C173" s="9" t="s">
        <v>252</v>
      </c>
      <c r="D173" s="15">
        <v>65348.04</v>
      </c>
      <c r="E173" s="15">
        <v>56801.47</v>
      </c>
      <c r="F173" s="15">
        <v>18694.57</v>
      </c>
      <c r="G173" s="15">
        <v>71990.13</v>
      </c>
      <c r="H173" s="15">
        <v>25131.21</v>
      </c>
      <c r="I173" s="15">
        <v>237965.42</v>
      </c>
      <c r="J173" s="15">
        <v>172617.38</v>
      </c>
      <c r="K173" s="19">
        <v>0.8071819832686925</v>
      </c>
    </row>
    <row r="174" spans="1:11" x14ac:dyDescent="0.3">
      <c r="A174" s="9" t="s">
        <v>186</v>
      </c>
      <c r="B174" s="20">
        <v>45900</v>
      </c>
      <c r="C174" s="9" t="s">
        <v>251</v>
      </c>
      <c r="D174" s="15">
        <v>89697.03</v>
      </c>
      <c r="E174" s="15">
        <v>62586.7</v>
      </c>
      <c r="F174" s="15">
        <v>8941.2999999999993</v>
      </c>
      <c r="G174" s="15">
        <v>31797.22</v>
      </c>
      <c r="H174" s="15">
        <v>30661.52</v>
      </c>
      <c r="I174" s="15">
        <v>223683.77</v>
      </c>
      <c r="J174" s="15">
        <v>133986.74</v>
      </c>
      <c r="K174" s="19">
        <v>0.8071819832686925</v>
      </c>
    </row>
    <row r="175" spans="1:11" x14ac:dyDescent="0.3">
      <c r="A175" s="9" t="s">
        <v>186</v>
      </c>
      <c r="B175" s="20">
        <v>45900</v>
      </c>
      <c r="C175" s="9" t="s">
        <v>250</v>
      </c>
      <c r="D175" s="15">
        <v>30684.17</v>
      </c>
      <c r="E175" s="15">
        <v>29221.75</v>
      </c>
      <c r="F175" s="15">
        <v>3685.17</v>
      </c>
      <c r="G175" s="15">
        <v>41913.769999999997</v>
      </c>
      <c r="H175" s="15">
        <v>8105.76</v>
      </c>
      <c r="I175" s="15">
        <v>113610.62</v>
      </c>
      <c r="J175" s="15">
        <v>82926.45</v>
      </c>
      <c r="K175" s="19">
        <v>0.8071819832686925</v>
      </c>
    </row>
    <row r="176" spans="1:11" x14ac:dyDescent="0.3">
      <c r="A176" s="9" t="s">
        <v>186</v>
      </c>
      <c r="B176" s="20">
        <v>45900</v>
      </c>
      <c r="C176" s="9" t="s">
        <v>209</v>
      </c>
      <c r="D176" s="15">
        <v>52063.38</v>
      </c>
      <c r="E176" s="15">
        <v>21013.119999999999</v>
      </c>
      <c r="F176" s="15">
        <v>24903.4</v>
      </c>
      <c r="G176" s="15">
        <v>32640.18</v>
      </c>
      <c r="H176" s="15">
        <v>27125.27</v>
      </c>
      <c r="I176" s="15">
        <v>157745.35999999999</v>
      </c>
      <c r="J176" s="15">
        <v>105681.98</v>
      </c>
      <c r="K176" s="19">
        <v>0.8071819832686925</v>
      </c>
    </row>
    <row r="177" spans="1:11" x14ac:dyDescent="0.3">
      <c r="A177" s="9" t="s">
        <v>186</v>
      </c>
      <c r="B177" s="20">
        <v>45900</v>
      </c>
      <c r="C177" s="9" t="s">
        <v>229</v>
      </c>
      <c r="D177" s="15">
        <v>10815.61</v>
      </c>
      <c r="E177" s="15">
        <v>4661.95</v>
      </c>
      <c r="F177" s="15">
        <v>2841.18</v>
      </c>
      <c r="G177" s="15">
        <v>1244.8399999999999</v>
      </c>
      <c r="H177" s="15">
        <v>4272.3999999999996</v>
      </c>
      <c r="I177" s="15">
        <v>23835.97</v>
      </c>
      <c r="J177" s="15">
        <v>13020.36</v>
      </c>
      <c r="K177" s="19">
        <v>0.8071819832686925</v>
      </c>
    </row>
    <row r="178" spans="1:11" x14ac:dyDescent="0.3">
      <c r="A178" s="9" t="s">
        <v>186</v>
      </c>
      <c r="B178" s="20">
        <v>45900</v>
      </c>
      <c r="C178" s="9" t="s">
        <v>249</v>
      </c>
      <c r="D178" s="15">
        <v>142874.25</v>
      </c>
      <c r="E178" s="15">
        <v>24236.02</v>
      </c>
      <c r="F178" s="15">
        <v>95671.02</v>
      </c>
      <c r="G178" s="15">
        <v>42086.05</v>
      </c>
      <c r="H178" s="15">
        <v>8249.4599999999991</v>
      </c>
      <c r="I178" s="15">
        <v>313116.79999999999</v>
      </c>
      <c r="J178" s="15">
        <v>170242.54</v>
      </c>
      <c r="K178" s="19">
        <v>0.8071819832686925</v>
      </c>
    </row>
    <row r="179" spans="1:11" x14ac:dyDescent="0.3">
      <c r="A179" s="9" t="s">
        <v>186</v>
      </c>
      <c r="B179" s="20">
        <v>45900</v>
      </c>
      <c r="C179" s="9" t="s">
        <v>243</v>
      </c>
      <c r="D179" s="15">
        <v>14831.02</v>
      </c>
      <c r="E179" s="15">
        <v>7339.22</v>
      </c>
      <c r="F179" s="15">
        <v>6368.92</v>
      </c>
      <c r="G179" s="15">
        <v>9010.0300000000007</v>
      </c>
      <c r="H179" s="15">
        <v>675.64</v>
      </c>
      <c r="I179" s="15">
        <v>38224.83</v>
      </c>
      <c r="J179" s="15">
        <v>23393.81</v>
      </c>
      <c r="K179" s="19">
        <v>0.8071819832686925</v>
      </c>
    </row>
    <row r="180" spans="1:11" x14ac:dyDescent="0.3">
      <c r="A180" s="9" t="s">
        <v>186</v>
      </c>
      <c r="B180" s="20">
        <v>45900</v>
      </c>
      <c r="C180" s="9" t="s">
        <v>237</v>
      </c>
      <c r="D180" s="15">
        <v>31821.95</v>
      </c>
      <c r="E180" s="15">
        <v>8047.8</v>
      </c>
      <c r="F180" s="15">
        <v>2923.95</v>
      </c>
      <c r="G180" s="15">
        <v>10422.549999999999</v>
      </c>
      <c r="H180" s="15">
        <v>11254.44</v>
      </c>
      <c r="I180" s="15">
        <v>64470.69</v>
      </c>
      <c r="J180" s="15">
        <v>32648.74</v>
      </c>
      <c r="K180" s="19">
        <v>0.8071819832686925</v>
      </c>
    </row>
    <row r="181" spans="1:11" x14ac:dyDescent="0.3">
      <c r="A181" s="9" t="s">
        <v>186</v>
      </c>
      <c r="B181" s="20">
        <v>45900</v>
      </c>
      <c r="C181" s="9" t="s">
        <v>248</v>
      </c>
      <c r="D181" s="15">
        <v>96197.32</v>
      </c>
      <c r="E181" s="15">
        <v>120805.69</v>
      </c>
      <c r="F181" s="15">
        <v>53961.04</v>
      </c>
      <c r="G181" s="15">
        <v>37286.379999999997</v>
      </c>
      <c r="H181" s="15">
        <v>24760.26</v>
      </c>
      <c r="I181" s="15">
        <v>333010.69</v>
      </c>
      <c r="J181" s="15">
        <v>236813.37</v>
      </c>
      <c r="K181" s="19">
        <v>0.8071819832686925</v>
      </c>
    </row>
    <row r="182" spans="1:11" x14ac:dyDescent="0.3">
      <c r="A182" s="9" t="s">
        <v>186</v>
      </c>
      <c r="B182" s="20">
        <v>45930</v>
      </c>
      <c r="C182" s="9" t="s">
        <v>256</v>
      </c>
      <c r="D182" s="15">
        <v>35864.46</v>
      </c>
      <c r="E182" s="15">
        <v>16090.84</v>
      </c>
      <c r="F182" s="15">
        <v>27967.37</v>
      </c>
      <c r="G182" s="15">
        <v>36881.519999999997</v>
      </c>
      <c r="H182" s="15">
        <v>6355.45</v>
      </c>
      <c r="I182" s="15">
        <v>123159.63</v>
      </c>
      <c r="J182" s="15">
        <v>87295.17</v>
      </c>
      <c r="K182" s="19">
        <v>0.73753428158777623</v>
      </c>
    </row>
    <row r="183" spans="1:11" x14ac:dyDescent="0.3">
      <c r="A183" s="9" t="s">
        <v>186</v>
      </c>
      <c r="B183" s="20">
        <v>45930</v>
      </c>
      <c r="C183" s="9" t="s">
        <v>206</v>
      </c>
      <c r="D183" s="15">
        <v>107090.62</v>
      </c>
      <c r="E183" s="15">
        <v>110005.41</v>
      </c>
      <c r="F183" s="15">
        <v>19255</v>
      </c>
      <c r="G183" s="15">
        <v>31017.02</v>
      </c>
      <c r="H183" s="15">
        <v>71413.09</v>
      </c>
      <c r="I183" s="15">
        <v>338781.15</v>
      </c>
      <c r="J183" s="15">
        <v>231690.52</v>
      </c>
      <c r="K183" s="19">
        <v>0.73753428158777623</v>
      </c>
    </row>
    <row r="184" spans="1:11" x14ac:dyDescent="0.3">
      <c r="A184" s="9" t="s">
        <v>186</v>
      </c>
      <c r="B184" s="20">
        <v>45930</v>
      </c>
      <c r="C184" s="9" t="s">
        <v>223</v>
      </c>
      <c r="D184" s="15">
        <v>157356.5</v>
      </c>
      <c r="E184" s="15">
        <v>37599.379999999997</v>
      </c>
      <c r="F184" s="15">
        <v>89250.06</v>
      </c>
      <c r="G184" s="15">
        <v>31311.84</v>
      </c>
      <c r="H184" s="15">
        <v>3989.49</v>
      </c>
      <c r="I184" s="15">
        <v>319507.26</v>
      </c>
      <c r="J184" s="15">
        <v>162150.76</v>
      </c>
      <c r="K184" s="19">
        <v>0.73753428158777623</v>
      </c>
    </row>
    <row r="185" spans="1:11" x14ac:dyDescent="0.3">
      <c r="A185" s="9" t="s">
        <v>186</v>
      </c>
      <c r="B185" s="20">
        <v>45930</v>
      </c>
      <c r="C185" s="9" t="s">
        <v>245</v>
      </c>
      <c r="D185" s="15">
        <v>129566.97</v>
      </c>
      <c r="E185" s="15">
        <v>45700.08</v>
      </c>
      <c r="F185" s="15">
        <v>28275.15</v>
      </c>
      <c r="G185" s="15">
        <v>34006.11</v>
      </c>
      <c r="H185" s="15">
        <v>41500.53</v>
      </c>
      <c r="I185" s="15">
        <v>279048.84000000003</v>
      </c>
      <c r="J185" s="15">
        <v>149481.87</v>
      </c>
      <c r="K185" s="19">
        <v>0.73753428158777623</v>
      </c>
    </row>
    <row r="186" spans="1:11" x14ac:dyDescent="0.3">
      <c r="A186" s="9" t="s">
        <v>186</v>
      </c>
      <c r="B186" s="20">
        <v>45930</v>
      </c>
      <c r="C186" s="9" t="s">
        <v>212</v>
      </c>
      <c r="D186" s="15">
        <v>56.3</v>
      </c>
      <c r="E186" s="15">
        <v>43.31</v>
      </c>
      <c r="F186" s="15">
        <v>40.25</v>
      </c>
      <c r="G186" s="15">
        <v>9.9700000000000006</v>
      </c>
      <c r="H186" s="15">
        <v>44.24</v>
      </c>
      <c r="I186" s="15">
        <v>194.07</v>
      </c>
      <c r="J186" s="15">
        <v>137.77000000000001</v>
      </c>
      <c r="K186" s="19">
        <v>0.73753428158777623</v>
      </c>
    </row>
    <row r="187" spans="1:11" x14ac:dyDescent="0.3">
      <c r="A187" s="9" t="s">
        <v>186</v>
      </c>
      <c r="B187" s="20">
        <v>45930</v>
      </c>
      <c r="C187" s="9" t="s">
        <v>255</v>
      </c>
      <c r="D187" s="15">
        <v>141202.47</v>
      </c>
      <c r="E187" s="15">
        <v>66785.179999999993</v>
      </c>
      <c r="F187" s="15">
        <v>101179.65</v>
      </c>
      <c r="G187" s="15">
        <v>26005.38</v>
      </c>
      <c r="H187" s="15">
        <v>41092.639999999999</v>
      </c>
      <c r="I187" s="15">
        <v>376265.33</v>
      </c>
      <c r="J187" s="15">
        <v>235062.86</v>
      </c>
      <c r="K187" s="19">
        <v>0.73753428158777623</v>
      </c>
    </row>
    <row r="188" spans="1:11" x14ac:dyDescent="0.3">
      <c r="A188" s="9" t="s">
        <v>186</v>
      </c>
      <c r="B188" s="20">
        <v>45930</v>
      </c>
      <c r="C188" s="9" t="s">
        <v>231</v>
      </c>
      <c r="D188" s="15">
        <v>71787.58</v>
      </c>
      <c r="E188" s="15">
        <v>46803.75</v>
      </c>
      <c r="F188" s="15">
        <v>10429.83</v>
      </c>
      <c r="G188" s="15">
        <v>13870.06</v>
      </c>
      <c r="H188" s="15">
        <v>9477.2800000000007</v>
      </c>
      <c r="I188" s="15">
        <v>152368.49</v>
      </c>
      <c r="J188" s="15">
        <v>80580.92</v>
      </c>
      <c r="K188" s="19">
        <v>0.73753428158777623</v>
      </c>
    </row>
    <row r="189" spans="1:11" x14ac:dyDescent="0.3">
      <c r="A189" s="9" t="s">
        <v>186</v>
      </c>
      <c r="B189" s="20">
        <v>45930</v>
      </c>
      <c r="C189" s="9" t="s">
        <v>224</v>
      </c>
      <c r="D189" s="15">
        <v>58865.919999999998</v>
      </c>
      <c r="E189" s="15">
        <v>61620.800000000003</v>
      </c>
      <c r="F189" s="15">
        <v>47499.24</v>
      </c>
      <c r="G189" s="15">
        <v>2308.89</v>
      </c>
      <c r="H189" s="15">
        <v>8405.15</v>
      </c>
      <c r="I189" s="15">
        <v>178700.01</v>
      </c>
      <c r="J189" s="15">
        <v>119834.09</v>
      </c>
      <c r="K189" s="19">
        <v>0.73753428158777623</v>
      </c>
    </row>
    <row r="190" spans="1:11" x14ac:dyDescent="0.3">
      <c r="A190" s="9" t="s">
        <v>186</v>
      </c>
      <c r="B190" s="20">
        <v>45930</v>
      </c>
      <c r="C190" s="9" t="s">
        <v>228</v>
      </c>
      <c r="D190" s="15">
        <v>26219.14</v>
      </c>
      <c r="E190" s="15">
        <v>7096.94</v>
      </c>
      <c r="F190" s="15">
        <v>4808.01</v>
      </c>
      <c r="G190" s="15">
        <v>23413.11</v>
      </c>
      <c r="H190" s="15">
        <v>4108.96</v>
      </c>
      <c r="I190" s="15">
        <v>65646.149999999994</v>
      </c>
      <c r="J190" s="15">
        <v>39427.019999999997</v>
      </c>
      <c r="K190" s="19">
        <v>0.73753428158777623</v>
      </c>
    </row>
    <row r="191" spans="1:11" x14ac:dyDescent="0.3">
      <c r="A191" s="9" t="s">
        <v>186</v>
      </c>
      <c r="B191" s="20">
        <v>45930</v>
      </c>
      <c r="C191" s="9" t="s">
        <v>254</v>
      </c>
      <c r="D191" s="15">
        <v>115561.18</v>
      </c>
      <c r="E191" s="15">
        <v>128072.14</v>
      </c>
      <c r="F191" s="15">
        <v>70656.28</v>
      </c>
      <c r="G191" s="15">
        <v>13547.42</v>
      </c>
      <c r="H191" s="15">
        <v>17928.97</v>
      </c>
      <c r="I191" s="15">
        <v>345765.99</v>
      </c>
      <c r="J191" s="15">
        <v>230204.82</v>
      </c>
      <c r="K191" s="19">
        <v>0.73753428158777623</v>
      </c>
    </row>
    <row r="192" spans="1:11" x14ac:dyDescent="0.3">
      <c r="A192" s="9" t="s">
        <v>186</v>
      </c>
      <c r="B192" s="20">
        <v>45930</v>
      </c>
      <c r="C192" s="9" t="s">
        <v>253</v>
      </c>
      <c r="D192" s="15">
        <v>200006.47</v>
      </c>
      <c r="E192" s="15">
        <v>112431.51</v>
      </c>
      <c r="F192" s="15">
        <v>36299.47</v>
      </c>
      <c r="G192" s="15">
        <v>8035.13</v>
      </c>
      <c r="H192" s="15">
        <v>53722.7</v>
      </c>
      <c r="I192" s="15">
        <v>410495.28</v>
      </c>
      <c r="J192" s="15">
        <v>210488.81</v>
      </c>
      <c r="K192" s="19">
        <v>0.73753428158777623</v>
      </c>
    </row>
    <row r="193" spans="1:11" x14ac:dyDescent="0.3">
      <c r="A193" s="9" t="s">
        <v>186</v>
      </c>
      <c r="B193" s="20">
        <v>45930</v>
      </c>
      <c r="C193" s="9" t="s">
        <v>252</v>
      </c>
      <c r="D193" s="15">
        <v>62111.040000000001</v>
      </c>
      <c r="E193" s="15">
        <v>15328.43</v>
      </c>
      <c r="F193" s="15">
        <v>34321.14</v>
      </c>
      <c r="G193" s="15">
        <v>32653.87</v>
      </c>
      <c r="H193" s="15">
        <v>12108.18</v>
      </c>
      <c r="I193" s="15">
        <v>156522.66</v>
      </c>
      <c r="J193" s="15">
        <v>94411.62</v>
      </c>
      <c r="K193" s="19">
        <v>0.73753428158777623</v>
      </c>
    </row>
    <row r="194" spans="1:11" x14ac:dyDescent="0.3">
      <c r="A194" s="9" t="s">
        <v>186</v>
      </c>
      <c r="B194" s="20">
        <v>45930</v>
      </c>
      <c r="C194" s="9" t="s">
        <v>251</v>
      </c>
      <c r="D194" s="15">
        <v>98029.72</v>
      </c>
      <c r="E194" s="15">
        <v>78719.929999999993</v>
      </c>
      <c r="F194" s="15">
        <v>57947.26</v>
      </c>
      <c r="G194" s="15">
        <v>31014.03</v>
      </c>
      <c r="H194" s="15">
        <v>22473.4</v>
      </c>
      <c r="I194" s="15">
        <v>288184.34000000003</v>
      </c>
      <c r="J194" s="15">
        <v>190154.62</v>
      </c>
      <c r="K194" s="19">
        <v>0.73753428158777623</v>
      </c>
    </row>
    <row r="195" spans="1:11" x14ac:dyDescent="0.3">
      <c r="A195" s="9" t="s">
        <v>186</v>
      </c>
      <c r="B195" s="20">
        <v>45930</v>
      </c>
      <c r="C195" s="9" t="s">
        <v>250</v>
      </c>
      <c r="D195" s="15">
        <v>194077.85</v>
      </c>
      <c r="E195" s="15">
        <v>77971.460000000006</v>
      </c>
      <c r="F195" s="15">
        <v>89379.62</v>
      </c>
      <c r="G195" s="15">
        <v>41946.080000000002</v>
      </c>
      <c r="H195" s="15">
        <v>28511.38</v>
      </c>
      <c r="I195" s="15">
        <v>431886.4</v>
      </c>
      <c r="J195" s="15">
        <v>237808.54</v>
      </c>
      <c r="K195" s="19">
        <v>0.73753428158777623</v>
      </c>
    </row>
    <row r="196" spans="1:11" x14ac:dyDescent="0.3">
      <c r="A196" s="9" t="s">
        <v>186</v>
      </c>
      <c r="B196" s="20">
        <v>45930</v>
      </c>
      <c r="C196" s="9" t="s">
        <v>209</v>
      </c>
      <c r="D196" s="15">
        <v>96635.83</v>
      </c>
      <c r="E196" s="15">
        <v>82727.259999999995</v>
      </c>
      <c r="F196" s="15">
        <v>44531.18</v>
      </c>
      <c r="G196" s="15">
        <v>6032.87</v>
      </c>
      <c r="H196" s="15">
        <v>74468.52</v>
      </c>
      <c r="I196" s="15">
        <v>304395.67</v>
      </c>
      <c r="J196" s="15">
        <v>207759.84</v>
      </c>
      <c r="K196" s="19">
        <v>0.73753428158777623</v>
      </c>
    </row>
    <row r="197" spans="1:11" x14ac:dyDescent="0.3">
      <c r="A197" s="9" t="s">
        <v>186</v>
      </c>
      <c r="B197" s="20">
        <v>45930</v>
      </c>
      <c r="C197" s="9" t="s">
        <v>229</v>
      </c>
      <c r="D197" s="15">
        <v>11744.01</v>
      </c>
      <c r="E197" s="15">
        <v>510.43</v>
      </c>
      <c r="F197" s="15">
        <v>6134.54</v>
      </c>
      <c r="G197" s="15">
        <v>9333.14</v>
      </c>
      <c r="H197" s="15">
        <v>8527.8700000000008</v>
      </c>
      <c r="I197" s="15">
        <v>36249.99</v>
      </c>
      <c r="J197" s="15">
        <v>24505.98</v>
      </c>
      <c r="K197" s="19">
        <v>0.73753428158777623</v>
      </c>
    </row>
    <row r="198" spans="1:11" x14ac:dyDescent="0.3">
      <c r="A198" s="9" t="s">
        <v>186</v>
      </c>
      <c r="B198" s="20">
        <v>45930</v>
      </c>
      <c r="C198" s="9" t="s">
        <v>249</v>
      </c>
      <c r="D198" s="15">
        <v>17990.060000000001</v>
      </c>
      <c r="E198" s="15">
        <v>3603.65</v>
      </c>
      <c r="F198" s="15">
        <v>1696.76</v>
      </c>
      <c r="G198" s="15">
        <v>8228.4500000000007</v>
      </c>
      <c r="H198" s="15">
        <v>5445.88</v>
      </c>
      <c r="I198" s="15">
        <v>36964.81</v>
      </c>
      <c r="J198" s="15">
        <v>18974.75</v>
      </c>
      <c r="K198" s="19">
        <v>0.73753428158777623</v>
      </c>
    </row>
    <row r="199" spans="1:11" x14ac:dyDescent="0.3">
      <c r="A199" s="9" t="s">
        <v>186</v>
      </c>
      <c r="B199" s="20">
        <v>45930</v>
      </c>
      <c r="C199" s="9" t="s">
        <v>243</v>
      </c>
      <c r="D199" s="15">
        <v>76073.179999999993</v>
      </c>
      <c r="E199" s="15">
        <v>38838.129999999997</v>
      </c>
      <c r="F199" s="15">
        <v>33124.800000000003</v>
      </c>
      <c r="G199" s="15">
        <v>7804.33</v>
      </c>
      <c r="H199" s="15">
        <v>2577.0500000000002</v>
      </c>
      <c r="I199" s="15">
        <v>158417.5</v>
      </c>
      <c r="J199" s="15">
        <v>82344.320000000007</v>
      </c>
      <c r="K199" s="19">
        <v>0.73753428158777623</v>
      </c>
    </row>
    <row r="200" spans="1:11" x14ac:dyDescent="0.3">
      <c r="A200" s="9" t="s">
        <v>186</v>
      </c>
      <c r="B200" s="20">
        <v>45930</v>
      </c>
      <c r="C200" s="9" t="s">
        <v>237</v>
      </c>
      <c r="D200" s="15">
        <v>49282.81</v>
      </c>
      <c r="E200" s="15">
        <v>36019.03</v>
      </c>
      <c r="F200" s="15">
        <v>48077.61</v>
      </c>
      <c r="G200" s="15">
        <v>9756.9500000000007</v>
      </c>
      <c r="H200" s="15">
        <v>22730.959999999999</v>
      </c>
      <c r="I200" s="15">
        <v>165867.37</v>
      </c>
      <c r="J200" s="15">
        <v>116584.56</v>
      </c>
      <c r="K200" s="19">
        <v>0.73753428158777623</v>
      </c>
    </row>
    <row r="201" spans="1:11" x14ac:dyDescent="0.3">
      <c r="A201" s="9" t="s">
        <v>186</v>
      </c>
      <c r="B201" s="20">
        <v>45930</v>
      </c>
      <c r="C201" s="9" t="s">
        <v>248</v>
      </c>
      <c r="D201" s="15">
        <v>20570.66</v>
      </c>
      <c r="E201" s="15">
        <v>27707.86</v>
      </c>
      <c r="F201" s="15">
        <v>10945.3</v>
      </c>
      <c r="G201" s="15">
        <v>8122.74</v>
      </c>
      <c r="H201" s="15">
        <v>8856.09</v>
      </c>
      <c r="I201" s="15">
        <v>76202.649999999994</v>
      </c>
      <c r="J201" s="15">
        <v>55632</v>
      </c>
      <c r="K201" s="19">
        <v>0.73753428158777623</v>
      </c>
    </row>
    <row r="202" spans="1:11" x14ac:dyDescent="0.3">
      <c r="A202" s="9" t="s">
        <v>186</v>
      </c>
      <c r="B202" s="20">
        <v>45961</v>
      </c>
      <c r="C202" s="9" t="s">
        <v>256</v>
      </c>
      <c r="D202" s="15">
        <v>159689.82999999999</v>
      </c>
      <c r="E202" s="15">
        <v>62929.99</v>
      </c>
      <c r="F202" s="15">
        <v>67258.429999999993</v>
      </c>
      <c r="G202" s="15">
        <v>4833.13</v>
      </c>
      <c r="H202" s="15">
        <v>104423.03999999999</v>
      </c>
      <c r="I202" s="15">
        <v>399134.43</v>
      </c>
      <c r="J202" s="15">
        <v>239444.59</v>
      </c>
      <c r="K202" s="19">
        <v>0.67715257506806981</v>
      </c>
    </row>
    <row r="203" spans="1:11" x14ac:dyDescent="0.3">
      <c r="A203" s="9" t="s">
        <v>186</v>
      </c>
      <c r="B203" s="20">
        <v>45961</v>
      </c>
      <c r="C203" s="9" t="s">
        <v>206</v>
      </c>
      <c r="D203" s="15">
        <v>58641.32</v>
      </c>
      <c r="E203" s="15">
        <v>23189.49</v>
      </c>
      <c r="F203" s="15">
        <v>30124.35</v>
      </c>
      <c r="G203" s="15">
        <v>19858.150000000001</v>
      </c>
      <c r="H203" s="15">
        <v>2538.0700000000002</v>
      </c>
      <c r="I203" s="15">
        <v>134351.38</v>
      </c>
      <c r="J203" s="15">
        <v>75710.06</v>
      </c>
      <c r="K203" s="19">
        <v>0.67715257506806981</v>
      </c>
    </row>
    <row r="204" spans="1:11" x14ac:dyDescent="0.3">
      <c r="A204" s="9" t="s">
        <v>186</v>
      </c>
      <c r="B204" s="20">
        <v>45961</v>
      </c>
      <c r="C204" s="9" t="s">
        <v>223</v>
      </c>
      <c r="D204" s="15">
        <v>99886.31</v>
      </c>
      <c r="E204" s="15">
        <v>107101.32</v>
      </c>
      <c r="F204" s="15">
        <v>9453.65</v>
      </c>
      <c r="G204" s="15">
        <v>76130.09</v>
      </c>
      <c r="H204" s="15">
        <v>28867.22</v>
      </c>
      <c r="I204" s="15">
        <v>321438.59000000003</v>
      </c>
      <c r="J204" s="15">
        <v>221552.28</v>
      </c>
      <c r="K204" s="19">
        <v>0.67715257506806981</v>
      </c>
    </row>
    <row r="205" spans="1:11" x14ac:dyDescent="0.3">
      <c r="A205" s="9" t="s">
        <v>186</v>
      </c>
      <c r="B205" s="20">
        <v>45961</v>
      </c>
      <c r="C205" s="9" t="s">
        <v>245</v>
      </c>
      <c r="D205" s="15">
        <v>177051.78</v>
      </c>
      <c r="E205" s="15">
        <v>40136.92</v>
      </c>
      <c r="F205" s="15">
        <v>93712.06</v>
      </c>
      <c r="G205" s="15">
        <v>49146</v>
      </c>
      <c r="H205" s="15">
        <v>5335.54</v>
      </c>
      <c r="I205" s="15">
        <v>365382.3</v>
      </c>
      <c r="J205" s="15">
        <v>188330.52</v>
      </c>
      <c r="K205" s="19">
        <v>0.67715257506806981</v>
      </c>
    </row>
    <row r="206" spans="1:11" x14ac:dyDescent="0.3">
      <c r="A206" s="9" t="s">
        <v>186</v>
      </c>
      <c r="B206" s="20">
        <v>45961</v>
      </c>
      <c r="C206" s="9" t="s">
        <v>212</v>
      </c>
      <c r="D206" s="15">
        <v>74995.350000000006</v>
      </c>
      <c r="E206" s="15">
        <v>41762.17</v>
      </c>
      <c r="F206" s="15">
        <v>16183.45</v>
      </c>
      <c r="G206" s="15">
        <v>15153.52</v>
      </c>
      <c r="H206" s="15">
        <v>16430.02</v>
      </c>
      <c r="I206" s="15">
        <v>164524.51</v>
      </c>
      <c r="J206" s="15">
        <v>89529.16</v>
      </c>
      <c r="K206" s="19">
        <v>0.67715257506806981</v>
      </c>
    </row>
    <row r="207" spans="1:11" x14ac:dyDescent="0.3">
      <c r="A207" s="9" t="s">
        <v>186</v>
      </c>
      <c r="B207" s="20">
        <v>45961</v>
      </c>
      <c r="C207" s="9" t="s">
        <v>255</v>
      </c>
      <c r="D207" s="15">
        <v>63885.02</v>
      </c>
      <c r="E207" s="15">
        <v>90790.8</v>
      </c>
      <c r="F207" s="15">
        <v>23069.41</v>
      </c>
      <c r="G207" s="15">
        <v>29375.32</v>
      </c>
      <c r="H207" s="15">
        <v>4393.4399999999996</v>
      </c>
      <c r="I207" s="15">
        <v>211514</v>
      </c>
      <c r="J207" s="15">
        <v>147628.97</v>
      </c>
      <c r="K207" s="19">
        <v>0.67715257506806981</v>
      </c>
    </row>
    <row r="208" spans="1:11" x14ac:dyDescent="0.3">
      <c r="A208" s="9" t="s">
        <v>186</v>
      </c>
      <c r="B208" s="20">
        <v>45961</v>
      </c>
      <c r="C208" s="9" t="s">
        <v>231</v>
      </c>
      <c r="D208" s="15">
        <v>65861.63</v>
      </c>
      <c r="E208" s="15">
        <v>20080.73</v>
      </c>
      <c r="F208" s="15">
        <v>25753.52</v>
      </c>
      <c r="G208" s="15">
        <v>57932.79</v>
      </c>
      <c r="H208" s="15">
        <v>2969.34</v>
      </c>
      <c r="I208" s="15">
        <v>172598</v>
      </c>
      <c r="J208" s="15">
        <v>106736.37</v>
      </c>
      <c r="K208" s="19">
        <v>0.67715257506806981</v>
      </c>
    </row>
    <row r="209" spans="1:11" x14ac:dyDescent="0.3">
      <c r="A209" s="9" t="s">
        <v>186</v>
      </c>
      <c r="B209" s="20">
        <v>45961</v>
      </c>
      <c r="C209" s="9" t="s">
        <v>224</v>
      </c>
      <c r="D209" s="15">
        <v>11364.9</v>
      </c>
      <c r="E209" s="15">
        <v>8259.15</v>
      </c>
      <c r="F209" s="15">
        <v>11125.88</v>
      </c>
      <c r="G209" s="15">
        <v>476.81</v>
      </c>
      <c r="H209" s="15">
        <v>16331.76</v>
      </c>
      <c r="I209" s="15">
        <v>47558.5</v>
      </c>
      <c r="J209" s="15">
        <v>36193.599999999999</v>
      </c>
      <c r="K209" s="19">
        <v>0.67715257506806981</v>
      </c>
    </row>
    <row r="210" spans="1:11" x14ac:dyDescent="0.3">
      <c r="A210" s="9" t="s">
        <v>186</v>
      </c>
      <c r="B210" s="20">
        <v>45961</v>
      </c>
      <c r="C210" s="9" t="s">
        <v>228</v>
      </c>
      <c r="D210" s="15">
        <v>56972.88</v>
      </c>
      <c r="E210" s="15">
        <v>23026.38</v>
      </c>
      <c r="F210" s="15">
        <v>19248.8</v>
      </c>
      <c r="G210" s="15">
        <v>20359.82</v>
      </c>
      <c r="H210" s="15">
        <v>2081.69</v>
      </c>
      <c r="I210" s="15">
        <v>121689.56</v>
      </c>
      <c r="J210" s="15">
        <v>64716.68</v>
      </c>
      <c r="K210" s="19">
        <v>0.67715257506806981</v>
      </c>
    </row>
    <row r="211" spans="1:11" x14ac:dyDescent="0.3">
      <c r="A211" s="9" t="s">
        <v>186</v>
      </c>
      <c r="B211" s="20">
        <v>45961</v>
      </c>
      <c r="C211" s="9" t="s">
        <v>254</v>
      </c>
      <c r="D211" s="15">
        <v>153118.38</v>
      </c>
      <c r="E211" s="15">
        <v>67711.600000000006</v>
      </c>
      <c r="F211" s="15">
        <v>12851.64</v>
      </c>
      <c r="G211" s="15">
        <v>62932.78</v>
      </c>
      <c r="H211" s="15">
        <v>21616.17</v>
      </c>
      <c r="I211" s="15">
        <v>318230.58</v>
      </c>
      <c r="J211" s="15">
        <v>165112.20000000001</v>
      </c>
      <c r="K211" s="19">
        <v>0.67715257506806981</v>
      </c>
    </row>
    <row r="212" spans="1:11" x14ac:dyDescent="0.3">
      <c r="A212" s="9" t="s">
        <v>186</v>
      </c>
      <c r="B212" s="20">
        <v>45961</v>
      </c>
      <c r="C212" s="9" t="s">
        <v>253</v>
      </c>
      <c r="D212" s="15">
        <v>150143.14000000001</v>
      </c>
      <c r="E212" s="15">
        <v>102497.38</v>
      </c>
      <c r="F212" s="15">
        <v>64034.29</v>
      </c>
      <c r="G212" s="15">
        <v>20039.97</v>
      </c>
      <c r="H212" s="15">
        <v>38653.769999999997</v>
      </c>
      <c r="I212" s="15">
        <v>375368.55</v>
      </c>
      <c r="J212" s="15">
        <v>225225.41</v>
      </c>
      <c r="K212" s="19">
        <v>0.67715257506806981</v>
      </c>
    </row>
    <row r="213" spans="1:11" x14ac:dyDescent="0.3">
      <c r="A213" s="9" t="s">
        <v>186</v>
      </c>
      <c r="B213" s="20">
        <v>45961</v>
      </c>
      <c r="C213" s="9" t="s">
        <v>252</v>
      </c>
      <c r="D213" s="15">
        <v>14518.13</v>
      </c>
      <c r="E213" s="15">
        <v>10401.77</v>
      </c>
      <c r="F213" s="15">
        <v>11396.43</v>
      </c>
      <c r="G213" s="15">
        <v>1807.67</v>
      </c>
      <c r="H213" s="15">
        <v>2726.95</v>
      </c>
      <c r="I213" s="15">
        <v>40850.959999999999</v>
      </c>
      <c r="J213" s="15">
        <v>26332.83</v>
      </c>
      <c r="K213" s="19">
        <v>0.67715257506806981</v>
      </c>
    </row>
    <row r="214" spans="1:11" x14ac:dyDescent="0.3">
      <c r="A214" s="9" t="s">
        <v>186</v>
      </c>
      <c r="B214" s="20">
        <v>45961</v>
      </c>
      <c r="C214" s="9" t="s">
        <v>251</v>
      </c>
      <c r="D214" s="15">
        <v>49326.39</v>
      </c>
      <c r="E214" s="15">
        <v>4629.93</v>
      </c>
      <c r="F214" s="15">
        <v>26271.41</v>
      </c>
      <c r="G214" s="15">
        <v>4908.5600000000004</v>
      </c>
      <c r="H214" s="15">
        <v>21574.16</v>
      </c>
      <c r="I214" s="15">
        <v>106710.45</v>
      </c>
      <c r="J214" s="15">
        <v>57384.06</v>
      </c>
      <c r="K214" s="19">
        <v>0.67715257506806981</v>
      </c>
    </row>
    <row r="215" spans="1:11" x14ac:dyDescent="0.3">
      <c r="A215" s="9" t="s">
        <v>186</v>
      </c>
      <c r="B215" s="20">
        <v>45961</v>
      </c>
      <c r="C215" s="9" t="s">
        <v>250</v>
      </c>
      <c r="D215" s="15">
        <v>1815.92</v>
      </c>
      <c r="E215" s="15">
        <v>1581.07</v>
      </c>
      <c r="F215" s="15">
        <v>714.47</v>
      </c>
      <c r="G215" s="15">
        <v>948.37</v>
      </c>
      <c r="H215" s="15">
        <v>69.19</v>
      </c>
      <c r="I215" s="15">
        <v>5129.0200000000004</v>
      </c>
      <c r="J215" s="15">
        <v>3313.1</v>
      </c>
      <c r="K215" s="19">
        <v>0.67715257506806981</v>
      </c>
    </row>
    <row r="216" spans="1:11" x14ac:dyDescent="0.3">
      <c r="A216" s="9" t="s">
        <v>186</v>
      </c>
      <c r="B216" s="20">
        <v>45961</v>
      </c>
      <c r="C216" s="9" t="s">
        <v>209</v>
      </c>
      <c r="D216" s="15">
        <v>94534.86</v>
      </c>
      <c r="E216" s="15">
        <v>176207.13</v>
      </c>
      <c r="F216" s="15">
        <v>32924.019999999997</v>
      </c>
      <c r="G216" s="15">
        <v>31258.34</v>
      </c>
      <c r="H216" s="15">
        <v>43701.48</v>
      </c>
      <c r="I216" s="15">
        <v>378625.82</v>
      </c>
      <c r="J216" s="15">
        <v>284090.96000000002</v>
      </c>
      <c r="K216" s="19">
        <v>0.67715257506806981</v>
      </c>
    </row>
    <row r="217" spans="1:11" x14ac:dyDescent="0.3">
      <c r="A217" s="9" t="s">
        <v>186</v>
      </c>
      <c r="B217" s="20">
        <v>45961</v>
      </c>
      <c r="C217" s="9" t="s">
        <v>229</v>
      </c>
      <c r="D217" s="15">
        <v>23529.52</v>
      </c>
      <c r="E217" s="15">
        <v>23382.07</v>
      </c>
      <c r="F217" s="15">
        <v>2047.5</v>
      </c>
      <c r="G217" s="15">
        <v>1213.3900000000001</v>
      </c>
      <c r="H217" s="15">
        <v>4109.88</v>
      </c>
      <c r="I217" s="15">
        <v>54282.36</v>
      </c>
      <c r="J217" s="15">
        <v>30752.84</v>
      </c>
      <c r="K217" s="19">
        <v>0.67715257506806981</v>
      </c>
    </row>
    <row r="218" spans="1:11" x14ac:dyDescent="0.3">
      <c r="A218" s="9" t="s">
        <v>186</v>
      </c>
      <c r="B218" s="20">
        <v>45961</v>
      </c>
      <c r="C218" s="9" t="s">
        <v>249</v>
      </c>
      <c r="D218" s="15">
        <v>64117.79</v>
      </c>
      <c r="E218" s="15">
        <v>52462.83</v>
      </c>
      <c r="F218" s="15">
        <v>19410.349999999999</v>
      </c>
      <c r="G218" s="15">
        <v>7354.31</v>
      </c>
      <c r="H218" s="15">
        <v>30466.43</v>
      </c>
      <c r="I218" s="15">
        <v>173811.71</v>
      </c>
      <c r="J218" s="15">
        <v>109693.92</v>
      </c>
      <c r="K218" s="19">
        <v>0.67715257506806981</v>
      </c>
    </row>
    <row r="219" spans="1:11" x14ac:dyDescent="0.3">
      <c r="A219" s="9" t="s">
        <v>186</v>
      </c>
      <c r="B219" s="20">
        <v>45961</v>
      </c>
      <c r="C219" s="9" t="s">
        <v>243</v>
      </c>
      <c r="D219" s="15">
        <v>15979.08</v>
      </c>
      <c r="E219" s="15">
        <v>4865.58</v>
      </c>
      <c r="F219" s="15">
        <v>4916.8</v>
      </c>
      <c r="G219" s="15">
        <v>1935.5</v>
      </c>
      <c r="H219" s="15">
        <v>4294.37</v>
      </c>
      <c r="I219" s="15">
        <v>31991.33</v>
      </c>
      <c r="J219" s="15">
        <v>16012.25</v>
      </c>
      <c r="K219" s="19">
        <v>0.67715257506806981</v>
      </c>
    </row>
    <row r="220" spans="1:11" x14ac:dyDescent="0.3">
      <c r="A220" s="9" t="s">
        <v>186</v>
      </c>
      <c r="B220" s="20">
        <v>45961</v>
      </c>
      <c r="C220" s="9" t="s">
        <v>237</v>
      </c>
      <c r="D220" s="15">
        <v>95404.94</v>
      </c>
      <c r="E220" s="15">
        <v>22173.97</v>
      </c>
      <c r="F220" s="15">
        <v>13950.94</v>
      </c>
      <c r="G220" s="15">
        <v>46647.96</v>
      </c>
      <c r="H220" s="15">
        <v>61859.040000000001</v>
      </c>
      <c r="I220" s="15">
        <v>240036.86</v>
      </c>
      <c r="J220" s="15">
        <v>144631.92000000001</v>
      </c>
      <c r="K220" s="19">
        <v>0.67715257506806981</v>
      </c>
    </row>
    <row r="221" spans="1:11" x14ac:dyDescent="0.3">
      <c r="A221" s="9" t="s">
        <v>186</v>
      </c>
      <c r="B221" s="20">
        <v>45961</v>
      </c>
      <c r="C221" s="9" t="s">
        <v>248</v>
      </c>
      <c r="D221" s="15">
        <v>69600.55</v>
      </c>
      <c r="E221" s="15">
        <v>87227.69</v>
      </c>
      <c r="F221" s="15">
        <v>50428.93</v>
      </c>
      <c r="G221" s="15">
        <v>20737.669999999998</v>
      </c>
      <c r="H221" s="15">
        <v>24173.02</v>
      </c>
      <c r="I221" s="15">
        <v>252167.87</v>
      </c>
      <c r="J221" s="15">
        <v>182567.32</v>
      </c>
      <c r="K221" s="19">
        <v>0.67715257506806981</v>
      </c>
    </row>
    <row r="222" spans="1:11" x14ac:dyDescent="0.3">
      <c r="A222" s="9" t="s">
        <v>186</v>
      </c>
      <c r="B222" s="20">
        <v>45991</v>
      </c>
      <c r="C222" s="9" t="s">
        <v>256</v>
      </c>
      <c r="D222" s="15">
        <v>138816.56</v>
      </c>
      <c r="E222" s="15">
        <v>78539.75</v>
      </c>
      <c r="F222" s="15">
        <v>40474.080000000002</v>
      </c>
      <c r="G222" s="15">
        <v>7367.2</v>
      </c>
      <c r="H222" s="15">
        <v>48417.81</v>
      </c>
      <c r="I222" s="15">
        <v>313615.40000000002</v>
      </c>
      <c r="J222" s="15">
        <v>174798.84</v>
      </c>
      <c r="K222" s="19">
        <v>0.72357833212978051</v>
      </c>
    </row>
    <row r="223" spans="1:11" x14ac:dyDescent="0.3">
      <c r="A223" s="9" t="s">
        <v>186</v>
      </c>
      <c r="B223" s="20">
        <v>45991</v>
      </c>
      <c r="C223" s="9" t="s">
        <v>206</v>
      </c>
      <c r="D223" s="15">
        <v>96475.54</v>
      </c>
      <c r="E223" s="15">
        <v>28036.31</v>
      </c>
      <c r="F223" s="15">
        <v>44447.35</v>
      </c>
      <c r="G223" s="15">
        <v>16807.04</v>
      </c>
      <c r="H223" s="15">
        <v>129918.28</v>
      </c>
      <c r="I223" s="15">
        <v>315684.53000000003</v>
      </c>
      <c r="J223" s="15">
        <v>219208.99</v>
      </c>
      <c r="K223" s="19">
        <v>0.72357833212978051</v>
      </c>
    </row>
    <row r="224" spans="1:11" x14ac:dyDescent="0.3">
      <c r="A224" s="9" t="s">
        <v>186</v>
      </c>
      <c r="B224" s="20">
        <v>45991</v>
      </c>
      <c r="C224" s="9" t="s">
        <v>223</v>
      </c>
      <c r="D224" s="15">
        <v>98611.21</v>
      </c>
      <c r="E224" s="15">
        <v>64085.599999999999</v>
      </c>
      <c r="F224" s="15">
        <v>53332.66</v>
      </c>
      <c r="G224" s="15">
        <v>81154.880000000005</v>
      </c>
      <c r="H224" s="15">
        <v>14223.09</v>
      </c>
      <c r="I224" s="15">
        <v>311407.44</v>
      </c>
      <c r="J224" s="15">
        <v>212796.22</v>
      </c>
      <c r="K224" s="19">
        <v>0.72357833212978051</v>
      </c>
    </row>
    <row r="225" spans="1:11" x14ac:dyDescent="0.3">
      <c r="A225" s="9" t="s">
        <v>186</v>
      </c>
      <c r="B225" s="20">
        <v>45991</v>
      </c>
      <c r="C225" s="9" t="s">
        <v>245</v>
      </c>
      <c r="D225" s="15">
        <v>6865.46</v>
      </c>
      <c r="E225" s="15">
        <v>2658.03</v>
      </c>
      <c r="F225" s="15">
        <v>6102.32</v>
      </c>
      <c r="G225" s="15">
        <v>7169.85</v>
      </c>
      <c r="H225" s="15">
        <v>3394.87</v>
      </c>
      <c r="I225" s="15">
        <v>26190.53</v>
      </c>
      <c r="J225" s="15">
        <v>19325.07</v>
      </c>
      <c r="K225" s="19">
        <v>0.72357833212978051</v>
      </c>
    </row>
    <row r="226" spans="1:11" x14ac:dyDescent="0.3">
      <c r="A226" s="9" t="s">
        <v>186</v>
      </c>
      <c r="B226" s="20">
        <v>45991</v>
      </c>
      <c r="C226" s="9" t="s">
        <v>212</v>
      </c>
      <c r="D226" s="15">
        <v>64716.19</v>
      </c>
      <c r="E226" s="15">
        <v>35077.040000000001</v>
      </c>
      <c r="F226" s="15">
        <v>17135.53</v>
      </c>
      <c r="G226" s="15">
        <v>10272.280000000001</v>
      </c>
      <c r="H226" s="15">
        <v>15537.82</v>
      </c>
      <c r="I226" s="15">
        <v>142738.85999999999</v>
      </c>
      <c r="J226" s="15">
        <v>78022.67</v>
      </c>
      <c r="K226" s="19">
        <v>0.72357833212978051</v>
      </c>
    </row>
    <row r="227" spans="1:11" x14ac:dyDescent="0.3">
      <c r="A227" s="9" t="s">
        <v>186</v>
      </c>
      <c r="B227" s="20">
        <v>45991</v>
      </c>
      <c r="C227" s="9" t="s">
        <v>255</v>
      </c>
      <c r="D227" s="15">
        <v>21528.73</v>
      </c>
      <c r="E227" s="15">
        <v>13094.92</v>
      </c>
      <c r="F227" s="15">
        <v>11966.96</v>
      </c>
      <c r="G227" s="15">
        <v>17197.75</v>
      </c>
      <c r="H227" s="15">
        <v>22677.99</v>
      </c>
      <c r="I227" s="15">
        <v>86466.35</v>
      </c>
      <c r="J227" s="15">
        <v>64937.62</v>
      </c>
      <c r="K227" s="19">
        <v>0.72357833212978051</v>
      </c>
    </row>
    <row r="228" spans="1:11" x14ac:dyDescent="0.3">
      <c r="A228" s="9" t="s">
        <v>186</v>
      </c>
      <c r="B228" s="20">
        <v>45991</v>
      </c>
      <c r="C228" s="9" t="s">
        <v>231</v>
      </c>
      <c r="D228" s="15">
        <v>80030.899999999994</v>
      </c>
      <c r="E228" s="15">
        <v>43797.19</v>
      </c>
      <c r="F228" s="15">
        <v>13023.12</v>
      </c>
      <c r="G228" s="15">
        <v>26471.08</v>
      </c>
      <c r="H228" s="15">
        <v>31797.54</v>
      </c>
      <c r="I228" s="15">
        <v>195119.83</v>
      </c>
      <c r="J228" s="15">
        <v>115088.93</v>
      </c>
      <c r="K228" s="19">
        <v>0.72357833212978051</v>
      </c>
    </row>
    <row r="229" spans="1:11" x14ac:dyDescent="0.3">
      <c r="A229" s="9" t="s">
        <v>186</v>
      </c>
      <c r="B229" s="20">
        <v>45991</v>
      </c>
      <c r="C229" s="9" t="s">
        <v>224</v>
      </c>
      <c r="D229" s="15">
        <v>20631.46</v>
      </c>
      <c r="E229" s="15">
        <v>5397.37</v>
      </c>
      <c r="F229" s="15">
        <v>21802.11</v>
      </c>
      <c r="G229" s="15">
        <v>17497.599999999999</v>
      </c>
      <c r="H229" s="15">
        <v>3422.94</v>
      </c>
      <c r="I229" s="15">
        <v>68751.490000000005</v>
      </c>
      <c r="J229" s="15">
        <v>48120.02</v>
      </c>
      <c r="K229" s="19">
        <v>0.72357833212978051</v>
      </c>
    </row>
    <row r="230" spans="1:11" x14ac:dyDescent="0.3">
      <c r="A230" s="9" t="s">
        <v>186</v>
      </c>
      <c r="B230" s="20">
        <v>45991</v>
      </c>
      <c r="C230" s="9" t="s">
        <v>228</v>
      </c>
      <c r="D230" s="15">
        <v>34524.980000000003</v>
      </c>
      <c r="E230" s="15">
        <v>13755.16</v>
      </c>
      <c r="F230" s="15">
        <v>10175.030000000001</v>
      </c>
      <c r="G230" s="15">
        <v>6478.21</v>
      </c>
      <c r="H230" s="15">
        <v>10889.08</v>
      </c>
      <c r="I230" s="15">
        <v>75822.460000000006</v>
      </c>
      <c r="J230" s="15">
        <v>41297.480000000003</v>
      </c>
      <c r="K230" s="19">
        <v>0.72357833212978051</v>
      </c>
    </row>
    <row r="231" spans="1:11" x14ac:dyDescent="0.3">
      <c r="A231" s="9" t="s">
        <v>186</v>
      </c>
      <c r="B231" s="20">
        <v>45991</v>
      </c>
      <c r="C231" s="9" t="s">
        <v>254</v>
      </c>
      <c r="D231" s="15">
        <v>99270.75</v>
      </c>
      <c r="E231" s="15">
        <v>59693.02</v>
      </c>
      <c r="F231" s="15">
        <v>35317.69</v>
      </c>
      <c r="G231" s="15">
        <v>47794.76</v>
      </c>
      <c r="H231" s="15">
        <v>45668.55</v>
      </c>
      <c r="I231" s="15">
        <v>287744.77</v>
      </c>
      <c r="J231" s="15">
        <v>188474.02</v>
      </c>
      <c r="K231" s="19">
        <v>0.72357833212978051</v>
      </c>
    </row>
    <row r="232" spans="1:11" x14ac:dyDescent="0.3">
      <c r="A232" s="9" t="s">
        <v>186</v>
      </c>
      <c r="B232" s="20">
        <v>45991</v>
      </c>
      <c r="C232" s="9" t="s">
        <v>253</v>
      </c>
      <c r="D232" s="15">
        <v>37745.519999999997</v>
      </c>
      <c r="E232" s="15">
        <v>26000.98</v>
      </c>
      <c r="F232" s="15">
        <v>13844.47</v>
      </c>
      <c r="G232" s="15">
        <v>62600.93</v>
      </c>
      <c r="H232" s="15">
        <v>6611.56</v>
      </c>
      <c r="I232" s="15">
        <v>146803.46</v>
      </c>
      <c r="J232" s="15">
        <v>109057.94</v>
      </c>
      <c r="K232" s="19">
        <v>0.72357833212978051</v>
      </c>
    </row>
    <row r="233" spans="1:11" x14ac:dyDescent="0.3">
      <c r="A233" s="9" t="s">
        <v>186</v>
      </c>
      <c r="B233" s="20">
        <v>45991</v>
      </c>
      <c r="C233" s="9" t="s">
        <v>252</v>
      </c>
      <c r="D233" s="15">
        <v>59122.080000000002</v>
      </c>
      <c r="E233" s="15">
        <v>10519.5</v>
      </c>
      <c r="F233" s="15">
        <v>3075.02</v>
      </c>
      <c r="G233" s="15">
        <v>11523.49</v>
      </c>
      <c r="H233" s="15">
        <v>36814.39</v>
      </c>
      <c r="I233" s="15">
        <v>121054.47</v>
      </c>
      <c r="J233" s="15">
        <v>61932.39</v>
      </c>
      <c r="K233" s="19">
        <v>0.72357833212978051</v>
      </c>
    </row>
    <row r="234" spans="1:11" x14ac:dyDescent="0.3">
      <c r="A234" s="9" t="s">
        <v>186</v>
      </c>
      <c r="B234" s="20">
        <v>45991</v>
      </c>
      <c r="C234" s="9" t="s">
        <v>251</v>
      </c>
      <c r="D234" s="15">
        <v>17065.86</v>
      </c>
      <c r="E234" s="15">
        <v>4259.09</v>
      </c>
      <c r="F234" s="15">
        <v>23772.33</v>
      </c>
      <c r="G234" s="15">
        <v>1591.43</v>
      </c>
      <c r="H234" s="15">
        <v>7125.22</v>
      </c>
      <c r="I234" s="15">
        <v>53813.94</v>
      </c>
      <c r="J234" s="15">
        <v>36748.080000000002</v>
      </c>
      <c r="K234" s="19">
        <v>0.72357833212978051</v>
      </c>
    </row>
    <row r="235" spans="1:11" x14ac:dyDescent="0.3">
      <c r="A235" s="9" t="s">
        <v>186</v>
      </c>
      <c r="B235" s="20">
        <v>45991</v>
      </c>
      <c r="C235" s="9" t="s">
        <v>250</v>
      </c>
      <c r="D235" s="15">
        <v>50423.57</v>
      </c>
      <c r="E235" s="15">
        <v>20594.95</v>
      </c>
      <c r="F235" s="15">
        <v>30019.5</v>
      </c>
      <c r="G235" s="15">
        <v>8490.1299999999992</v>
      </c>
      <c r="H235" s="15">
        <v>26164.18</v>
      </c>
      <c r="I235" s="15">
        <v>135692.32999999999</v>
      </c>
      <c r="J235" s="15">
        <v>85268.76</v>
      </c>
      <c r="K235" s="19">
        <v>0.72357833212978051</v>
      </c>
    </row>
    <row r="236" spans="1:11" x14ac:dyDescent="0.3">
      <c r="A236" s="9" t="s">
        <v>186</v>
      </c>
      <c r="B236" s="20">
        <v>45991</v>
      </c>
      <c r="C236" s="9" t="s">
        <v>209</v>
      </c>
      <c r="D236" s="15">
        <v>85455.42</v>
      </c>
      <c r="E236" s="15">
        <v>35982.89</v>
      </c>
      <c r="F236" s="15">
        <v>9536.5400000000009</v>
      </c>
      <c r="G236" s="15">
        <v>153176.21</v>
      </c>
      <c r="H236" s="15">
        <v>1899.55</v>
      </c>
      <c r="I236" s="15">
        <v>286050.59999999998</v>
      </c>
      <c r="J236" s="15">
        <v>200595.19</v>
      </c>
      <c r="K236" s="19">
        <v>0.72357833212978051</v>
      </c>
    </row>
    <row r="237" spans="1:11" x14ac:dyDescent="0.3">
      <c r="A237" s="9" t="s">
        <v>186</v>
      </c>
      <c r="B237" s="20">
        <v>45991</v>
      </c>
      <c r="C237" s="9" t="s">
        <v>229</v>
      </c>
      <c r="D237" s="15">
        <v>68361.34</v>
      </c>
      <c r="E237" s="15">
        <v>85331.69</v>
      </c>
      <c r="F237" s="15">
        <v>16991.63</v>
      </c>
      <c r="G237" s="15">
        <v>38070.67</v>
      </c>
      <c r="H237" s="15">
        <v>13317.83</v>
      </c>
      <c r="I237" s="15">
        <v>222073.15</v>
      </c>
      <c r="J237" s="15">
        <v>153711.81</v>
      </c>
      <c r="K237" s="19">
        <v>0.72357833212978051</v>
      </c>
    </row>
    <row r="238" spans="1:11" x14ac:dyDescent="0.3">
      <c r="A238" s="9" t="s">
        <v>186</v>
      </c>
      <c r="B238" s="20">
        <v>45991</v>
      </c>
      <c r="C238" s="9" t="s">
        <v>249</v>
      </c>
      <c r="D238" s="15">
        <v>126111.41</v>
      </c>
      <c r="E238" s="15">
        <v>61237.919999999998</v>
      </c>
      <c r="F238" s="15">
        <v>111666.6</v>
      </c>
      <c r="G238" s="15">
        <v>8927.43</v>
      </c>
      <c r="H238" s="15">
        <v>21995.27</v>
      </c>
      <c r="I238" s="15">
        <v>329938.62</v>
      </c>
      <c r="J238" s="15">
        <v>203827.21</v>
      </c>
      <c r="K238" s="19">
        <v>0.72357833212978051</v>
      </c>
    </row>
    <row r="239" spans="1:11" x14ac:dyDescent="0.3">
      <c r="A239" s="9" t="s">
        <v>186</v>
      </c>
      <c r="B239" s="20">
        <v>45991</v>
      </c>
      <c r="C239" s="9" t="s">
        <v>243</v>
      </c>
      <c r="D239" s="15">
        <v>65806.58</v>
      </c>
      <c r="E239" s="15">
        <v>90527.6</v>
      </c>
      <c r="F239" s="15">
        <v>71601.97</v>
      </c>
      <c r="G239" s="15">
        <v>30628.66</v>
      </c>
      <c r="H239" s="15">
        <v>5129.33</v>
      </c>
      <c r="I239" s="15">
        <v>263694.14</v>
      </c>
      <c r="J239" s="15">
        <v>197887.56</v>
      </c>
      <c r="K239" s="19">
        <v>0.72357833212978051</v>
      </c>
    </row>
    <row r="240" spans="1:11" x14ac:dyDescent="0.3">
      <c r="A240" s="9" t="s">
        <v>186</v>
      </c>
      <c r="B240" s="20">
        <v>45991</v>
      </c>
      <c r="C240" s="9" t="s">
        <v>237</v>
      </c>
      <c r="D240" s="15">
        <v>75581.89</v>
      </c>
      <c r="E240" s="15">
        <v>20202.740000000002</v>
      </c>
      <c r="F240" s="15">
        <v>64702.06</v>
      </c>
      <c r="G240" s="15">
        <v>138664.26</v>
      </c>
      <c r="H240" s="15">
        <v>23102.54</v>
      </c>
      <c r="I240" s="15">
        <v>322253.48</v>
      </c>
      <c r="J240" s="15">
        <v>246671.59</v>
      </c>
      <c r="K240" s="19">
        <v>0.72357833212978051</v>
      </c>
    </row>
    <row r="241" spans="1:11" x14ac:dyDescent="0.3">
      <c r="A241" s="9" t="s">
        <v>186</v>
      </c>
      <c r="B241" s="20">
        <v>45991</v>
      </c>
      <c r="C241" s="9" t="s">
        <v>248</v>
      </c>
      <c r="D241" s="15">
        <v>6324.39</v>
      </c>
      <c r="E241" s="15">
        <v>1024.8399999999999</v>
      </c>
      <c r="F241" s="15">
        <v>3286.5</v>
      </c>
      <c r="G241" s="15">
        <v>3196.16</v>
      </c>
      <c r="H241" s="15">
        <v>1364.47</v>
      </c>
      <c r="I241" s="15">
        <v>15196.36</v>
      </c>
      <c r="J241" s="15">
        <v>8871.9699999999993</v>
      </c>
      <c r="K241" s="19">
        <v>0.72357833212978051</v>
      </c>
    </row>
    <row r="242" spans="1:11" x14ac:dyDescent="0.3">
      <c r="A242" s="9" t="s">
        <v>192</v>
      </c>
      <c r="B242" s="20">
        <v>45657</v>
      </c>
      <c r="C242" s="9" t="s">
        <v>228</v>
      </c>
      <c r="D242" s="15">
        <v>16662.48</v>
      </c>
      <c r="E242" s="15">
        <v>6962.22</v>
      </c>
      <c r="F242" s="15">
        <v>7407.34</v>
      </c>
      <c r="G242" s="15">
        <v>9087.1</v>
      </c>
      <c r="H242" s="15">
        <v>15128.81</v>
      </c>
      <c r="I242" s="15">
        <v>55247.96</v>
      </c>
      <c r="J242" s="15">
        <v>38585.480000000003</v>
      </c>
      <c r="K242" s="19">
        <v>0.78049395385599818</v>
      </c>
    </row>
    <row r="243" spans="1:11" x14ac:dyDescent="0.3">
      <c r="A243" s="9" t="s">
        <v>192</v>
      </c>
      <c r="B243" s="20">
        <v>45657</v>
      </c>
      <c r="C243" s="9" t="s">
        <v>207</v>
      </c>
      <c r="D243" s="15">
        <v>58151.839999999997</v>
      </c>
      <c r="E243" s="15">
        <v>17943.310000000001</v>
      </c>
      <c r="F243" s="15">
        <v>5224.7299999999996</v>
      </c>
      <c r="G243" s="15">
        <v>15815.78</v>
      </c>
      <c r="H243" s="15">
        <v>23463.78</v>
      </c>
      <c r="I243" s="15">
        <v>120599.44</v>
      </c>
      <c r="J243" s="15">
        <v>62447.61</v>
      </c>
      <c r="K243" s="19">
        <v>0.78049395385599818</v>
      </c>
    </row>
    <row r="244" spans="1:11" x14ac:dyDescent="0.3">
      <c r="A244" s="9" t="s">
        <v>192</v>
      </c>
      <c r="B244" s="20">
        <v>45657</v>
      </c>
      <c r="C244" s="9" t="s">
        <v>211</v>
      </c>
      <c r="D244" s="15">
        <v>40613.199999999997</v>
      </c>
      <c r="E244" s="15">
        <v>5012.7700000000004</v>
      </c>
      <c r="F244" s="15">
        <v>21880.94</v>
      </c>
      <c r="G244" s="15">
        <v>11872.29</v>
      </c>
      <c r="H244" s="15">
        <v>6757.43</v>
      </c>
      <c r="I244" s="15">
        <v>86136.63</v>
      </c>
      <c r="J244" s="15">
        <v>45523.43</v>
      </c>
      <c r="K244" s="19">
        <v>0.78049395385599818</v>
      </c>
    </row>
    <row r="245" spans="1:11" x14ac:dyDescent="0.3">
      <c r="A245" s="9" t="s">
        <v>192</v>
      </c>
      <c r="B245" s="20">
        <v>45657</v>
      </c>
      <c r="C245" s="9" t="s">
        <v>247</v>
      </c>
      <c r="D245" s="15">
        <v>23935.33</v>
      </c>
      <c r="E245" s="15">
        <v>7579.78</v>
      </c>
      <c r="F245" s="15">
        <v>12925.73</v>
      </c>
      <c r="G245" s="15">
        <v>6556.43</v>
      </c>
      <c r="H245" s="15">
        <v>881.86</v>
      </c>
      <c r="I245" s="15">
        <v>51879.13</v>
      </c>
      <c r="J245" s="15">
        <v>27943.8</v>
      </c>
      <c r="K245" s="19">
        <v>0.78049395385599818</v>
      </c>
    </row>
    <row r="246" spans="1:11" x14ac:dyDescent="0.3">
      <c r="A246" s="9" t="s">
        <v>192</v>
      </c>
      <c r="B246" s="20">
        <v>45657</v>
      </c>
      <c r="C246" s="9" t="s">
        <v>234</v>
      </c>
      <c r="D246" s="15">
        <v>11343.38</v>
      </c>
      <c r="E246" s="15">
        <v>5071.04</v>
      </c>
      <c r="F246" s="15">
        <v>2032.32</v>
      </c>
      <c r="G246" s="15">
        <v>3460.82</v>
      </c>
      <c r="H246" s="15">
        <v>1261.58</v>
      </c>
      <c r="I246" s="15">
        <v>23169.14</v>
      </c>
      <c r="J246" s="15">
        <v>11825.76</v>
      </c>
      <c r="K246" s="19">
        <v>0.78049395385599818</v>
      </c>
    </row>
    <row r="247" spans="1:11" x14ac:dyDescent="0.3">
      <c r="A247" s="9" t="s">
        <v>192</v>
      </c>
      <c r="B247" s="20">
        <v>45657</v>
      </c>
      <c r="C247" s="9" t="s">
        <v>246</v>
      </c>
      <c r="D247" s="15">
        <v>20530.919999999998</v>
      </c>
      <c r="E247" s="15">
        <v>6557.45</v>
      </c>
      <c r="F247" s="15">
        <v>7298.79</v>
      </c>
      <c r="G247" s="15">
        <v>9737.68</v>
      </c>
      <c r="H247" s="15">
        <v>13354.23</v>
      </c>
      <c r="I247" s="15">
        <v>57479.06</v>
      </c>
      <c r="J247" s="15">
        <v>36948.15</v>
      </c>
      <c r="K247" s="19">
        <v>0.78049395385599818</v>
      </c>
    </row>
    <row r="248" spans="1:11" x14ac:dyDescent="0.3">
      <c r="A248" s="9" t="s">
        <v>192</v>
      </c>
      <c r="B248" s="20">
        <v>45657</v>
      </c>
      <c r="C248" s="9" t="s">
        <v>219</v>
      </c>
      <c r="D248" s="15">
        <v>25744.02</v>
      </c>
      <c r="E248" s="15">
        <v>6854.12</v>
      </c>
      <c r="F248" s="15">
        <v>32574.33</v>
      </c>
      <c r="G248" s="15">
        <v>26417.46</v>
      </c>
      <c r="H248" s="15">
        <v>5906.1</v>
      </c>
      <c r="I248" s="15">
        <v>97496.01</v>
      </c>
      <c r="J248" s="15">
        <v>71751.990000000005</v>
      </c>
      <c r="K248" s="19">
        <v>0.78049395385599818</v>
      </c>
    </row>
    <row r="249" spans="1:11" x14ac:dyDescent="0.3">
      <c r="A249" s="9" t="s">
        <v>192</v>
      </c>
      <c r="B249" s="20">
        <v>45657</v>
      </c>
      <c r="C249" s="9" t="s">
        <v>223</v>
      </c>
      <c r="D249" s="15">
        <v>9874.23</v>
      </c>
      <c r="E249" s="15">
        <v>3621.99</v>
      </c>
      <c r="F249" s="15">
        <v>1232.43</v>
      </c>
      <c r="G249" s="15">
        <v>1084.3699999999999</v>
      </c>
      <c r="H249" s="15">
        <v>4830.26</v>
      </c>
      <c r="I249" s="15">
        <v>20643.29</v>
      </c>
      <c r="J249" s="15">
        <v>10769.05</v>
      </c>
      <c r="K249" s="19">
        <v>0.78049395385599818</v>
      </c>
    </row>
    <row r="250" spans="1:11" x14ac:dyDescent="0.3">
      <c r="A250" s="9" t="s">
        <v>192</v>
      </c>
      <c r="B250" s="20">
        <v>45657</v>
      </c>
      <c r="C250" s="9" t="s">
        <v>245</v>
      </c>
      <c r="D250" s="15">
        <v>5033.34</v>
      </c>
      <c r="E250" s="15">
        <v>2443.88</v>
      </c>
      <c r="F250" s="15">
        <v>1448.79</v>
      </c>
      <c r="G250" s="15">
        <v>978.39</v>
      </c>
      <c r="H250" s="15">
        <v>865</v>
      </c>
      <c r="I250" s="15">
        <v>10769.4</v>
      </c>
      <c r="J250" s="15">
        <v>5736.06</v>
      </c>
      <c r="K250" s="19">
        <v>0.78049395385599818</v>
      </c>
    </row>
    <row r="251" spans="1:11" x14ac:dyDescent="0.3">
      <c r="A251" s="9" t="s">
        <v>192</v>
      </c>
      <c r="B251" s="20">
        <v>45657</v>
      </c>
      <c r="C251" s="9" t="s">
        <v>244</v>
      </c>
      <c r="D251" s="15">
        <v>40110.68</v>
      </c>
      <c r="E251" s="15">
        <v>8124.93</v>
      </c>
      <c r="F251" s="15">
        <v>23039.62</v>
      </c>
      <c r="G251" s="15">
        <v>15685.61</v>
      </c>
      <c r="H251" s="15">
        <v>31619.57</v>
      </c>
      <c r="I251" s="15">
        <v>118580.41</v>
      </c>
      <c r="J251" s="15">
        <v>78469.73</v>
      </c>
      <c r="K251" s="19">
        <v>0.78049395385599818</v>
      </c>
    </row>
    <row r="252" spans="1:11" x14ac:dyDescent="0.3">
      <c r="A252" s="9" t="s">
        <v>192</v>
      </c>
      <c r="B252" s="20">
        <v>45657</v>
      </c>
      <c r="C252" s="9" t="s">
        <v>243</v>
      </c>
      <c r="D252" s="15">
        <v>26636.080000000002</v>
      </c>
      <c r="E252" s="15">
        <v>8954.25</v>
      </c>
      <c r="F252" s="15">
        <v>19183.080000000002</v>
      </c>
      <c r="G252" s="15">
        <v>16542.13</v>
      </c>
      <c r="H252" s="15">
        <v>11636.22</v>
      </c>
      <c r="I252" s="15">
        <v>82951.75</v>
      </c>
      <c r="J252" s="15">
        <v>56315.67</v>
      </c>
      <c r="K252" s="19">
        <v>0.78049395385599818</v>
      </c>
    </row>
    <row r="253" spans="1:11" x14ac:dyDescent="0.3">
      <c r="A253" s="9" t="s">
        <v>192</v>
      </c>
      <c r="B253" s="20">
        <v>45657</v>
      </c>
      <c r="C253" s="9" t="s">
        <v>242</v>
      </c>
      <c r="D253" s="15">
        <v>12812.72</v>
      </c>
      <c r="E253" s="15">
        <v>5960.93</v>
      </c>
      <c r="F253" s="15">
        <v>4521.95</v>
      </c>
      <c r="G253" s="15">
        <v>1903.5</v>
      </c>
      <c r="H253" s="15">
        <v>1840.16</v>
      </c>
      <c r="I253" s="15">
        <v>27039.26</v>
      </c>
      <c r="J253" s="15">
        <v>14226.54</v>
      </c>
      <c r="K253" s="19">
        <v>0.78049395385599818</v>
      </c>
    </row>
    <row r="254" spans="1:11" x14ac:dyDescent="0.3">
      <c r="A254" s="9" t="s">
        <v>192</v>
      </c>
      <c r="B254" s="20">
        <v>45657</v>
      </c>
      <c r="C254" s="9" t="s">
        <v>241</v>
      </c>
      <c r="D254" s="15">
        <v>14041.27</v>
      </c>
      <c r="E254" s="15">
        <v>15005.6</v>
      </c>
      <c r="F254" s="15">
        <v>4076.31</v>
      </c>
      <c r="G254" s="15">
        <v>3304.37</v>
      </c>
      <c r="H254" s="15">
        <v>4178.88</v>
      </c>
      <c r="I254" s="15">
        <v>40606.42</v>
      </c>
      <c r="J254" s="15">
        <v>26565.16</v>
      </c>
      <c r="K254" s="19">
        <v>0.78049395385599818</v>
      </c>
    </row>
    <row r="255" spans="1:11" x14ac:dyDescent="0.3">
      <c r="A255" s="9" t="s">
        <v>192</v>
      </c>
      <c r="B255" s="20">
        <v>45657</v>
      </c>
      <c r="C255" s="9" t="s">
        <v>209</v>
      </c>
      <c r="D255" s="15">
        <v>31943.3</v>
      </c>
      <c r="E255" s="15">
        <v>33394.51</v>
      </c>
      <c r="F255" s="15">
        <v>35833.440000000002</v>
      </c>
      <c r="G255" s="15">
        <v>5286.85</v>
      </c>
      <c r="H255" s="15">
        <v>5262.61</v>
      </c>
      <c r="I255" s="15">
        <v>111720.71</v>
      </c>
      <c r="J255" s="15">
        <v>79777.41</v>
      </c>
      <c r="K255" s="19">
        <v>0.78049395385599818</v>
      </c>
    </row>
    <row r="256" spans="1:11" x14ac:dyDescent="0.3">
      <c r="A256" s="9" t="s">
        <v>192</v>
      </c>
      <c r="B256" s="20">
        <v>45657</v>
      </c>
      <c r="C256" s="9" t="s">
        <v>240</v>
      </c>
      <c r="D256" s="15">
        <v>15972.94</v>
      </c>
      <c r="E256" s="15">
        <v>4988.47</v>
      </c>
      <c r="F256" s="15">
        <v>15916.71</v>
      </c>
      <c r="G256" s="15">
        <v>3722.57</v>
      </c>
      <c r="H256" s="15">
        <v>8070.19</v>
      </c>
      <c r="I256" s="15">
        <v>48670.879999999997</v>
      </c>
      <c r="J256" s="15">
        <v>32697.94</v>
      </c>
      <c r="K256" s="19">
        <v>0.78049395385599818</v>
      </c>
    </row>
    <row r="257" spans="1:11" x14ac:dyDescent="0.3">
      <c r="A257" s="9" t="s">
        <v>192</v>
      </c>
      <c r="B257" s="20">
        <v>45657</v>
      </c>
      <c r="C257" s="9" t="s">
        <v>239</v>
      </c>
      <c r="D257" s="15">
        <v>61559.61</v>
      </c>
      <c r="E257" s="15">
        <v>15549.28</v>
      </c>
      <c r="F257" s="15">
        <v>20107.3</v>
      </c>
      <c r="G257" s="15">
        <v>25094.35</v>
      </c>
      <c r="H257" s="15">
        <v>15725.24</v>
      </c>
      <c r="I257" s="15">
        <v>138035.78</v>
      </c>
      <c r="J257" s="15">
        <v>76476.17</v>
      </c>
      <c r="K257" s="19">
        <v>0.78049395385599818</v>
      </c>
    </row>
    <row r="258" spans="1:11" x14ac:dyDescent="0.3">
      <c r="A258" s="9" t="s">
        <v>192</v>
      </c>
      <c r="B258" s="20">
        <v>45657</v>
      </c>
      <c r="C258" s="9" t="s">
        <v>238</v>
      </c>
      <c r="D258" s="15">
        <v>41517.14</v>
      </c>
      <c r="E258" s="15">
        <v>30337.47</v>
      </c>
      <c r="F258" s="15">
        <v>1288.04</v>
      </c>
      <c r="G258" s="15">
        <v>10491.56</v>
      </c>
      <c r="H258" s="15">
        <v>12154.79</v>
      </c>
      <c r="I258" s="15">
        <v>95789</v>
      </c>
      <c r="J258" s="15">
        <v>54271.86</v>
      </c>
      <c r="K258" s="19">
        <v>0.78049395385599818</v>
      </c>
    </row>
    <row r="259" spans="1:11" x14ac:dyDescent="0.3">
      <c r="A259" s="9" t="s">
        <v>192</v>
      </c>
      <c r="B259" s="20">
        <v>45657</v>
      </c>
      <c r="C259" s="9" t="s">
        <v>237</v>
      </c>
      <c r="D259" s="15">
        <v>4988.68</v>
      </c>
      <c r="E259" s="15">
        <v>5293.9</v>
      </c>
      <c r="F259" s="15">
        <v>991.27</v>
      </c>
      <c r="G259" s="15">
        <v>2944.25</v>
      </c>
      <c r="H259" s="15">
        <v>2296.44</v>
      </c>
      <c r="I259" s="15">
        <v>16514.54</v>
      </c>
      <c r="J259" s="15">
        <v>11525.86</v>
      </c>
      <c r="K259" s="19">
        <v>0.78049395385599818</v>
      </c>
    </row>
    <row r="260" spans="1:11" x14ac:dyDescent="0.3">
      <c r="A260" s="9" t="s">
        <v>192</v>
      </c>
      <c r="B260" s="20">
        <v>45657</v>
      </c>
      <c r="C260" s="9" t="s">
        <v>236</v>
      </c>
      <c r="D260" s="15">
        <v>9835.01</v>
      </c>
      <c r="E260" s="15">
        <v>4496.37</v>
      </c>
      <c r="F260" s="15">
        <v>7609.06</v>
      </c>
      <c r="G260" s="15">
        <v>11221.65</v>
      </c>
      <c r="H260" s="15">
        <v>785.05</v>
      </c>
      <c r="I260" s="15">
        <v>33947.14</v>
      </c>
      <c r="J260" s="15">
        <v>24112.13</v>
      </c>
      <c r="K260" s="19">
        <v>0.78049395385599818</v>
      </c>
    </row>
    <row r="261" spans="1:11" x14ac:dyDescent="0.3">
      <c r="A261" s="9" t="s">
        <v>192</v>
      </c>
      <c r="B261" s="20">
        <v>45657</v>
      </c>
      <c r="C261" s="9" t="s">
        <v>215</v>
      </c>
      <c r="D261" s="15">
        <v>22094.66</v>
      </c>
      <c r="E261" s="15">
        <v>10205.67</v>
      </c>
      <c r="F261" s="15">
        <v>6479.59</v>
      </c>
      <c r="G261" s="15">
        <v>14014.92</v>
      </c>
      <c r="H261" s="15">
        <v>5881.53</v>
      </c>
      <c r="I261" s="15">
        <v>58676.37</v>
      </c>
      <c r="J261" s="15">
        <v>36581.71</v>
      </c>
      <c r="K261" s="19">
        <v>0.78049395385599818</v>
      </c>
    </row>
    <row r="262" spans="1:11" x14ac:dyDescent="0.3">
      <c r="A262" s="9" t="s">
        <v>192</v>
      </c>
      <c r="B262" s="20">
        <v>45688</v>
      </c>
      <c r="C262" s="9" t="s">
        <v>228</v>
      </c>
      <c r="D262" s="15">
        <v>57158.07</v>
      </c>
      <c r="E262" s="15">
        <v>24435.52</v>
      </c>
      <c r="F262" s="15">
        <v>22423.23</v>
      </c>
      <c r="G262" s="15">
        <v>12161.39</v>
      </c>
      <c r="H262" s="15">
        <v>7553.41</v>
      </c>
      <c r="I262" s="15">
        <v>123731.61</v>
      </c>
      <c r="J262" s="15">
        <v>66573.55</v>
      </c>
      <c r="K262" s="19">
        <v>0.65854742483741358</v>
      </c>
    </row>
    <row r="263" spans="1:11" x14ac:dyDescent="0.3">
      <c r="A263" s="9" t="s">
        <v>192</v>
      </c>
      <c r="B263" s="20">
        <v>45688</v>
      </c>
      <c r="C263" s="9" t="s">
        <v>207</v>
      </c>
      <c r="D263" s="15">
        <v>32341.5</v>
      </c>
      <c r="E263" s="15">
        <v>26840.66</v>
      </c>
      <c r="F263" s="15">
        <v>6014.5</v>
      </c>
      <c r="G263" s="15">
        <v>1738.93</v>
      </c>
      <c r="H263" s="15">
        <v>1424.85</v>
      </c>
      <c r="I263" s="15">
        <v>68360.45</v>
      </c>
      <c r="J263" s="15">
        <v>36018.949999999997</v>
      </c>
      <c r="K263" s="19">
        <v>0.65854742483741358</v>
      </c>
    </row>
    <row r="264" spans="1:11" x14ac:dyDescent="0.3">
      <c r="A264" s="9" t="s">
        <v>192</v>
      </c>
      <c r="B264" s="20">
        <v>45688</v>
      </c>
      <c r="C264" s="9" t="s">
        <v>211</v>
      </c>
      <c r="D264" s="15">
        <v>2339.54</v>
      </c>
      <c r="E264" s="15">
        <v>1605.3</v>
      </c>
      <c r="F264" s="15">
        <v>869.74</v>
      </c>
      <c r="G264" s="15">
        <v>1815.37</v>
      </c>
      <c r="H264" s="15">
        <v>278.11</v>
      </c>
      <c r="I264" s="15">
        <v>6908.06</v>
      </c>
      <c r="J264" s="15">
        <v>4568.5200000000004</v>
      </c>
      <c r="K264" s="19">
        <v>0.65854742483741358</v>
      </c>
    </row>
    <row r="265" spans="1:11" x14ac:dyDescent="0.3">
      <c r="A265" s="9" t="s">
        <v>192</v>
      </c>
      <c r="B265" s="20">
        <v>45688</v>
      </c>
      <c r="C265" s="9" t="s">
        <v>247</v>
      </c>
      <c r="D265" s="15">
        <v>14358.09</v>
      </c>
      <c r="E265" s="15">
        <v>8829.4</v>
      </c>
      <c r="F265" s="15">
        <v>7714.12</v>
      </c>
      <c r="G265" s="15">
        <v>3636.58</v>
      </c>
      <c r="H265" s="15">
        <v>2551.31</v>
      </c>
      <c r="I265" s="15">
        <v>37089.49</v>
      </c>
      <c r="J265" s="15">
        <v>22731.4</v>
      </c>
      <c r="K265" s="19">
        <v>0.65854742483741358</v>
      </c>
    </row>
    <row r="266" spans="1:11" x14ac:dyDescent="0.3">
      <c r="A266" s="9" t="s">
        <v>192</v>
      </c>
      <c r="B266" s="20">
        <v>45688</v>
      </c>
      <c r="C266" s="9" t="s">
        <v>234</v>
      </c>
      <c r="D266" s="15">
        <v>34924.050000000003</v>
      </c>
      <c r="E266" s="15">
        <v>10000.34</v>
      </c>
      <c r="F266" s="15">
        <v>9341.48</v>
      </c>
      <c r="G266" s="15">
        <v>13387.43</v>
      </c>
      <c r="H266" s="15">
        <v>13301.59</v>
      </c>
      <c r="I266" s="15">
        <v>80954.880000000005</v>
      </c>
      <c r="J266" s="15">
        <v>46030.83</v>
      </c>
      <c r="K266" s="19">
        <v>0.65854742483741358</v>
      </c>
    </row>
    <row r="267" spans="1:11" x14ac:dyDescent="0.3">
      <c r="A267" s="9" t="s">
        <v>192</v>
      </c>
      <c r="B267" s="20">
        <v>45688</v>
      </c>
      <c r="C267" s="9" t="s">
        <v>246</v>
      </c>
      <c r="D267" s="15">
        <v>29413.02</v>
      </c>
      <c r="E267" s="15">
        <v>31284.65</v>
      </c>
      <c r="F267" s="15">
        <v>20567.810000000001</v>
      </c>
      <c r="G267" s="15">
        <v>2511.35</v>
      </c>
      <c r="H267" s="15">
        <v>7071.95</v>
      </c>
      <c r="I267" s="15">
        <v>90848.78</v>
      </c>
      <c r="J267" s="15">
        <v>61435.76</v>
      </c>
      <c r="K267" s="19">
        <v>0.65854742483741358</v>
      </c>
    </row>
    <row r="268" spans="1:11" x14ac:dyDescent="0.3">
      <c r="A268" s="9" t="s">
        <v>192</v>
      </c>
      <c r="B268" s="20">
        <v>45688</v>
      </c>
      <c r="C268" s="9" t="s">
        <v>219</v>
      </c>
      <c r="D268" s="15">
        <v>12861.3</v>
      </c>
      <c r="E268" s="15">
        <v>21998.23</v>
      </c>
      <c r="F268" s="15">
        <v>6408.48</v>
      </c>
      <c r="G268" s="15">
        <v>7476.27</v>
      </c>
      <c r="H268" s="15">
        <v>2150.62</v>
      </c>
      <c r="I268" s="15">
        <v>50894.91</v>
      </c>
      <c r="J268" s="15">
        <v>38033.61</v>
      </c>
      <c r="K268" s="19">
        <v>0.65854742483741358</v>
      </c>
    </row>
    <row r="269" spans="1:11" x14ac:dyDescent="0.3">
      <c r="A269" s="9" t="s">
        <v>192</v>
      </c>
      <c r="B269" s="20">
        <v>45688</v>
      </c>
      <c r="C269" s="9" t="s">
        <v>223</v>
      </c>
      <c r="D269" s="15">
        <v>51552.99</v>
      </c>
      <c r="E269" s="15">
        <v>22236.63</v>
      </c>
      <c r="F269" s="15">
        <v>19626.53</v>
      </c>
      <c r="G269" s="15">
        <v>11000.36</v>
      </c>
      <c r="H269" s="15">
        <v>5264.61</v>
      </c>
      <c r="I269" s="15">
        <v>109681.12</v>
      </c>
      <c r="J269" s="15">
        <v>58128.12</v>
      </c>
      <c r="K269" s="19">
        <v>0.65854742483741358</v>
      </c>
    </row>
    <row r="270" spans="1:11" x14ac:dyDescent="0.3">
      <c r="A270" s="9" t="s">
        <v>192</v>
      </c>
      <c r="B270" s="20">
        <v>45688</v>
      </c>
      <c r="C270" s="9" t="s">
        <v>245</v>
      </c>
      <c r="D270" s="15">
        <v>21190.59</v>
      </c>
      <c r="E270" s="15">
        <v>12761.24</v>
      </c>
      <c r="F270" s="15">
        <v>8998.34</v>
      </c>
      <c r="G270" s="15">
        <v>13201.58</v>
      </c>
      <c r="H270" s="15">
        <v>7433.44</v>
      </c>
      <c r="I270" s="15">
        <v>63585.19</v>
      </c>
      <c r="J270" s="15">
        <v>42394.6</v>
      </c>
      <c r="K270" s="19">
        <v>0.65854742483741358</v>
      </c>
    </row>
    <row r="271" spans="1:11" x14ac:dyDescent="0.3">
      <c r="A271" s="9" t="s">
        <v>192</v>
      </c>
      <c r="B271" s="20">
        <v>45688</v>
      </c>
      <c r="C271" s="9" t="s">
        <v>244</v>
      </c>
      <c r="D271" s="15">
        <v>11533.87</v>
      </c>
      <c r="E271" s="15">
        <v>9541.1299999999992</v>
      </c>
      <c r="F271" s="15">
        <v>4489.08</v>
      </c>
      <c r="G271" s="15">
        <v>2204.06</v>
      </c>
      <c r="H271" s="15">
        <v>2142.38</v>
      </c>
      <c r="I271" s="15">
        <v>29910.52</v>
      </c>
      <c r="J271" s="15">
        <v>18376.650000000001</v>
      </c>
      <c r="K271" s="19">
        <v>0.65854742483741358</v>
      </c>
    </row>
    <row r="272" spans="1:11" x14ac:dyDescent="0.3">
      <c r="A272" s="9" t="s">
        <v>192</v>
      </c>
      <c r="B272" s="20">
        <v>45688</v>
      </c>
      <c r="C272" s="9" t="s">
        <v>243</v>
      </c>
      <c r="D272" s="15">
        <v>768.68</v>
      </c>
      <c r="E272" s="15">
        <v>658.06</v>
      </c>
      <c r="F272" s="15">
        <v>151.57</v>
      </c>
      <c r="G272" s="15">
        <v>27.06</v>
      </c>
      <c r="H272" s="15">
        <v>247.71</v>
      </c>
      <c r="I272" s="15">
        <v>1853.08</v>
      </c>
      <c r="J272" s="15">
        <v>1084.4000000000001</v>
      </c>
      <c r="K272" s="19">
        <v>0.65854742483741358</v>
      </c>
    </row>
    <row r="273" spans="1:11" x14ac:dyDescent="0.3">
      <c r="A273" s="9" t="s">
        <v>192</v>
      </c>
      <c r="B273" s="20">
        <v>45688</v>
      </c>
      <c r="C273" s="9" t="s">
        <v>242</v>
      </c>
      <c r="D273" s="15">
        <v>12418.29</v>
      </c>
      <c r="E273" s="15">
        <v>12204.6</v>
      </c>
      <c r="F273" s="15">
        <v>16604.02</v>
      </c>
      <c r="G273" s="15">
        <v>5333.97</v>
      </c>
      <c r="H273" s="15">
        <v>6123.43</v>
      </c>
      <c r="I273" s="15">
        <v>52684.31</v>
      </c>
      <c r="J273" s="15">
        <v>40266.019999999997</v>
      </c>
      <c r="K273" s="19">
        <v>0.65854742483741358</v>
      </c>
    </row>
    <row r="274" spans="1:11" x14ac:dyDescent="0.3">
      <c r="A274" s="9" t="s">
        <v>192</v>
      </c>
      <c r="B274" s="20">
        <v>45688</v>
      </c>
      <c r="C274" s="9" t="s">
        <v>241</v>
      </c>
      <c r="D274" s="15">
        <v>32870.49</v>
      </c>
      <c r="E274" s="15">
        <v>13294.71</v>
      </c>
      <c r="F274" s="15">
        <v>9453.01</v>
      </c>
      <c r="G274" s="15">
        <v>5777.84</v>
      </c>
      <c r="H274" s="15">
        <v>4828.2299999999996</v>
      </c>
      <c r="I274" s="15">
        <v>66224.28</v>
      </c>
      <c r="J274" s="15">
        <v>33353.79</v>
      </c>
      <c r="K274" s="19">
        <v>0.65854742483741358</v>
      </c>
    </row>
    <row r="275" spans="1:11" x14ac:dyDescent="0.3">
      <c r="A275" s="9" t="s">
        <v>192</v>
      </c>
      <c r="B275" s="20">
        <v>45688</v>
      </c>
      <c r="C275" s="9" t="s">
        <v>209</v>
      </c>
      <c r="D275" s="15">
        <v>13875.67</v>
      </c>
      <c r="E275" s="15">
        <v>11082.51</v>
      </c>
      <c r="F275" s="15">
        <v>6419.3</v>
      </c>
      <c r="G275" s="15">
        <v>9332.86</v>
      </c>
      <c r="H275" s="15">
        <v>4792.43</v>
      </c>
      <c r="I275" s="15">
        <v>45502.76</v>
      </c>
      <c r="J275" s="15">
        <v>31627.09</v>
      </c>
      <c r="K275" s="19">
        <v>0.65854742483741358</v>
      </c>
    </row>
    <row r="276" spans="1:11" x14ac:dyDescent="0.3">
      <c r="A276" s="9" t="s">
        <v>192</v>
      </c>
      <c r="B276" s="20">
        <v>45688</v>
      </c>
      <c r="C276" s="9" t="s">
        <v>240</v>
      </c>
      <c r="D276" s="15">
        <v>3599.74</v>
      </c>
      <c r="E276" s="15">
        <v>1678.75</v>
      </c>
      <c r="F276" s="15">
        <v>767.11</v>
      </c>
      <c r="G276" s="15">
        <v>1170.3800000000001</v>
      </c>
      <c r="H276" s="15">
        <v>778.31</v>
      </c>
      <c r="I276" s="15">
        <v>7994.3</v>
      </c>
      <c r="J276" s="15">
        <v>4394.5600000000004</v>
      </c>
      <c r="K276" s="19">
        <v>0.65854742483741358</v>
      </c>
    </row>
    <row r="277" spans="1:11" x14ac:dyDescent="0.3">
      <c r="A277" s="9" t="s">
        <v>192</v>
      </c>
      <c r="B277" s="20">
        <v>45688</v>
      </c>
      <c r="C277" s="9" t="s">
        <v>239</v>
      </c>
      <c r="D277" s="15">
        <v>37427.11</v>
      </c>
      <c r="E277" s="15">
        <v>5353.52</v>
      </c>
      <c r="F277" s="15">
        <v>11715.36</v>
      </c>
      <c r="G277" s="15">
        <v>15614.44</v>
      </c>
      <c r="H277" s="15">
        <v>8813.66</v>
      </c>
      <c r="I277" s="15">
        <v>78924.09</v>
      </c>
      <c r="J277" s="15">
        <v>41496.980000000003</v>
      </c>
      <c r="K277" s="19">
        <v>0.65854742483741358</v>
      </c>
    </row>
    <row r="278" spans="1:11" x14ac:dyDescent="0.3">
      <c r="A278" s="9" t="s">
        <v>192</v>
      </c>
      <c r="B278" s="20">
        <v>45688</v>
      </c>
      <c r="C278" s="9" t="s">
        <v>238</v>
      </c>
      <c r="D278" s="15">
        <v>24107.81</v>
      </c>
      <c r="E278" s="15">
        <v>27410.799999999999</v>
      </c>
      <c r="F278" s="15">
        <v>21726.33</v>
      </c>
      <c r="G278" s="15">
        <v>2049.87</v>
      </c>
      <c r="H278" s="15">
        <v>11146.72</v>
      </c>
      <c r="I278" s="15">
        <v>86441.53</v>
      </c>
      <c r="J278" s="15">
        <v>62333.72</v>
      </c>
      <c r="K278" s="19">
        <v>0.65854742483741358</v>
      </c>
    </row>
    <row r="279" spans="1:11" x14ac:dyDescent="0.3">
      <c r="A279" s="9" t="s">
        <v>192</v>
      </c>
      <c r="B279" s="20">
        <v>45688</v>
      </c>
      <c r="C279" s="9" t="s">
        <v>237</v>
      </c>
      <c r="D279" s="15">
        <v>35411.949999999997</v>
      </c>
      <c r="E279" s="15">
        <v>16614.330000000002</v>
      </c>
      <c r="F279" s="15">
        <v>20014.080000000002</v>
      </c>
      <c r="G279" s="15">
        <v>4838.6000000000004</v>
      </c>
      <c r="H279" s="15">
        <v>4408.05</v>
      </c>
      <c r="I279" s="15">
        <v>81287.009999999995</v>
      </c>
      <c r="J279" s="15">
        <v>45875.06</v>
      </c>
      <c r="K279" s="19">
        <v>0.65854742483741358</v>
      </c>
    </row>
    <row r="280" spans="1:11" x14ac:dyDescent="0.3">
      <c r="A280" s="9" t="s">
        <v>192</v>
      </c>
      <c r="B280" s="20">
        <v>45688</v>
      </c>
      <c r="C280" s="9" t="s">
        <v>236</v>
      </c>
      <c r="D280" s="15">
        <v>4065.51</v>
      </c>
      <c r="E280" s="15">
        <v>3453.27</v>
      </c>
      <c r="F280" s="15">
        <v>1300.25</v>
      </c>
      <c r="G280" s="15">
        <v>1862.96</v>
      </c>
      <c r="H280" s="15">
        <v>206.71</v>
      </c>
      <c r="I280" s="15">
        <v>10888.71</v>
      </c>
      <c r="J280" s="15">
        <v>6823.19</v>
      </c>
      <c r="K280" s="19">
        <v>0.65854742483741358</v>
      </c>
    </row>
    <row r="281" spans="1:11" x14ac:dyDescent="0.3">
      <c r="A281" s="9" t="s">
        <v>192</v>
      </c>
      <c r="B281" s="20">
        <v>45688</v>
      </c>
      <c r="C281" s="9" t="s">
        <v>215</v>
      </c>
      <c r="D281" s="15">
        <v>16870.66</v>
      </c>
      <c r="E281" s="15">
        <v>10174.82</v>
      </c>
      <c r="F281" s="15">
        <v>9232.9</v>
      </c>
      <c r="G281" s="15">
        <v>7598.17</v>
      </c>
      <c r="H281" s="15">
        <v>6372.88</v>
      </c>
      <c r="I281" s="15">
        <v>50249.440000000002</v>
      </c>
      <c r="J281" s="15">
        <v>33378.78</v>
      </c>
      <c r="K281" s="19">
        <v>0.65854742483741358</v>
      </c>
    </row>
    <row r="282" spans="1:11" x14ac:dyDescent="0.3">
      <c r="A282" s="9" t="s">
        <v>192</v>
      </c>
      <c r="B282" s="20">
        <v>45716</v>
      </c>
      <c r="C282" s="9" t="s">
        <v>228</v>
      </c>
      <c r="D282" s="15">
        <v>86778.22</v>
      </c>
      <c r="E282" s="15">
        <v>9408.8799999999992</v>
      </c>
      <c r="F282" s="15">
        <v>54273.599999999999</v>
      </c>
      <c r="G282" s="15">
        <v>14388.65</v>
      </c>
      <c r="H282" s="15">
        <v>14929.52</v>
      </c>
      <c r="I282" s="15">
        <v>179778.86</v>
      </c>
      <c r="J282" s="15">
        <v>93000.639999999999</v>
      </c>
      <c r="K282" s="19">
        <v>0.82733518264666495</v>
      </c>
    </row>
    <row r="283" spans="1:11" x14ac:dyDescent="0.3">
      <c r="A283" s="9" t="s">
        <v>192</v>
      </c>
      <c r="B283" s="20">
        <v>45716</v>
      </c>
      <c r="C283" s="9" t="s">
        <v>207</v>
      </c>
      <c r="D283" s="15">
        <v>14419.76</v>
      </c>
      <c r="E283" s="15">
        <v>3584.93</v>
      </c>
      <c r="F283" s="15">
        <v>4850.42</v>
      </c>
      <c r="G283" s="15">
        <v>136.36000000000001</v>
      </c>
      <c r="H283" s="15">
        <v>14334.33</v>
      </c>
      <c r="I283" s="15">
        <v>37325.81</v>
      </c>
      <c r="J283" s="15">
        <v>22906.04</v>
      </c>
      <c r="K283" s="19">
        <v>0.82733518264666495</v>
      </c>
    </row>
    <row r="284" spans="1:11" x14ac:dyDescent="0.3">
      <c r="A284" s="9" t="s">
        <v>192</v>
      </c>
      <c r="B284" s="20">
        <v>45716</v>
      </c>
      <c r="C284" s="9" t="s">
        <v>211</v>
      </c>
      <c r="D284" s="15">
        <v>22655.52</v>
      </c>
      <c r="E284" s="15">
        <v>10150.4</v>
      </c>
      <c r="F284" s="15">
        <v>7851.02</v>
      </c>
      <c r="G284" s="15">
        <v>20454.47</v>
      </c>
      <c r="H284" s="15">
        <v>13484.36</v>
      </c>
      <c r="I284" s="15">
        <v>74595.77</v>
      </c>
      <c r="J284" s="15">
        <v>51940.25</v>
      </c>
      <c r="K284" s="19">
        <v>0.82733518264666495</v>
      </c>
    </row>
    <row r="285" spans="1:11" x14ac:dyDescent="0.3">
      <c r="A285" s="9" t="s">
        <v>192</v>
      </c>
      <c r="B285" s="20">
        <v>45716</v>
      </c>
      <c r="C285" s="9" t="s">
        <v>247</v>
      </c>
      <c r="D285" s="15">
        <v>47075.86</v>
      </c>
      <c r="E285" s="15">
        <v>10253.870000000001</v>
      </c>
      <c r="F285" s="15">
        <v>10881.98</v>
      </c>
      <c r="G285" s="15">
        <v>28248.87</v>
      </c>
      <c r="H285" s="15">
        <v>3874.31</v>
      </c>
      <c r="I285" s="15">
        <v>100334.89</v>
      </c>
      <c r="J285" s="15">
        <v>53259.02</v>
      </c>
      <c r="K285" s="19">
        <v>0.82733518264666495</v>
      </c>
    </row>
    <row r="286" spans="1:11" x14ac:dyDescent="0.3">
      <c r="A286" s="9" t="s">
        <v>192</v>
      </c>
      <c r="B286" s="20">
        <v>45716</v>
      </c>
      <c r="C286" s="9" t="s">
        <v>234</v>
      </c>
      <c r="D286" s="15">
        <v>39416.29</v>
      </c>
      <c r="E286" s="15">
        <v>19376.2</v>
      </c>
      <c r="F286" s="15">
        <v>25171.33</v>
      </c>
      <c r="G286" s="15">
        <v>2028.16</v>
      </c>
      <c r="H286" s="15">
        <v>4985.8900000000003</v>
      </c>
      <c r="I286" s="15">
        <v>90977.86</v>
      </c>
      <c r="J286" s="15">
        <v>51561.57</v>
      </c>
      <c r="K286" s="19">
        <v>0.82733518264666495</v>
      </c>
    </row>
    <row r="287" spans="1:11" x14ac:dyDescent="0.3">
      <c r="A287" s="9" t="s">
        <v>192</v>
      </c>
      <c r="B287" s="20">
        <v>45716</v>
      </c>
      <c r="C287" s="9" t="s">
        <v>246</v>
      </c>
      <c r="D287" s="15">
        <v>11636.57</v>
      </c>
      <c r="E287" s="15">
        <v>6576.82</v>
      </c>
      <c r="F287" s="15">
        <v>6138.78</v>
      </c>
      <c r="G287" s="15">
        <v>7702.76</v>
      </c>
      <c r="H287" s="15">
        <v>4344.34</v>
      </c>
      <c r="I287" s="15">
        <v>36399.279999999999</v>
      </c>
      <c r="J287" s="15">
        <v>24762.7</v>
      </c>
      <c r="K287" s="19">
        <v>0.82733518264666495</v>
      </c>
    </row>
    <row r="288" spans="1:11" x14ac:dyDescent="0.3">
      <c r="A288" s="9" t="s">
        <v>192</v>
      </c>
      <c r="B288" s="20">
        <v>45716</v>
      </c>
      <c r="C288" s="9" t="s">
        <v>219</v>
      </c>
      <c r="D288" s="15">
        <v>52570.16</v>
      </c>
      <c r="E288" s="15">
        <v>27696.880000000001</v>
      </c>
      <c r="F288" s="15">
        <v>24726</v>
      </c>
      <c r="G288" s="15">
        <v>13752.43</v>
      </c>
      <c r="H288" s="15">
        <v>5518.35</v>
      </c>
      <c r="I288" s="15">
        <v>124263.83</v>
      </c>
      <c r="J288" s="15">
        <v>71693.67</v>
      </c>
      <c r="K288" s="19">
        <v>0.82733518264666495</v>
      </c>
    </row>
    <row r="289" spans="1:11" x14ac:dyDescent="0.3">
      <c r="A289" s="9" t="s">
        <v>192</v>
      </c>
      <c r="B289" s="20">
        <v>45716</v>
      </c>
      <c r="C289" s="9" t="s">
        <v>223</v>
      </c>
      <c r="D289" s="15">
        <v>23975.15</v>
      </c>
      <c r="E289" s="15">
        <v>4338.82</v>
      </c>
      <c r="F289" s="15">
        <v>34223.300000000003</v>
      </c>
      <c r="G289" s="15">
        <v>8326.02</v>
      </c>
      <c r="H289" s="15">
        <v>8319.4599999999991</v>
      </c>
      <c r="I289" s="15">
        <v>79182.75</v>
      </c>
      <c r="J289" s="15">
        <v>55207.6</v>
      </c>
      <c r="K289" s="19">
        <v>0.82733518264666495</v>
      </c>
    </row>
    <row r="290" spans="1:11" x14ac:dyDescent="0.3">
      <c r="A290" s="9" t="s">
        <v>192</v>
      </c>
      <c r="B290" s="20">
        <v>45716</v>
      </c>
      <c r="C290" s="9" t="s">
        <v>245</v>
      </c>
      <c r="D290" s="15">
        <v>43159.519999999997</v>
      </c>
      <c r="E290" s="15">
        <v>11217.01</v>
      </c>
      <c r="F290" s="15">
        <v>7264.17</v>
      </c>
      <c r="G290" s="15">
        <v>28142.47</v>
      </c>
      <c r="H290" s="15">
        <v>4591.97</v>
      </c>
      <c r="I290" s="15">
        <v>94375.13</v>
      </c>
      <c r="J290" s="15">
        <v>51215.61</v>
      </c>
      <c r="K290" s="19">
        <v>0.82733518264666495</v>
      </c>
    </row>
    <row r="291" spans="1:11" x14ac:dyDescent="0.3">
      <c r="A291" s="9" t="s">
        <v>192</v>
      </c>
      <c r="B291" s="20">
        <v>45716</v>
      </c>
      <c r="C291" s="9" t="s">
        <v>244</v>
      </c>
      <c r="D291" s="15">
        <v>6710.75</v>
      </c>
      <c r="E291" s="15">
        <v>7394.84</v>
      </c>
      <c r="F291" s="15">
        <v>2074.73</v>
      </c>
      <c r="G291" s="15">
        <v>71.89</v>
      </c>
      <c r="H291" s="15">
        <v>1611.27</v>
      </c>
      <c r="I291" s="15">
        <v>17863.47</v>
      </c>
      <c r="J291" s="15">
        <v>11152.73</v>
      </c>
      <c r="K291" s="19">
        <v>0.82733518264666495</v>
      </c>
    </row>
    <row r="292" spans="1:11" x14ac:dyDescent="0.3">
      <c r="A292" s="9" t="s">
        <v>192</v>
      </c>
      <c r="B292" s="20">
        <v>45716</v>
      </c>
      <c r="C292" s="9" t="s">
        <v>243</v>
      </c>
      <c r="D292" s="15">
        <v>63532.21</v>
      </c>
      <c r="E292" s="15">
        <v>16451.810000000001</v>
      </c>
      <c r="F292" s="15">
        <v>35532.370000000003</v>
      </c>
      <c r="G292" s="15">
        <v>9381.92</v>
      </c>
      <c r="H292" s="15">
        <v>11897.06</v>
      </c>
      <c r="I292" s="15">
        <v>136795.38</v>
      </c>
      <c r="J292" s="15">
        <v>73263.17</v>
      </c>
      <c r="K292" s="19">
        <v>0.82733518264666495</v>
      </c>
    </row>
    <row r="293" spans="1:11" x14ac:dyDescent="0.3">
      <c r="A293" s="9" t="s">
        <v>192</v>
      </c>
      <c r="B293" s="20">
        <v>45716</v>
      </c>
      <c r="C293" s="9" t="s">
        <v>242</v>
      </c>
      <c r="D293" s="15">
        <v>12760.38</v>
      </c>
      <c r="E293" s="15">
        <v>19802.7</v>
      </c>
      <c r="F293" s="15">
        <v>8617.15</v>
      </c>
      <c r="G293" s="15">
        <v>5042.82</v>
      </c>
      <c r="H293" s="15">
        <v>1608.72</v>
      </c>
      <c r="I293" s="15">
        <v>47831.77</v>
      </c>
      <c r="J293" s="15">
        <v>35071.39</v>
      </c>
      <c r="K293" s="19">
        <v>0.82733518264666495</v>
      </c>
    </row>
    <row r="294" spans="1:11" x14ac:dyDescent="0.3">
      <c r="A294" s="9" t="s">
        <v>192</v>
      </c>
      <c r="B294" s="20">
        <v>45716</v>
      </c>
      <c r="C294" s="9" t="s">
        <v>241</v>
      </c>
      <c r="D294" s="15">
        <v>30365.72</v>
      </c>
      <c r="E294" s="15">
        <v>29658.19</v>
      </c>
      <c r="F294" s="15">
        <v>13923.45</v>
      </c>
      <c r="G294" s="15">
        <v>15259.95</v>
      </c>
      <c r="H294" s="15">
        <v>849.24</v>
      </c>
      <c r="I294" s="15">
        <v>90056.56</v>
      </c>
      <c r="J294" s="15">
        <v>59690.84</v>
      </c>
      <c r="K294" s="19">
        <v>0.82733518264666495</v>
      </c>
    </row>
    <row r="295" spans="1:11" x14ac:dyDescent="0.3">
      <c r="A295" s="9" t="s">
        <v>192</v>
      </c>
      <c r="B295" s="20">
        <v>45716</v>
      </c>
      <c r="C295" s="9" t="s">
        <v>209</v>
      </c>
      <c r="D295" s="15">
        <v>25148.05</v>
      </c>
      <c r="E295" s="15">
        <v>8032.89</v>
      </c>
      <c r="F295" s="15">
        <v>12587.16</v>
      </c>
      <c r="G295" s="15">
        <v>2248.9</v>
      </c>
      <c r="H295" s="15">
        <v>17457.849999999999</v>
      </c>
      <c r="I295" s="15">
        <v>65474.84</v>
      </c>
      <c r="J295" s="15">
        <v>40326.79</v>
      </c>
      <c r="K295" s="19">
        <v>0.82733518264666495</v>
      </c>
    </row>
    <row r="296" spans="1:11" x14ac:dyDescent="0.3">
      <c r="A296" s="9" t="s">
        <v>192</v>
      </c>
      <c r="B296" s="20">
        <v>45716</v>
      </c>
      <c r="C296" s="9" t="s">
        <v>240</v>
      </c>
      <c r="D296" s="15">
        <v>1235.97</v>
      </c>
      <c r="E296" s="15">
        <v>304.5</v>
      </c>
      <c r="F296" s="15">
        <v>300.81</v>
      </c>
      <c r="G296" s="15">
        <v>346.55</v>
      </c>
      <c r="H296" s="15">
        <v>389.6</v>
      </c>
      <c r="I296" s="15">
        <v>2577.44</v>
      </c>
      <c r="J296" s="15">
        <v>1341.46</v>
      </c>
      <c r="K296" s="19">
        <v>0.82733518264666495</v>
      </c>
    </row>
    <row r="297" spans="1:11" x14ac:dyDescent="0.3">
      <c r="A297" s="9" t="s">
        <v>192</v>
      </c>
      <c r="B297" s="20">
        <v>45716</v>
      </c>
      <c r="C297" s="9" t="s">
        <v>239</v>
      </c>
      <c r="D297" s="15">
        <v>29759.47</v>
      </c>
      <c r="E297" s="15">
        <v>13443.45</v>
      </c>
      <c r="F297" s="15">
        <v>13786.16</v>
      </c>
      <c r="G297" s="15">
        <v>11248.83</v>
      </c>
      <c r="H297" s="15">
        <v>41822.839999999997</v>
      </c>
      <c r="I297" s="15">
        <v>110060.74</v>
      </c>
      <c r="J297" s="15">
        <v>80301.27</v>
      </c>
      <c r="K297" s="19">
        <v>0.82733518264666495</v>
      </c>
    </row>
    <row r="298" spans="1:11" x14ac:dyDescent="0.3">
      <c r="A298" s="9" t="s">
        <v>192</v>
      </c>
      <c r="B298" s="20">
        <v>45716</v>
      </c>
      <c r="C298" s="9" t="s">
        <v>238</v>
      </c>
      <c r="D298" s="15">
        <v>50730.36</v>
      </c>
      <c r="E298" s="15">
        <v>23469.71</v>
      </c>
      <c r="F298" s="15">
        <v>6514.48</v>
      </c>
      <c r="G298" s="15">
        <v>12463.74</v>
      </c>
      <c r="H298" s="15">
        <v>8343.61</v>
      </c>
      <c r="I298" s="15">
        <v>101521.9</v>
      </c>
      <c r="J298" s="15">
        <v>50791.54</v>
      </c>
      <c r="K298" s="19">
        <v>0.82733518264666495</v>
      </c>
    </row>
    <row r="299" spans="1:11" x14ac:dyDescent="0.3">
      <c r="A299" s="9" t="s">
        <v>192</v>
      </c>
      <c r="B299" s="20">
        <v>45716</v>
      </c>
      <c r="C299" s="9" t="s">
        <v>237</v>
      </c>
      <c r="D299" s="15">
        <v>3973.73</v>
      </c>
      <c r="E299" s="15">
        <v>3682.03</v>
      </c>
      <c r="F299" s="15">
        <v>6199.13</v>
      </c>
      <c r="G299" s="15">
        <v>1446.58</v>
      </c>
      <c r="H299" s="15">
        <v>1124.6199999999999</v>
      </c>
      <c r="I299" s="15">
        <v>16426.09</v>
      </c>
      <c r="J299" s="15">
        <v>12452.35</v>
      </c>
      <c r="K299" s="19">
        <v>0.82733518264666495</v>
      </c>
    </row>
    <row r="300" spans="1:11" x14ac:dyDescent="0.3">
      <c r="A300" s="9" t="s">
        <v>192</v>
      </c>
      <c r="B300" s="20">
        <v>45716</v>
      </c>
      <c r="C300" s="9" t="s">
        <v>236</v>
      </c>
      <c r="D300" s="15">
        <v>18514.05</v>
      </c>
      <c r="E300" s="15">
        <v>11844.05</v>
      </c>
      <c r="F300" s="15">
        <v>19729.37</v>
      </c>
      <c r="G300" s="15">
        <v>8839.19</v>
      </c>
      <c r="H300" s="15">
        <v>2012.5</v>
      </c>
      <c r="I300" s="15">
        <v>60939.15</v>
      </c>
      <c r="J300" s="15">
        <v>42425.1</v>
      </c>
      <c r="K300" s="19">
        <v>0.82733518264666495</v>
      </c>
    </row>
    <row r="301" spans="1:11" x14ac:dyDescent="0.3">
      <c r="A301" s="9" t="s">
        <v>192</v>
      </c>
      <c r="B301" s="20">
        <v>45716</v>
      </c>
      <c r="C301" s="9" t="s">
        <v>215</v>
      </c>
      <c r="D301" s="15">
        <v>12304.86</v>
      </c>
      <c r="E301" s="15">
        <v>10240.93</v>
      </c>
      <c r="F301" s="15">
        <v>3164.7</v>
      </c>
      <c r="G301" s="15">
        <v>3896.69</v>
      </c>
      <c r="H301" s="15">
        <v>1220.05</v>
      </c>
      <c r="I301" s="15">
        <v>30827.24</v>
      </c>
      <c r="J301" s="15">
        <v>18522.37</v>
      </c>
      <c r="K301" s="19">
        <v>0.82733518264666495</v>
      </c>
    </row>
    <row r="302" spans="1:11" x14ac:dyDescent="0.3">
      <c r="A302" s="9" t="s">
        <v>192</v>
      </c>
      <c r="B302" s="20">
        <v>45747</v>
      </c>
      <c r="C302" s="9" t="s">
        <v>228</v>
      </c>
      <c r="D302" s="15">
        <v>48522.5</v>
      </c>
      <c r="E302" s="15">
        <v>22130.58</v>
      </c>
      <c r="F302" s="15">
        <v>4181.5200000000004</v>
      </c>
      <c r="G302" s="15">
        <v>18699.810000000001</v>
      </c>
      <c r="H302" s="15">
        <v>14512.7</v>
      </c>
      <c r="I302" s="15">
        <v>108047.11</v>
      </c>
      <c r="J302" s="15">
        <v>59524.61</v>
      </c>
      <c r="K302" s="19">
        <v>0.75809476822899691</v>
      </c>
    </row>
    <row r="303" spans="1:11" x14ac:dyDescent="0.3">
      <c r="A303" s="9" t="s">
        <v>192</v>
      </c>
      <c r="B303" s="20">
        <v>45747</v>
      </c>
      <c r="C303" s="9" t="s">
        <v>207</v>
      </c>
      <c r="D303" s="15">
        <v>27226.34</v>
      </c>
      <c r="E303" s="15">
        <v>14953.92</v>
      </c>
      <c r="F303" s="15">
        <v>15872.5</v>
      </c>
      <c r="G303" s="15">
        <v>14865.39</v>
      </c>
      <c r="H303" s="15">
        <v>1518.72</v>
      </c>
      <c r="I303" s="15">
        <v>74436.87</v>
      </c>
      <c r="J303" s="15">
        <v>47210.53</v>
      </c>
      <c r="K303" s="19">
        <v>0.75809476822899691</v>
      </c>
    </row>
    <row r="304" spans="1:11" x14ac:dyDescent="0.3">
      <c r="A304" s="9" t="s">
        <v>192</v>
      </c>
      <c r="B304" s="20">
        <v>45747</v>
      </c>
      <c r="C304" s="9" t="s">
        <v>211</v>
      </c>
      <c r="D304" s="15">
        <v>2257.5700000000002</v>
      </c>
      <c r="E304" s="15">
        <v>2733.3</v>
      </c>
      <c r="F304" s="15">
        <v>577.76</v>
      </c>
      <c r="G304" s="15">
        <v>940.88</v>
      </c>
      <c r="H304" s="15">
        <v>1352.55</v>
      </c>
      <c r="I304" s="15">
        <v>7862.06</v>
      </c>
      <c r="J304" s="15">
        <v>5604.49</v>
      </c>
      <c r="K304" s="19">
        <v>0.75809476822899691</v>
      </c>
    </row>
    <row r="305" spans="1:11" x14ac:dyDescent="0.3">
      <c r="A305" s="9" t="s">
        <v>192</v>
      </c>
      <c r="B305" s="20">
        <v>45747</v>
      </c>
      <c r="C305" s="9" t="s">
        <v>247</v>
      </c>
      <c r="D305" s="15">
        <v>25109.39</v>
      </c>
      <c r="E305" s="15">
        <v>24814.77</v>
      </c>
      <c r="F305" s="15">
        <v>14328.49</v>
      </c>
      <c r="G305" s="15">
        <v>20306.87</v>
      </c>
      <c r="H305" s="15">
        <v>2572.46</v>
      </c>
      <c r="I305" s="15">
        <v>87131.98</v>
      </c>
      <c r="J305" s="15">
        <v>62022.59</v>
      </c>
      <c r="K305" s="19">
        <v>0.75809476822899691</v>
      </c>
    </row>
    <row r="306" spans="1:11" x14ac:dyDescent="0.3">
      <c r="A306" s="9" t="s">
        <v>192</v>
      </c>
      <c r="B306" s="20">
        <v>45747</v>
      </c>
      <c r="C306" s="9" t="s">
        <v>234</v>
      </c>
      <c r="D306" s="15">
        <v>17059.41</v>
      </c>
      <c r="E306" s="15">
        <v>7696.39</v>
      </c>
      <c r="F306" s="15">
        <v>14971.69</v>
      </c>
      <c r="G306" s="15">
        <v>5612.46</v>
      </c>
      <c r="H306" s="15">
        <v>6283.59</v>
      </c>
      <c r="I306" s="15">
        <v>51623.54</v>
      </c>
      <c r="J306" s="15">
        <v>34564.129999999997</v>
      </c>
      <c r="K306" s="19">
        <v>0.75809476822899691</v>
      </c>
    </row>
    <row r="307" spans="1:11" x14ac:dyDescent="0.3">
      <c r="A307" s="9" t="s">
        <v>192</v>
      </c>
      <c r="B307" s="20">
        <v>45747</v>
      </c>
      <c r="C307" s="9" t="s">
        <v>246</v>
      </c>
      <c r="D307" s="15">
        <v>21636.57</v>
      </c>
      <c r="E307" s="15">
        <v>10902.94</v>
      </c>
      <c r="F307" s="15">
        <v>25726.22</v>
      </c>
      <c r="G307" s="15">
        <v>15847.21</v>
      </c>
      <c r="H307" s="15">
        <v>5158.53</v>
      </c>
      <c r="I307" s="15">
        <v>79271.48</v>
      </c>
      <c r="J307" s="15">
        <v>57634.9</v>
      </c>
      <c r="K307" s="19">
        <v>0.75809476822899691</v>
      </c>
    </row>
    <row r="308" spans="1:11" x14ac:dyDescent="0.3">
      <c r="A308" s="9" t="s">
        <v>192</v>
      </c>
      <c r="B308" s="20">
        <v>45747</v>
      </c>
      <c r="C308" s="9" t="s">
        <v>219</v>
      </c>
      <c r="D308" s="15">
        <v>13858.54</v>
      </c>
      <c r="E308" s="15">
        <v>11955.5</v>
      </c>
      <c r="F308" s="15">
        <v>1445.71</v>
      </c>
      <c r="G308" s="15">
        <v>8021.59</v>
      </c>
      <c r="H308" s="15">
        <v>4648.46</v>
      </c>
      <c r="I308" s="15">
        <v>39929.800000000003</v>
      </c>
      <c r="J308" s="15">
        <v>26071.26</v>
      </c>
      <c r="K308" s="19">
        <v>0.75809476822899691</v>
      </c>
    </row>
    <row r="309" spans="1:11" x14ac:dyDescent="0.3">
      <c r="A309" s="9" t="s">
        <v>192</v>
      </c>
      <c r="B309" s="20">
        <v>45747</v>
      </c>
      <c r="C309" s="9" t="s">
        <v>223</v>
      </c>
      <c r="D309" s="15">
        <v>995.06</v>
      </c>
      <c r="E309" s="15">
        <v>782.28</v>
      </c>
      <c r="F309" s="15">
        <v>1169.3599999999999</v>
      </c>
      <c r="G309" s="15">
        <v>563.55999999999995</v>
      </c>
      <c r="H309" s="15">
        <v>489.33</v>
      </c>
      <c r="I309" s="15">
        <v>3999.59</v>
      </c>
      <c r="J309" s="15">
        <v>3004.52</v>
      </c>
      <c r="K309" s="19">
        <v>0.75809476822899691</v>
      </c>
    </row>
    <row r="310" spans="1:11" x14ac:dyDescent="0.3">
      <c r="A310" s="9" t="s">
        <v>192</v>
      </c>
      <c r="B310" s="20">
        <v>45747</v>
      </c>
      <c r="C310" s="9" t="s">
        <v>245</v>
      </c>
      <c r="D310" s="15">
        <v>57167.34</v>
      </c>
      <c r="E310" s="15">
        <v>11221.16</v>
      </c>
      <c r="F310" s="15">
        <v>16457.14</v>
      </c>
      <c r="G310" s="15">
        <v>11471.85</v>
      </c>
      <c r="H310" s="15">
        <v>20071.82</v>
      </c>
      <c r="I310" s="15">
        <v>116389.31</v>
      </c>
      <c r="J310" s="15">
        <v>59221.97</v>
      </c>
      <c r="K310" s="19">
        <v>0.75809476822899691</v>
      </c>
    </row>
    <row r="311" spans="1:11" x14ac:dyDescent="0.3">
      <c r="A311" s="9" t="s">
        <v>192</v>
      </c>
      <c r="B311" s="20">
        <v>45747</v>
      </c>
      <c r="C311" s="9" t="s">
        <v>244</v>
      </c>
      <c r="D311" s="15">
        <v>15280.08</v>
      </c>
      <c r="E311" s="15">
        <v>7142.14</v>
      </c>
      <c r="F311" s="15">
        <v>514.77</v>
      </c>
      <c r="G311" s="15">
        <v>5008.6400000000003</v>
      </c>
      <c r="H311" s="15">
        <v>3161.51</v>
      </c>
      <c r="I311" s="15">
        <v>31107.15</v>
      </c>
      <c r="J311" s="15">
        <v>15827.07</v>
      </c>
      <c r="K311" s="19">
        <v>0.75809476822899691</v>
      </c>
    </row>
    <row r="312" spans="1:11" x14ac:dyDescent="0.3">
      <c r="A312" s="9" t="s">
        <v>192</v>
      </c>
      <c r="B312" s="20">
        <v>45747</v>
      </c>
      <c r="C312" s="9" t="s">
        <v>243</v>
      </c>
      <c r="D312" s="15">
        <v>10147.51</v>
      </c>
      <c r="E312" s="15">
        <v>5763.14</v>
      </c>
      <c r="F312" s="15">
        <v>3647.54</v>
      </c>
      <c r="G312" s="15">
        <v>6912.73</v>
      </c>
      <c r="H312" s="15">
        <v>1327.13</v>
      </c>
      <c r="I312" s="15">
        <v>27798.05</v>
      </c>
      <c r="J312" s="15">
        <v>17650.53</v>
      </c>
      <c r="K312" s="19">
        <v>0.75809476822899691</v>
      </c>
    </row>
    <row r="313" spans="1:11" x14ac:dyDescent="0.3">
      <c r="A313" s="9" t="s">
        <v>192</v>
      </c>
      <c r="B313" s="20">
        <v>45747</v>
      </c>
      <c r="C313" s="9" t="s">
        <v>242</v>
      </c>
      <c r="D313" s="15">
        <v>33146.949999999997</v>
      </c>
      <c r="E313" s="15">
        <v>33917.68</v>
      </c>
      <c r="F313" s="15">
        <v>5213.55</v>
      </c>
      <c r="G313" s="15">
        <v>14030.99</v>
      </c>
      <c r="H313" s="15">
        <v>3971.3</v>
      </c>
      <c r="I313" s="15">
        <v>90280.47</v>
      </c>
      <c r="J313" s="15">
        <v>57133.52</v>
      </c>
      <c r="K313" s="19">
        <v>0.75809476822899691</v>
      </c>
    </row>
    <row r="314" spans="1:11" x14ac:dyDescent="0.3">
      <c r="A314" s="9" t="s">
        <v>192</v>
      </c>
      <c r="B314" s="20">
        <v>45747</v>
      </c>
      <c r="C314" s="9" t="s">
        <v>241</v>
      </c>
      <c r="D314" s="15">
        <v>29989.33</v>
      </c>
      <c r="E314" s="15">
        <v>15235.32</v>
      </c>
      <c r="F314" s="15">
        <v>3182</v>
      </c>
      <c r="G314" s="15">
        <v>21788.080000000002</v>
      </c>
      <c r="H314" s="15">
        <v>19685.580000000002</v>
      </c>
      <c r="I314" s="15">
        <v>89880.3</v>
      </c>
      <c r="J314" s="15">
        <v>59890.97</v>
      </c>
      <c r="K314" s="19">
        <v>0.75809476822899691</v>
      </c>
    </row>
    <row r="315" spans="1:11" x14ac:dyDescent="0.3">
      <c r="A315" s="9" t="s">
        <v>192</v>
      </c>
      <c r="B315" s="20">
        <v>45747</v>
      </c>
      <c r="C315" s="9" t="s">
        <v>209</v>
      </c>
      <c r="D315" s="15">
        <v>18449.16</v>
      </c>
      <c r="E315" s="15">
        <v>19734.990000000002</v>
      </c>
      <c r="F315" s="15">
        <v>9199.7800000000007</v>
      </c>
      <c r="G315" s="15">
        <v>4619.03</v>
      </c>
      <c r="H315" s="15">
        <v>14623.64</v>
      </c>
      <c r="I315" s="15">
        <v>66626.61</v>
      </c>
      <c r="J315" s="15">
        <v>48177.440000000002</v>
      </c>
      <c r="K315" s="19">
        <v>0.75809476822899691</v>
      </c>
    </row>
    <row r="316" spans="1:11" x14ac:dyDescent="0.3">
      <c r="A316" s="9" t="s">
        <v>192</v>
      </c>
      <c r="B316" s="20">
        <v>45747</v>
      </c>
      <c r="C316" s="9" t="s">
        <v>240</v>
      </c>
      <c r="D316" s="15">
        <v>45709.27</v>
      </c>
      <c r="E316" s="15">
        <v>12285.54</v>
      </c>
      <c r="F316" s="15">
        <v>7371.7</v>
      </c>
      <c r="G316" s="15">
        <v>28124.080000000002</v>
      </c>
      <c r="H316" s="15">
        <v>5041.58</v>
      </c>
      <c r="I316" s="15">
        <v>98532.17</v>
      </c>
      <c r="J316" s="15">
        <v>52822.89</v>
      </c>
      <c r="K316" s="19">
        <v>0.75809476822899691</v>
      </c>
    </row>
    <row r="317" spans="1:11" x14ac:dyDescent="0.3">
      <c r="A317" s="9" t="s">
        <v>192</v>
      </c>
      <c r="B317" s="20">
        <v>45747</v>
      </c>
      <c r="C317" s="9" t="s">
        <v>239</v>
      </c>
      <c r="D317" s="15">
        <v>19082.349999999999</v>
      </c>
      <c r="E317" s="15">
        <v>14343.14</v>
      </c>
      <c r="F317" s="15">
        <v>3206.55</v>
      </c>
      <c r="G317" s="15">
        <v>20953.599999999999</v>
      </c>
      <c r="H317" s="15">
        <v>2653.47</v>
      </c>
      <c r="I317" s="15">
        <v>60239.12</v>
      </c>
      <c r="J317" s="15">
        <v>41156.769999999997</v>
      </c>
      <c r="K317" s="19">
        <v>0.75809476822899691</v>
      </c>
    </row>
    <row r="318" spans="1:11" x14ac:dyDescent="0.3">
      <c r="A318" s="9" t="s">
        <v>192</v>
      </c>
      <c r="B318" s="20">
        <v>45747</v>
      </c>
      <c r="C318" s="9" t="s">
        <v>238</v>
      </c>
      <c r="D318" s="15">
        <v>31699.71</v>
      </c>
      <c r="E318" s="15">
        <v>15585.25</v>
      </c>
      <c r="F318" s="15">
        <v>2553.1999999999998</v>
      </c>
      <c r="G318" s="15">
        <v>2624.62</v>
      </c>
      <c r="H318" s="15">
        <v>12286.87</v>
      </c>
      <c r="I318" s="15">
        <v>64749.65</v>
      </c>
      <c r="J318" s="15">
        <v>33049.93</v>
      </c>
      <c r="K318" s="19">
        <v>0.75809476822899691</v>
      </c>
    </row>
    <row r="319" spans="1:11" x14ac:dyDescent="0.3">
      <c r="A319" s="9" t="s">
        <v>192</v>
      </c>
      <c r="B319" s="20">
        <v>45747</v>
      </c>
      <c r="C319" s="9" t="s">
        <v>237</v>
      </c>
      <c r="D319" s="15">
        <v>8482.08</v>
      </c>
      <c r="E319" s="15">
        <v>2611.36</v>
      </c>
      <c r="F319" s="15">
        <v>3062.49</v>
      </c>
      <c r="G319" s="15">
        <v>5407.24</v>
      </c>
      <c r="H319" s="15">
        <v>2484.31</v>
      </c>
      <c r="I319" s="15">
        <v>22047.47</v>
      </c>
      <c r="J319" s="15">
        <v>13565.4</v>
      </c>
      <c r="K319" s="19">
        <v>0.75809476822899691</v>
      </c>
    </row>
    <row r="320" spans="1:11" x14ac:dyDescent="0.3">
      <c r="A320" s="9" t="s">
        <v>192</v>
      </c>
      <c r="B320" s="20">
        <v>45747</v>
      </c>
      <c r="C320" s="9" t="s">
        <v>236</v>
      </c>
      <c r="D320" s="15">
        <v>9209.2199999999993</v>
      </c>
      <c r="E320" s="15">
        <v>5377.07</v>
      </c>
      <c r="F320" s="15">
        <v>5280.54</v>
      </c>
      <c r="G320" s="15">
        <v>1939.58</v>
      </c>
      <c r="H320" s="15">
        <v>4067.58</v>
      </c>
      <c r="I320" s="15">
        <v>25873.99</v>
      </c>
      <c r="J320" s="15">
        <v>16664.77</v>
      </c>
      <c r="K320" s="19">
        <v>0.75809476822899691</v>
      </c>
    </row>
    <row r="321" spans="1:11" x14ac:dyDescent="0.3">
      <c r="A321" s="9" t="s">
        <v>192</v>
      </c>
      <c r="B321" s="20">
        <v>45747</v>
      </c>
      <c r="C321" s="9" t="s">
        <v>215</v>
      </c>
      <c r="D321" s="15">
        <v>37019.620000000003</v>
      </c>
      <c r="E321" s="15">
        <v>5000.6400000000003</v>
      </c>
      <c r="F321" s="15">
        <v>16263.65</v>
      </c>
      <c r="G321" s="15">
        <v>15367.75</v>
      </c>
      <c r="H321" s="15">
        <v>19558.39</v>
      </c>
      <c r="I321" s="15">
        <v>93210.06</v>
      </c>
      <c r="J321" s="15">
        <v>56190.44</v>
      </c>
      <c r="K321" s="19">
        <v>0.75809476822899691</v>
      </c>
    </row>
    <row r="322" spans="1:11" x14ac:dyDescent="0.3">
      <c r="A322" s="9" t="s">
        <v>192</v>
      </c>
      <c r="B322" s="20">
        <v>45777</v>
      </c>
      <c r="C322" s="9" t="s">
        <v>228</v>
      </c>
      <c r="D322" s="15">
        <v>51700.35</v>
      </c>
      <c r="E322" s="15">
        <v>25979.53</v>
      </c>
      <c r="F322" s="15">
        <v>10676.4</v>
      </c>
      <c r="G322" s="15">
        <v>2456.91</v>
      </c>
      <c r="H322" s="15">
        <v>19404.18</v>
      </c>
      <c r="I322" s="15">
        <v>110217.36</v>
      </c>
      <c r="J322" s="15">
        <v>58517.02</v>
      </c>
      <c r="K322" s="19">
        <v>0.66968024040780683</v>
      </c>
    </row>
    <row r="323" spans="1:11" x14ac:dyDescent="0.3">
      <c r="A323" s="9" t="s">
        <v>192</v>
      </c>
      <c r="B323" s="20">
        <v>45777</v>
      </c>
      <c r="C323" s="9" t="s">
        <v>207</v>
      </c>
      <c r="D323" s="15">
        <v>16250.55</v>
      </c>
      <c r="E323" s="15">
        <v>22296.84</v>
      </c>
      <c r="F323" s="15">
        <v>10566.38</v>
      </c>
      <c r="G323" s="15">
        <v>8352.4</v>
      </c>
      <c r="H323" s="15">
        <v>4947.7700000000004</v>
      </c>
      <c r="I323" s="15">
        <v>62413.94</v>
      </c>
      <c r="J323" s="15">
        <v>46163.39</v>
      </c>
      <c r="K323" s="19">
        <v>0.66968024040780683</v>
      </c>
    </row>
    <row r="324" spans="1:11" x14ac:dyDescent="0.3">
      <c r="A324" s="9" t="s">
        <v>192</v>
      </c>
      <c r="B324" s="20">
        <v>45777</v>
      </c>
      <c r="C324" s="9" t="s">
        <v>211</v>
      </c>
      <c r="D324" s="15">
        <v>5196.7299999999996</v>
      </c>
      <c r="E324" s="15">
        <v>2419.27</v>
      </c>
      <c r="F324" s="15">
        <v>4433.49</v>
      </c>
      <c r="G324" s="15">
        <v>1321.72</v>
      </c>
      <c r="H324" s="15">
        <v>418.66</v>
      </c>
      <c r="I324" s="15">
        <v>13789.88</v>
      </c>
      <c r="J324" s="15">
        <v>8593.15</v>
      </c>
      <c r="K324" s="19">
        <v>0.66968024040780683</v>
      </c>
    </row>
    <row r="325" spans="1:11" x14ac:dyDescent="0.3">
      <c r="A325" s="9" t="s">
        <v>192</v>
      </c>
      <c r="B325" s="20">
        <v>45777</v>
      </c>
      <c r="C325" s="9" t="s">
        <v>247</v>
      </c>
      <c r="D325" s="15">
        <v>20094.96</v>
      </c>
      <c r="E325" s="15">
        <v>35440.519999999997</v>
      </c>
      <c r="F325" s="15">
        <v>7098.84</v>
      </c>
      <c r="G325" s="15">
        <v>3220.87</v>
      </c>
      <c r="H325" s="15">
        <v>7880.96</v>
      </c>
      <c r="I325" s="15">
        <v>73736.160000000003</v>
      </c>
      <c r="J325" s="15">
        <v>53641.2</v>
      </c>
      <c r="K325" s="19">
        <v>0.66968024040780683</v>
      </c>
    </row>
    <row r="326" spans="1:11" x14ac:dyDescent="0.3">
      <c r="A326" s="9" t="s">
        <v>192</v>
      </c>
      <c r="B326" s="20">
        <v>45777</v>
      </c>
      <c r="C326" s="9" t="s">
        <v>234</v>
      </c>
      <c r="D326" s="15">
        <v>54241.89</v>
      </c>
      <c r="E326" s="15">
        <v>18533.62</v>
      </c>
      <c r="F326" s="15">
        <v>10635.92</v>
      </c>
      <c r="G326" s="15">
        <v>25241.99</v>
      </c>
      <c r="H326" s="15">
        <v>3936.47</v>
      </c>
      <c r="I326" s="15">
        <v>112589.9</v>
      </c>
      <c r="J326" s="15">
        <v>58348</v>
      </c>
      <c r="K326" s="19">
        <v>0.66968024040780683</v>
      </c>
    </row>
    <row r="327" spans="1:11" x14ac:dyDescent="0.3">
      <c r="A327" s="9" t="s">
        <v>192</v>
      </c>
      <c r="B327" s="20">
        <v>45777</v>
      </c>
      <c r="C327" s="9" t="s">
        <v>246</v>
      </c>
      <c r="D327" s="15">
        <v>10814.03</v>
      </c>
      <c r="E327" s="15">
        <v>15221.16</v>
      </c>
      <c r="F327" s="15">
        <v>3812.23</v>
      </c>
      <c r="G327" s="15">
        <v>7170.56</v>
      </c>
      <c r="H327" s="15">
        <v>3549.32</v>
      </c>
      <c r="I327" s="15">
        <v>40567.31</v>
      </c>
      <c r="J327" s="15">
        <v>29753.279999999999</v>
      </c>
      <c r="K327" s="19">
        <v>0.66968024040780683</v>
      </c>
    </row>
    <row r="328" spans="1:11" x14ac:dyDescent="0.3">
      <c r="A328" s="9" t="s">
        <v>192</v>
      </c>
      <c r="B328" s="20">
        <v>45777</v>
      </c>
      <c r="C328" s="9" t="s">
        <v>219</v>
      </c>
      <c r="D328" s="15">
        <v>28007.42</v>
      </c>
      <c r="E328" s="15">
        <v>12112.45</v>
      </c>
      <c r="F328" s="15">
        <v>11512.19</v>
      </c>
      <c r="G328" s="15">
        <v>618</v>
      </c>
      <c r="H328" s="15">
        <v>4442.17</v>
      </c>
      <c r="I328" s="15">
        <v>56692.23</v>
      </c>
      <c r="J328" s="15">
        <v>28684.81</v>
      </c>
      <c r="K328" s="19">
        <v>0.66968024040780683</v>
      </c>
    </row>
    <row r="329" spans="1:11" x14ac:dyDescent="0.3">
      <c r="A329" s="9" t="s">
        <v>192</v>
      </c>
      <c r="B329" s="20">
        <v>45777</v>
      </c>
      <c r="C329" s="9" t="s">
        <v>223</v>
      </c>
      <c r="D329" s="15">
        <v>30915.99</v>
      </c>
      <c r="E329" s="15">
        <v>8369.85</v>
      </c>
      <c r="F329" s="15">
        <v>34260.93</v>
      </c>
      <c r="G329" s="15">
        <v>352.73</v>
      </c>
      <c r="H329" s="15">
        <v>791.41</v>
      </c>
      <c r="I329" s="15">
        <v>74690.899999999994</v>
      </c>
      <c r="J329" s="15">
        <v>43774.92</v>
      </c>
      <c r="K329" s="19">
        <v>0.66968024040780683</v>
      </c>
    </row>
    <row r="330" spans="1:11" x14ac:dyDescent="0.3">
      <c r="A330" s="9" t="s">
        <v>192</v>
      </c>
      <c r="B330" s="20">
        <v>45777</v>
      </c>
      <c r="C330" s="9" t="s">
        <v>245</v>
      </c>
      <c r="D330" s="15">
        <v>21883.06</v>
      </c>
      <c r="E330" s="15">
        <v>17041.189999999999</v>
      </c>
      <c r="F330" s="15">
        <v>3718.51</v>
      </c>
      <c r="G330" s="15">
        <v>7780.33</v>
      </c>
      <c r="H330" s="15">
        <v>7130.02</v>
      </c>
      <c r="I330" s="15">
        <v>57553.11</v>
      </c>
      <c r="J330" s="15">
        <v>35670.050000000003</v>
      </c>
      <c r="K330" s="19">
        <v>0.66968024040780683</v>
      </c>
    </row>
    <row r="331" spans="1:11" x14ac:dyDescent="0.3">
      <c r="A331" s="9" t="s">
        <v>192</v>
      </c>
      <c r="B331" s="20">
        <v>45777</v>
      </c>
      <c r="C331" s="9" t="s">
        <v>244</v>
      </c>
      <c r="D331" s="15">
        <v>12922.48</v>
      </c>
      <c r="E331" s="15">
        <v>3260.88</v>
      </c>
      <c r="F331" s="15">
        <v>10320.89</v>
      </c>
      <c r="G331" s="15">
        <v>1647.43</v>
      </c>
      <c r="H331" s="15">
        <v>7819.03</v>
      </c>
      <c r="I331" s="15">
        <v>35970.71</v>
      </c>
      <c r="J331" s="15">
        <v>23048.23</v>
      </c>
      <c r="K331" s="19">
        <v>0.66968024040780683</v>
      </c>
    </row>
    <row r="332" spans="1:11" x14ac:dyDescent="0.3">
      <c r="A332" s="9" t="s">
        <v>192</v>
      </c>
      <c r="B332" s="20">
        <v>45777</v>
      </c>
      <c r="C332" s="9" t="s">
        <v>243</v>
      </c>
      <c r="D332" s="15">
        <v>10821.82</v>
      </c>
      <c r="E332" s="15">
        <v>2851.11</v>
      </c>
      <c r="F332" s="15">
        <v>5652.23</v>
      </c>
      <c r="G332" s="15">
        <v>2835.11</v>
      </c>
      <c r="H332" s="15">
        <v>2016.35</v>
      </c>
      <c r="I332" s="15">
        <v>24176.63</v>
      </c>
      <c r="J332" s="15">
        <v>13354.8</v>
      </c>
      <c r="K332" s="19">
        <v>0.66968024040780683</v>
      </c>
    </row>
    <row r="333" spans="1:11" x14ac:dyDescent="0.3">
      <c r="A333" s="9" t="s">
        <v>192</v>
      </c>
      <c r="B333" s="20">
        <v>45777</v>
      </c>
      <c r="C333" s="9" t="s">
        <v>242</v>
      </c>
      <c r="D333" s="15">
        <v>23679.03</v>
      </c>
      <c r="E333" s="15">
        <v>19904.47</v>
      </c>
      <c r="F333" s="15">
        <v>7578.61</v>
      </c>
      <c r="G333" s="15">
        <v>3684.63</v>
      </c>
      <c r="H333" s="15">
        <v>2869.15</v>
      </c>
      <c r="I333" s="15">
        <v>57715.89</v>
      </c>
      <c r="J333" s="15">
        <v>34036.86</v>
      </c>
      <c r="K333" s="19">
        <v>0.66968024040780683</v>
      </c>
    </row>
    <row r="334" spans="1:11" x14ac:dyDescent="0.3">
      <c r="A334" s="9" t="s">
        <v>192</v>
      </c>
      <c r="B334" s="20">
        <v>45777</v>
      </c>
      <c r="C334" s="9" t="s">
        <v>241</v>
      </c>
      <c r="D334" s="15">
        <v>33237.9</v>
      </c>
      <c r="E334" s="15">
        <v>23263.439999999999</v>
      </c>
      <c r="F334" s="15">
        <v>24451.64</v>
      </c>
      <c r="G334" s="15">
        <v>4861.8</v>
      </c>
      <c r="H334" s="15">
        <v>5473.24</v>
      </c>
      <c r="I334" s="15">
        <v>91288.01</v>
      </c>
      <c r="J334" s="15">
        <v>58050.11</v>
      </c>
      <c r="K334" s="19">
        <v>0.66968024040780683</v>
      </c>
    </row>
    <row r="335" spans="1:11" x14ac:dyDescent="0.3">
      <c r="A335" s="9" t="s">
        <v>192</v>
      </c>
      <c r="B335" s="20">
        <v>45777</v>
      </c>
      <c r="C335" s="9" t="s">
        <v>209</v>
      </c>
      <c r="D335" s="15">
        <v>36312.089999999997</v>
      </c>
      <c r="E335" s="15">
        <v>24539.01</v>
      </c>
      <c r="F335" s="15">
        <v>19887.62</v>
      </c>
      <c r="G335" s="15">
        <v>2456.2199999999998</v>
      </c>
      <c r="H335" s="15">
        <v>6429.73</v>
      </c>
      <c r="I335" s="15">
        <v>89624.67</v>
      </c>
      <c r="J335" s="15">
        <v>53312.58</v>
      </c>
      <c r="K335" s="19">
        <v>0.66968024040780683</v>
      </c>
    </row>
    <row r="336" spans="1:11" x14ac:dyDescent="0.3">
      <c r="A336" s="9" t="s">
        <v>192</v>
      </c>
      <c r="B336" s="20">
        <v>45777</v>
      </c>
      <c r="C336" s="9" t="s">
        <v>240</v>
      </c>
      <c r="D336" s="15">
        <v>12788.5</v>
      </c>
      <c r="E336" s="15">
        <v>3779.95</v>
      </c>
      <c r="F336" s="15">
        <v>3811.62</v>
      </c>
      <c r="G336" s="15">
        <v>8321.4599999999991</v>
      </c>
      <c r="H336" s="15">
        <v>2682.4</v>
      </c>
      <c r="I336" s="15">
        <v>31383.94</v>
      </c>
      <c r="J336" s="15">
        <v>18595.439999999999</v>
      </c>
      <c r="K336" s="19">
        <v>0.66968024040780683</v>
      </c>
    </row>
    <row r="337" spans="1:11" x14ac:dyDescent="0.3">
      <c r="A337" s="9" t="s">
        <v>192</v>
      </c>
      <c r="B337" s="20">
        <v>45777</v>
      </c>
      <c r="C337" s="9" t="s">
        <v>239</v>
      </c>
      <c r="D337" s="15">
        <v>3034.27</v>
      </c>
      <c r="E337" s="15">
        <v>2351.91</v>
      </c>
      <c r="F337" s="15">
        <v>1399.41</v>
      </c>
      <c r="G337" s="15">
        <v>1090.33</v>
      </c>
      <c r="H337" s="15">
        <v>967.46</v>
      </c>
      <c r="I337" s="15">
        <v>8843.3799999999992</v>
      </c>
      <c r="J337" s="15">
        <v>5809.11</v>
      </c>
      <c r="K337" s="19">
        <v>0.66968024040780683</v>
      </c>
    </row>
    <row r="338" spans="1:11" x14ac:dyDescent="0.3">
      <c r="A338" s="9" t="s">
        <v>192</v>
      </c>
      <c r="B338" s="20">
        <v>45777</v>
      </c>
      <c r="C338" s="9" t="s">
        <v>238</v>
      </c>
      <c r="D338" s="15">
        <v>50506.16</v>
      </c>
      <c r="E338" s="15">
        <v>23044.86</v>
      </c>
      <c r="F338" s="15">
        <v>4368.2299999999996</v>
      </c>
      <c r="G338" s="15">
        <v>17965.759999999998</v>
      </c>
      <c r="H338" s="15">
        <v>8644.85</v>
      </c>
      <c r="I338" s="15">
        <v>104529.87</v>
      </c>
      <c r="J338" s="15">
        <v>54023.7</v>
      </c>
      <c r="K338" s="19">
        <v>0.66968024040780683</v>
      </c>
    </row>
    <row r="339" spans="1:11" x14ac:dyDescent="0.3">
      <c r="A339" s="9" t="s">
        <v>192</v>
      </c>
      <c r="B339" s="20">
        <v>45777</v>
      </c>
      <c r="C339" s="9" t="s">
        <v>237</v>
      </c>
      <c r="D339" s="15">
        <v>28553.02</v>
      </c>
      <c r="E339" s="15">
        <v>909.33</v>
      </c>
      <c r="F339" s="15">
        <v>4499.0200000000004</v>
      </c>
      <c r="G339" s="15">
        <v>14602.77</v>
      </c>
      <c r="H339" s="15">
        <v>13489.09</v>
      </c>
      <c r="I339" s="15">
        <v>62053.23</v>
      </c>
      <c r="J339" s="15">
        <v>33500.21</v>
      </c>
      <c r="K339" s="19">
        <v>0.66968024040780683</v>
      </c>
    </row>
    <row r="340" spans="1:11" x14ac:dyDescent="0.3">
      <c r="A340" s="9" t="s">
        <v>192</v>
      </c>
      <c r="B340" s="20">
        <v>45777</v>
      </c>
      <c r="C340" s="9" t="s">
        <v>236</v>
      </c>
      <c r="D340" s="15">
        <v>2724.31</v>
      </c>
      <c r="E340" s="15">
        <v>467.16</v>
      </c>
      <c r="F340" s="15">
        <v>2551.77</v>
      </c>
      <c r="G340" s="15">
        <v>56.53</v>
      </c>
      <c r="H340" s="15">
        <v>1461.03</v>
      </c>
      <c r="I340" s="15">
        <v>7260.79</v>
      </c>
      <c r="J340" s="15">
        <v>4536.4799999999996</v>
      </c>
      <c r="K340" s="19">
        <v>0.66968024040780683</v>
      </c>
    </row>
    <row r="341" spans="1:11" x14ac:dyDescent="0.3">
      <c r="A341" s="9" t="s">
        <v>192</v>
      </c>
      <c r="B341" s="20">
        <v>45777</v>
      </c>
      <c r="C341" s="9" t="s">
        <v>215</v>
      </c>
      <c r="D341" s="15">
        <v>13516.24</v>
      </c>
      <c r="E341" s="15">
        <v>7176.54</v>
      </c>
      <c r="F341" s="15">
        <v>7558.14</v>
      </c>
      <c r="G341" s="15">
        <v>2950.03</v>
      </c>
      <c r="H341" s="15">
        <v>510.19</v>
      </c>
      <c r="I341" s="15">
        <v>31711.15</v>
      </c>
      <c r="J341" s="15">
        <v>18194.91</v>
      </c>
      <c r="K341" s="19">
        <v>0.66968024040780683</v>
      </c>
    </row>
    <row r="342" spans="1:11" x14ac:dyDescent="0.3">
      <c r="A342" s="9" t="s">
        <v>192</v>
      </c>
      <c r="B342" s="20">
        <v>45808</v>
      </c>
      <c r="C342" s="9" t="s">
        <v>228</v>
      </c>
      <c r="D342" s="15">
        <v>29287.82</v>
      </c>
      <c r="E342" s="15">
        <v>12022.43</v>
      </c>
      <c r="F342" s="15">
        <v>5989.29</v>
      </c>
      <c r="G342" s="15">
        <v>12221.45</v>
      </c>
      <c r="H342" s="15">
        <v>4916.3599999999997</v>
      </c>
      <c r="I342" s="15">
        <v>64437.34</v>
      </c>
      <c r="J342" s="15">
        <v>35149.519999999997</v>
      </c>
      <c r="K342" s="19">
        <v>0.7247125897473039</v>
      </c>
    </row>
    <row r="343" spans="1:11" x14ac:dyDescent="0.3">
      <c r="A343" s="9" t="s">
        <v>192</v>
      </c>
      <c r="B343" s="20">
        <v>45808</v>
      </c>
      <c r="C343" s="9" t="s">
        <v>207</v>
      </c>
      <c r="D343" s="15">
        <v>20845.599999999999</v>
      </c>
      <c r="E343" s="15">
        <v>12837.56</v>
      </c>
      <c r="F343" s="15">
        <v>4245.17</v>
      </c>
      <c r="G343" s="15">
        <v>5659.58</v>
      </c>
      <c r="H343" s="15">
        <v>4308.76</v>
      </c>
      <c r="I343" s="15">
        <v>47896.68</v>
      </c>
      <c r="J343" s="15">
        <v>27051.08</v>
      </c>
      <c r="K343" s="19">
        <v>0.7247125897473039</v>
      </c>
    </row>
    <row r="344" spans="1:11" x14ac:dyDescent="0.3">
      <c r="A344" s="9" t="s">
        <v>192</v>
      </c>
      <c r="B344" s="20">
        <v>45808</v>
      </c>
      <c r="C344" s="9" t="s">
        <v>211</v>
      </c>
      <c r="D344" s="15">
        <v>5906.39</v>
      </c>
      <c r="E344" s="15">
        <v>1153.97</v>
      </c>
      <c r="F344" s="15">
        <v>4874.6400000000003</v>
      </c>
      <c r="G344" s="15">
        <v>9114.34</v>
      </c>
      <c r="H344" s="15">
        <v>2030.69</v>
      </c>
      <c r="I344" s="15">
        <v>23080.02</v>
      </c>
      <c r="J344" s="15">
        <v>17173.63</v>
      </c>
      <c r="K344" s="19">
        <v>0.7247125897473039</v>
      </c>
    </row>
    <row r="345" spans="1:11" x14ac:dyDescent="0.3">
      <c r="A345" s="9" t="s">
        <v>192</v>
      </c>
      <c r="B345" s="20">
        <v>45808</v>
      </c>
      <c r="C345" s="9" t="s">
        <v>247</v>
      </c>
      <c r="D345" s="15">
        <v>47114.04</v>
      </c>
      <c r="E345" s="15">
        <v>71680.98</v>
      </c>
      <c r="F345" s="15">
        <v>8756.41</v>
      </c>
      <c r="G345" s="15">
        <v>5055.45</v>
      </c>
      <c r="H345" s="15">
        <v>8609.14</v>
      </c>
      <c r="I345" s="15">
        <v>141216.01999999999</v>
      </c>
      <c r="J345" s="15">
        <v>94101.99</v>
      </c>
      <c r="K345" s="19">
        <v>0.7247125897473039</v>
      </c>
    </row>
    <row r="346" spans="1:11" x14ac:dyDescent="0.3">
      <c r="A346" s="9" t="s">
        <v>192</v>
      </c>
      <c r="B346" s="20">
        <v>45808</v>
      </c>
      <c r="C346" s="9" t="s">
        <v>234</v>
      </c>
      <c r="D346" s="15">
        <v>3293.03</v>
      </c>
      <c r="E346" s="15">
        <v>2197.9699999999998</v>
      </c>
      <c r="F346" s="15">
        <v>890.68</v>
      </c>
      <c r="G346" s="15">
        <v>3722.22</v>
      </c>
      <c r="H346" s="15">
        <v>1233.78</v>
      </c>
      <c r="I346" s="15">
        <v>11337.68</v>
      </c>
      <c r="J346" s="15">
        <v>8044.65</v>
      </c>
      <c r="K346" s="19">
        <v>0.7247125897473039</v>
      </c>
    </row>
    <row r="347" spans="1:11" x14ac:dyDescent="0.3">
      <c r="A347" s="9" t="s">
        <v>192</v>
      </c>
      <c r="B347" s="20">
        <v>45808</v>
      </c>
      <c r="C347" s="9" t="s">
        <v>246</v>
      </c>
      <c r="D347" s="15">
        <v>36254.15</v>
      </c>
      <c r="E347" s="15">
        <v>43396.92</v>
      </c>
      <c r="F347" s="15">
        <v>4537.2700000000004</v>
      </c>
      <c r="G347" s="15">
        <v>20629.11</v>
      </c>
      <c r="H347" s="15">
        <v>4962.91</v>
      </c>
      <c r="I347" s="15">
        <v>109780.37</v>
      </c>
      <c r="J347" s="15">
        <v>73526.22</v>
      </c>
      <c r="K347" s="19">
        <v>0.7247125897473039</v>
      </c>
    </row>
    <row r="348" spans="1:11" x14ac:dyDescent="0.3">
      <c r="A348" s="9" t="s">
        <v>192</v>
      </c>
      <c r="B348" s="20">
        <v>45808</v>
      </c>
      <c r="C348" s="9" t="s">
        <v>219</v>
      </c>
      <c r="D348" s="15">
        <v>35936.94</v>
      </c>
      <c r="E348" s="15">
        <v>21865.61</v>
      </c>
      <c r="F348" s="15">
        <v>3954</v>
      </c>
      <c r="G348" s="15">
        <v>25380.85</v>
      </c>
      <c r="H348" s="15">
        <v>7122.6</v>
      </c>
      <c r="I348" s="15">
        <v>94260</v>
      </c>
      <c r="J348" s="15">
        <v>58323.06</v>
      </c>
      <c r="K348" s="19">
        <v>0.7247125897473039</v>
      </c>
    </row>
    <row r="349" spans="1:11" x14ac:dyDescent="0.3">
      <c r="A349" s="9" t="s">
        <v>192</v>
      </c>
      <c r="B349" s="20">
        <v>45808</v>
      </c>
      <c r="C349" s="9" t="s">
        <v>223</v>
      </c>
      <c r="D349" s="15">
        <v>4269.82</v>
      </c>
      <c r="E349" s="15">
        <v>2575.89</v>
      </c>
      <c r="F349" s="15">
        <v>4929.8900000000003</v>
      </c>
      <c r="G349" s="15">
        <v>2989.33</v>
      </c>
      <c r="H349" s="15">
        <v>1044.32</v>
      </c>
      <c r="I349" s="15">
        <v>15809.25</v>
      </c>
      <c r="J349" s="15">
        <v>11539.43</v>
      </c>
      <c r="K349" s="19">
        <v>0.7247125897473039</v>
      </c>
    </row>
    <row r="350" spans="1:11" x14ac:dyDescent="0.3">
      <c r="A350" s="9" t="s">
        <v>192</v>
      </c>
      <c r="B350" s="20">
        <v>45808</v>
      </c>
      <c r="C350" s="9" t="s">
        <v>245</v>
      </c>
      <c r="D350" s="15">
        <v>9328</v>
      </c>
      <c r="E350" s="15">
        <v>1354.05</v>
      </c>
      <c r="F350" s="15">
        <v>3621.78</v>
      </c>
      <c r="G350" s="15">
        <v>311.47000000000003</v>
      </c>
      <c r="H350" s="15">
        <v>5074.7299999999996</v>
      </c>
      <c r="I350" s="15">
        <v>19690.04</v>
      </c>
      <c r="J350" s="15">
        <v>10362.040000000001</v>
      </c>
      <c r="K350" s="19">
        <v>0.7247125897473039</v>
      </c>
    </row>
    <row r="351" spans="1:11" x14ac:dyDescent="0.3">
      <c r="A351" s="9" t="s">
        <v>192</v>
      </c>
      <c r="B351" s="20">
        <v>45808</v>
      </c>
      <c r="C351" s="9" t="s">
        <v>244</v>
      </c>
      <c r="D351" s="15">
        <v>82844.39</v>
      </c>
      <c r="E351" s="15">
        <v>31738.87</v>
      </c>
      <c r="F351" s="15">
        <v>18741.21</v>
      </c>
      <c r="G351" s="15">
        <v>22626.799999999999</v>
      </c>
      <c r="H351" s="15">
        <v>13486.19</v>
      </c>
      <c r="I351" s="15">
        <v>169437.46</v>
      </c>
      <c r="J351" s="15">
        <v>86593.07</v>
      </c>
      <c r="K351" s="19">
        <v>0.7247125897473039</v>
      </c>
    </row>
    <row r="352" spans="1:11" x14ac:dyDescent="0.3">
      <c r="A352" s="9" t="s">
        <v>192</v>
      </c>
      <c r="B352" s="20">
        <v>45808</v>
      </c>
      <c r="C352" s="9" t="s">
        <v>243</v>
      </c>
      <c r="D352" s="15">
        <v>20468.32</v>
      </c>
      <c r="E352" s="15">
        <v>8517.4599999999991</v>
      </c>
      <c r="F352" s="15">
        <v>3380.57</v>
      </c>
      <c r="G352" s="15">
        <v>18786.07</v>
      </c>
      <c r="H352" s="15">
        <v>8279.68</v>
      </c>
      <c r="I352" s="15">
        <v>59432.1</v>
      </c>
      <c r="J352" s="15">
        <v>38963.78</v>
      </c>
      <c r="K352" s="19">
        <v>0.7247125897473039</v>
      </c>
    </row>
    <row r="353" spans="1:11" x14ac:dyDescent="0.3">
      <c r="A353" s="9" t="s">
        <v>192</v>
      </c>
      <c r="B353" s="20">
        <v>45808</v>
      </c>
      <c r="C353" s="9" t="s">
        <v>242</v>
      </c>
      <c r="D353" s="15">
        <v>17578.16</v>
      </c>
      <c r="E353" s="15">
        <v>5064.8599999999997</v>
      </c>
      <c r="F353" s="15">
        <v>3270.39</v>
      </c>
      <c r="G353" s="15">
        <v>4002.6</v>
      </c>
      <c r="H353" s="15">
        <v>5460.88</v>
      </c>
      <c r="I353" s="15">
        <v>35376.89</v>
      </c>
      <c r="J353" s="15">
        <v>17798.740000000002</v>
      </c>
      <c r="K353" s="19">
        <v>0.7247125897473039</v>
      </c>
    </row>
    <row r="354" spans="1:11" x14ac:dyDescent="0.3">
      <c r="A354" s="9" t="s">
        <v>192</v>
      </c>
      <c r="B354" s="20">
        <v>45808</v>
      </c>
      <c r="C354" s="9" t="s">
        <v>241</v>
      </c>
      <c r="D354" s="15">
        <v>7254.6</v>
      </c>
      <c r="E354" s="15">
        <v>4779.62</v>
      </c>
      <c r="F354" s="15">
        <v>3436.23</v>
      </c>
      <c r="G354" s="15">
        <v>4860.3</v>
      </c>
      <c r="H354" s="15">
        <v>696.48</v>
      </c>
      <c r="I354" s="15">
        <v>21027.22</v>
      </c>
      <c r="J354" s="15">
        <v>13772.62</v>
      </c>
      <c r="K354" s="19">
        <v>0.7247125897473039</v>
      </c>
    </row>
    <row r="355" spans="1:11" x14ac:dyDescent="0.3">
      <c r="A355" s="9" t="s">
        <v>192</v>
      </c>
      <c r="B355" s="20">
        <v>45808</v>
      </c>
      <c r="C355" s="9" t="s">
        <v>209</v>
      </c>
      <c r="D355" s="15">
        <v>5589.18</v>
      </c>
      <c r="E355" s="15">
        <v>5027.08</v>
      </c>
      <c r="F355" s="15">
        <v>1664.24</v>
      </c>
      <c r="G355" s="15">
        <v>2270.5700000000002</v>
      </c>
      <c r="H355" s="15">
        <v>2819.21</v>
      </c>
      <c r="I355" s="15">
        <v>17370.28</v>
      </c>
      <c r="J355" s="15">
        <v>11781.09</v>
      </c>
      <c r="K355" s="19">
        <v>0.7247125897473039</v>
      </c>
    </row>
    <row r="356" spans="1:11" x14ac:dyDescent="0.3">
      <c r="A356" s="9" t="s">
        <v>192</v>
      </c>
      <c r="B356" s="20">
        <v>45808</v>
      </c>
      <c r="C356" s="9" t="s">
        <v>240</v>
      </c>
      <c r="D356" s="15">
        <v>65237.54</v>
      </c>
      <c r="E356" s="15">
        <v>13131.97</v>
      </c>
      <c r="F356" s="15">
        <v>22970.63</v>
      </c>
      <c r="G356" s="15">
        <v>14145.21</v>
      </c>
      <c r="H356" s="15">
        <v>18936.310000000001</v>
      </c>
      <c r="I356" s="15">
        <v>134421.66</v>
      </c>
      <c r="J356" s="15">
        <v>69184.12</v>
      </c>
      <c r="K356" s="19">
        <v>0.7247125897473039</v>
      </c>
    </row>
    <row r="357" spans="1:11" x14ac:dyDescent="0.3">
      <c r="A357" s="9" t="s">
        <v>192</v>
      </c>
      <c r="B357" s="20">
        <v>45808</v>
      </c>
      <c r="C357" s="9" t="s">
        <v>239</v>
      </c>
      <c r="D357" s="15">
        <v>4647.4399999999996</v>
      </c>
      <c r="E357" s="15">
        <v>3061.45</v>
      </c>
      <c r="F357" s="15">
        <v>3763.46</v>
      </c>
      <c r="G357" s="15">
        <v>1303.92</v>
      </c>
      <c r="H357" s="15">
        <v>915.84</v>
      </c>
      <c r="I357" s="15">
        <v>13692.11</v>
      </c>
      <c r="J357" s="15">
        <v>9044.68</v>
      </c>
      <c r="K357" s="19">
        <v>0.7247125897473039</v>
      </c>
    </row>
    <row r="358" spans="1:11" x14ac:dyDescent="0.3">
      <c r="A358" s="9" t="s">
        <v>192</v>
      </c>
      <c r="B358" s="20">
        <v>45808</v>
      </c>
      <c r="C358" s="9" t="s">
        <v>238</v>
      </c>
      <c r="D358" s="15">
        <v>56885.15</v>
      </c>
      <c r="E358" s="15">
        <v>19827.7</v>
      </c>
      <c r="F358" s="15">
        <v>16369.17</v>
      </c>
      <c r="G358" s="15">
        <v>8339.82</v>
      </c>
      <c r="H358" s="15">
        <v>24715.81</v>
      </c>
      <c r="I358" s="15">
        <v>126137.65</v>
      </c>
      <c r="J358" s="15">
        <v>69252.5</v>
      </c>
      <c r="K358" s="19">
        <v>0.7247125897473039</v>
      </c>
    </row>
    <row r="359" spans="1:11" x14ac:dyDescent="0.3">
      <c r="A359" s="9" t="s">
        <v>192</v>
      </c>
      <c r="B359" s="20">
        <v>45808</v>
      </c>
      <c r="C359" s="9" t="s">
        <v>237</v>
      </c>
      <c r="D359" s="15">
        <v>20733.599999999999</v>
      </c>
      <c r="E359" s="15">
        <v>12583.42</v>
      </c>
      <c r="F359" s="15">
        <v>4199.2</v>
      </c>
      <c r="G359" s="15">
        <v>1226.42</v>
      </c>
      <c r="H359" s="15">
        <v>8495.14</v>
      </c>
      <c r="I359" s="15">
        <v>47237.78</v>
      </c>
      <c r="J359" s="15">
        <v>26504.17</v>
      </c>
      <c r="K359" s="19">
        <v>0.7247125897473039</v>
      </c>
    </row>
    <row r="360" spans="1:11" x14ac:dyDescent="0.3">
      <c r="A360" s="9" t="s">
        <v>192</v>
      </c>
      <c r="B360" s="20">
        <v>45808</v>
      </c>
      <c r="C360" s="9" t="s">
        <v>236</v>
      </c>
      <c r="D360" s="15">
        <v>16084.47</v>
      </c>
      <c r="E360" s="15">
        <v>9535.31</v>
      </c>
      <c r="F360" s="15">
        <v>2758.75</v>
      </c>
      <c r="G360" s="15">
        <v>2269.83</v>
      </c>
      <c r="H360" s="15">
        <v>5521.52</v>
      </c>
      <c r="I360" s="15">
        <v>36169.879999999997</v>
      </c>
      <c r="J360" s="15">
        <v>20085.41</v>
      </c>
      <c r="K360" s="19">
        <v>0.7247125897473039</v>
      </c>
    </row>
    <row r="361" spans="1:11" x14ac:dyDescent="0.3">
      <c r="A361" s="9" t="s">
        <v>192</v>
      </c>
      <c r="B361" s="20">
        <v>45808</v>
      </c>
      <c r="C361" s="9" t="s">
        <v>215</v>
      </c>
      <c r="D361" s="15">
        <v>43760.43</v>
      </c>
      <c r="E361" s="15">
        <v>17456.330000000002</v>
      </c>
      <c r="F361" s="15">
        <v>15284.23</v>
      </c>
      <c r="G361" s="15">
        <v>8816.6</v>
      </c>
      <c r="H361" s="15">
        <v>10512.09</v>
      </c>
      <c r="I361" s="15">
        <v>95829.67</v>
      </c>
      <c r="J361" s="15">
        <v>52069.24</v>
      </c>
      <c r="K361" s="19">
        <v>0.7247125897473039</v>
      </c>
    </row>
    <row r="362" spans="1:11" x14ac:dyDescent="0.3">
      <c r="A362" s="9" t="s">
        <v>192</v>
      </c>
      <c r="B362" s="20">
        <v>45838</v>
      </c>
      <c r="C362" s="9" t="s">
        <v>228</v>
      </c>
      <c r="D362" s="15">
        <v>11192.79</v>
      </c>
      <c r="E362" s="15">
        <v>6326.21</v>
      </c>
      <c r="F362" s="15">
        <v>4777.58</v>
      </c>
      <c r="G362" s="15">
        <v>4808.67</v>
      </c>
      <c r="H362" s="15">
        <v>2060.17</v>
      </c>
      <c r="I362" s="15">
        <v>29165.42</v>
      </c>
      <c r="J362" s="15">
        <v>17972.63</v>
      </c>
      <c r="K362" s="19">
        <v>0.74736882721129216</v>
      </c>
    </row>
    <row r="363" spans="1:11" x14ac:dyDescent="0.3">
      <c r="A363" s="9" t="s">
        <v>192</v>
      </c>
      <c r="B363" s="20">
        <v>45838</v>
      </c>
      <c r="C363" s="9" t="s">
        <v>207</v>
      </c>
      <c r="D363" s="15">
        <v>57965.89</v>
      </c>
      <c r="E363" s="15">
        <v>12184.89</v>
      </c>
      <c r="F363" s="15">
        <v>15665.31</v>
      </c>
      <c r="G363" s="15">
        <v>12176.04</v>
      </c>
      <c r="H363" s="15">
        <v>33612.36</v>
      </c>
      <c r="I363" s="15">
        <v>131604.48000000001</v>
      </c>
      <c r="J363" s="15">
        <v>73638.59</v>
      </c>
      <c r="K363" s="19">
        <v>0.74736882721129216</v>
      </c>
    </row>
    <row r="364" spans="1:11" x14ac:dyDescent="0.3">
      <c r="A364" s="9" t="s">
        <v>192</v>
      </c>
      <c r="B364" s="20">
        <v>45838</v>
      </c>
      <c r="C364" s="9" t="s">
        <v>211</v>
      </c>
      <c r="D364" s="15">
        <v>6520.38</v>
      </c>
      <c r="E364" s="15">
        <v>6017.84</v>
      </c>
      <c r="F364" s="15">
        <v>507.72</v>
      </c>
      <c r="G364" s="15">
        <v>3156.33</v>
      </c>
      <c r="H364" s="15">
        <v>2833.22</v>
      </c>
      <c r="I364" s="15">
        <v>19035.490000000002</v>
      </c>
      <c r="J364" s="15">
        <v>12515.1</v>
      </c>
      <c r="K364" s="19">
        <v>0.74736882721129216</v>
      </c>
    </row>
    <row r="365" spans="1:11" x14ac:dyDescent="0.3">
      <c r="A365" s="9" t="s">
        <v>192</v>
      </c>
      <c r="B365" s="20">
        <v>45838</v>
      </c>
      <c r="C365" s="9" t="s">
        <v>247</v>
      </c>
      <c r="D365" s="15">
        <v>35944.92</v>
      </c>
      <c r="E365" s="15">
        <v>12719.67</v>
      </c>
      <c r="F365" s="15">
        <v>19023.490000000002</v>
      </c>
      <c r="G365" s="15">
        <v>10358.799999999999</v>
      </c>
      <c r="H365" s="15">
        <v>27131.759999999998</v>
      </c>
      <c r="I365" s="15">
        <v>105178.64</v>
      </c>
      <c r="J365" s="15">
        <v>69233.72</v>
      </c>
      <c r="K365" s="19">
        <v>0.74736882721129216</v>
      </c>
    </row>
    <row r="366" spans="1:11" x14ac:dyDescent="0.3">
      <c r="A366" s="9" t="s">
        <v>192</v>
      </c>
      <c r="B366" s="20">
        <v>45838</v>
      </c>
      <c r="C366" s="9" t="s">
        <v>234</v>
      </c>
      <c r="D366" s="15">
        <v>10446.219999999999</v>
      </c>
      <c r="E366" s="15">
        <v>3432.49</v>
      </c>
      <c r="F366" s="15">
        <v>5633.86</v>
      </c>
      <c r="G366" s="15">
        <v>1581.7</v>
      </c>
      <c r="H366" s="15">
        <v>2560.0700000000002</v>
      </c>
      <c r="I366" s="15">
        <v>23654.34</v>
      </c>
      <c r="J366" s="15">
        <v>13208.12</v>
      </c>
      <c r="K366" s="19">
        <v>0.74736882721129216</v>
      </c>
    </row>
    <row r="367" spans="1:11" x14ac:dyDescent="0.3">
      <c r="A367" s="9" t="s">
        <v>192</v>
      </c>
      <c r="B367" s="20">
        <v>45838</v>
      </c>
      <c r="C367" s="9" t="s">
        <v>246</v>
      </c>
      <c r="D367" s="15">
        <v>2405.0500000000002</v>
      </c>
      <c r="E367" s="15">
        <v>712.25</v>
      </c>
      <c r="F367" s="15">
        <v>1057.3699999999999</v>
      </c>
      <c r="G367" s="15">
        <v>335.6</v>
      </c>
      <c r="H367" s="15">
        <v>622.01</v>
      </c>
      <c r="I367" s="15">
        <v>5132.28</v>
      </c>
      <c r="J367" s="15">
        <v>2727.23</v>
      </c>
      <c r="K367" s="19">
        <v>0.74736882721129216</v>
      </c>
    </row>
    <row r="368" spans="1:11" x14ac:dyDescent="0.3">
      <c r="A368" s="9" t="s">
        <v>192</v>
      </c>
      <c r="B368" s="20">
        <v>45838</v>
      </c>
      <c r="C368" s="9" t="s">
        <v>219</v>
      </c>
      <c r="D368" s="15">
        <v>5576.68</v>
      </c>
      <c r="E368" s="15">
        <v>2316.58</v>
      </c>
      <c r="F368" s="15">
        <v>2548.64</v>
      </c>
      <c r="G368" s="15">
        <v>1890.55</v>
      </c>
      <c r="H368" s="15">
        <v>1349.19</v>
      </c>
      <c r="I368" s="15">
        <v>13681.64</v>
      </c>
      <c r="J368" s="15">
        <v>8104.96</v>
      </c>
      <c r="K368" s="19">
        <v>0.74736882721129216</v>
      </c>
    </row>
    <row r="369" spans="1:11" x14ac:dyDescent="0.3">
      <c r="A369" s="9" t="s">
        <v>192</v>
      </c>
      <c r="B369" s="20">
        <v>45838</v>
      </c>
      <c r="C369" s="9" t="s">
        <v>223</v>
      </c>
      <c r="D369" s="15">
        <v>40579.410000000003</v>
      </c>
      <c r="E369" s="15">
        <v>36055.870000000003</v>
      </c>
      <c r="F369" s="15">
        <v>21244.28</v>
      </c>
      <c r="G369" s="15">
        <v>16730.63</v>
      </c>
      <c r="H369" s="15">
        <v>1314.37</v>
      </c>
      <c r="I369" s="15">
        <v>115924.56</v>
      </c>
      <c r="J369" s="15">
        <v>75345.149999999994</v>
      </c>
      <c r="K369" s="19">
        <v>0.74736882721129216</v>
      </c>
    </row>
    <row r="370" spans="1:11" x14ac:dyDescent="0.3">
      <c r="A370" s="9" t="s">
        <v>192</v>
      </c>
      <c r="B370" s="20">
        <v>45838</v>
      </c>
      <c r="C370" s="9" t="s">
        <v>245</v>
      </c>
      <c r="D370" s="15">
        <v>22963.33</v>
      </c>
      <c r="E370" s="15">
        <v>11529.08</v>
      </c>
      <c r="F370" s="15">
        <v>11709.11</v>
      </c>
      <c r="G370" s="15">
        <v>3877.14</v>
      </c>
      <c r="H370" s="15">
        <v>1670.78</v>
      </c>
      <c r="I370" s="15">
        <v>51749.440000000002</v>
      </c>
      <c r="J370" s="15">
        <v>28786.11</v>
      </c>
      <c r="K370" s="19">
        <v>0.74736882721129216</v>
      </c>
    </row>
    <row r="371" spans="1:11" x14ac:dyDescent="0.3">
      <c r="A371" s="9" t="s">
        <v>192</v>
      </c>
      <c r="B371" s="20">
        <v>45838</v>
      </c>
      <c r="C371" s="9" t="s">
        <v>244</v>
      </c>
      <c r="D371" s="15">
        <v>20313.400000000001</v>
      </c>
      <c r="E371" s="15">
        <v>9132.6</v>
      </c>
      <c r="F371" s="15">
        <v>22310.6</v>
      </c>
      <c r="G371" s="15">
        <v>8064.24</v>
      </c>
      <c r="H371" s="15">
        <v>987.57</v>
      </c>
      <c r="I371" s="15">
        <v>60808.39</v>
      </c>
      <c r="J371" s="15">
        <v>40495</v>
      </c>
      <c r="K371" s="19">
        <v>0.74736882721129216</v>
      </c>
    </row>
    <row r="372" spans="1:11" x14ac:dyDescent="0.3">
      <c r="A372" s="9" t="s">
        <v>192</v>
      </c>
      <c r="B372" s="20">
        <v>45838</v>
      </c>
      <c r="C372" s="9" t="s">
        <v>243</v>
      </c>
      <c r="D372" s="15">
        <v>13384.08</v>
      </c>
      <c r="E372" s="15">
        <v>9013.15</v>
      </c>
      <c r="F372" s="15">
        <v>19023.13</v>
      </c>
      <c r="G372" s="15">
        <v>9376.16</v>
      </c>
      <c r="H372" s="15">
        <v>2076.25</v>
      </c>
      <c r="I372" s="15">
        <v>52872.77</v>
      </c>
      <c r="J372" s="15">
        <v>39488.69</v>
      </c>
      <c r="K372" s="19">
        <v>0.74736882721129216</v>
      </c>
    </row>
    <row r="373" spans="1:11" x14ac:dyDescent="0.3">
      <c r="A373" s="9" t="s">
        <v>192</v>
      </c>
      <c r="B373" s="20">
        <v>45838</v>
      </c>
      <c r="C373" s="9" t="s">
        <v>242</v>
      </c>
      <c r="D373" s="15">
        <v>46199</v>
      </c>
      <c r="E373" s="15">
        <v>16267.73</v>
      </c>
      <c r="F373" s="15">
        <v>5665.55</v>
      </c>
      <c r="G373" s="15">
        <v>22334.25</v>
      </c>
      <c r="H373" s="15">
        <v>18772.5</v>
      </c>
      <c r="I373" s="15">
        <v>109239.03999999999</v>
      </c>
      <c r="J373" s="15">
        <v>63040.04</v>
      </c>
      <c r="K373" s="19">
        <v>0.74736882721129216</v>
      </c>
    </row>
    <row r="374" spans="1:11" x14ac:dyDescent="0.3">
      <c r="A374" s="9" t="s">
        <v>192</v>
      </c>
      <c r="B374" s="20">
        <v>45838</v>
      </c>
      <c r="C374" s="9" t="s">
        <v>241</v>
      </c>
      <c r="D374" s="15">
        <v>5225.1499999999996</v>
      </c>
      <c r="E374" s="15">
        <v>10838.65</v>
      </c>
      <c r="F374" s="15">
        <v>2647.43</v>
      </c>
      <c r="G374" s="15">
        <v>860.92</v>
      </c>
      <c r="H374" s="15">
        <v>2940.92</v>
      </c>
      <c r="I374" s="15">
        <v>22513.06</v>
      </c>
      <c r="J374" s="15">
        <v>17287.919999999998</v>
      </c>
      <c r="K374" s="19">
        <v>0.74736882721129216</v>
      </c>
    </row>
    <row r="375" spans="1:11" x14ac:dyDescent="0.3">
      <c r="A375" s="9" t="s">
        <v>192</v>
      </c>
      <c r="B375" s="20">
        <v>45838</v>
      </c>
      <c r="C375" s="9" t="s">
        <v>209</v>
      </c>
      <c r="D375" s="15">
        <v>24804.94</v>
      </c>
      <c r="E375" s="15">
        <v>10589.35</v>
      </c>
      <c r="F375" s="15">
        <v>3239.33</v>
      </c>
      <c r="G375" s="15">
        <v>10330.07</v>
      </c>
      <c r="H375" s="15">
        <v>8780.84</v>
      </c>
      <c r="I375" s="15">
        <v>57744.53</v>
      </c>
      <c r="J375" s="15">
        <v>32939.589999999997</v>
      </c>
      <c r="K375" s="19">
        <v>0.74736882721129216</v>
      </c>
    </row>
    <row r="376" spans="1:11" x14ac:dyDescent="0.3">
      <c r="A376" s="9" t="s">
        <v>192</v>
      </c>
      <c r="B376" s="20">
        <v>45838</v>
      </c>
      <c r="C376" s="9" t="s">
        <v>240</v>
      </c>
      <c r="D376" s="15">
        <v>41102.71</v>
      </c>
      <c r="E376" s="15">
        <v>16529.93</v>
      </c>
      <c r="F376" s="15">
        <v>8956.24</v>
      </c>
      <c r="G376" s="15">
        <v>23505.33</v>
      </c>
      <c r="H376" s="15">
        <v>21792.98</v>
      </c>
      <c r="I376" s="15">
        <v>111887.18</v>
      </c>
      <c r="J376" s="15">
        <v>70784.479999999996</v>
      </c>
      <c r="K376" s="19">
        <v>0.74736882721129216</v>
      </c>
    </row>
    <row r="377" spans="1:11" x14ac:dyDescent="0.3">
      <c r="A377" s="9" t="s">
        <v>192</v>
      </c>
      <c r="B377" s="20">
        <v>45838</v>
      </c>
      <c r="C377" s="9" t="s">
        <v>239</v>
      </c>
      <c r="D377" s="15">
        <v>37074.89</v>
      </c>
      <c r="E377" s="15">
        <v>3627.83</v>
      </c>
      <c r="F377" s="15">
        <v>9687.7900000000009</v>
      </c>
      <c r="G377" s="15">
        <v>37786.89</v>
      </c>
      <c r="H377" s="15">
        <v>3383.95</v>
      </c>
      <c r="I377" s="15">
        <v>91561.35</v>
      </c>
      <c r="J377" s="15">
        <v>54486.46</v>
      </c>
      <c r="K377" s="19">
        <v>0.74736882721129216</v>
      </c>
    </row>
    <row r="378" spans="1:11" x14ac:dyDescent="0.3">
      <c r="A378" s="9" t="s">
        <v>192</v>
      </c>
      <c r="B378" s="20">
        <v>45838</v>
      </c>
      <c r="C378" s="9" t="s">
        <v>238</v>
      </c>
      <c r="D378" s="15">
        <v>9527.34</v>
      </c>
      <c r="E378" s="15">
        <v>10802.57</v>
      </c>
      <c r="F378" s="15">
        <v>2164.15</v>
      </c>
      <c r="G378" s="15">
        <v>3519.09</v>
      </c>
      <c r="H378" s="15">
        <v>2504.0500000000002</v>
      </c>
      <c r="I378" s="15">
        <v>28517.21</v>
      </c>
      <c r="J378" s="15">
        <v>18989.87</v>
      </c>
      <c r="K378" s="19">
        <v>0.74736882721129216</v>
      </c>
    </row>
    <row r="379" spans="1:11" x14ac:dyDescent="0.3">
      <c r="A379" s="9" t="s">
        <v>192</v>
      </c>
      <c r="B379" s="20">
        <v>45838</v>
      </c>
      <c r="C379" s="9" t="s">
        <v>237</v>
      </c>
      <c r="D379" s="15">
        <v>41235.589999999997</v>
      </c>
      <c r="E379" s="15">
        <v>13975.83</v>
      </c>
      <c r="F379" s="15">
        <v>19982.57</v>
      </c>
      <c r="G379" s="15">
        <v>7692.77</v>
      </c>
      <c r="H379" s="15">
        <v>13132.07</v>
      </c>
      <c r="I379" s="15">
        <v>96018.82</v>
      </c>
      <c r="J379" s="15">
        <v>54783.24</v>
      </c>
      <c r="K379" s="19">
        <v>0.74736882721129216</v>
      </c>
    </row>
    <row r="380" spans="1:11" x14ac:dyDescent="0.3">
      <c r="A380" s="9" t="s">
        <v>192</v>
      </c>
      <c r="B380" s="20">
        <v>45838</v>
      </c>
      <c r="C380" s="9" t="s">
        <v>236</v>
      </c>
      <c r="D380" s="15">
        <v>58262.58</v>
      </c>
      <c r="E380" s="15">
        <v>20701.71</v>
      </c>
      <c r="F380" s="15">
        <v>18723.68</v>
      </c>
      <c r="G380" s="15">
        <v>13372.81</v>
      </c>
      <c r="H380" s="15">
        <v>12482.47</v>
      </c>
      <c r="I380" s="15">
        <v>123543.24</v>
      </c>
      <c r="J380" s="15">
        <v>65280.66</v>
      </c>
      <c r="K380" s="19">
        <v>0.74736882721129216</v>
      </c>
    </row>
    <row r="381" spans="1:11" x14ac:dyDescent="0.3">
      <c r="A381" s="9" t="s">
        <v>192</v>
      </c>
      <c r="B381" s="20">
        <v>45838</v>
      </c>
      <c r="C381" s="9" t="s">
        <v>215</v>
      </c>
      <c r="D381" s="15">
        <v>17064.96</v>
      </c>
      <c r="E381" s="15">
        <v>5265.36</v>
      </c>
      <c r="F381" s="15">
        <v>8149.41</v>
      </c>
      <c r="G381" s="15">
        <v>14528.98</v>
      </c>
      <c r="H381" s="15">
        <v>2080.4899999999998</v>
      </c>
      <c r="I381" s="15">
        <v>47089.19</v>
      </c>
      <c r="J381" s="15">
        <v>30024.23</v>
      </c>
      <c r="K381" s="19">
        <v>0.74736882721129216</v>
      </c>
    </row>
    <row r="382" spans="1:11" x14ac:dyDescent="0.3">
      <c r="A382" s="9" t="s">
        <v>192</v>
      </c>
      <c r="B382" s="20">
        <v>45869</v>
      </c>
      <c r="C382" s="9" t="s">
        <v>228</v>
      </c>
      <c r="D382" s="15">
        <v>7523.36</v>
      </c>
      <c r="E382" s="15">
        <v>5697.92</v>
      </c>
      <c r="F382" s="15">
        <v>5433.68</v>
      </c>
      <c r="G382" s="15">
        <v>5753.15</v>
      </c>
      <c r="H382" s="15">
        <v>5480.9</v>
      </c>
      <c r="I382" s="15">
        <v>29889.01</v>
      </c>
      <c r="J382" s="15">
        <v>22365.65</v>
      </c>
      <c r="K382" s="19">
        <v>0.65937206085116673</v>
      </c>
    </row>
    <row r="383" spans="1:11" x14ac:dyDescent="0.3">
      <c r="A383" s="9" t="s">
        <v>192</v>
      </c>
      <c r="B383" s="20">
        <v>45869</v>
      </c>
      <c r="C383" s="9" t="s">
        <v>207</v>
      </c>
      <c r="D383" s="15">
        <v>56058.86</v>
      </c>
      <c r="E383" s="15">
        <v>48659.519999999997</v>
      </c>
      <c r="F383" s="15">
        <v>1132</v>
      </c>
      <c r="G383" s="15">
        <v>4645.12</v>
      </c>
      <c r="H383" s="15">
        <v>2120.63</v>
      </c>
      <c r="I383" s="15">
        <v>112616.11</v>
      </c>
      <c r="J383" s="15">
        <v>56557.25</v>
      </c>
      <c r="K383" s="19">
        <v>0.65937206085116673</v>
      </c>
    </row>
    <row r="384" spans="1:11" x14ac:dyDescent="0.3">
      <c r="A384" s="9" t="s">
        <v>192</v>
      </c>
      <c r="B384" s="20">
        <v>45869</v>
      </c>
      <c r="C384" s="9" t="s">
        <v>211</v>
      </c>
      <c r="D384" s="15">
        <v>22223.47</v>
      </c>
      <c r="E384" s="15">
        <v>6173.77</v>
      </c>
      <c r="F384" s="15">
        <v>36491.269999999997</v>
      </c>
      <c r="G384" s="15">
        <v>4132.47</v>
      </c>
      <c r="H384" s="15">
        <v>2908.13</v>
      </c>
      <c r="I384" s="15">
        <v>71929.11</v>
      </c>
      <c r="J384" s="15">
        <v>49705.65</v>
      </c>
      <c r="K384" s="19">
        <v>0.65937206085116673</v>
      </c>
    </row>
    <row r="385" spans="1:11" x14ac:dyDescent="0.3">
      <c r="A385" s="9" t="s">
        <v>192</v>
      </c>
      <c r="B385" s="20">
        <v>45869</v>
      </c>
      <c r="C385" s="9" t="s">
        <v>247</v>
      </c>
      <c r="D385" s="15">
        <v>25313.32</v>
      </c>
      <c r="E385" s="15">
        <v>16190.84</v>
      </c>
      <c r="F385" s="15">
        <v>349.29</v>
      </c>
      <c r="G385" s="15">
        <v>16714.03</v>
      </c>
      <c r="H385" s="15">
        <v>4937.57</v>
      </c>
      <c r="I385" s="15">
        <v>63505.04</v>
      </c>
      <c r="J385" s="15">
        <v>38191.72</v>
      </c>
      <c r="K385" s="19">
        <v>0.65937206085116673</v>
      </c>
    </row>
    <row r="386" spans="1:11" x14ac:dyDescent="0.3">
      <c r="A386" s="9" t="s">
        <v>192</v>
      </c>
      <c r="B386" s="20">
        <v>45869</v>
      </c>
      <c r="C386" s="9" t="s">
        <v>234</v>
      </c>
      <c r="D386" s="15">
        <v>26875.74</v>
      </c>
      <c r="E386" s="15">
        <v>19041.650000000001</v>
      </c>
      <c r="F386" s="15">
        <v>18776.37</v>
      </c>
      <c r="G386" s="15">
        <v>9552.92</v>
      </c>
      <c r="H386" s="15">
        <v>593.99</v>
      </c>
      <c r="I386" s="15">
        <v>74840.679999999993</v>
      </c>
      <c r="J386" s="15">
        <v>47964.93</v>
      </c>
      <c r="K386" s="19">
        <v>0.65937206085116673</v>
      </c>
    </row>
    <row r="387" spans="1:11" x14ac:dyDescent="0.3">
      <c r="A387" s="9" t="s">
        <v>192</v>
      </c>
      <c r="B387" s="20">
        <v>45869</v>
      </c>
      <c r="C387" s="9" t="s">
        <v>246</v>
      </c>
      <c r="D387" s="15">
        <v>37048.21</v>
      </c>
      <c r="E387" s="15">
        <v>19107.98</v>
      </c>
      <c r="F387" s="15">
        <v>5051.1899999999996</v>
      </c>
      <c r="G387" s="15">
        <v>22330.28</v>
      </c>
      <c r="H387" s="15">
        <v>5125.3900000000003</v>
      </c>
      <c r="I387" s="15">
        <v>88663.05</v>
      </c>
      <c r="J387" s="15">
        <v>51614.84</v>
      </c>
      <c r="K387" s="19">
        <v>0.65937206085116673</v>
      </c>
    </row>
    <row r="388" spans="1:11" x14ac:dyDescent="0.3">
      <c r="A388" s="9" t="s">
        <v>192</v>
      </c>
      <c r="B388" s="20">
        <v>45869</v>
      </c>
      <c r="C388" s="9" t="s">
        <v>219</v>
      </c>
      <c r="D388" s="15">
        <v>4744.8599999999997</v>
      </c>
      <c r="E388" s="15">
        <v>1604.34</v>
      </c>
      <c r="F388" s="15">
        <v>7621.95</v>
      </c>
      <c r="G388" s="15">
        <v>3560.37</v>
      </c>
      <c r="H388" s="15">
        <v>272.98</v>
      </c>
      <c r="I388" s="15">
        <v>17804.509999999998</v>
      </c>
      <c r="J388" s="15">
        <v>13059.65</v>
      </c>
      <c r="K388" s="19">
        <v>0.65937206085116673</v>
      </c>
    </row>
    <row r="389" spans="1:11" x14ac:dyDescent="0.3">
      <c r="A389" s="9" t="s">
        <v>192</v>
      </c>
      <c r="B389" s="20">
        <v>45869</v>
      </c>
      <c r="C389" s="9" t="s">
        <v>223</v>
      </c>
      <c r="D389" s="15">
        <v>16674.96</v>
      </c>
      <c r="E389" s="15">
        <v>11969.63</v>
      </c>
      <c r="F389" s="15">
        <v>1845.26</v>
      </c>
      <c r="G389" s="15">
        <v>4473.51</v>
      </c>
      <c r="H389" s="15">
        <v>1540.02</v>
      </c>
      <c r="I389" s="15">
        <v>36503.370000000003</v>
      </c>
      <c r="J389" s="15">
        <v>19828.41</v>
      </c>
      <c r="K389" s="19">
        <v>0.65937206085116673</v>
      </c>
    </row>
    <row r="390" spans="1:11" x14ac:dyDescent="0.3">
      <c r="A390" s="9" t="s">
        <v>192</v>
      </c>
      <c r="B390" s="20">
        <v>45869</v>
      </c>
      <c r="C390" s="9" t="s">
        <v>245</v>
      </c>
      <c r="D390" s="15">
        <v>25218.18</v>
      </c>
      <c r="E390" s="15">
        <v>20042.009999999998</v>
      </c>
      <c r="F390" s="15">
        <v>6049.39</v>
      </c>
      <c r="G390" s="15">
        <v>18233.97</v>
      </c>
      <c r="H390" s="15">
        <v>8268.8799999999992</v>
      </c>
      <c r="I390" s="15">
        <v>77812.429999999993</v>
      </c>
      <c r="J390" s="15">
        <v>52594.25</v>
      </c>
      <c r="K390" s="19">
        <v>0.65937206085116673</v>
      </c>
    </row>
    <row r="391" spans="1:11" x14ac:dyDescent="0.3">
      <c r="A391" s="9" t="s">
        <v>192</v>
      </c>
      <c r="B391" s="20">
        <v>45869</v>
      </c>
      <c r="C391" s="9" t="s">
        <v>244</v>
      </c>
      <c r="D391" s="15">
        <v>24967.71</v>
      </c>
      <c r="E391" s="15">
        <v>19396.740000000002</v>
      </c>
      <c r="F391" s="15">
        <v>8890.84</v>
      </c>
      <c r="G391" s="15">
        <v>16566.93</v>
      </c>
      <c r="H391" s="15">
        <v>9135.89</v>
      </c>
      <c r="I391" s="15">
        <v>78958.11</v>
      </c>
      <c r="J391" s="15">
        <v>53990.400000000001</v>
      </c>
      <c r="K391" s="19">
        <v>0.65937206085116673</v>
      </c>
    </row>
    <row r="392" spans="1:11" x14ac:dyDescent="0.3">
      <c r="A392" s="9" t="s">
        <v>192</v>
      </c>
      <c r="B392" s="20">
        <v>45869</v>
      </c>
      <c r="C392" s="9" t="s">
        <v>243</v>
      </c>
      <c r="D392" s="15">
        <v>55166.52</v>
      </c>
      <c r="E392" s="15">
        <v>34749.49</v>
      </c>
      <c r="F392" s="15">
        <v>8429.3700000000008</v>
      </c>
      <c r="G392" s="15">
        <v>9875.9699999999993</v>
      </c>
      <c r="H392" s="15">
        <v>4691.13</v>
      </c>
      <c r="I392" s="15">
        <v>112912.47</v>
      </c>
      <c r="J392" s="15">
        <v>57745.95</v>
      </c>
      <c r="K392" s="19">
        <v>0.65937206085116673</v>
      </c>
    </row>
    <row r="393" spans="1:11" x14ac:dyDescent="0.3">
      <c r="A393" s="9" t="s">
        <v>192</v>
      </c>
      <c r="B393" s="20">
        <v>45869</v>
      </c>
      <c r="C393" s="9" t="s">
        <v>242</v>
      </c>
      <c r="D393" s="15">
        <v>11912.31</v>
      </c>
      <c r="E393" s="15">
        <v>5673.76</v>
      </c>
      <c r="F393" s="15">
        <v>10091.200000000001</v>
      </c>
      <c r="G393" s="15">
        <v>5964.72</v>
      </c>
      <c r="H393" s="15">
        <v>1650.15</v>
      </c>
      <c r="I393" s="15">
        <v>35292.15</v>
      </c>
      <c r="J393" s="15">
        <v>23379.83</v>
      </c>
      <c r="K393" s="19">
        <v>0.65937206085116673</v>
      </c>
    </row>
    <row r="394" spans="1:11" x14ac:dyDescent="0.3">
      <c r="A394" s="9" t="s">
        <v>192</v>
      </c>
      <c r="B394" s="20">
        <v>45869</v>
      </c>
      <c r="C394" s="9" t="s">
        <v>241</v>
      </c>
      <c r="D394" s="15">
        <v>10154.67</v>
      </c>
      <c r="E394" s="15">
        <v>7434.44</v>
      </c>
      <c r="F394" s="15">
        <v>15726.35</v>
      </c>
      <c r="G394" s="15">
        <v>5675.35</v>
      </c>
      <c r="H394" s="15">
        <v>1064.23</v>
      </c>
      <c r="I394" s="15">
        <v>40055.03</v>
      </c>
      <c r="J394" s="15">
        <v>29900.36</v>
      </c>
      <c r="K394" s="19">
        <v>0.65937206085116673</v>
      </c>
    </row>
    <row r="395" spans="1:11" x14ac:dyDescent="0.3">
      <c r="A395" s="9" t="s">
        <v>192</v>
      </c>
      <c r="B395" s="20">
        <v>45869</v>
      </c>
      <c r="C395" s="9" t="s">
        <v>209</v>
      </c>
      <c r="D395" s="15">
        <v>15289.72</v>
      </c>
      <c r="E395" s="15">
        <v>13655.92</v>
      </c>
      <c r="F395" s="15">
        <v>18689.72</v>
      </c>
      <c r="G395" s="15">
        <v>1351.87</v>
      </c>
      <c r="H395" s="15">
        <v>213.82</v>
      </c>
      <c r="I395" s="15">
        <v>49201.05</v>
      </c>
      <c r="J395" s="15">
        <v>33911.32</v>
      </c>
      <c r="K395" s="19">
        <v>0.65937206085116673</v>
      </c>
    </row>
    <row r="396" spans="1:11" x14ac:dyDescent="0.3">
      <c r="A396" s="9" t="s">
        <v>192</v>
      </c>
      <c r="B396" s="20">
        <v>45869</v>
      </c>
      <c r="C396" s="9" t="s">
        <v>240</v>
      </c>
      <c r="D396" s="15">
        <v>44652.4</v>
      </c>
      <c r="E396" s="15">
        <v>10951.91</v>
      </c>
      <c r="F396" s="15">
        <v>20030.62</v>
      </c>
      <c r="G396" s="15">
        <v>7938.17</v>
      </c>
      <c r="H396" s="15">
        <v>11045.39</v>
      </c>
      <c r="I396" s="15">
        <v>94618.49</v>
      </c>
      <c r="J396" s="15">
        <v>49966.09</v>
      </c>
      <c r="K396" s="19">
        <v>0.65937206085116673</v>
      </c>
    </row>
    <row r="397" spans="1:11" x14ac:dyDescent="0.3">
      <c r="A397" s="9" t="s">
        <v>192</v>
      </c>
      <c r="B397" s="20">
        <v>45869</v>
      </c>
      <c r="C397" s="9" t="s">
        <v>239</v>
      </c>
      <c r="D397" s="15">
        <v>21347.34</v>
      </c>
      <c r="E397" s="15">
        <v>11138.07</v>
      </c>
      <c r="F397" s="15">
        <v>4392.3599999999997</v>
      </c>
      <c r="G397" s="15">
        <v>4776.88</v>
      </c>
      <c r="H397" s="15">
        <v>3084.17</v>
      </c>
      <c r="I397" s="15">
        <v>44738.82</v>
      </c>
      <c r="J397" s="15">
        <v>23391.48</v>
      </c>
      <c r="K397" s="19">
        <v>0.65937206085116673</v>
      </c>
    </row>
    <row r="398" spans="1:11" x14ac:dyDescent="0.3">
      <c r="A398" s="9" t="s">
        <v>192</v>
      </c>
      <c r="B398" s="20">
        <v>45869</v>
      </c>
      <c r="C398" s="9" t="s">
        <v>238</v>
      </c>
      <c r="D398" s="15">
        <v>35256.42</v>
      </c>
      <c r="E398" s="15">
        <v>15581.45</v>
      </c>
      <c r="F398" s="15">
        <v>10306.17</v>
      </c>
      <c r="G398" s="15">
        <v>9246.19</v>
      </c>
      <c r="H398" s="15">
        <v>4586.83</v>
      </c>
      <c r="I398" s="15">
        <v>74977.06</v>
      </c>
      <c r="J398" s="15">
        <v>39720.639999999999</v>
      </c>
      <c r="K398" s="19">
        <v>0.65937206085116673</v>
      </c>
    </row>
    <row r="399" spans="1:11" x14ac:dyDescent="0.3">
      <c r="A399" s="9" t="s">
        <v>192</v>
      </c>
      <c r="B399" s="20">
        <v>45869</v>
      </c>
      <c r="C399" s="9" t="s">
        <v>237</v>
      </c>
      <c r="D399" s="15">
        <v>3429.44</v>
      </c>
      <c r="E399" s="15">
        <v>1094.78</v>
      </c>
      <c r="F399" s="15">
        <v>793.51</v>
      </c>
      <c r="G399" s="15">
        <v>1681.31</v>
      </c>
      <c r="H399" s="15">
        <v>462.19</v>
      </c>
      <c r="I399" s="15">
        <v>7461.23</v>
      </c>
      <c r="J399" s="15">
        <v>4031.79</v>
      </c>
      <c r="K399" s="19">
        <v>0.65937206085116673</v>
      </c>
    </row>
    <row r="400" spans="1:11" x14ac:dyDescent="0.3">
      <c r="A400" s="9" t="s">
        <v>192</v>
      </c>
      <c r="B400" s="20">
        <v>45869</v>
      </c>
      <c r="C400" s="9" t="s">
        <v>236</v>
      </c>
      <c r="D400" s="15">
        <v>944.72</v>
      </c>
      <c r="E400" s="15">
        <v>963.91</v>
      </c>
      <c r="F400" s="15">
        <v>380.76</v>
      </c>
      <c r="G400" s="15">
        <v>1119.5999999999999</v>
      </c>
      <c r="H400" s="15">
        <v>511.09</v>
      </c>
      <c r="I400" s="15">
        <v>3920.07</v>
      </c>
      <c r="J400" s="15">
        <v>2975.35</v>
      </c>
      <c r="K400" s="19">
        <v>0.65937206085116673</v>
      </c>
    </row>
    <row r="401" spans="1:11" x14ac:dyDescent="0.3">
      <c r="A401" s="9" t="s">
        <v>192</v>
      </c>
      <c r="B401" s="20">
        <v>45869</v>
      </c>
      <c r="C401" s="9" t="s">
        <v>215</v>
      </c>
      <c r="D401" s="15">
        <v>41805.480000000003</v>
      </c>
      <c r="E401" s="15">
        <v>10677.43</v>
      </c>
      <c r="F401" s="15">
        <v>9961.5300000000007</v>
      </c>
      <c r="G401" s="15">
        <v>9925.36</v>
      </c>
      <c r="H401" s="15">
        <v>17508.849999999999</v>
      </c>
      <c r="I401" s="15">
        <v>89878.64</v>
      </c>
      <c r="J401" s="15">
        <v>48073.16</v>
      </c>
      <c r="K401" s="19">
        <v>0.65937206085116673</v>
      </c>
    </row>
    <row r="402" spans="1:11" x14ac:dyDescent="0.3">
      <c r="A402" s="9" t="s">
        <v>192</v>
      </c>
      <c r="B402" s="20">
        <v>45900</v>
      </c>
      <c r="C402" s="9" t="s">
        <v>228</v>
      </c>
      <c r="D402" s="15">
        <v>25671.24</v>
      </c>
      <c r="E402" s="15">
        <v>19563.45</v>
      </c>
      <c r="F402" s="15">
        <v>23230.57</v>
      </c>
      <c r="G402" s="15">
        <v>29491.43</v>
      </c>
      <c r="H402" s="15">
        <v>4772.53</v>
      </c>
      <c r="I402" s="15">
        <v>102729.22</v>
      </c>
      <c r="J402" s="15">
        <v>77057.98</v>
      </c>
      <c r="K402" s="19">
        <v>0.80127368778494013</v>
      </c>
    </row>
    <row r="403" spans="1:11" x14ac:dyDescent="0.3">
      <c r="A403" s="9" t="s">
        <v>192</v>
      </c>
      <c r="B403" s="20">
        <v>45900</v>
      </c>
      <c r="C403" s="9" t="s">
        <v>207</v>
      </c>
      <c r="D403" s="15">
        <v>25888.81</v>
      </c>
      <c r="E403" s="15">
        <v>23120.3</v>
      </c>
      <c r="F403" s="15">
        <v>30777.68</v>
      </c>
      <c r="G403" s="15">
        <v>11633.36</v>
      </c>
      <c r="H403" s="15">
        <v>449.29</v>
      </c>
      <c r="I403" s="15">
        <v>91869.45</v>
      </c>
      <c r="J403" s="15">
        <v>65980.63</v>
      </c>
      <c r="K403" s="19">
        <v>0.80127368778494013</v>
      </c>
    </row>
    <row r="404" spans="1:11" x14ac:dyDescent="0.3">
      <c r="A404" s="9" t="s">
        <v>192</v>
      </c>
      <c r="B404" s="20">
        <v>45900</v>
      </c>
      <c r="C404" s="9" t="s">
        <v>211</v>
      </c>
      <c r="D404" s="15">
        <v>33361.910000000003</v>
      </c>
      <c r="E404" s="15">
        <v>42822.45</v>
      </c>
      <c r="F404" s="15">
        <v>23718.39</v>
      </c>
      <c r="G404" s="15">
        <v>7699.22</v>
      </c>
      <c r="H404" s="15">
        <v>1442.29</v>
      </c>
      <c r="I404" s="15">
        <v>109044.25</v>
      </c>
      <c r="J404" s="15">
        <v>75682.350000000006</v>
      </c>
      <c r="K404" s="19">
        <v>0.80127368778494013</v>
      </c>
    </row>
    <row r="405" spans="1:11" x14ac:dyDescent="0.3">
      <c r="A405" s="9" t="s">
        <v>192</v>
      </c>
      <c r="B405" s="20">
        <v>45900</v>
      </c>
      <c r="C405" s="9" t="s">
        <v>247</v>
      </c>
      <c r="D405" s="15">
        <v>1969.11</v>
      </c>
      <c r="E405" s="15">
        <v>549.91</v>
      </c>
      <c r="F405" s="15">
        <v>1735.88</v>
      </c>
      <c r="G405" s="15">
        <v>819.29</v>
      </c>
      <c r="H405" s="15">
        <v>759.64</v>
      </c>
      <c r="I405" s="15">
        <v>5833.83</v>
      </c>
      <c r="J405" s="15">
        <v>3864.72</v>
      </c>
      <c r="K405" s="19">
        <v>0.80127368778494013</v>
      </c>
    </row>
    <row r="406" spans="1:11" x14ac:dyDescent="0.3">
      <c r="A406" s="9" t="s">
        <v>192</v>
      </c>
      <c r="B406" s="20">
        <v>45900</v>
      </c>
      <c r="C406" s="9" t="s">
        <v>234</v>
      </c>
      <c r="D406" s="15">
        <v>64140.45</v>
      </c>
      <c r="E406" s="15">
        <v>6698.64</v>
      </c>
      <c r="F406" s="15">
        <v>6978.55</v>
      </c>
      <c r="G406" s="15">
        <v>17260.650000000001</v>
      </c>
      <c r="H406" s="15">
        <v>34815.17</v>
      </c>
      <c r="I406" s="15">
        <v>129893.47</v>
      </c>
      <c r="J406" s="15">
        <v>65753.009999999995</v>
      </c>
      <c r="K406" s="19">
        <v>0.80127368778494013</v>
      </c>
    </row>
    <row r="407" spans="1:11" x14ac:dyDescent="0.3">
      <c r="A407" s="9" t="s">
        <v>192</v>
      </c>
      <c r="B407" s="20">
        <v>45900</v>
      </c>
      <c r="C407" s="9" t="s">
        <v>246</v>
      </c>
      <c r="D407" s="15">
        <v>43078.29</v>
      </c>
      <c r="E407" s="15">
        <v>13205.72</v>
      </c>
      <c r="F407" s="15">
        <v>11357.94</v>
      </c>
      <c r="G407" s="15">
        <v>14971.28</v>
      </c>
      <c r="H407" s="15">
        <v>5234.79</v>
      </c>
      <c r="I407" s="15">
        <v>87848.01</v>
      </c>
      <c r="J407" s="15">
        <v>44769.72</v>
      </c>
      <c r="K407" s="19">
        <v>0.80127368778494013</v>
      </c>
    </row>
    <row r="408" spans="1:11" x14ac:dyDescent="0.3">
      <c r="A408" s="9" t="s">
        <v>192</v>
      </c>
      <c r="B408" s="20">
        <v>45900</v>
      </c>
      <c r="C408" s="9" t="s">
        <v>219</v>
      </c>
      <c r="D408" s="15">
        <v>21190.32</v>
      </c>
      <c r="E408" s="15">
        <v>10664.17</v>
      </c>
      <c r="F408" s="15">
        <v>18216.93</v>
      </c>
      <c r="G408" s="15">
        <v>1300.75</v>
      </c>
      <c r="H408" s="15">
        <v>8565.42</v>
      </c>
      <c r="I408" s="15">
        <v>59937.58</v>
      </c>
      <c r="J408" s="15">
        <v>38747.26</v>
      </c>
      <c r="K408" s="19">
        <v>0.80127368778494013</v>
      </c>
    </row>
    <row r="409" spans="1:11" x14ac:dyDescent="0.3">
      <c r="A409" s="9" t="s">
        <v>192</v>
      </c>
      <c r="B409" s="20">
        <v>45900</v>
      </c>
      <c r="C409" s="9" t="s">
        <v>223</v>
      </c>
      <c r="D409" s="15">
        <v>19743.060000000001</v>
      </c>
      <c r="E409" s="15">
        <v>8225.2000000000007</v>
      </c>
      <c r="F409" s="15">
        <v>6571.82</v>
      </c>
      <c r="G409" s="15">
        <v>9665.65</v>
      </c>
      <c r="H409" s="15">
        <v>701.45</v>
      </c>
      <c r="I409" s="15">
        <v>44907.18</v>
      </c>
      <c r="J409" s="15">
        <v>25164.13</v>
      </c>
      <c r="K409" s="19">
        <v>0.80127368778494013</v>
      </c>
    </row>
    <row r="410" spans="1:11" x14ac:dyDescent="0.3">
      <c r="A410" s="9" t="s">
        <v>192</v>
      </c>
      <c r="B410" s="20">
        <v>45900</v>
      </c>
      <c r="C410" s="9" t="s">
        <v>245</v>
      </c>
      <c r="D410" s="15">
        <v>4311.01</v>
      </c>
      <c r="E410" s="15">
        <v>1302.1600000000001</v>
      </c>
      <c r="F410" s="15">
        <v>2989.82</v>
      </c>
      <c r="G410" s="15">
        <v>358.07</v>
      </c>
      <c r="H410" s="15">
        <v>821.69</v>
      </c>
      <c r="I410" s="15">
        <v>9782.76</v>
      </c>
      <c r="J410" s="15">
        <v>5471.74</v>
      </c>
      <c r="K410" s="19">
        <v>0.80127368778494013</v>
      </c>
    </row>
    <row r="411" spans="1:11" x14ac:dyDescent="0.3">
      <c r="A411" s="9" t="s">
        <v>192</v>
      </c>
      <c r="B411" s="20">
        <v>45900</v>
      </c>
      <c r="C411" s="9" t="s">
        <v>244</v>
      </c>
      <c r="D411" s="15">
        <v>7.5</v>
      </c>
      <c r="E411" s="15">
        <v>10.3</v>
      </c>
      <c r="F411" s="15">
        <v>10</v>
      </c>
      <c r="G411" s="15">
        <v>1.8</v>
      </c>
      <c r="H411" s="15">
        <v>2.12</v>
      </c>
      <c r="I411" s="15">
        <v>31.72</v>
      </c>
      <c r="J411" s="15">
        <v>24.22</v>
      </c>
      <c r="K411" s="19">
        <v>0.80127368778494013</v>
      </c>
    </row>
    <row r="412" spans="1:11" x14ac:dyDescent="0.3">
      <c r="A412" s="9" t="s">
        <v>192</v>
      </c>
      <c r="B412" s="20">
        <v>45900</v>
      </c>
      <c r="C412" s="9" t="s">
        <v>243</v>
      </c>
      <c r="D412" s="15">
        <v>44461.74</v>
      </c>
      <c r="E412" s="15">
        <v>16874.75</v>
      </c>
      <c r="F412" s="15">
        <v>14382.52</v>
      </c>
      <c r="G412" s="15">
        <v>14877.64</v>
      </c>
      <c r="H412" s="15">
        <v>13141</v>
      </c>
      <c r="I412" s="15">
        <v>103737.64</v>
      </c>
      <c r="J412" s="15">
        <v>59275.9</v>
      </c>
      <c r="K412" s="19">
        <v>0.80127368778494013</v>
      </c>
    </row>
    <row r="413" spans="1:11" x14ac:dyDescent="0.3">
      <c r="A413" s="9" t="s">
        <v>192</v>
      </c>
      <c r="B413" s="20">
        <v>45900</v>
      </c>
      <c r="C413" s="9" t="s">
        <v>242</v>
      </c>
      <c r="D413" s="15">
        <v>7106.29</v>
      </c>
      <c r="E413" s="15">
        <v>5816.47</v>
      </c>
      <c r="F413" s="15">
        <v>684.19</v>
      </c>
      <c r="G413" s="15">
        <v>2700.86</v>
      </c>
      <c r="H413" s="15">
        <v>2081.62</v>
      </c>
      <c r="I413" s="15">
        <v>18389.43</v>
      </c>
      <c r="J413" s="15">
        <v>11283.14</v>
      </c>
      <c r="K413" s="19">
        <v>0.80127368778494013</v>
      </c>
    </row>
    <row r="414" spans="1:11" x14ac:dyDescent="0.3">
      <c r="A414" s="9" t="s">
        <v>192</v>
      </c>
      <c r="B414" s="20">
        <v>45900</v>
      </c>
      <c r="C414" s="9" t="s">
        <v>241</v>
      </c>
      <c r="D414" s="15">
        <v>26664.29</v>
      </c>
      <c r="E414" s="15">
        <v>35426.6</v>
      </c>
      <c r="F414" s="15">
        <v>15569.47</v>
      </c>
      <c r="G414" s="15">
        <v>5826.02</v>
      </c>
      <c r="H414" s="15">
        <v>5957.48</v>
      </c>
      <c r="I414" s="15">
        <v>89443.86</v>
      </c>
      <c r="J414" s="15">
        <v>62779.57</v>
      </c>
      <c r="K414" s="19">
        <v>0.80127368778494013</v>
      </c>
    </row>
    <row r="415" spans="1:11" x14ac:dyDescent="0.3">
      <c r="A415" s="9" t="s">
        <v>192</v>
      </c>
      <c r="B415" s="20">
        <v>45900</v>
      </c>
      <c r="C415" s="9" t="s">
        <v>209</v>
      </c>
      <c r="D415" s="15">
        <v>2003.79</v>
      </c>
      <c r="E415" s="15">
        <v>461.5</v>
      </c>
      <c r="F415" s="15">
        <v>2012.58</v>
      </c>
      <c r="G415" s="15">
        <v>1682.26</v>
      </c>
      <c r="H415" s="15">
        <v>1117.27</v>
      </c>
      <c r="I415" s="15">
        <v>7277.41</v>
      </c>
      <c r="J415" s="15">
        <v>5273.61</v>
      </c>
      <c r="K415" s="19">
        <v>0.80127368778494013</v>
      </c>
    </row>
    <row r="416" spans="1:11" x14ac:dyDescent="0.3">
      <c r="A416" s="9" t="s">
        <v>192</v>
      </c>
      <c r="B416" s="20">
        <v>45900</v>
      </c>
      <c r="C416" s="9" t="s">
        <v>240</v>
      </c>
      <c r="D416" s="15">
        <v>31608.9</v>
      </c>
      <c r="E416" s="15">
        <v>15991.7</v>
      </c>
      <c r="F416" s="15">
        <v>12243.05</v>
      </c>
      <c r="G416" s="15">
        <v>11179.83</v>
      </c>
      <c r="H416" s="15">
        <v>6266.24</v>
      </c>
      <c r="I416" s="15">
        <v>77289.72</v>
      </c>
      <c r="J416" s="15">
        <v>45680.81</v>
      </c>
      <c r="K416" s="19">
        <v>0.80127368778494013</v>
      </c>
    </row>
    <row r="417" spans="1:11" x14ac:dyDescent="0.3">
      <c r="A417" s="9" t="s">
        <v>192</v>
      </c>
      <c r="B417" s="20">
        <v>45900</v>
      </c>
      <c r="C417" s="9" t="s">
        <v>239</v>
      </c>
      <c r="D417" s="15">
        <v>60499.08</v>
      </c>
      <c r="E417" s="15">
        <v>40159.69</v>
      </c>
      <c r="F417" s="15">
        <v>13396.19</v>
      </c>
      <c r="G417" s="15">
        <v>3528.03</v>
      </c>
      <c r="H417" s="15">
        <v>4304.25</v>
      </c>
      <c r="I417" s="15">
        <v>121887.24</v>
      </c>
      <c r="J417" s="15">
        <v>61388.17</v>
      </c>
      <c r="K417" s="19">
        <v>0.80127368778494013</v>
      </c>
    </row>
    <row r="418" spans="1:11" x14ac:dyDescent="0.3">
      <c r="A418" s="9" t="s">
        <v>192</v>
      </c>
      <c r="B418" s="20">
        <v>45900</v>
      </c>
      <c r="C418" s="9" t="s">
        <v>238</v>
      </c>
      <c r="D418" s="15">
        <v>11119.64</v>
      </c>
      <c r="E418" s="15">
        <v>5217.55</v>
      </c>
      <c r="F418" s="15">
        <v>7298.9</v>
      </c>
      <c r="G418" s="15">
        <v>2936.6</v>
      </c>
      <c r="H418" s="15">
        <v>12689.78</v>
      </c>
      <c r="I418" s="15">
        <v>39262.46</v>
      </c>
      <c r="J418" s="15">
        <v>28142.82</v>
      </c>
      <c r="K418" s="19">
        <v>0.80127368778494013</v>
      </c>
    </row>
    <row r="419" spans="1:11" x14ac:dyDescent="0.3">
      <c r="A419" s="9" t="s">
        <v>192</v>
      </c>
      <c r="B419" s="20">
        <v>45900</v>
      </c>
      <c r="C419" s="9" t="s">
        <v>237</v>
      </c>
      <c r="D419" s="15">
        <v>45085.37</v>
      </c>
      <c r="E419" s="15">
        <v>12789.35</v>
      </c>
      <c r="F419" s="15">
        <v>27267.05</v>
      </c>
      <c r="G419" s="15">
        <v>31198.81</v>
      </c>
      <c r="H419" s="15">
        <v>3748.06</v>
      </c>
      <c r="I419" s="15">
        <v>120088.64</v>
      </c>
      <c r="J419" s="15">
        <v>75003.27</v>
      </c>
      <c r="K419" s="19">
        <v>0.80127368778494013</v>
      </c>
    </row>
    <row r="420" spans="1:11" x14ac:dyDescent="0.3">
      <c r="A420" s="9" t="s">
        <v>192</v>
      </c>
      <c r="B420" s="20">
        <v>45900</v>
      </c>
      <c r="C420" s="9" t="s">
        <v>236</v>
      </c>
      <c r="D420" s="15">
        <v>26072</v>
      </c>
      <c r="E420" s="15">
        <v>40373.449999999997</v>
      </c>
      <c r="F420" s="15">
        <v>16308.54</v>
      </c>
      <c r="G420" s="15">
        <v>19772.669999999998</v>
      </c>
      <c r="H420" s="15">
        <v>7739.9</v>
      </c>
      <c r="I420" s="15">
        <v>110266.55</v>
      </c>
      <c r="J420" s="15">
        <v>84194.55</v>
      </c>
      <c r="K420" s="19">
        <v>0.80127368778494013</v>
      </c>
    </row>
    <row r="421" spans="1:11" x14ac:dyDescent="0.3">
      <c r="A421" s="9" t="s">
        <v>192</v>
      </c>
      <c r="B421" s="20">
        <v>45900</v>
      </c>
      <c r="C421" s="9" t="s">
        <v>215</v>
      </c>
      <c r="D421" s="15">
        <v>11451.92</v>
      </c>
      <c r="E421" s="15">
        <v>2647.34</v>
      </c>
      <c r="F421" s="15">
        <v>13059.52</v>
      </c>
      <c r="G421" s="15">
        <v>5782.77</v>
      </c>
      <c r="H421" s="15">
        <v>1069.57</v>
      </c>
      <c r="I421" s="15">
        <v>34011.129999999997</v>
      </c>
      <c r="J421" s="15">
        <v>22559.21</v>
      </c>
      <c r="K421" s="19">
        <v>0.80127368778494013</v>
      </c>
    </row>
    <row r="422" spans="1:11" x14ac:dyDescent="0.3">
      <c r="A422" s="9" t="s">
        <v>192</v>
      </c>
      <c r="B422" s="20">
        <v>45930</v>
      </c>
      <c r="C422" s="9" t="s">
        <v>228</v>
      </c>
      <c r="D422" s="15">
        <v>5536.52</v>
      </c>
      <c r="E422" s="15">
        <v>2142.6999999999998</v>
      </c>
      <c r="F422" s="15">
        <v>3253.78</v>
      </c>
      <c r="G422" s="15">
        <v>782.83</v>
      </c>
      <c r="H422" s="15">
        <v>1783.26</v>
      </c>
      <c r="I422" s="15">
        <v>13499.1</v>
      </c>
      <c r="J422" s="15">
        <v>7962.58</v>
      </c>
      <c r="K422" s="19">
        <v>0.66038969806939507</v>
      </c>
    </row>
    <row r="423" spans="1:11" x14ac:dyDescent="0.3">
      <c r="A423" s="9" t="s">
        <v>192</v>
      </c>
      <c r="B423" s="20">
        <v>45930</v>
      </c>
      <c r="C423" s="9" t="s">
        <v>207</v>
      </c>
      <c r="D423" s="15">
        <v>27243.59</v>
      </c>
      <c r="E423" s="15">
        <v>11838.81</v>
      </c>
      <c r="F423" s="15">
        <v>3708.26</v>
      </c>
      <c r="G423" s="15">
        <v>17477.02</v>
      </c>
      <c r="H423" s="15">
        <v>6059.89</v>
      </c>
      <c r="I423" s="15">
        <v>66327.570000000007</v>
      </c>
      <c r="J423" s="15">
        <v>39083.980000000003</v>
      </c>
      <c r="K423" s="19">
        <v>0.66038969806939507</v>
      </c>
    </row>
    <row r="424" spans="1:11" x14ac:dyDescent="0.3">
      <c r="A424" s="9" t="s">
        <v>192</v>
      </c>
      <c r="B424" s="20">
        <v>45930</v>
      </c>
      <c r="C424" s="9" t="s">
        <v>211</v>
      </c>
      <c r="D424" s="15">
        <v>7637.54</v>
      </c>
      <c r="E424" s="15">
        <v>5452.14</v>
      </c>
      <c r="F424" s="15">
        <v>1557.74</v>
      </c>
      <c r="G424" s="15">
        <v>3885.05</v>
      </c>
      <c r="H424" s="15">
        <v>2559.15</v>
      </c>
      <c r="I424" s="15">
        <v>21091.62</v>
      </c>
      <c r="J424" s="15">
        <v>13454.07</v>
      </c>
      <c r="K424" s="19">
        <v>0.66038969806939507</v>
      </c>
    </row>
    <row r="425" spans="1:11" x14ac:dyDescent="0.3">
      <c r="A425" s="9" t="s">
        <v>192</v>
      </c>
      <c r="B425" s="20">
        <v>45930</v>
      </c>
      <c r="C425" s="9" t="s">
        <v>247</v>
      </c>
      <c r="D425" s="15">
        <v>444.65</v>
      </c>
      <c r="E425" s="15">
        <v>391.83</v>
      </c>
      <c r="F425" s="15">
        <v>64.760000000000005</v>
      </c>
      <c r="G425" s="15">
        <v>68.62</v>
      </c>
      <c r="H425" s="15">
        <v>84.27</v>
      </c>
      <c r="I425" s="15">
        <v>1054.1400000000001</v>
      </c>
      <c r="J425" s="15">
        <v>609.49</v>
      </c>
      <c r="K425" s="19">
        <v>0.66038969806939507</v>
      </c>
    </row>
    <row r="426" spans="1:11" x14ac:dyDescent="0.3">
      <c r="A426" s="9" t="s">
        <v>192</v>
      </c>
      <c r="B426" s="20">
        <v>45930</v>
      </c>
      <c r="C426" s="9" t="s">
        <v>234</v>
      </c>
      <c r="D426" s="15">
        <v>30793.65</v>
      </c>
      <c r="E426" s="15">
        <v>9601.76</v>
      </c>
      <c r="F426" s="15">
        <v>4237.38</v>
      </c>
      <c r="G426" s="15">
        <v>26519.54</v>
      </c>
      <c r="H426" s="15">
        <v>9688.5499999999993</v>
      </c>
      <c r="I426" s="15">
        <v>80840.89</v>
      </c>
      <c r="J426" s="15">
        <v>50047.24</v>
      </c>
      <c r="K426" s="19">
        <v>0.66038969806939507</v>
      </c>
    </row>
    <row r="427" spans="1:11" x14ac:dyDescent="0.3">
      <c r="A427" s="9" t="s">
        <v>192</v>
      </c>
      <c r="B427" s="20">
        <v>45930</v>
      </c>
      <c r="C427" s="9" t="s">
        <v>246</v>
      </c>
      <c r="D427" s="15">
        <v>11210.45</v>
      </c>
      <c r="E427" s="15">
        <v>5132.25</v>
      </c>
      <c r="F427" s="15">
        <v>12365.67</v>
      </c>
      <c r="G427" s="15">
        <v>5265.7</v>
      </c>
      <c r="H427" s="15">
        <v>2092.08</v>
      </c>
      <c r="I427" s="15">
        <v>36066.14</v>
      </c>
      <c r="J427" s="15">
        <v>24855.7</v>
      </c>
      <c r="K427" s="19">
        <v>0.66038969806939507</v>
      </c>
    </row>
    <row r="428" spans="1:11" x14ac:dyDescent="0.3">
      <c r="A428" s="9" t="s">
        <v>192</v>
      </c>
      <c r="B428" s="20">
        <v>45930</v>
      </c>
      <c r="C428" s="9" t="s">
        <v>219</v>
      </c>
      <c r="D428" s="15">
        <v>28764.35</v>
      </c>
      <c r="E428" s="15">
        <v>19209.18</v>
      </c>
      <c r="F428" s="15">
        <v>6156.02</v>
      </c>
      <c r="G428" s="15">
        <v>12849.19</v>
      </c>
      <c r="H428" s="15">
        <v>2751.22</v>
      </c>
      <c r="I428" s="15">
        <v>69729.960000000006</v>
      </c>
      <c r="J428" s="15">
        <v>40965.61</v>
      </c>
      <c r="K428" s="19">
        <v>0.66038969806939507</v>
      </c>
    </row>
    <row r="429" spans="1:11" x14ac:dyDescent="0.3">
      <c r="A429" s="9" t="s">
        <v>192</v>
      </c>
      <c r="B429" s="20">
        <v>45930</v>
      </c>
      <c r="C429" s="9" t="s">
        <v>223</v>
      </c>
      <c r="D429" s="15">
        <v>51437.68</v>
      </c>
      <c r="E429" s="15">
        <v>27098.13</v>
      </c>
      <c r="F429" s="15">
        <v>4888.12</v>
      </c>
      <c r="G429" s="15">
        <v>21561.77</v>
      </c>
      <c r="H429" s="15">
        <v>9526.27</v>
      </c>
      <c r="I429" s="15">
        <v>114511.97</v>
      </c>
      <c r="J429" s="15">
        <v>63074.3</v>
      </c>
      <c r="K429" s="19">
        <v>0.66038969806939507</v>
      </c>
    </row>
    <row r="430" spans="1:11" x14ac:dyDescent="0.3">
      <c r="A430" s="9" t="s">
        <v>192</v>
      </c>
      <c r="B430" s="20">
        <v>45930</v>
      </c>
      <c r="C430" s="9" t="s">
        <v>245</v>
      </c>
      <c r="D430" s="15">
        <v>37489.879999999997</v>
      </c>
      <c r="E430" s="15">
        <v>33827.279999999999</v>
      </c>
      <c r="F430" s="15">
        <v>4904.3100000000004</v>
      </c>
      <c r="G430" s="15">
        <v>3320.41</v>
      </c>
      <c r="H430" s="15">
        <v>4778.41</v>
      </c>
      <c r="I430" s="15">
        <v>84320.28</v>
      </c>
      <c r="J430" s="15">
        <v>46830.400000000001</v>
      </c>
      <c r="K430" s="19">
        <v>0.66038969806939507</v>
      </c>
    </row>
    <row r="431" spans="1:11" x14ac:dyDescent="0.3">
      <c r="A431" s="9" t="s">
        <v>192</v>
      </c>
      <c r="B431" s="20">
        <v>45930</v>
      </c>
      <c r="C431" s="9" t="s">
        <v>244</v>
      </c>
      <c r="D431" s="15">
        <v>12278.58</v>
      </c>
      <c r="E431" s="15">
        <v>3724.18</v>
      </c>
      <c r="F431" s="15">
        <v>557.04999999999995</v>
      </c>
      <c r="G431" s="15">
        <v>8171.66</v>
      </c>
      <c r="H431" s="15">
        <v>7226.78</v>
      </c>
      <c r="I431" s="15">
        <v>31958.25</v>
      </c>
      <c r="J431" s="15">
        <v>19679.669999999998</v>
      </c>
      <c r="K431" s="19">
        <v>0.66038969806939507</v>
      </c>
    </row>
    <row r="432" spans="1:11" x14ac:dyDescent="0.3">
      <c r="A432" s="9" t="s">
        <v>192</v>
      </c>
      <c r="B432" s="20">
        <v>45930</v>
      </c>
      <c r="C432" s="9" t="s">
        <v>243</v>
      </c>
      <c r="D432" s="15">
        <v>29107.81</v>
      </c>
      <c r="E432" s="15">
        <v>24253.61</v>
      </c>
      <c r="F432" s="15">
        <v>8760.92</v>
      </c>
      <c r="G432" s="15">
        <v>15069.94</v>
      </c>
      <c r="H432" s="15">
        <v>12126.15</v>
      </c>
      <c r="I432" s="15">
        <v>89318.43</v>
      </c>
      <c r="J432" s="15">
        <v>60210.62</v>
      </c>
      <c r="K432" s="19">
        <v>0.66038969806939507</v>
      </c>
    </row>
    <row r="433" spans="1:11" x14ac:dyDescent="0.3">
      <c r="A433" s="9" t="s">
        <v>192</v>
      </c>
      <c r="B433" s="20">
        <v>45930</v>
      </c>
      <c r="C433" s="9" t="s">
        <v>242</v>
      </c>
      <c r="D433" s="15">
        <v>7708.44</v>
      </c>
      <c r="E433" s="15">
        <v>7433.07</v>
      </c>
      <c r="F433" s="15">
        <v>10573.56</v>
      </c>
      <c r="G433" s="15">
        <v>2802.64</v>
      </c>
      <c r="H433" s="15">
        <v>1402.97</v>
      </c>
      <c r="I433" s="15">
        <v>29920.67</v>
      </c>
      <c r="J433" s="15">
        <v>22212.23</v>
      </c>
      <c r="K433" s="19">
        <v>0.66038969806939507</v>
      </c>
    </row>
    <row r="434" spans="1:11" x14ac:dyDescent="0.3">
      <c r="A434" s="9" t="s">
        <v>192</v>
      </c>
      <c r="B434" s="20">
        <v>45930</v>
      </c>
      <c r="C434" s="9" t="s">
        <v>241</v>
      </c>
      <c r="D434" s="15">
        <v>59254.8</v>
      </c>
      <c r="E434" s="15">
        <v>8112.65</v>
      </c>
      <c r="F434" s="15">
        <v>17884.77</v>
      </c>
      <c r="G434" s="15">
        <v>20896.32</v>
      </c>
      <c r="H434" s="15">
        <v>18497.689999999999</v>
      </c>
      <c r="I434" s="15">
        <v>124646.23</v>
      </c>
      <c r="J434" s="15">
        <v>65391.43</v>
      </c>
      <c r="K434" s="19">
        <v>0.66038969806939507</v>
      </c>
    </row>
    <row r="435" spans="1:11" x14ac:dyDescent="0.3">
      <c r="A435" s="9" t="s">
        <v>192</v>
      </c>
      <c r="B435" s="20">
        <v>45930</v>
      </c>
      <c r="C435" s="9" t="s">
        <v>209</v>
      </c>
      <c r="D435" s="15">
        <v>13930.64</v>
      </c>
      <c r="E435" s="15">
        <v>7050.67</v>
      </c>
      <c r="F435" s="15">
        <v>2577.8000000000002</v>
      </c>
      <c r="G435" s="15">
        <v>2878.82</v>
      </c>
      <c r="H435" s="15">
        <v>12596.77</v>
      </c>
      <c r="I435" s="15">
        <v>39034.699999999997</v>
      </c>
      <c r="J435" s="15">
        <v>25104.06</v>
      </c>
      <c r="K435" s="19">
        <v>0.66038969806939507</v>
      </c>
    </row>
    <row r="436" spans="1:11" x14ac:dyDescent="0.3">
      <c r="A436" s="9" t="s">
        <v>192</v>
      </c>
      <c r="B436" s="20">
        <v>45930</v>
      </c>
      <c r="C436" s="9" t="s">
        <v>240</v>
      </c>
      <c r="D436" s="15">
        <v>20534.849999999999</v>
      </c>
      <c r="E436" s="15">
        <v>10163.530000000001</v>
      </c>
      <c r="F436" s="15">
        <v>3020.39</v>
      </c>
      <c r="G436" s="15">
        <v>10072.67</v>
      </c>
      <c r="H436" s="15">
        <v>4727.8100000000004</v>
      </c>
      <c r="I436" s="15">
        <v>48519.25</v>
      </c>
      <c r="J436" s="15">
        <v>27984.400000000001</v>
      </c>
      <c r="K436" s="19">
        <v>0.66038969806939507</v>
      </c>
    </row>
    <row r="437" spans="1:11" x14ac:dyDescent="0.3">
      <c r="A437" s="9" t="s">
        <v>192</v>
      </c>
      <c r="B437" s="20">
        <v>45930</v>
      </c>
      <c r="C437" s="9" t="s">
        <v>239</v>
      </c>
      <c r="D437" s="15">
        <v>13238.07</v>
      </c>
      <c r="E437" s="15">
        <v>7353.11</v>
      </c>
      <c r="F437" s="15">
        <v>1725.09</v>
      </c>
      <c r="G437" s="15">
        <v>2358.8200000000002</v>
      </c>
      <c r="H437" s="15">
        <v>22619.47</v>
      </c>
      <c r="I437" s="15">
        <v>47294.559999999998</v>
      </c>
      <c r="J437" s="15">
        <v>34056.480000000003</v>
      </c>
      <c r="K437" s="19">
        <v>0.66038969806939507</v>
      </c>
    </row>
    <row r="438" spans="1:11" x14ac:dyDescent="0.3">
      <c r="A438" s="9" t="s">
        <v>192</v>
      </c>
      <c r="B438" s="20">
        <v>45930</v>
      </c>
      <c r="C438" s="9" t="s">
        <v>238</v>
      </c>
      <c r="D438" s="15">
        <v>6204.86</v>
      </c>
      <c r="E438" s="15">
        <v>3104.79</v>
      </c>
      <c r="F438" s="15">
        <v>8601.01</v>
      </c>
      <c r="G438" s="15">
        <v>4798.57</v>
      </c>
      <c r="H438" s="15">
        <v>978.97</v>
      </c>
      <c r="I438" s="15">
        <v>23688.21</v>
      </c>
      <c r="J438" s="15">
        <v>17483.349999999999</v>
      </c>
      <c r="K438" s="19">
        <v>0.66038969806939507</v>
      </c>
    </row>
    <row r="439" spans="1:11" x14ac:dyDescent="0.3">
      <c r="A439" s="9" t="s">
        <v>192</v>
      </c>
      <c r="B439" s="20">
        <v>45930</v>
      </c>
      <c r="C439" s="9" t="s">
        <v>237</v>
      </c>
      <c r="D439" s="15">
        <v>61583.22</v>
      </c>
      <c r="E439" s="15">
        <v>24968.29</v>
      </c>
      <c r="F439" s="15">
        <v>25691.93</v>
      </c>
      <c r="G439" s="15">
        <v>10466.549999999999</v>
      </c>
      <c r="H439" s="15">
        <v>11171.24</v>
      </c>
      <c r="I439" s="15">
        <v>133881.23000000001</v>
      </c>
      <c r="J439" s="15">
        <v>72298.009999999995</v>
      </c>
      <c r="K439" s="19">
        <v>0.66038969806939507</v>
      </c>
    </row>
    <row r="440" spans="1:11" x14ac:dyDescent="0.3">
      <c r="A440" s="9" t="s">
        <v>192</v>
      </c>
      <c r="B440" s="20">
        <v>45930</v>
      </c>
      <c r="C440" s="9" t="s">
        <v>236</v>
      </c>
      <c r="D440" s="15">
        <v>61780.41</v>
      </c>
      <c r="E440" s="15">
        <v>23271.93</v>
      </c>
      <c r="F440" s="15">
        <v>15173.26</v>
      </c>
      <c r="G440" s="15">
        <v>27781.75</v>
      </c>
      <c r="H440" s="15">
        <v>1820.32</v>
      </c>
      <c r="I440" s="15">
        <v>129827.67</v>
      </c>
      <c r="J440" s="15">
        <v>68047.259999999995</v>
      </c>
      <c r="K440" s="19">
        <v>0.66038969806939507</v>
      </c>
    </row>
    <row r="441" spans="1:11" x14ac:dyDescent="0.3">
      <c r="A441" s="9" t="s">
        <v>192</v>
      </c>
      <c r="B441" s="20">
        <v>45930</v>
      </c>
      <c r="C441" s="9" t="s">
        <v>215</v>
      </c>
      <c r="D441" s="15">
        <v>16496.32</v>
      </c>
      <c r="E441" s="15">
        <v>8095.31</v>
      </c>
      <c r="F441" s="15">
        <v>2385.42</v>
      </c>
      <c r="G441" s="15">
        <v>9038.07</v>
      </c>
      <c r="H441" s="15">
        <v>3958.54</v>
      </c>
      <c r="I441" s="15">
        <v>39973.660000000003</v>
      </c>
      <c r="J441" s="15">
        <v>23477.34</v>
      </c>
      <c r="K441" s="19">
        <v>0.66038969806939507</v>
      </c>
    </row>
    <row r="442" spans="1:11" x14ac:dyDescent="0.3">
      <c r="A442" s="9" t="s">
        <v>192</v>
      </c>
      <c r="B442" s="20">
        <v>45961</v>
      </c>
      <c r="C442" s="9" t="s">
        <v>228</v>
      </c>
      <c r="D442" s="15">
        <v>9717.5499999999993</v>
      </c>
      <c r="E442" s="15">
        <v>4036.66</v>
      </c>
      <c r="F442" s="15">
        <v>12616.02</v>
      </c>
      <c r="G442" s="15">
        <v>1367.35</v>
      </c>
      <c r="H442" s="15">
        <v>8871.89</v>
      </c>
      <c r="I442" s="15">
        <v>36609.47</v>
      </c>
      <c r="J442" s="15">
        <v>26891.919999999998</v>
      </c>
      <c r="K442" s="19">
        <v>0.67099670790692678</v>
      </c>
    </row>
    <row r="443" spans="1:11" x14ac:dyDescent="0.3">
      <c r="A443" s="9" t="s">
        <v>192</v>
      </c>
      <c r="B443" s="20">
        <v>45961</v>
      </c>
      <c r="C443" s="9" t="s">
        <v>207</v>
      </c>
      <c r="D443" s="15">
        <v>3429.88</v>
      </c>
      <c r="E443" s="15">
        <v>1677.37</v>
      </c>
      <c r="F443" s="15">
        <v>1140.0999999999999</v>
      </c>
      <c r="G443" s="15">
        <v>682.26</v>
      </c>
      <c r="H443" s="15">
        <v>117.56</v>
      </c>
      <c r="I443" s="15">
        <v>7047.17</v>
      </c>
      <c r="J443" s="15">
        <v>3617.29</v>
      </c>
      <c r="K443" s="19">
        <v>0.67099670790692678</v>
      </c>
    </row>
    <row r="444" spans="1:11" x14ac:dyDescent="0.3">
      <c r="A444" s="9" t="s">
        <v>192</v>
      </c>
      <c r="B444" s="20">
        <v>45961</v>
      </c>
      <c r="C444" s="9" t="s">
        <v>211</v>
      </c>
      <c r="D444" s="15">
        <v>4872.43</v>
      </c>
      <c r="E444" s="15">
        <v>1010.55</v>
      </c>
      <c r="F444" s="15">
        <v>1031.67</v>
      </c>
      <c r="G444" s="15">
        <v>9619.4</v>
      </c>
      <c r="H444" s="15">
        <v>2204.27</v>
      </c>
      <c r="I444" s="15">
        <v>18738.330000000002</v>
      </c>
      <c r="J444" s="15">
        <v>13865.89</v>
      </c>
      <c r="K444" s="19">
        <v>0.67099670790692678</v>
      </c>
    </row>
    <row r="445" spans="1:11" x14ac:dyDescent="0.3">
      <c r="A445" s="9" t="s">
        <v>192</v>
      </c>
      <c r="B445" s="20">
        <v>45961</v>
      </c>
      <c r="C445" s="9" t="s">
        <v>247</v>
      </c>
      <c r="D445" s="15">
        <v>3646.82</v>
      </c>
      <c r="E445" s="15">
        <v>2103.0500000000002</v>
      </c>
      <c r="F445" s="15">
        <v>1659.89</v>
      </c>
      <c r="G445" s="15">
        <v>383.98</v>
      </c>
      <c r="H445" s="15">
        <v>192.31</v>
      </c>
      <c r="I445" s="15">
        <v>7986.05</v>
      </c>
      <c r="J445" s="15">
        <v>4339.2299999999996</v>
      </c>
      <c r="K445" s="19">
        <v>0.67099670790692678</v>
      </c>
    </row>
    <row r="446" spans="1:11" x14ac:dyDescent="0.3">
      <c r="A446" s="9" t="s">
        <v>192</v>
      </c>
      <c r="B446" s="20">
        <v>45961</v>
      </c>
      <c r="C446" s="9" t="s">
        <v>234</v>
      </c>
      <c r="D446" s="15">
        <v>25402.7</v>
      </c>
      <c r="E446" s="15">
        <v>7988.23</v>
      </c>
      <c r="F446" s="15">
        <v>6918.26</v>
      </c>
      <c r="G446" s="15">
        <v>13082.35</v>
      </c>
      <c r="H446" s="15">
        <v>793.61</v>
      </c>
      <c r="I446" s="15">
        <v>54185.14</v>
      </c>
      <c r="J446" s="15">
        <v>28782.45</v>
      </c>
      <c r="K446" s="19">
        <v>0.67099670790692678</v>
      </c>
    </row>
    <row r="447" spans="1:11" x14ac:dyDescent="0.3">
      <c r="A447" s="9" t="s">
        <v>192</v>
      </c>
      <c r="B447" s="20">
        <v>45961</v>
      </c>
      <c r="C447" s="9" t="s">
        <v>246</v>
      </c>
      <c r="D447" s="15">
        <v>6924.24</v>
      </c>
      <c r="E447" s="15">
        <v>10159.16</v>
      </c>
      <c r="F447" s="15">
        <v>5882.53</v>
      </c>
      <c r="G447" s="15">
        <v>1514.32</v>
      </c>
      <c r="H447" s="15">
        <v>22.81</v>
      </c>
      <c r="I447" s="15">
        <v>24503.040000000001</v>
      </c>
      <c r="J447" s="15">
        <v>17578.8</v>
      </c>
      <c r="K447" s="19">
        <v>0.67099670790692678</v>
      </c>
    </row>
    <row r="448" spans="1:11" x14ac:dyDescent="0.3">
      <c r="A448" s="9" t="s">
        <v>192</v>
      </c>
      <c r="B448" s="20">
        <v>45961</v>
      </c>
      <c r="C448" s="9" t="s">
        <v>219</v>
      </c>
      <c r="D448" s="15">
        <v>1263.4100000000001</v>
      </c>
      <c r="E448" s="15">
        <v>586.4</v>
      </c>
      <c r="F448" s="15">
        <v>173.06</v>
      </c>
      <c r="G448" s="15">
        <v>237.7</v>
      </c>
      <c r="H448" s="15">
        <v>347.23</v>
      </c>
      <c r="I448" s="15">
        <v>2607.79</v>
      </c>
      <c r="J448" s="15">
        <v>1344.38</v>
      </c>
      <c r="K448" s="19">
        <v>0.67099670790692678</v>
      </c>
    </row>
    <row r="449" spans="1:11" x14ac:dyDescent="0.3">
      <c r="A449" s="9" t="s">
        <v>192</v>
      </c>
      <c r="B449" s="20">
        <v>45961</v>
      </c>
      <c r="C449" s="9" t="s">
        <v>223</v>
      </c>
      <c r="D449" s="15">
        <v>6475.9</v>
      </c>
      <c r="E449" s="15">
        <v>2114.23</v>
      </c>
      <c r="F449" s="15">
        <v>1818.61</v>
      </c>
      <c r="G449" s="15">
        <v>2074.33</v>
      </c>
      <c r="H449" s="15">
        <v>1998.33</v>
      </c>
      <c r="I449" s="15">
        <v>14481.4</v>
      </c>
      <c r="J449" s="15">
        <v>8005.5</v>
      </c>
      <c r="K449" s="19">
        <v>0.67099670790692678</v>
      </c>
    </row>
    <row r="450" spans="1:11" x14ac:dyDescent="0.3">
      <c r="A450" s="9" t="s">
        <v>192</v>
      </c>
      <c r="B450" s="20">
        <v>45961</v>
      </c>
      <c r="C450" s="9" t="s">
        <v>245</v>
      </c>
      <c r="D450" s="15">
        <v>40279.61</v>
      </c>
      <c r="E450" s="15">
        <v>9541.9</v>
      </c>
      <c r="F450" s="15">
        <v>14274.95</v>
      </c>
      <c r="G450" s="15">
        <v>16731.310000000001</v>
      </c>
      <c r="H450" s="15">
        <v>20959.43</v>
      </c>
      <c r="I450" s="15">
        <v>101787.2</v>
      </c>
      <c r="J450" s="15">
        <v>61507.59</v>
      </c>
      <c r="K450" s="19">
        <v>0.67099670790692678</v>
      </c>
    </row>
    <row r="451" spans="1:11" x14ac:dyDescent="0.3">
      <c r="A451" s="9" t="s">
        <v>192</v>
      </c>
      <c r="B451" s="20">
        <v>45961</v>
      </c>
      <c r="C451" s="9" t="s">
        <v>244</v>
      </c>
      <c r="D451" s="15">
        <v>24525.16</v>
      </c>
      <c r="E451" s="15">
        <v>10199.26</v>
      </c>
      <c r="F451" s="15">
        <v>11182.61</v>
      </c>
      <c r="G451" s="15">
        <v>2254.4499999999998</v>
      </c>
      <c r="H451" s="15">
        <v>8512.84</v>
      </c>
      <c r="I451" s="15">
        <v>56674.32</v>
      </c>
      <c r="J451" s="15">
        <v>32149.16</v>
      </c>
      <c r="K451" s="19">
        <v>0.67099670790692678</v>
      </c>
    </row>
    <row r="452" spans="1:11" x14ac:dyDescent="0.3">
      <c r="A452" s="9" t="s">
        <v>192</v>
      </c>
      <c r="B452" s="20">
        <v>45961</v>
      </c>
      <c r="C452" s="9" t="s">
        <v>243</v>
      </c>
      <c r="D452" s="15">
        <v>7087.81</v>
      </c>
      <c r="E452" s="15">
        <v>2591.15</v>
      </c>
      <c r="F452" s="15">
        <v>8465.09</v>
      </c>
      <c r="G452" s="15">
        <v>2459.9499999999998</v>
      </c>
      <c r="H452" s="15">
        <v>1461.06</v>
      </c>
      <c r="I452" s="15">
        <v>22065.06</v>
      </c>
      <c r="J452" s="15">
        <v>14977.25</v>
      </c>
      <c r="K452" s="19">
        <v>0.67099670790692678</v>
      </c>
    </row>
    <row r="453" spans="1:11" x14ac:dyDescent="0.3">
      <c r="A453" s="9" t="s">
        <v>192</v>
      </c>
      <c r="B453" s="20">
        <v>45961</v>
      </c>
      <c r="C453" s="9" t="s">
        <v>242</v>
      </c>
      <c r="D453" s="15">
        <v>56667.79</v>
      </c>
      <c r="E453" s="15">
        <v>36703.17</v>
      </c>
      <c r="F453" s="15">
        <v>18359.27</v>
      </c>
      <c r="G453" s="15">
        <v>8386.1299999999992</v>
      </c>
      <c r="H453" s="15">
        <v>15597.98</v>
      </c>
      <c r="I453" s="15">
        <v>135714.34</v>
      </c>
      <c r="J453" s="15">
        <v>79046.55</v>
      </c>
      <c r="K453" s="19">
        <v>0.67099670790692678</v>
      </c>
    </row>
    <row r="454" spans="1:11" x14ac:dyDescent="0.3">
      <c r="A454" s="9" t="s">
        <v>192</v>
      </c>
      <c r="B454" s="20">
        <v>45961</v>
      </c>
      <c r="C454" s="9" t="s">
        <v>241</v>
      </c>
      <c r="D454" s="15">
        <v>26438.83</v>
      </c>
      <c r="E454" s="15">
        <v>11253.79</v>
      </c>
      <c r="F454" s="15">
        <v>13622.8</v>
      </c>
      <c r="G454" s="15">
        <v>11754.64</v>
      </c>
      <c r="H454" s="15">
        <v>2732.45</v>
      </c>
      <c r="I454" s="15">
        <v>65802.509999999995</v>
      </c>
      <c r="J454" s="15">
        <v>39363.68</v>
      </c>
      <c r="K454" s="19">
        <v>0.67099670790692678</v>
      </c>
    </row>
    <row r="455" spans="1:11" x14ac:dyDescent="0.3">
      <c r="A455" s="9" t="s">
        <v>192</v>
      </c>
      <c r="B455" s="20">
        <v>45961</v>
      </c>
      <c r="C455" s="9" t="s">
        <v>209</v>
      </c>
      <c r="D455" s="15">
        <v>74555.19</v>
      </c>
      <c r="E455" s="15">
        <v>31733.360000000001</v>
      </c>
      <c r="F455" s="15">
        <v>25379.73</v>
      </c>
      <c r="G455" s="15">
        <v>18829.18</v>
      </c>
      <c r="H455" s="15">
        <v>12893.2</v>
      </c>
      <c r="I455" s="15">
        <v>163390.66</v>
      </c>
      <c r="J455" s="15">
        <v>88835.46</v>
      </c>
      <c r="K455" s="19">
        <v>0.67099670790692678</v>
      </c>
    </row>
    <row r="456" spans="1:11" x14ac:dyDescent="0.3">
      <c r="A456" s="9" t="s">
        <v>192</v>
      </c>
      <c r="B456" s="20">
        <v>45961</v>
      </c>
      <c r="C456" s="9" t="s">
        <v>240</v>
      </c>
      <c r="D456" s="15">
        <v>43278.8</v>
      </c>
      <c r="E456" s="15">
        <v>40531.06</v>
      </c>
      <c r="F456" s="15">
        <v>6104.13</v>
      </c>
      <c r="G456" s="15">
        <v>16096.99</v>
      </c>
      <c r="H456" s="15">
        <v>4687.53</v>
      </c>
      <c r="I456" s="15">
        <v>110698.51</v>
      </c>
      <c r="J456" s="15">
        <v>67419.710000000006</v>
      </c>
      <c r="K456" s="19">
        <v>0.67099670790692678</v>
      </c>
    </row>
    <row r="457" spans="1:11" x14ac:dyDescent="0.3">
      <c r="A457" s="9" t="s">
        <v>192</v>
      </c>
      <c r="B457" s="20">
        <v>45961</v>
      </c>
      <c r="C457" s="9" t="s">
        <v>239</v>
      </c>
      <c r="D457" s="15">
        <v>12940.73</v>
      </c>
      <c r="E457" s="15">
        <v>10072.01</v>
      </c>
      <c r="F457" s="15">
        <v>9790.02</v>
      </c>
      <c r="G457" s="15">
        <v>6822.58</v>
      </c>
      <c r="H457" s="15">
        <v>4617.17</v>
      </c>
      <c r="I457" s="15">
        <v>44242.5</v>
      </c>
      <c r="J457" s="15">
        <v>31301.78</v>
      </c>
      <c r="K457" s="19">
        <v>0.67099670790692678</v>
      </c>
    </row>
    <row r="458" spans="1:11" x14ac:dyDescent="0.3">
      <c r="A458" s="9" t="s">
        <v>192</v>
      </c>
      <c r="B458" s="20">
        <v>45961</v>
      </c>
      <c r="C458" s="9" t="s">
        <v>238</v>
      </c>
      <c r="D458" s="15">
        <v>32827.18</v>
      </c>
      <c r="E458" s="15">
        <v>30857.18</v>
      </c>
      <c r="F458" s="15">
        <v>3088.69</v>
      </c>
      <c r="G458" s="15">
        <v>7508.02</v>
      </c>
      <c r="H458" s="15">
        <v>1607.68</v>
      </c>
      <c r="I458" s="15">
        <v>75888.77</v>
      </c>
      <c r="J458" s="15">
        <v>43061.58</v>
      </c>
      <c r="K458" s="19">
        <v>0.67099670790692678</v>
      </c>
    </row>
    <row r="459" spans="1:11" x14ac:dyDescent="0.3">
      <c r="A459" s="9" t="s">
        <v>192</v>
      </c>
      <c r="B459" s="20">
        <v>45961</v>
      </c>
      <c r="C459" s="9" t="s">
        <v>237</v>
      </c>
      <c r="D459" s="15">
        <v>39331.629999999997</v>
      </c>
      <c r="E459" s="15">
        <v>19658.009999999998</v>
      </c>
      <c r="F459" s="15">
        <v>16985.55</v>
      </c>
      <c r="G459" s="15">
        <v>12362.58</v>
      </c>
      <c r="H459" s="15">
        <v>1186.27</v>
      </c>
      <c r="I459" s="15">
        <v>89524.05</v>
      </c>
      <c r="J459" s="15">
        <v>50192.42</v>
      </c>
      <c r="K459" s="19">
        <v>0.67099670790692678</v>
      </c>
    </row>
    <row r="460" spans="1:11" x14ac:dyDescent="0.3">
      <c r="A460" s="9" t="s">
        <v>192</v>
      </c>
      <c r="B460" s="20">
        <v>45961</v>
      </c>
      <c r="C460" s="9" t="s">
        <v>236</v>
      </c>
      <c r="D460" s="15">
        <v>28653</v>
      </c>
      <c r="E460" s="15">
        <v>5556.89</v>
      </c>
      <c r="F460" s="15">
        <v>33057.839999999997</v>
      </c>
      <c r="G460" s="15">
        <v>3337.59</v>
      </c>
      <c r="H460" s="15">
        <v>11857.35</v>
      </c>
      <c r="I460" s="15">
        <v>82462.67</v>
      </c>
      <c r="J460" s="15">
        <v>53809.67</v>
      </c>
      <c r="K460" s="19">
        <v>0.67099670790692678</v>
      </c>
    </row>
    <row r="461" spans="1:11" x14ac:dyDescent="0.3">
      <c r="A461" s="9" t="s">
        <v>192</v>
      </c>
      <c r="B461" s="20">
        <v>45961</v>
      </c>
      <c r="C461" s="9" t="s">
        <v>215</v>
      </c>
      <c r="D461" s="15">
        <v>44054.06</v>
      </c>
      <c r="E461" s="15">
        <v>35678.410000000003</v>
      </c>
      <c r="F461" s="15">
        <v>24902.34</v>
      </c>
      <c r="G461" s="15">
        <v>11234</v>
      </c>
      <c r="H461" s="15">
        <v>2164.7399999999998</v>
      </c>
      <c r="I461" s="15">
        <v>118033.55</v>
      </c>
      <c r="J461" s="15">
        <v>73979.490000000005</v>
      </c>
      <c r="K461" s="19">
        <v>0.67099670790692678</v>
      </c>
    </row>
    <row r="462" spans="1:11" x14ac:dyDescent="0.3">
      <c r="A462" s="9" t="s">
        <v>192</v>
      </c>
      <c r="B462" s="20">
        <v>45991</v>
      </c>
      <c r="C462" s="9" t="s">
        <v>228</v>
      </c>
      <c r="D462" s="15">
        <v>80383.850000000006</v>
      </c>
      <c r="E462" s="15">
        <v>22770.06</v>
      </c>
      <c r="F462" s="15">
        <v>14438.55</v>
      </c>
      <c r="G462" s="15">
        <v>29914.36</v>
      </c>
      <c r="H462" s="15">
        <v>15758.32</v>
      </c>
      <c r="I462" s="15">
        <v>163265.14000000001</v>
      </c>
      <c r="J462" s="15">
        <v>82881.289999999994</v>
      </c>
      <c r="K462" s="19">
        <v>0.83179263852601593</v>
      </c>
    </row>
    <row r="463" spans="1:11" x14ac:dyDescent="0.3">
      <c r="A463" s="9" t="s">
        <v>192</v>
      </c>
      <c r="B463" s="20">
        <v>45991</v>
      </c>
      <c r="C463" s="9" t="s">
        <v>207</v>
      </c>
      <c r="D463" s="15">
        <v>9948.64</v>
      </c>
      <c r="E463" s="15">
        <v>7758.14</v>
      </c>
      <c r="F463" s="15">
        <v>1370.1</v>
      </c>
      <c r="G463" s="15">
        <v>3141.6</v>
      </c>
      <c r="H463" s="15">
        <v>9929.0499999999993</v>
      </c>
      <c r="I463" s="15">
        <v>32147.53</v>
      </c>
      <c r="J463" s="15">
        <v>22198.9</v>
      </c>
      <c r="K463" s="19">
        <v>0.83179263852601593</v>
      </c>
    </row>
    <row r="464" spans="1:11" x14ac:dyDescent="0.3">
      <c r="A464" s="9" t="s">
        <v>192</v>
      </c>
      <c r="B464" s="20">
        <v>45991</v>
      </c>
      <c r="C464" s="9" t="s">
        <v>211</v>
      </c>
      <c r="D464" s="15">
        <v>25879.46</v>
      </c>
      <c r="E464" s="15">
        <v>5631.42</v>
      </c>
      <c r="F464" s="15">
        <v>20196.21</v>
      </c>
      <c r="G464" s="15">
        <v>4734.3100000000004</v>
      </c>
      <c r="H464" s="15">
        <v>922.13</v>
      </c>
      <c r="I464" s="15">
        <v>57363.51</v>
      </c>
      <c r="J464" s="15">
        <v>31484.06</v>
      </c>
      <c r="K464" s="19">
        <v>0.83179263852601593</v>
      </c>
    </row>
    <row r="465" spans="1:11" x14ac:dyDescent="0.3">
      <c r="A465" s="9" t="s">
        <v>192</v>
      </c>
      <c r="B465" s="20">
        <v>45991</v>
      </c>
      <c r="C465" s="9" t="s">
        <v>247</v>
      </c>
      <c r="D465" s="15">
        <v>46674.71</v>
      </c>
      <c r="E465" s="15">
        <v>17074.68</v>
      </c>
      <c r="F465" s="15">
        <v>5819.01</v>
      </c>
      <c r="G465" s="15">
        <v>52600.14</v>
      </c>
      <c r="H465" s="15">
        <v>12787.12</v>
      </c>
      <c r="I465" s="15">
        <v>134955.66</v>
      </c>
      <c r="J465" s="15">
        <v>88280.95</v>
      </c>
      <c r="K465" s="19">
        <v>0.83179263852601593</v>
      </c>
    </row>
    <row r="466" spans="1:11" x14ac:dyDescent="0.3">
      <c r="A466" s="9" t="s">
        <v>192</v>
      </c>
      <c r="B466" s="20">
        <v>45991</v>
      </c>
      <c r="C466" s="9" t="s">
        <v>234</v>
      </c>
      <c r="D466" s="15">
        <v>19351.71</v>
      </c>
      <c r="E466" s="15">
        <v>26283.73</v>
      </c>
      <c r="F466" s="15">
        <v>7812.83</v>
      </c>
      <c r="G466" s="15">
        <v>12796.13</v>
      </c>
      <c r="H466" s="15">
        <v>6590.86</v>
      </c>
      <c r="I466" s="15">
        <v>72835.27</v>
      </c>
      <c r="J466" s="15">
        <v>53483.56</v>
      </c>
      <c r="K466" s="19">
        <v>0.83179263852601593</v>
      </c>
    </row>
    <row r="467" spans="1:11" x14ac:dyDescent="0.3">
      <c r="A467" s="9" t="s">
        <v>192</v>
      </c>
      <c r="B467" s="20">
        <v>45991</v>
      </c>
      <c r="C467" s="9" t="s">
        <v>246</v>
      </c>
      <c r="D467" s="15">
        <v>22455.29</v>
      </c>
      <c r="E467" s="15">
        <v>14461.28</v>
      </c>
      <c r="F467" s="15">
        <v>9165.75</v>
      </c>
      <c r="G467" s="15">
        <v>14554.59</v>
      </c>
      <c r="H467" s="15">
        <v>18090.009999999998</v>
      </c>
      <c r="I467" s="15">
        <v>78726.929999999993</v>
      </c>
      <c r="J467" s="15">
        <v>56271.63</v>
      </c>
      <c r="K467" s="19">
        <v>0.83179263852601593</v>
      </c>
    </row>
    <row r="468" spans="1:11" x14ac:dyDescent="0.3">
      <c r="A468" s="9" t="s">
        <v>192</v>
      </c>
      <c r="B468" s="20">
        <v>45991</v>
      </c>
      <c r="C468" s="9" t="s">
        <v>219</v>
      </c>
      <c r="D468" s="15">
        <v>31690.639999999999</v>
      </c>
      <c r="E468" s="15">
        <v>35494.75</v>
      </c>
      <c r="F468" s="15">
        <v>7401.77</v>
      </c>
      <c r="G468" s="15">
        <v>9849.44</v>
      </c>
      <c r="H468" s="15">
        <v>6071.09</v>
      </c>
      <c r="I468" s="15">
        <v>90507.69</v>
      </c>
      <c r="J468" s="15">
        <v>58817.05</v>
      </c>
      <c r="K468" s="19">
        <v>0.83179263852601593</v>
      </c>
    </row>
    <row r="469" spans="1:11" x14ac:dyDescent="0.3">
      <c r="A469" s="9" t="s">
        <v>192</v>
      </c>
      <c r="B469" s="20">
        <v>45991</v>
      </c>
      <c r="C469" s="9" t="s">
        <v>223</v>
      </c>
      <c r="D469" s="15">
        <v>24745.200000000001</v>
      </c>
      <c r="E469" s="15">
        <v>39433.25</v>
      </c>
      <c r="F469" s="15">
        <v>13224.78</v>
      </c>
      <c r="G469" s="15">
        <v>3371.54</v>
      </c>
      <c r="H469" s="15">
        <v>22056.49</v>
      </c>
      <c r="I469" s="15">
        <v>102831.27</v>
      </c>
      <c r="J469" s="15">
        <v>78086.070000000007</v>
      </c>
      <c r="K469" s="19">
        <v>0.83179263852601593</v>
      </c>
    </row>
    <row r="470" spans="1:11" x14ac:dyDescent="0.3">
      <c r="A470" s="9" t="s">
        <v>192</v>
      </c>
      <c r="B470" s="20">
        <v>45991</v>
      </c>
      <c r="C470" s="9" t="s">
        <v>245</v>
      </c>
      <c r="D470" s="15">
        <v>4583</v>
      </c>
      <c r="E470" s="15">
        <v>1029.31</v>
      </c>
      <c r="F470" s="15">
        <v>659.87</v>
      </c>
      <c r="G470" s="15">
        <v>1830.62</v>
      </c>
      <c r="H470" s="15">
        <v>1451.25</v>
      </c>
      <c r="I470" s="15">
        <v>9554.0499999999993</v>
      </c>
      <c r="J470" s="15">
        <v>4971.05</v>
      </c>
      <c r="K470" s="19">
        <v>0.83179263852601593</v>
      </c>
    </row>
    <row r="471" spans="1:11" x14ac:dyDescent="0.3">
      <c r="A471" s="9" t="s">
        <v>192</v>
      </c>
      <c r="B471" s="20">
        <v>45991</v>
      </c>
      <c r="C471" s="9" t="s">
        <v>244</v>
      </c>
      <c r="D471" s="15">
        <v>20724.71</v>
      </c>
      <c r="E471" s="15">
        <v>6829.8</v>
      </c>
      <c r="F471" s="15">
        <v>11400.46</v>
      </c>
      <c r="G471" s="15">
        <v>1825.98</v>
      </c>
      <c r="H471" s="15">
        <v>3389</v>
      </c>
      <c r="I471" s="15">
        <v>44169.95</v>
      </c>
      <c r="J471" s="15">
        <v>23445.24</v>
      </c>
      <c r="K471" s="19">
        <v>0.83179263852601593</v>
      </c>
    </row>
    <row r="472" spans="1:11" x14ac:dyDescent="0.3">
      <c r="A472" s="9" t="s">
        <v>192</v>
      </c>
      <c r="B472" s="20">
        <v>45991</v>
      </c>
      <c r="C472" s="9" t="s">
        <v>243</v>
      </c>
      <c r="D472" s="15">
        <v>13323.47</v>
      </c>
      <c r="E472" s="15">
        <v>2958.7</v>
      </c>
      <c r="F472" s="15">
        <v>2487.75</v>
      </c>
      <c r="G472" s="15">
        <v>3393</v>
      </c>
      <c r="H472" s="15">
        <v>6427</v>
      </c>
      <c r="I472" s="15">
        <v>28589.93</v>
      </c>
      <c r="J472" s="15">
        <v>15266.46</v>
      </c>
      <c r="K472" s="19">
        <v>0.83179263852601593</v>
      </c>
    </row>
    <row r="473" spans="1:11" x14ac:dyDescent="0.3">
      <c r="A473" s="9" t="s">
        <v>192</v>
      </c>
      <c r="B473" s="20">
        <v>45991</v>
      </c>
      <c r="C473" s="9" t="s">
        <v>242</v>
      </c>
      <c r="D473" s="15">
        <v>25119.57</v>
      </c>
      <c r="E473" s="15">
        <v>29802.26</v>
      </c>
      <c r="F473" s="15">
        <v>11848.7</v>
      </c>
      <c r="G473" s="15">
        <v>23048.75</v>
      </c>
      <c r="H473" s="15">
        <v>1752.6</v>
      </c>
      <c r="I473" s="15">
        <v>91571.88</v>
      </c>
      <c r="J473" s="15">
        <v>66452.31</v>
      </c>
      <c r="K473" s="19">
        <v>0.83179263852601593</v>
      </c>
    </row>
    <row r="474" spans="1:11" x14ac:dyDescent="0.3">
      <c r="A474" s="9" t="s">
        <v>192</v>
      </c>
      <c r="B474" s="20">
        <v>45991</v>
      </c>
      <c r="C474" s="9" t="s">
        <v>241</v>
      </c>
      <c r="D474" s="15">
        <v>59915.32</v>
      </c>
      <c r="E474" s="15">
        <v>28655.71</v>
      </c>
      <c r="F474" s="15">
        <v>10139.959999999999</v>
      </c>
      <c r="G474" s="15">
        <v>13456.71</v>
      </c>
      <c r="H474" s="15">
        <v>12412.03</v>
      </c>
      <c r="I474" s="15">
        <v>124579.72</v>
      </c>
      <c r="J474" s="15">
        <v>64664.41</v>
      </c>
      <c r="K474" s="19">
        <v>0.83179263852601593</v>
      </c>
    </row>
    <row r="475" spans="1:11" x14ac:dyDescent="0.3">
      <c r="A475" s="9" t="s">
        <v>192</v>
      </c>
      <c r="B475" s="20">
        <v>45991</v>
      </c>
      <c r="C475" s="9" t="s">
        <v>209</v>
      </c>
      <c r="D475" s="15">
        <v>1810.55</v>
      </c>
      <c r="E475" s="15">
        <v>441.44</v>
      </c>
      <c r="F475" s="15">
        <v>425.51</v>
      </c>
      <c r="G475" s="15">
        <v>1575.16</v>
      </c>
      <c r="H475" s="15">
        <v>200.6</v>
      </c>
      <c r="I475" s="15">
        <v>4453.26</v>
      </c>
      <c r="J475" s="15">
        <v>2642.71</v>
      </c>
      <c r="K475" s="19">
        <v>0.83179263852601593</v>
      </c>
    </row>
    <row r="476" spans="1:11" x14ac:dyDescent="0.3">
      <c r="A476" s="9" t="s">
        <v>192</v>
      </c>
      <c r="B476" s="20">
        <v>45991</v>
      </c>
      <c r="C476" s="9" t="s">
        <v>240</v>
      </c>
      <c r="D476" s="15">
        <v>6903.78</v>
      </c>
      <c r="E476" s="15">
        <v>7371.83</v>
      </c>
      <c r="F476" s="15">
        <v>4595.7299999999996</v>
      </c>
      <c r="G476" s="15">
        <v>7178.22</v>
      </c>
      <c r="H476" s="15">
        <v>1365.96</v>
      </c>
      <c r="I476" s="15">
        <v>27415.52</v>
      </c>
      <c r="J476" s="15">
        <v>20511.740000000002</v>
      </c>
      <c r="K476" s="19">
        <v>0.83179263852601593</v>
      </c>
    </row>
    <row r="477" spans="1:11" x14ac:dyDescent="0.3">
      <c r="A477" s="9" t="s">
        <v>192</v>
      </c>
      <c r="B477" s="20">
        <v>45991</v>
      </c>
      <c r="C477" s="9" t="s">
        <v>239</v>
      </c>
      <c r="D477" s="15">
        <v>5574.6</v>
      </c>
      <c r="E477" s="15">
        <v>1341.11</v>
      </c>
      <c r="F477" s="15">
        <v>3037.51</v>
      </c>
      <c r="G477" s="15">
        <v>2941.21</v>
      </c>
      <c r="H477" s="15">
        <v>496.99</v>
      </c>
      <c r="I477" s="15">
        <v>13391.42</v>
      </c>
      <c r="J477" s="15">
        <v>7816.82</v>
      </c>
      <c r="K477" s="19">
        <v>0.83179263852601593</v>
      </c>
    </row>
    <row r="478" spans="1:11" x14ac:dyDescent="0.3">
      <c r="A478" s="9" t="s">
        <v>192</v>
      </c>
      <c r="B478" s="20">
        <v>45991</v>
      </c>
      <c r="C478" s="9" t="s">
        <v>238</v>
      </c>
      <c r="D478" s="15">
        <v>56550.34</v>
      </c>
      <c r="E478" s="15">
        <v>20450.7</v>
      </c>
      <c r="F478" s="15">
        <v>70432.3</v>
      </c>
      <c r="G478" s="15">
        <v>5719.64</v>
      </c>
      <c r="H478" s="15">
        <v>2943.24</v>
      </c>
      <c r="I478" s="15">
        <v>156096.22</v>
      </c>
      <c r="J478" s="15">
        <v>99545.88</v>
      </c>
      <c r="K478" s="19">
        <v>0.83179263852601593</v>
      </c>
    </row>
    <row r="479" spans="1:11" x14ac:dyDescent="0.3">
      <c r="A479" s="9" t="s">
        <v>192</v>
      </c>
      <c r="B479" s="20">
        <v>45991</v>
      </c>
      <c r="C479" s="9" t="s">
        <v>237</v>
      </c>
      <c r="D479" s="15">
        <v>8406.5</v>
      </c>
      <c r="E479" s="15">
        <v>6476.64</v>
      </c>
      <c r="F479" s="15">
        <v>2089.04</v>
      </c>
      <c r="G479" s="15">
        <v>2548</v>
      </c>
      <c r="H479" s="15">
        <v>1823.86</v>
      </c>
      <c r="I479" s="15">
        <v>21344.05</v>
      </c>
      <c r="J479" s="15">
        <v>12937.55</v>
      </c>
      <c r="K479" s="19">
        <v>0.83179263852601593</v>
      </c>
    </row>
    <row r="480" spans="1:11" x14ac:dyDescent="0.3">
      <c r="A480" s="9" t="s">
        <v>192</v>
      </c>
      <c r="B480" s="20">
        <v>45991</v>
      </c>
      <c r="C480" s="9" t="s">
        <v>236</v>
      </c>
      <c r="D480" s="15">
        <v>9082.9500000000007</v>
      </c>
      <c r="E480" s="15">
        <v>15206.25</v>
      </c>
      <c r="F480" s="15">
        <v>7992.71</v>
      </c>
      <c r="G480" s="15">
        <v>437.15</v>
      </c>
      <c r="H480" s="15">
        <v>3188.52</v>
      </c>
      <c r="I480" s="15">
        <v>35907.58</v>
      </c>
      <c r="J480" s="15">
        <v>26824.63</v>
      </c>
      <c r="K480" s="19">
        <v>0.83179263852601593</v>
      </c>
    </row>
    <row r="481" spans="1:11" x14ac:dyDescent="0.3">
      <c r="A481" s="9" t="s">
        <v>192</v>
      </c>
      <c r="B481" s="20">
        <v>45991</v>
      </c>
      <c r="C481" s="9" t="s">
        <v>215</v>
      </c>
      <c r="D481" s="15">
        <v>76753.27</v>
      </c>
      <c r="E481" s="15">
        <v>33818.910000000003</v>
      </c>
      <c r="F481" s="15">
        <v>11120.19</v>
      </c>
      <c r="G481" s="15">
        <v>8674.57</v>
      </c>
      <c r="H481" s="15">
        <v>32631.759999999998</v>
      </c>
      <c r="I481" s="15">
        <v>162998.71</v>
      </c>
      <c r="J481" s="15">
        <v>86245.440000000002</v>
      </c>
      <c r="K481" s="19">
        <v>0.83179263852601593</v>
      </c>
    </row>
    <row r="482" spans="1:11" x14ac:dyDescent="0.3">
      <c r="A482" s="9" t="s">
        <v>191</v>
      </c>
      <c r="B482" s="20">
        <v>45657</v>
      </c>
      <c r="C482" s="9" t="s">
        <v>222</v>
      </c>
      <c r="D482" s="15">
        <v>2804.78</v>
      </c>
      <c r="E482" s="15">
        <v>1228.1300000000001</v>
      </c>
      <c r="F482" s="15">
        <v>896.01</v>
      </c>
      <c r="G482" s="15">
        <v>3179.76</v>
      </c>
      <c r="H482" s="15">
        <v>34.93</v>
      </c>
      <c r="I482" s="15">
        <v>8143.61</v>
      </c>
      <c r="J482" s="15">
        <v>5338.83</v>
      </c>
      <c r="K482" s="19">
        <v>0.83865910297666657</v>
      </c>
    </row>
    <row r="483" spans="1:11" x14ac:dyDescent="0.3">
      <c r="A483" s="9" t="s">
        <v>191</v>
      </c>
      <c r="B483" s="20">
        <v>45657</v>
      </c>
      <c r="C483" s="9" t="s">
        <v>235</v>
      </c>
      <c r="D483" s="15">
        <v>25728.38</v>
      </c>
      <c r="E483" s="15">
        <v>16336.86</v>
      </c>
      <c r="F483" s="15">
        <v>20713</v>
      </c>
      <c r="G483" s="15">
        <v>6910.23</v>
      </c>
      <c r="H483" s="15">
        <v>6130.57</v>
      </c>
      <c r="I483" s="15">
        <v>75819.039999999994</v>
      </c>
      <c r="J483" s="15">
        <v>50090.67</v>
      </c>
      <c r="K483" s="19">
        <v>0.83865910297666657</v>
      </c>
    </row>
    <row r="484" spans="1:11" x14ac:dyDescent="0.3">
      <c r="A484" s="9" t="s">
        <v>191</v>
      </c>
      <c r="B484" s="20">
        <v>45657</v>
      </c>
      <c r="C484" s="9" t="s">
        <v>234</v>
      </c>
      <c r="D484" s="15">
        <v>19105.53</v>
      </c>
      <c r="E484" s="15">
        <v>3779.27</v>
      </c>
      <c r="F484" s="15">
        <v>4704.42</v>
      </c>
      <c r="G484" s="15">
        <v>9255.02</v>
      </c>
      <c r="H484" s="15">
        <v>3649.92</v>
      </c>
      <c r="I484" s="15">
        <v>40494.160000000003</v>
      </c>
      <c r="J484" s="15">
        <v>21388.63</v>
      </c>
      <c r="K484" s="19">
        <v>0.83865910297666657</v>
      </c>
    </row>
    <row r="485" spans="1:11" x14ac:dyDescent="0.3">
      <c r="A485" s="9" t="s">
        <v>191</v>
      </c>
      <c r="B485" s="20">
        <v>45657</v>
      </c>
      <c r="C485" s="9" t="s">
        <v>219</v>
      </c>
      <c r="D485" s="15">
        <v>5118.34</v>
      </c>
      <c r="E485" s="15">
        <v>1133.58</v>
      </c>
      <c r="F485" s="15">
        <v>6002.18</v>
      </c>
      <c r="G485" s="15">
        <v>3352.88</v>
      </c>
      <c r="H485" s="15">
        <v>977.75</v>
      </c>
      <c r="I485" s="15">
        <v>16584.72</v>
      </c>
      <c r="J485" s="15">
        <v>11466.38</v>
      </c>
      <c r="K485" s="19">
        <v>0.83865910297666657</v>
      </c>
    </row>
    <row r="486" spans="1:11" x14ac:dyDescent="0.3">
      <c r="A486" s="9" t="s">
        <v>191</v>
      </c>
      <c r="B486" s="20">
        <v>45657</v>
      </c>
      <c r="C486" s="9" t="s">
        <v>233</v>
      </c>
      <c r="D486" s="15">
        <v>11558.78</v>
      </c>
      <c r="E486" s="15">
        <v>5188.0600000000004</v>
      </c>
      <c r="F486" s="15">
        <v>6735.29</v>
      </c>
      <c r="G486" s="15">
        <v>6932.57</v>
      </c>
      <c r="H486" s="15">
        <v>3109.23</v>
      </c>
      <c r="I486" s="15">
        <v>33523.919999999998</v>
      </c>
      <c r="J486" s="15">
        <v>21965.15</v>
      </c>
      <c r="K486" s="19">
        <v>0.83865910297666657</v>
      </c>
    </row>
    <row r="487" spans="1:11" x14ac:dyDescent="0.3">
      <c r="A487" s="9" t="s">
        <v>191</v>
      </c>
      <c r="B487" s="20">
        <v>45657</v>
      </c>
      <c r="C487" s="9" t="s">
        <v>232</v>
      </c>
      <c r="D487" s="15">
        <v>1982.35</v>
      </c>
      <c r="E487" s="15">
        <v>865.37</v>
      </c>
      <c r="F487" s="15">
        <v>1311.33</v>
      </c>
      <c r="G487" s="15">
        <v>920.36</v>
      </c>
      <c r="H487" s="15">
        <v>1534.86</v>
      </c>
      <c r="I487" s="15">
        <v>6614.26</v>
      </c>
      <c r="J487" s="15">
        <v>4631.91</v>
      </c>
      <c r="K487" s="19">
        <v>0.83865910297666657</v>
      </c>
    </row>
    <row r="488" spans="1:11" x14ac:dyDescent="0.3">
      <c r="A488" s="9" t="s">
        <v>191</v>
      </c>
      <c r="B488" s="20">
        <v>45657</v>
      </c>
      <c r="C488" s="9" t="s">
        <v>231</v>
      </c>
      <c r="D488" s="15">
        <v>11893.38</v>
      </c>
      <c r="E488" s="15">
        <v>9282.4</v>
      </c>
      <c r="F488" s="15">
        <v>3198.88</v>
      </c>
      <c r="G488" s="15">
        <v>1786.4</v>
      </c>
      <c r="H488" s="15">
        <v>1948.35</v>
      </c>
      <c r="I488" s="15">
        <v>28109.41</v>
      </c>
      <c r="J488" s="15">
        <v>16216.03</v>
      </c>
      <c r="K488" s="19">
        <v>0.83865910297666657</v>
      </c>
    </row>
    <row r="489" spans="1:11" x14ac:dyDescent="0.3">
      <c r="A489" s="9" t="s">
        <v>191</v>
      </c>
      <c r="B489" s="20">
        <v>45657</v>
      </c>
      <c r="C489" s="9" t="s">
        <v>230</v>
      </c>
      <c r="D489" s="15">
        <v>21802.9</v>
      </c>
      <c r="E489" s="15">
        <v>7394.92</v>
      </c>
      <c r="F489" s="15">
        <v>7792.26</v>
      </c>
      <c r="G489" s="15">
        <v>10191.67</v>
      </c>
      <c r="H489" s="15">
        <v>6236.46</v>
      </c>
      <c r="I489" s="15">
        <v>53418.21</v>
      </c>
      <c r="J489" s="15">
        <v>31615.31</v>
      </c>
      <c r="K489" s="19">
        <v>0.83865910297666657</v>
      </c>
    </row>
    <row r="490" spans="1:11" x14ac:dyDescent="0.3">
      <c r="A490" s="9" t="s">
        <v>191</v>
      </c>
      <c r="B490" s="20">
        <v>45657</v>
      </c>
      <c r="C490" s="9" t="s">
        <v>229</v>
      </c>
      <c r="D490" s="15">
        <v>415.07</v>
      </c>
      <c r="E490" s="15">
        <v>165.54</v>
      </c>
      <c r="F490" s="15">
        <v>176.1</v>
      </c>
      <c r="G490" s="15">
        <v>31.14</v>
      </c>
      <c r="H490" s="15">
        <v>93.82</v>
      </c>
      <c r="I490" s="15">
        <v>881.67</v>
      </c>
      <c r="J490" s="15">
        <v>466.59</v>
      </c>
      <c r="K490" s="19">
        <v>0.83865910297666657</v>
      </c>
    </row>
    <row r="491" spans="1:11" x14ac:dyDescent="0.3">
      <c r="A491" s="9" t="s">
        <v>191</v>
      </c>
      <c r="B491" s="20">
        <v>45657</v>
      </c>
      <c r="C491" s="9" t="s">
        <v>228</v>
      </c>
      <c r="D491" s="15">
        <v>7672.95</v>
      </c>
      <c r="E491" s="15">
        <v>887.92</v>
      </c>
      <c r="F491" s="15">
        <v>4543.46</v>
      </c>
      <c r="G491" s="15">
        <v>2113.0500000000002</v>
      </c>
      <c r="H491" s="15">
        <v>1377.09</v>
      </c>
      <c r="I491" s="15">
        <v>16594.46</v>
      </c>
      <c r="J491" s="15">
        <v>8921.51</v>
      </c>
      <c r="K491" s="19">
        <v>0.83865910297666657</v>
      </c>
    </row>
    <row r="492" spans="1:11" x14ac:dyDescent="0.3">
      <c r="A492" s="9" t="s">
        <v>191</v>
      </c>
      <c r="B492" s="20">
        <v>45657</v>
      </c>
      <c r="C492" s="9" t="s">
        <v>203</v>
      </c>
      <c r="D492" s="15">
        <v>8802.2800000000007</v>
      </c>
      <c r="E492" s="15">
        <v>3301.04</v>
      </c>
      <c r="F492" s="15">
        <v>3600.01</v>
      </c>
      <c r="G492" s="15">
        <v>629.35</v>
      </c>
      <c r="H492" s="15">
        <v>1795.47</v>
      </c>
      <c r="I492" s="15">
        <v>18128.16</v>
      </c>
      <c r="J492" s="15">
        <v>9325.8799999999992</v>
      </c>
      <c r="K492" s="19">
        <v>0.83865910297666657</v>
      </c>
    </row>
    <row r="493" spans="1:11" x14ac:dyDescent="0.3">
      <c r="A493" s="9" t="s">
        <v>191</v>
      </c>
      <c r="B493" s="20">
        <v>45657</v>
      </c>
      <c r="C493" s="9" t="s">
        <v>216</v>
      </c>
      <c r="D493" s="15">
        <v>23676.81</v>
      </c>
      <c r="E493" s="15">
        <v>16780.38</v>
      </c>
      <c r="F493" s="15">
        <v>4996.2299999999996</v>
      </c>
      <c r="G493" s="15">
        <v>8210.89</v>
      </c>
      <c r="H493" s="15">
        <v>9095.9500000000007</v>
      </c>
      <c r="I493" s="15">
        <v>62760.27</v>
      </c>
      <c r="J493" s="15">
        <v>39083.46</v>
      </c>
      <c r="K493" s="19">
        <v>0.83865910297666657</v>
      </c>
    </row>
    <row r="494" spans="1:11" x14ac:dyDescent="0.3">
      <c r="A494" s="9" t="s">
        <v>191</v>
      </c>
      <c r="B494" s="20">
        <v>45657</v>
      </c>
      <c r="C494" s="9" t="s">
        <v>227</v>
      </c>
      <c r="D494" s="15">
        <v>22558.52</v>
      </c>
      <c r="E494" s="15">
        <v>31034.73</v>
      </c>
      <c r="F494" s="15">
        <v>7584.93</v>
      </c>
      <c r="G494" s="15">
        <v>1630.8</v>
      </c>
      <c r="H494" s="15">
        <v>4987.08</v>
      </c>
      <c r="I494" s="15">
        <v>67796.070000000007</v>
      </c>
      <c r="J494" s="15">
        <v>45237.54</v>
      </c>
      <c r="K494" s="19">
        <v>0.83865910297666657</v>
      </c>
    </row>
    <row r="495" spans="1:11" x14ac:dyDescent="0.3">
      <c r="A495" s="9" t="s">
        <v>191</v>
      </c>
      <c r="B495" s="20">
        <v>45657</v>
      </c>
      <c r="C495" s="9" t="s">
        <v>226</v>
      </c>
      <c r="D495" s="15">
        <v>23021.93</v>
      </c>
      <c r="E495" s="15">
        <v>3169.52</v>
      </c>
      <c r="F495" s="15">
        <v>8687.42</v>
      </c>
      <c r="G495" s="15">
        <v>15061.03</v>
      </c>
      <c r="H495" s="15">
        <v>2993.77</v>
      </c>
      <c r="I495" s="15">
        <v>52933.67</v>
      </c>
      <c r="J495" s="15">
        <v>29911.74</v>
      </c>
      <c r="K495" s="19">
        <v>0.83865910297666657</v>
      </c>
    </row>
    <row r="496" spans="1:11" x14ac:dyDescent="0.3">
      <c r="A496" s="9" t="s">
        <v>191</v>
      </c>
      <c r="B496" s="20">
        <v>45657</v>
      </c>
      <c r="C496" s="9" t="s">
        <v>205</v>
      </c>
      <c r="D496" s="15">
        <v>21186.62</v>
      </c>
      <c r="E496" s="15">
        <v>17346.29</v>
      </c>
      <c r="F496" s="15">
        <v>14006.06</v>
      </c>
      <c r="G496" s="15">
        <v>10331.43</v>
      </c>
      <c r="H496" s="15">
        <v>8157.56</v>
      </c>
      <c r="I496" s="15">
        <v>71027.97</v>
      </c>
      <c r="J496" s="15">
        <v>49841.35</v>
      </c>
      <c r="K496" s="19">
        <v>0.83865910297666657</v>
      </c>
    </row>
    <row r="497" spans="1:11" x14ac:dyDescent="0.3">
      <c r="A497" s="9" t="s">
        <v>191</v>
      </c>
      <c r="B497" s="20">
        <v>45657</v>
      </c>
      <c r="C497" s="9" t="s">
        <v>225</v>
      </c>
      <c r="D497" s="15">
        <v>2830.12</v>
      </c>
      <c r="E497" s="15">
        <v>1816.58</v>
      </c>
      <c r="F497" s="15">
        <v>1545.6</v>
      </c>
      <c r="G497" s="15">
        <v>2263.7600000000002</v>
      </c>
      <c r="H497" s="15">
        <v>858.98</v>
      </c>
      <c r="I497" s="15">
        <v>9315.0400000000009</v>
      </c>
      <c r="J497" s="15">
        <v>6484.92</v>
      </c>
      <c r="K497" s="19">
        <v>0.83865910297666657</v>
      </c>
    </row>
    <row r="498" spans="1:11" x14ac:dyDescent="0.3">
      <c r="A498" s="9" t="s">
        <v>191</v>
      </c>
      <c r="B498" s="20">
        <v>45657</v>
      </c>
      <c r="C498" s="9" t="s">
        <v>224</v>
      </c>
      <c r="D498" s="15">
        <v>44413.21</v>
      </c>
      <c r="E498" s="15">
        <v>9272.7800000000007</v>
      </c>
      <c r="F498" s="15">
        <v>30709.98</v>
      </c>
      <c r="G498" s="15">
        <v>7048.87</v>
      </c>
      <c r="H498" s="15">
        <v>3771.86</v>
      </c>
      <c r="I498" s="15">
        <v>95216.7</v>
      </c>
      <c r="J498" s="15">
        <v>50803.49</v>
      </c>
      <c r="K498" s="19">
        <v>0.83865910297666657</v>
      </c>
    </row>
    <row r="499" spans="1:11" x14ac:dyDescent="0.3">
      <c r="A499" s="9" t="s">
        <v>191</v>
      </c>
      <c r="B499" s="20">
        <v>45657</v>
      </c>
      <c r="C499" s="9" t="s">
        <v>206</v>
      </c>
      <c r="D499" s="15">
        <v>36876.620000000003</v>
      </c>
      <c r="E499" s="15">
        <v>21544.29</v>
      </c>
      <c r="F499" s="15">
        <v>4082.23</v>
      </c>
      <c r="G499" s="15">
        <v>18371.439999999999</v>
      </c>
      <c r="H499" s="15">
        <v>1150.81</v>
      </c>
      <c r="I499" s="15">
        <v>82025.37</v>
      </c>
      <c r="J499" s="15">
        <v>45148.76</v>
      </c>
      <c r="K499" s="19">
        <v>0.83865910297666657</v>
      </c>
    </row>
    <row r="500" spans="1:11" x14ac:dyDescent="0.3">
      <c r="A500" s="9" t="s">
        <v>191</v>
      </c>
      <c r="B500" s="20">
        <v>45657</v>
      </c>
      <c r="C500" s="9" t="s">
        <v>211</v>
      </c>
      <c r="D500" s="15">
        <v>3198.91</v>
      </c>
      <c r="E500" s="15">
        <v>877.07</v>
      </c>
      <c r="F500" s="15">
        <v>487.79</v>
      </c>
      <c r="G500" s="15">
        <v>3794.31</v>
      </c>
      <c r="H500" s="15">
        <v>2893.4</v>
      </c>
      <c r="I500" s="15">
        <v>11251.48</v>
      </c>
      <c r="J500" s="15">
        <v>8052.57</v>
      </c>
      <c r="K500" s="19">
        <v>0.83865910297666657</v>
      </c>
    </row>
    <row r="501" spans="1:11" x14ac:dyDescent="0.3">
      <c r="A501" s="9" t="s">
        <v>191</v>
      </c>
      <c r="B501" s="20">
        <v>45657</v>
      </c>
      <c r="C501" s="9" t="s">
        <v>223</v>
      </c>
      <c r="D501" s="15">
        <v>7849.4</v>
      </c>
      <c r="E501" s="15">
        <v>7457.17</v>
      </c>
      <c r="F501" s="15">
        <v>3979.71</v>
      </c>
      <c r="G501" s="15">
        <v>718.69</v>
      </c>
      <c r="H501" s="15">
        <v>7983.97</v>
      </c>
      <c r="I501" s="15">
        <v>27988.94</v>
      </c>
      <c r="J501" s="15">
        <v>20139.54</v>
      </c>
      <c r="K501" s="19">
        <v>0.83865910297666657</v>
      </c>
    </row>
    <row r="502" spans="1:11" x14ac:dyDescent="0.3">
      <c r="A502" s="9" t="s">
        <v>191</v>
      </c>
      <c r="B502" s="20">
        <v>45688</v>
      </c>
      <c r="C502" s="9" t="s">
        <v>222</v>
      </c>
      <c r="D502" s="15">
        <v>4354.12</v>
      </c>
      <c r="E502" s="15">
        <v>1540.21</v>
      </c>
      <c r="F502" s="15">
        <v>4121.1400000000003</v>
      </c>
      <c r="G502" s="15">
        <v>2922.86</v>
      </c>
      <c r="H502" s="15">
        <v>972.05</v>
      </c>
      <c r="I502" s="15">
        <v>13910.38</v>
      </c>
      <c r="J502" s="15">
        <v>9556.26</v>
      </c>
      <c r="K502" s="19">
        <v>0.66423616200265034</v>
      </c>
    </row>
    <row r="503" spans="1:11" x14ac:dyDescent="0.3">
      <c r="A503" s="9" t="s">
        <v>191</v>
      </c>
      <c r="B503" s="20">
        <v>45688</v>
      </c>
      <c r="C503" s="9" t="s">
        <v>235</v>
      </c>
      <c r="D503" s="15">
        <v>18847.84</v>
      </c>
      <c r="E503" s="15">
        <v>4589.3100000000004</v>
      </c>
      <c r="F503" s="15">
        <v>4181.2</v>
      </c>
      <c r="G503" s="15">
        <v>6070.09</v>
      </c>
      <c r="H503" s="15">
        <v>6082.99</v>
      </c>
      <c r="I503" s="15">
        <v>39771.440000000002</v>
      </c>
      <c r="J503" s="15">
        <v>20923.599999999999</v>
      </c>
      <c r="K503" s="19">
        <v>0.66423616200265034</v>
      </c>
    </row>
    <row r="504" spans="1:11" x14ac:dyDescent="0.3">
      <c r="A504" s="9" t="s">
        <v>191</v>
      </c>
      <c r="B504" s="20">
        <v>45688</v>
      </c>
      <c r="C504" s="9" t="s">
        <v>234</v>
      </c>
      <c r="D504" s="15">
        <v>18691.48</v>
      </c>
      <c r="E504" s="15">
        <v>9217.5400000000009</v>
      </c>
      <c r="F504" s="15">
        <v>8153.1</v>
      </c>
      <c r="G504" s="15">
        <v>1983.72</v>
      </c>
      <c r="H504" s="15">
        <v>4693.75</v>
      </c>
      <c r="I504" s="15">
        <v>42739.6</v>
      </c>
      <c r="J504" s="15">
        <v>24048.12</v>
      </c>
      <c r="K504" s="19">
        <v>0.66423616200265034</v>
      </c>
    </row>
    <row r="505" spans="1:11" x14ac:dyDescent="0.3">
      <c r="A505" s="9" t="s">
        <v>191</v>
      </c>
      <c r="B505" s="20">
        <v>45688</v>
      </c>
      <c r="C505" s="9" t="s">
        <v>219</v>
      </c>
      <c r="D505" s="15">
        <v>8007.95</v>
      </c>
      <c r="E505" s="15">
        <v>2901.28</v>
      </c>
      <c r="F505" s="15">
        <v>7343.81</v>
      </c>
      <c r="G505" s="15">
        <v>5808.07</v>
      </c>
      <c r="H505" s="15">
        <v>2836.46</v>
      </c>
      <c r="I505" s="15">
        <v>26897.57</v>
      </c>
      <c r="J505" s="15">
        <v>18889.62</v>
      </c>
      <c r="K505" s="19">
        <v>0.66423616200265034</v>
      </c>
    </row>
    <row r="506" spans="1:11" x14ac:dyDescent="0.3">
      <c r="A506" s="9" t="s">
        <v>191</v>
      </c>
      <c r="B506" s="20">
        <v>45688</v>
      </c>
      <c r="C506" s="9" t="s">
        <v>233</v>
      </c>
      <c r="D506" s="15">
        <v>3718.44</v>
      </c>
      <c r="E506" s="15">
        <v>972.03</v>
      </c>
      <c r="F506" s="15">
        <v>285.91000000000003</v>
      </c>
      <c r="G506" s="15">
        <v>734.29</v>
      </c>
      <c r="H506" s="15">
        <v>1981.01</v>
      </c>
      <c r="I506" s="15">
        <v>7691.67</v>
      </c>
      <c r="J506" s="15">
        <v>3973.23</v>
      </c>
      <c r="K506" s="19">
        <v>0.66423616200265034</v>
      </c>
    </row>
    <row r="507" spans="1:11" x14ac:dyDescent="0.3">
      <c r="A507" s="9" t="s">
        <v>191</v>
      </c>
      <c r="B507" s="20">
        <v>45688</v>
      </c>
      <c r="C507" s="9" t="s">
        <v>232</v>
      </c>
      <c r="D507" s="15">
        <v>9057.98</v>
      </c>
      <c r="E507" s="15">
        <v>7988.85</v>
      </c>
      <c r="F507" s="15">
        <v>5721.14</v>
      </c>
      <c r="G507" s="15">
        <v>3092.3</v>
      </c>
      <c r="H507" s="15">
        <v>5237.78</v>
      </c>
      <c r="I507" s="15">
        <v>31098.05</v>
      </c>
      <c r="J507" s="15">
        <v>22040.07</v>
      </c>
      <c r="K507" s="19">
        <v>0.66423616200265034</v>
      </c>
    </row>
    <row r="508" spans="1:11" x14ac:dyDescent="0.3">
      <c r="A508" s="9" t="s">
        <v>191</v>
      </c>
      <c r="B508" s="20">
        <v>45688</v>
      </c>
      <c r="C508" s="9" t="s">
        <v>231</v>
      </c>
      <c r="D508" s="15">
        <v>7663.41</v>
      </c>
      <c r="E508" s="15">
        <v>1761.25</v>
      </c>
      <c r="F508" s="15">
        <v>3116.02</v>
      </c>
      <c r="G508" s="15">
        <v>2178.94</v>
      </c>
      <c r="H508" s="15">
        <v>785.56</v>
      </c>
      <c r="I508" s="15">
        <v>15505.18</v>
      </c>
      <c r="J508" s="15">
        <v>7841.77</v>
      </c>
      <c r="K508" s="19">
        <v>0.66423616200265034</v>
      </c>
    </row>
    <row r="509" spans="1:11" x14ac:dyDescent="0.3">
      <c r="A509" s="9" t="s">
        <v>191</v>
      </c>
      <c r="B509" s="20">
        <v>45688</v>
      </c>
      <c r="C509" s="9" t="s">
        <v>230</v>
      </c>
      <c r="D509" s="15">
        <v>8747.19</v>
      </c>
      <c r="E509" s="15">
        <v>4787.84</v>
      </c>
      <c r="F509" s="15">
        <v>2908.89</v>
      </c>
      <c r="G509" s="15">
        <v>3670.6</v>
      </c>
      <c r="H509" s="15">
        <v>3839.2</v>
      </c>
      <c r="I509" s="15">
        <v>23953.72</v>
      </c>
      <c r="J509" s="15">
        <v>15206.53</v>
      </c>
      <c r="K509" s="19">
        <v>0.66423616200265034</v>
      </c>
    </row>
    <row r="510" spans="1:11" x14ac:dyDescent="0.3">
      <c r="A510" s="9" t="s">
        <v>191</v>
      </c>
      <c r="B510" s="20">
        <v>45688</v>
      </c>
      <c r="C510" s="9" t="s">
        <v>229</v>
      </c>
      <c r="D510" s="15">
        <v>700</v>
      </c>
      <c r="E510" s="15">
        <v>339.35</v>
      </c>
      <c r="F510" s="15">
        <v>413.5</v>
      </c>
      <c r="G510" s="15">
        <v>1137.03</v>
      </c>
      <c r="H510" s="15">
        <v>273.73</v>
      </c>
      <c r="I510" s="15">
        <v>2863.61</v>
      </c>
      <c r="J510" s="15">
        <v>2163.61</v>
      </c>
      <c r="K510" s="19">
        <v>0.66423616200265034</v>
      </c>
    </row>
    <row r="511" spans="1:11" x14ac:dyDescent="0.3">
      <c r="A511" s="9" t="s">
        <v>191</v>
      </c>
      <c r="B511" s="20">
        <v>45688</v>
      </c>
      <c r="C511" s="9" t="s">
        <v>228</v>
      </c>
      <c r="D511" s="15">
        <v>13148.46</v>
      </c>
      <c r="E511" s="15">
        <v>1369</v>
      </c>
      <c r="F511" s="15">
        <v>4748.1899999999996</v>
      </c>
      <c r="G511" s="15">
        <v>7580.21</v>
      </c>
      <c r="H511" s="15">
        <v>6753</v>
      </c>
      <c r="I511" s="15">
        <v>33598.86</v>
      </c>
      <c r="J511" s="15">
        <v>20450.400000000001</v>
      </c>
      <c r="K511" s="19">
        <v>0.66423616200265034</v>
      </c>
    </row>
    <row r="512" spans="1:11" x14ac:dyDescent="0.3">
      <c r="A512" s="9" t="s">
        <v>191</v>
      </c>
      <c r="B512" s="20">
        <v>45688</v>
      </c>
      <c r="C512" s="9" t="s">
        <v>203</v>
      </c>
      <c r="D512" s="15">
        <v>23792.95</v>
      </c>
      <c r="E512" s="15">
        <v>10482.33</v>
      </c>
      <c r="F512" s="15">
        <v>14810.47</v>
      </c>
      <c r="G512" s="15">
        <v>4672.18</v>
      </c>
      <c r="H512" s="15">
        <v>1818.17</v>
      </c>
      <c r="I512" s="15">
        <v>55576.09</v>
      </c>
      <c r="J512" s="15">
        <v>31783.15</v>
      </c>
      <c r="K512" s="19">
        <v>0.66423616200265034</v>
      </c>
    </row>
    <row r="513" spans="1:11" x14ac:dyDescent="0.3">
      <c r="A513" s="9" t="s">
        <v>191</v>
      </c>
      <c r="B513" s="20">
        <v>45688</v>
      </c>
      <c r="C513" s="9" t="s">
        <v>216</v>
      </c>
      <c r="D513" s="15">
        <v>10544.64</v>
      </c>
      <c r="E513" s="15">
        <v>6255.47</v>
      </c>
      <c r="F513" s="15">
        <v>5205.4799999999996</v>
      </c>
      <c r="G513" s="15">
        <v>3133.09</v>
      </c>
      <c r="H513" s="15">
        <v>10598.14</v>
      </c>
      <c r="I513" s="15">
        <v>35736.82</v>
      </c>
      <c r="J513" s="15">
        <v>25192.18</v>
      </c>
      <c r="K513" s="19">
        <v>0.66423616200265034</v>
      </c>
    </row>
    <row r="514" spans="1:11" x14ac:dyDescent="0.3">
      <c r="A514" s="9" t="s">
        <v>191</v>
      </c>
      <c r="B514" s="20">
        <v>45688</v>
      </c>
      <c r="C514" s="9" t="s">
        <v>227</v>
      </c>
      <c r="D514" s="15">
        <v>18423.66</v>
      </c>
      <c r="E514" s="15">
        <v>6479.07</v>
      </c>
      <c r="F514" s="15">
        <v>11937.89</v>
      </c>
      <c r="G514" s="15">
        <v>2600.0500000000002</v>
      </c>
      <c r="H514" s="15">
        <v>1668.1</v>
      </c>
      <c r="I514" s="15">
        <v>41108.769999999997</v>
      </c>
      <c r="J514" s="15">
        <v>22685.11</v>
      </c>
      <c r="K514" s="19">
        <v>0.66423616200265034</v>
      </c>
    </row>
    <row r="515" spans="1:11" x14ac:dyDescent="0.3">
      <c r="A515" s="9" t="s">
        <v>191</v>
      </c>
      <c r="B515" s="20">
        <v>45688</v>
      </c>
      <c r="C515" s="9" t="s">
        <v>226</v>
      </c>
      <c r="D515" s="15">
        <v>20636.27</v>
      </c>
      <c r="E515" s="15">
        <v>13372.22</v>
      </c>
      <c r="F515" s="15">
        <v>16768.23</v>
      </c>
      <c r="G515" s="15">
        <v>7100.26</v>
      </c>
      <c r="H515" s="15">
        <v>3811.05</v>
      </c>
      <c r="I515" s="15">
        <v>61688.04</v>
      </c>
      <c r="J515" s="15">
        <v>41051.769999999997</v>
      </c>
      <c r="K515" s="19">
        <v>0.66423616200265034</v>
      </c>
    </row>
    <row r="516" spans="1:11" x14ac:dyDescent="0.3">
      <c r="A516" s="9" t="s">
        <v>191</v>
      </c>
      <c r="B516" s="20">
        <v>45688</v>
      </c>
      <c r="C516" s="9" t="s">
        <v>205</v>
      </c>
      <c r="D516" s="15">
        <v>20595.03</v>
      </c>
      <c r="E516" s="15">
        <v>14725.9</v>
      </c>
      <c r="F516" s="15">
        <v>10666.95</v>
      </c>
      <c r="G516" s="15">
        <v>7899.07</v>
      </c>
      <c r="H516" s="15">
        <v>1178.53</v>
      </c>
      <c r="I516" s="15">
        <v>55065.5</v>
      </c>
      <c r="J516" s="15">
        <v>34470.46</v>
      </c>
      <c r="K516" s="19">
        <v>0.66423616200265034</v>
      </c>
    </row>
    <row r="517" spans="1:11" x14ac:dyDescent="0.3">
      <c r="A517" s="9" t="s">
        <v>191</v>
      </c>
      <c r="B517" s="20">
        <v>45688</v>
      </c>
      <c r="C517" s="9" t="s">
        <v>225</v>
      </c>
      <c r="D517" s="15">
        <v>21144.75</v>
      </c>
      <c r="E517" s="15">
        <v>2044.07</v>
      </c>
      <c r="F517" s="15">
        <v>17064.96</v>
      </c>
      <c r="G517" s="15">
        <v>1364.37</v>
      </c>
      <c r="H517" s="15">
        <v>873.07</v>
      </c>
      <c r="I517" s="15">
        <v>42491.22</v>
      </c>
      <c r="J517" s="15">
        <v>21346.47</v>
      </c>
      <c r="K517" s="19">
        <v>0.66423616200265034</v>
      </c>
    </row>
    <row r="518" spans="1:11" x14ac:dyDescent="0.3">
      <c r="A518" s="9" t="s">
        <v>191</v>
      </c>
      <c r="B518" s="20">
        <v>45688</v>
      </c>
      <c r="C518" s="9" t="s">
        <v>224</v>
      </c>
      <c r="D518" s="15">
        <v>11609.12</v>
      </c>
      <c r="E518" s="15">
        <v>8010.39</v>
      </c>
      <c r="F518" s="15">
        <v>4677.51</v>
      </c>
      <c r="G518" s="15">
        <v>507.7</v>
      </c>
      <c r="H518" s="15">
        <v>1539</v>
      </c>
      <c r="I518" s="15">
        <v>26343.71</v>
      </c>
      <c r="J518" s="15">
        <v>14734.59</v>
      </c>
      <c r="K518" s="19">
        <v>0.66423616200265034</v>
      </c>
    </row>
    <row r="519" spans="1:11" x14ac:dyDescent="0.3">
      <c r="A519" s="9" t="s">
        <v>191</v>
      </c>
      <c r="B519" s="20">
        <v>45688</v>
      </c>
      <c r="C519" s="9" t="s">
        <v>206</v>
      </c>
      <c r="D519" s="15">
        <v>7150.97</v>
      </c>
      <c r="E519" s="15">
        <v>6160.84</v>
      </c>
      <c r="F519" s="15">
        <v>3500.24</v>
      </c>
      <c r="G519" s="15">
        <v>2041.91</v>
      </c>
      <c r="H519" s="15">
        <v>592.4</v>
      </c>
      <c r="I519" s="15">
        <v>19446.37</v>
      </c>
      <c r="J519" s="15">
        <v>12295.39</v>
      </c>
      <c r="K519" s="19">
        <v>0.66423616200265034</v>
      </c>
    </row>
    <row r="520" spans="1:11" x14ac:dyDescent="0.3">
      <c r="A520" s="9" t="s">
        <v>191</v>
      </c>
      <c r="B520" s="20">
        <v>45688</v>
      </c>
      <c r="C520" s="9" t="s">
        <v>211</v>
      </c>
      <c r="D520" s="15">
        <v>8149.08</v>
      </c>
      <c r="E520" s="15">
        <v>4078.22</v>
      </c>
      <c r="F520" s="15">
        <v>3496.78</v>
      </c>
      <c r="G520" s="15">
        <v>805.49</v>
      </c>
      <c r="H520" s="15">
        <v>312.25</v>
      </c>
      <c r="I520" s="15">
        <v>16841.82</v>
      </c>
      <c r="J520" s="15">
        <v>8692.74</v>
      </c>
      <c r="K520" s="19">
        <v>0.66423616200265034</v>
      </c>
    </row>
    <row r="521" spans="1:11" x14ac:dyDescent="0.3">
      <c r="A521" s="9" t="s">
        <v>191</v>
      </c>
      <c r="B521" s="20">
        <v>45688</v>
      </c>
      <c r="C521" s="9" t="s">
        <v>223</v>
      </c>
      <c r="D521" s="15">
        <v>7816.16</v>
      </c>
      <c r="E521" s="15">
        <v>3605.52</v>
      </c>
      <c r="F521" s="15">
        <v>7319.09</v>
      </c>
      <c r="G521" s="15">
        <v>1978.18</v>
      </c>
      <c r="H521" s="15">
        <v>2433.81</v>
      </c>
      <c r="I521" s="15">
        <v>23152.75</v>
      </c>
      <c r="J521" s="15">
        <v>15336.59</v>
      </c>
      <c r="K521" s="19">
        <v>0.66423616200265034</v>
      </c>
    </row>
    <row r="522" spans="1:11" x14ac:dyDescent="0.3">
      <c r="A522" s="9" t="s">
        <v>191</v>
      </c>
      <c r="B522" s="20">
        <v>45716</v>
      </c>
      <c r="C522" s="9" t="s">
        <v>222</v>
      </c>
      <c r="D522" s="15">
        <v>7372</v>
      </c>
      <c r="E522" s="15">
        <v>1548.91</v>
      </c>
      <c r="F522" s="15">
        <v>5974.77</v>
      </c>
      <c r="G522" s="15">
        <v>3420.42</v>
      </c>
      <c r="H522" s="15">
        <v>4146.5200000000004</v>
      </c>
      <c r="I522" s="15">
        <v>22462.62</v>
      </c>
      <c r="J522" s="15">
        <v>15090.62</v>
      </c>
      <c r="K522" s="19">
        <v>0.67629946028133159</v>
      </c>
    </row>
    <row r="523" spans="1:11" x14ac:dyDescent="0.3">
      <c r="A523" s="9" t="s">
        <v>191</v>
      </c>
      <c r="B523" s="20">
        <v>45716</v>
      </c>
      <c r="C523" s="9" t="s">
        <v>235</v>
      </c>
      <c r="D523" s="15">
        <v>3821.85</v>
      </c>
      <c r="E523" s="15">
        <v>2985.95</v>
      </c>
      <c r="F523" s="15">
        <v>3068.54</v>
      </c>
      <c r="G523" s="15">
        <v>3396.66</v>
      </c>
      <c r="H523" s="15">
        <v>1373.02</v>
      </c>
      <c r="I523" s="15">
        <v>14646.01</v>
      </c>
      <c r="J523" s="15">
        <v>10824.16</v>
      </c>
      <c r="K523" s="19">
        <v>0.67629946028133159</v>
      </c>
    </row>
    <row r="524" spans="1:11" x14ac:dyDescent="0.3">
      <c r="A524" s="9" t="s">
        <v>191</v>
      </c>
      <c r="B524" s="20">
        <v>45716</v>
      </c>
      <c r="C524" s="9" t="s">
        <v>234</v>
      </c>
      <c r="D524" s="15">
        <v>8512.73</v>
      </c>
      <c r="E524" s="15">
        <v>6764.38</v>
      </c>
      <c r="F524" s="15">
        <v>7280.18</v>
      </c>
      <c r="G524" s="15">
        <v>358.12</v>
      </c>
      <c r="H524" s="15">
        <v>842.85</v>
      </c>
      <c r="I524" s="15">
        <v>23758.26</v>
      </c>
      <c r="J524" s="15">
        <v>15245.53</v>
      </c>
      <c r="K524" s="19">
        <v>0.67629946028133159</v>
      </c>
    </row>
    <row r="525" spans="1:11" x14ac:dyDescent="0.3">
      <c r="A525" s="9" t="s">
        <v>191</v>
      </c>
      <c r="B525" s="20">
        <v>45716</v>
      </c>
      <c r="C525" s="9" t="s">
        <v>219</v>
      </c>
      <c r="D525" s="15">
        <v>7484.67</v>
      </c>
      <c r="E525" s="15">
        <v>1644.15</v>
      </c>
      <c r="F525" s="15">
        <v>4269.2</v>
      </c>
      <c r="G525" s="15">
        <v>3766.24</v>
      </c>
      <c r="H525" s="15">
        <v>29.29</v>
      </c>
      <c r="I525" s="15">
        <v>17193.55</v>
      </c>
      <c r="J525" s="15">
        <v>9708.8799999999992</v>
      </c>
      <c r="K525" s="19">
        <v>0.67629946028133159</v>
      </c>
    </row>
    <row r="526" spans="1:11" x14ac:dyDescent="0.3">
      <c r="A526" s="9" t="s">
        <v>191</v>
      </c>
      <c r="B526" s="20">
        <v>45716</v>
      </c>
      <c r="C526" s="9" t="s">
        <v>233</v>
      </c>
      <c r="D526" s="15">
        <v>24885.26</v>
      </c>
      <c r="E526" s="15">
        <v>10177.77</v>
      </c>
      <c r="F526" s="15">
        <v>9924.6</v>
      </c>
      <c r="G526" s="15">
        <v>9290.01</v>
      </c>
      <c r="H526" s="15">
        <v>1401.97</v>
      </c>
      <c r="I526" s="15">
        <v>55679.6</v>
      </c>
      <c r="J526" s="15">
        <v>30794.34</v>
      </c>
      <c r="K526" s="19">
        <v>0.67629946028133159</v>
      </c>
    </row>
    <row r="527" spans="1:11" x14ac:dyDescent="0.3">
      <c r="A527" s="9" t="s">
        <v>191</v>
      </c>
      <c r="B527" s="20">
        <v>45716</v>
      </c>
      <c r="C527" s="9" t="s">
        <v>232</v>
      </c>
      <c r="D527" s="15">
        <v>11367.69</v>
      </c>
      <c r="E527" s="15">
        <v>3008.9</v>
      </c>
      <c r="F527" s="15">
        <v>1069.99</v>
      </c>
      <c r="G527" s="15">
        <v>6186.65</v>
      </c>
      <c r="H527" s="15">
        <v>2923.5</v>
      </c>
      <c r="I527" s="15">
        <v>24556.74</v>
      </c>
      <c r="J527" s="15">
        <v>13189.05</v>
      </c>
      <c r="K527" s="19">
        <v>0.67629946028133159</v>
      </c>
    </row>
    <row r="528" spans="1:11" x14ac:dyDescent="0.3">
      <c r="A528" s="9" t="s">
        <v>191</v>
      </c>
      <c r="B528" s="20">
        <v>45716</v>
      </c>
      <c r="C528" s="9" t="s">
        <v>231</v>
      </c>
      <c r="D528" s="15">
        <v>13419.62</v>
      </c>
      <c r="E528" s="15">
        <v>9316.81</v>
      </c>
      <c r="F528" s="15">
        <v>1160.6199999999999</v>
      </c>
      <c r="G528" s="15">
        <v>989.05</v>
      </c>
      <c r="H528" s="15">
        <v>9476.33</v>
      </c>
      <c r="I528" s="15">
        <v>34362.42</v>
      </c>
      <c r="J528" s="15">
        <v>20942.8</v>
      </c>
      <c r="K528" s="19">
        <v>0.67629946028133159</v>
      </c>
    </row>
    <row r="529" spans="1:11" x14ac:dyDescent="0.3">
      <c r="A529" s="9" t="s">
        <v>191</v>
      </c>
      <c r="B529" s="20">
        <v>45716</v>
      </c>
      <c r="C529" s="9" t="s">
        <v>230</v>
      </c>
      <c r="D529" s="15">
        <v>15236.86</v>
      </c>
      <c r="E529" s="15">
        <v>1692.51</v>
      </c>
      <c r="F529" s="15">
        <v>12035.57</v>
      </c>
      <c r="G529" s="15">
        <v>2351.77</v>
      </c>
      <c r="H529" s="15">
        <v>3390.78</v>
      </c>
      <c r="I529" s="15">
        <v>34707.49</v>
      </c>
      <c r="J529" s="15">
        <v>19470.63</v>
      </c>
      <c r="K529" s="19">
        <v>0.67629946028133159</v>
      </c>
    </row>
    <row r="530" spans="1:11" x14ac:dyDescent="0.3">
      <c r="A530" s="9" t="s">
        <v>191</v>
      </c>
      <c r="B530" s="20">
        <v>45716</v>
      </c>
      <c r="C530" s="9" t="s">
        <v>229</v>
      </c>
      <c r="D530" s="15">
        <v>12872.35</v>
      </c>
      <c r="E530" s="15">
        <v>8198.89</v>
      </c>
      <c r="F530" s="15">
        <v>10010.16</v>
      </c>
      <c r="G530" s="15">
        <v>1144.92</v>
      </c>
      <c r="H530" s="15">
        <v>5866.36</v>
      </c>
      <c r="I530" s="15">
        <v>38092.68</v>
      </c>
      <c r="J530" s="15">
        <v>25220.33</v>
      </c>
      <c r="K530" s="19">
        <v>0.67629946028133159</v>
      </c>
    </row>
    <row r="531" spans="1:11" x14ac:dyDescent="0.3">
      <c r="A531" s="9" t="s">
        <v>191</v>
      </c>
      <c r="B531" s="20">
        <v>45716</v>
      </c>
      <c r="C531" s="9" t="s">
        <v>228</v>
      </c>
      <c r="D531" s="15">
        <v>23808.97</v>
      </c>
      <c r="E531" s="15">
        <v>17402.82</v>
      </c>
      <c r="F531" s="15">
        <v>5440.29</v>
      </c>
      <c r="G531" s="15">
        <v>4361.5</v>
      </c>
      <c r="H531" s="15">
        <v>1297.82</v>
      </c>
      <c r="I531" s="15">
        <v>52311.4</v>
      </c>
      <c r="J531" s="15">
        <v>28502.43</v>
      </c>
      <c r="K531" s="19">
        <v>0.67629946028133159</v>
      </c>
    </row>
    <row r="532" spans="1:11" x14ac:dyDescent="0.3">
      <c r="A532" s="9" t="s">
        <v>191</v>
      </c>
      <c r="B532" s="20">
        <v>45716</v>
      </c>
      <c r="C532" s="9" t="s">
        <v>203</v>
      </c>
      <c r="D532" s="15">
        <v>2624.18</v>
      </c>
      <c r="E532" s="15">
        <v>1039.42</v>
      </c>
      <c r="F532" s="15">
        <v>3268.69</v>
      </c>
      <c r="G532" s="15">
        <v>1515.79</v>
      </c>
      <c r="H532" s="15">
        <v>1190.67</v>
      </c>
      <c r="I532" s="15">
        <v>9638.76</v>
      </c>
      <c r="J532" s="15">
        <v>7014.58</v>
      </c>
      <c r="K532" s="19">
        <v>0.67629946028133159</v>
      </c>
    </row>
    <row r="533" spans="1:11" x14ac:dyDescent="0.3">
      <c r="A533" s="9" t="s">
        <v>191</v>
      </c>
      <c r="B533" s="20">
        <v>45716</v>
      </c>
      <c r="C533" s="9" t="s">
        <v>216</v>
      </c>
      <c r="D533" s="15">
        <v>11068.77</v>
      </c>
      <c r="E533" s="15">
        <v>3918.12</v>
      </c>
      <c r="F533" s="15">
        <v>4745.87</v>
      </c>
      <c r="G533" s="15">
        <v>1872.46</v>
      </c>
      <c r="H533" s="15">
        <v>1224.1600000000001</v>
      </c>
      <c r="I533" s="15">
        <v>22829.37</v>
      </c>
      <c r="J533" s="15">
        <v>11760.6</v>
      </c>
      <c r="K533" s="19">
        <v>0.67629946028133159</v>
      </c>
    </row>
    <row r="534" spans="1:11" x14ac:dyDescent="0.3">
      <c r="A534" s="9" t="s">
        <v>191</v>
      </c>
      <c r="B534" s="20">
        <v>45716</v>
      </c>
      <c r="C534" s="9" t="s">
        <v>227</v>
      </c>
      <c r="D534" s="15">
        <v>10156.33</v>
      </c>
      <c r="E534" s="15">
        <v>7836.72</v>
      </c>
      <c r="F534" s="15">
        <v>3180.19</v>
      </c>
      <c r="G534" s="15">
        <v>802.77</v>
      </c>
      <c r="H534" s="15">
        <v>353.72</v>
      </c>
      <c r="I534" s="15">
        <v>22329.73</v>
      </c>
      <c r="J534" s="15">
        <v>12173.4</v>
      </c>
      <c r="K534" s="19">
        <v>0.67629946028133159</v>
      </c>
    </row>
    <row r="535" spans="1:11" x14ac:dyDescent="0.3">
      <c r="A535" s="9" t="s">
        <v>191</v>
      </c>
      <c r="B535" s="20">
        <v>45716</v>
      </c>
      <c r="C535" s="9" t="s">
        <v>226</v>
      </c>
      <c r="D535" s="15">
        <v>11108.83</v>
      </c>
      <c r="E535" s="15">
        <v>1854.59</v>
      </c>
      <c r="F535" s="15">
        <v>9448.1</v>
      </c>
      <c r="G535" s="15">
        <v>1366.57</v>
      </c>
      <c r="H535" s="15">
        <v>751.97</v>
      </c>
      <c r="I535" s="15">
        <v>24530.06</v>
      </c>
      <c r="J535" s="15">
        <v>13421.24</v>
      </c>
      <c r="K535" s="19">
        <v>0.67629946028133159</v>
      </c>
    </row>
    <row r="536" spans="1:11" x14ac:dyDescent="0.3">
      <c r="A536" s="9" t="s">
        <v>191</v>
      </c>
      <c r="B536" s="20">
        <v>45716</v>
      </c>
      <c r="C536" s="9" t="s">
        <v>205</v>
      </c>
      <c r="D536" s="15">
        <v>13889.65</v>
      </c>
      <c r="E536" s="15">
        <v>5615.11</v>
      </c>
      <c r="F536" s="15">
        <v>8150.11</v>
      </c>
      <c r="G536" s="15">
        <v>3074.35</v>
      </c>
      <c r="H536" s="15">
        <v>2483.0100000000002</v>
      </c>
      <c r="I536" s="15">
        <v>33212.230000000003</v>
      </c>
      <c r="J536" s="15">
        <v>19322.580000000002</v>
      </c>
      <c r="K536" s="19">
        <v>0.67629946028133159</v>
      </c>
    </row>
    <row r="537" spans="1:11" x14ac:dyDescent="0.3">
      <c r="A537" s="9" t="s">
        <v>191</v>
      </c>
      <c r="B537" s="20">
        <v>45716</v>
      </c>
      <c r="C537" s="9" t="s">
        <v>225</v>
      </c>
      <c r="D537" s="15">
        <v>26764.19</v>
      </c>
      <c r="E537" s="15">
        <v>7379.3</v>
      </c>
      <c r="F537" s="15">
        <v>13791.9</v>
      </c>
      <c r="G537" s="15">
        <v>1360.93</v>
      </c>
      <c r="H537" s="15">
        <v>5082.03</v>
      </c>
      <c r="I537" s="15">
        <v>54378.35</v>
      </c>
      <c r="J537" s="15">
        <v>27614.16</v>
      </c>
      <c r="K537" s="19">
        <v>0.67629946028133159</v>
      </c>
    </row>
    <row r="538" spans="1:11" x14ac:dyDescent="0.3">
      <c r="A538" s="9" t="s">
        <v>191</v>
      </c>
      <c r="B538" s="20">
        <v>45716</v>
      </c>
      <c r="C538" s="9" t="s">
        <v>224</v>
      </c>
      <c r="D538" s="15">
        <v>15303.29</v>
      </c>
      <c r="E538" s="15">
        <v>4364.32</v>
      </c>
      <c r="F538" s="15">
        <v>7407.73</v>
      </c>
      <c r="G538" s="15">
        <v>1977.98</v>
      </c>
      <c r="H538" s="15">
        <v>3532.82</v>
      </c>
      <c r="I538" s="15">
        <v>32586.15</v>
      </c>
      <c r="J538" s="15">
        <v>17282.849999999999</v>
      </c>
      <c r="K538" s="19">
        <v>0.67629946028133159</v>
      </c>
    </row>
    <row r="539" spans="1:11" x14ac:dyDescent="0.3">
      <c r="A539" s="9" t="s">
        <v>191</v>
      </c>
      <c r="B539" s="20">
        <v>45716</v>
      </c>
      <c r="C539" s="9" t="s">
        <v>206</v>
      </c>
      <c r="D539" s="15">
        <v>18503.52</v>
      </c>
      <c r="E539" s="15">
        <v>7750.46</v>
      </c>
      <c r="F539" s="15">
        <v>9246.4699999999993</v>
      </c>
      <c r="G539" s="15">
        <v>9259.81</v>
      </c>
      <c r="H539" s="15">
        <v>1455.18</v>
      </c>
      <c r="I539" s="15">
        <v>46215.45</v>
      </c>
      <c r="J539" s="15">
        <v>27711.919999999998</v>
      </c>
      <c r="K539" s="19">
        <v>0.67629946028133159</v>
      </c>
    </row>
    <row r="540" spans="1:11" x14ac:dyDescent="0.3">
      <c r="A540" s="9" t="s">
        <v>191</v>
      </c>
      <c r="B540" s="20">
        <v>45716</v>
      </c>
      <c r="C540" s="9" t="s">
        <v>211</v>
      </c>
      <c r="D540" s="15">
        <v>15498.74</v>
      </c>
      <c r="E540" s="15">
        <v>6803.19</v>
      </c>
      <c r="F540" s="15">
        <v>827.2</v>
      </c>
      <c r="G540" s="15">
        <v>6499.79</v>
      </c>
      <c r="H540" s="15">
        <v>3985.33</v>
      </c>
      <c r="I540" s="15">
        <v>33614.26</v>
      </c>
      <c r="J540" s="15">
        <v>18115.509999999998</v>
      </c>
      <c r="K540" s="19">
        <v>0.67629946028133159</v>
      </c>
    </row>
    <row r="541" spans="1:11" x14ac:dyDescent="0.3">
      <c r="A541" s="9" t="s">
        <v>191</v>
      </c>
      <c r="B541" s="20">
        <v>45716</v>
      </c>
      <c r="C541" s="9" t="s">
        <v>223</v>
      </c>
      <c r="D541" s="15">
        <v>12063.33</v>
      </c>
      <c r="E541" s="15">
        <v>11553.1</v>
      </c>
      <c r="F541" s="15">
        <v>7788.92</v>
      </c>
      <c r="G541" s="15">
        <v>6890.96</v>
      </c>
      <c r="H541" s="15">
        <v>6042.36</v>
      </c>
      <c r="I541" s="15">
        <v>44338.67</v>
      </c>
      <c r="J541" s="15">
        <v>32275.34</v>
      </c>
      <c r="K541" s="19">
        <v>0.67629946028133159</v>
      </c>
    </row>
    <row r="542" spans="1:11" x14ac:dyDescent="0.3">
      <c r="A542" s="9" t="s">
        <v>191</v>
      </c>
      <c r="B542" s="20">
        <v>45747</v>
      </c>
      <c r="C542" s="9" t="s">
        <v>222</v>
      </c>
      <c r="D542" s="15">
        <v>18393.189999999999</v>
      </c>
      <c r="E542" s="15">
        <v>5606.09</v>
      </c>
      <c r="F542" s="15">
        <v>9805.7900000000009</v>
      </c>
      <c r="G542" s="15">
        <v>3201.81</v>
      </c>
      <c r="H542" s="15">
        <v>4097.87</v>
      </c>
      <c r="I542" s="15">
        <v>41104.75</v>
      </c>
      <c r="J542" s="15">
        <v>22711.56</v>
      </c>
      <c r="K542" s="19">
        <v>0.80276529736989133</v>
      </c>
    </row>
    <row r="543" spans="1:11" x14ac:dyDescent="0.3">
      <c r="A543" s="9" t="s">
        <v>191</v>
      </c>
      <c r="B543" s="20">
        <v>45747</v>
      </c>
      <c r="C543" s="9" t="s">
        <v>235</v>
      </c>
      <c r="D543" s="15">
        <v>24808.6</v>
      </c>
      <c r="E543" s="15">
        <v>11101.99</v>
      </c>
      <c r="F543" s="15">
        <v>6354.15</v>
      </c>
      <c r="G543" s="15">
        <v>9375.84</v>
      </c>
      <c r="H543" s="15">
        <v>10120.280000000001</v>
      </c>
      <c r="I543" s="15">
        <v>61760.86</v>
      </c>
      <c r="J543" s="15">
        <v>36952.26</v>
      </c>
      <c r="K543" s="19">
        <v>0.80276529736989133</v>
      </c>
    </row>
    <row r="544" spans="1:11" x14ac:dyDescent="0.3">
      <c r="A544" s="9" t="s">
        <v>191</v>
      </c>
      <c r="B544" s="20">
        <v>45747</v>
      </c>
      <c r="C544" s="9" t="s">
        <v>234</v>
      </c>
      <c r="D544" s="15">
        <v>25264.89</v>
      </c>
      <c r="E544" s="15">
        <v>1413.7</v>
      </c>
      <c r="F544" s="15">
        <v>6110.88</v>
      </c>
      <c r="G544" s="15">
        <v>7720.3</v>
      </c>
      <c r="H544" s="15">
        <v>11019.18</v>
      </c>
      <c r="I544" s="15">
        <v>51528.95</v>
      </c>
      <c r="J544" s="15">
        <v>26264.06</v>
      </c>
      <c r="K544" s="19">
        <v>0.80276529736989133</v>
      </c>
    </row>
    <row r="545" spans="1:11" x14ac:dyDescent="0.3">
      <c r="A545" s="9" t="s">
        <v>191</v>
      </c>
      <c r="B545" s="20">
        <v>45747</v>
      </c>
      <c r="C545" s="9" t="s">
        <v>219</v>
      </c>
      <c r="D545" s="15">
        <v>13764.65</v>
      </c>
      <c r="E545" s="15">
        <v>12328.95</v>
      </c>
      <c r="F545" s="15">
        <v>621.20000000000005</v>
      </c>
      <c r="G545" s="15">
        <v>7186.04</v>
      </c>
      <c r="H545" s="15">
        <v>3591.52</v>
      </c>
      <c r="I545" s="15">
        <v>37492.370000000003</v>
      </c>
      <c r="J545" s="15">
        <v>23727.72</v>
      </c>
      <c r="K545" s="19">
        <v>0.80276529736989133</v>
      </c>
    </row>
    <row r="546" spans="1:11" x14ac:dyDescent="0.3">
      <c r="A546" s="9" t="s">
        <v>191</v>
      </c>
      <c r="B546" s="20">
        <v>45747</v>
      </c>
      <c r="C546" s="9" t="s">
        <v>233</v>
      </c>
      <c r="D546" s="15">
        <v>11800.06</v>
      </c>
      <c r="E546" s="15">
        <v>3019.38</v>
      </c>
      <c r="F546" s="15">
        <v>9171.86</v>
      </c>
      <c r="G546" s="15">
        <v>2044.17</v>
      </c>
      <c r="H546" s="15">
        <v>8768.9</v>
      </c>
      <c r="I546" s="15">
        <v>34804.370000000003</v>
      </c>
      <c r="J546" s="15">
        <v>23004.31</v>
      </c>
      <c r="K546" s="19">
        <v>0.80276529736989133</v>
      </c>
    </row>
    <row r="547" spans="1:11" x14ac:dyDescent="0.3">
      <c r="A547" s="9" t="s">
        <v>191</v>
      </c>
      <c r="B547" s="20">
        <v>45747</v>
      </c>
      <c r="C547" s="9" t="s">
        <v>232</v>
      </c>
      <c r="D547" s="15">
        <v>3660.82</v>
      </c>
      <c r="E547" s="15">
        <v>1830.22</v>
      </c>
      <c r="F547" s="15">
        <v>4184.3900000000003</v>
      </c>
      <c r="G547" s="15">
        <v>550.4</v>
      </c>
      <c r="H547" s="15">
        <v>827.27</v>
      </c>
      <c r="I547" s="15">
        <v>11053.1</v>
      </c>
      <c r="J547" s="15">
        <v>7392.28</v>
      </c>
      <c r="K547" s="19">
        <v>0.80276529736989133</v>
      </c>
    </row>
    <row r="548" spans="1:11" x14ac:dyDescent="0.3">
      <c r="A548" s="9" t="s">
        <v>191</v>
      </c>
      <c r="B548" s="20">
        <v>45747</v>
      </c>
      <c r="C548" s="9" t="s">
        <v>231</v>
      </c>
      <c r="D548" s="15">
        <v>13292.14</v>
      </c>
      <c r="E548" s="15">
        <v>8087.77</v>
      </c>
      <c r="F548" s="15">
        <v>4045.81</v>
      </c>
      <c r="G548" s="15">
        <v>3060.87</v>
      </c>
      <c r="H548" s="15">
        <v>2013.34</v>
      </c>
      <c r="I548" s="15">
        <v>30499.93</v>
      </c>
      <c r="J548" s="15">
        <v>17207.79</v>
      </c>
      <c r="K548" s="19">
        <v>0.80276529736989133</v>
      </c>
    </row>
    <row r="549" spans="1:11" x14ac:dyDescent="0.3">
      <c r="A549" s="9" t="s">
        <v>191</v>
      </c>
      <c r="B549" s="20">
        <v>45747</v>
      </c>
      <c r="C549" s="9" t="s">
        <v>230</v>
      </c>
      <c r="D549" s="15">
        <v>19093.11</v>
      </c>
      <c r="E549" s="15">
        <v>6003.8</v>
      </c>
      <c r="F549" s="15">
        <v>4889.41</v>
      </c>
      <c r="G549" s="15">
        <v>12390.22</v>
      </c>
      <c r="H549" s="15">
        <v>1607.47</v>
      </c>
      <c r="I549" s="15">
        <v>43984.01</v>
      </c>
      <c r="J549" s="15">
        <v>24890.9</v>
      </c>
      <c r="K549" s="19">
        <v>0.80276529736989133</v>
      </c>
    </row>
    <row r="550" spans="1:11" x14ac:dyDescent="0.3">
      <c r="A550" s="9" t="s">
        <v>191</v>
      </c>
      <c r="B550" s="20">
        <v>45747</v>
      </c>
      <c r="C550" s="9" t="s">
        <v>229</v>
      </c>
      <c r="D550" s="15">
        <v>9704.7099999999991</v>
      </c>
      <c r="E550" s="15">
        <v>6941.7</v>
      </c>
      <c r="F550" s="15">
        <v>2412.44</v>
      </c>
      <c r="G550" s="15">
        <v>6346.12</v>
      </c>
      <c r="H550" s="15">
        <v>1668.36</v>
      </c>
      <c r="I550" s="15">
        <v>27073.33</v>
      </c>
      <c r="J550" s="15">
        <v>17368.61</v>
      </c>
      <c r="K550" s="19">
        <v>0.80276529736989133</v>
      </c>
    </row>
    <row r="551" spans="1:11" x14ac:dyDescent="0.3">
      <c r="A551" s="9" t="s">
        <v>191</v>
      </c>
      <c r="B551" s="20">
        <v>45747</v>
      </c>
      <c r="C551" s="9" t="s">
        <v>228</v>
      </c>
      <c r="D551" s="15">
        <v>19178.96</v>
      </c>
      <c r="E551" s="15">
        <v>4961.49</v>
      </c>
      <c r="F551" s="15">
        <v>9481.5</v>
      </c>
      <c r="G551" s="15">
        <v>3638.41</v>
      </c>
      <c r="H551" s="15">
        <v>11597.71</v>
      </c>
      <c r="I551" s="15">
        <v>48858.07</v>
      </c>
      <c r="J551" s="15">
        <v>29679.11</v>
      </c>
      <c r="K551" s="19">
        <v>0.80276529736989133</v>
      </c>
    </row>
    <row r="552" spans="1:11" x14ac:dyDescent="0.3">
      <c r="A552" s="9" t="s">
        <v>191</v>
      </c>
      <c r="B552" s="20">
        <v>45747</v>
      </c>
      <c r="C552" s="9" t="s">
        <v>203</v>
      </c>
      <c r="D552" s="15">
        <v>12436.97</v>
      </c>
      <c r="E552" s="15">
        <v>4471.91</v>
      </c>
      <c r="F552" s="15">
        <v>2732.78</v>
      </c>
      <c r="G552" s="15">
        <v>15653.37</v>
      </c>
      <c r="H552" s="15">
        <v>1023.88</v>
      </c>
      <c r="I552" s="15">
        <v>36318.9</v>
      </c>
      <c r="J552" s="15">
        <v>23881.93</v>
      </c>
      <c r="K552" s="19">
        <v>0.80276529736989133</v>
      </c>
    </row>
    <row r="553" spans="1:11" x14ac:dyDescent="0.3">
      <c r="A553" s="9" t="s">
        <v>191</v>
      </c>
      <c r="B553" s="20">
        <v>45747</v>
      </c>
      <c r="C553" s="9" t="s">
        <v>216</v>
      </c>
      <c r="D553" s="15">
        <v>28792.05</v>
      </c>
      <c r="E553" s="15">
        <v>16806.54</v>
      </c>
      <c r="F553" s="15">
        <v>14201.76</v>
      </c>
      <c r="G553" s="15">
        <v>5690.46</v>
      </c>
      <c r="H553" s="15">
        <v>121.18</v>
      </c>
      <c r="I553" s="15">
        <v>65611.990000000005</v>
      </c>
      <c r="J553" s="15">
        <v>36819.94</v>
      </c>
      <c r="K553" s="19">
        <v>0.80276529736989133</v>
      </c>
    </row>
    <row r="554" spans="1:11" x14ac:dyDescent="0.3">
      <c r="A554" s="9" t="s">
        <v>191</v>
      </c>
      <c r="B554" s="20">
        <v>45747</v>
      </c>
      <c r="C554" s="9" t="s">
        <v>227</v>
      </c>
      <c r="D554" s="15">
        <v>20278.099999999999</v>
      </c>
      <c r="E554" s="15">
        <v>14896.9</v>
      </c>
      <c r="F554" s="15">
        <v>10002.18</v>
      </c>
      <c r="G554" s="15">
        <v>505.46</v>
      </c>
      <c r="H554" s="15">
        <v>4614.46</v>
      </c>
      <c r="I554" s="15">
        <v>50297.11</v>
      </c>
      <c r="J554" s="15">
        <v>30019.01</v>
      </c>
      <c r="K554" s="19">
        <v>0.80276529736989133</v>
      </c>
    </row>
    <row r="555" spans="1:11" x14ac:dyDescent="0.3">
      <c r="A555" s="9" t="s">
        <v>191</v>
      </c>
      <c r="B555" s="20">
        <v>45747</v>
      </c>
      <c r="C555" s="9" t="s">
        <v>226</v>
      </c>
      <c r="D555" s="15">
        <v>20610.75</v>
      </c>
      <c r="E555" s="15">
        <v>6262.37</v>
      </c>
      <c r="F555" s="15">
        <v>2022.37</v>
      </c>
      <c r="G555" s="15">
        <v>9193.34</v>
      </c>
      <c r="H555" s="15">
        <v>10010.32</v>
      </c>
      <c r="I555" s="15">
        <v>48099.16</v>
      </c>
      <c r="J555" s="15">
        <v>27488.41</v>
      </c>
      <c r="K555" s="19">
        <v>0.80276529736989133</v>
      </c>
    </row>
    <row r="556" spans="1:11" x14ac:dyDescent="0.3">
      <c r="A556" s="9" t="s">
        <v>191</v>
      </c>
      <c r="B556" s="20">
        <v>45747</v>
      </c>
      <c r="C556" s="9" t="s">
        <v>205</v>
      </c>
      <c r="D556" s="15">
        <v>26621.31</v>
      </c>
      <c r="E556" s="15">
        <v>13369.52</v>
      </c>
      <c r="F556" s="15">
        <v>6091.29</v>
      </c>
      <c r="G556" s="15">
        <v>6982.7</v>
      </c>
      <c r="H556" s="15">
        <v>3755.08</v>
      </c>
      <c r="I556" s="15">
        <v>56819.9</v>
      </c>
      <c r="J556" s="15">
        <v>30198.59</v>
      </c>
      <c r="K556" s="19">
        <v>0.80276529736989133</v>
      </c>
    </row>
    <row r="557" spans="1:11" x14ac:dyDescent="0.3">
      <c r="A557" s="9" t="s">
        <v>191</v>
      </c>
      <c r="B557" s="20">
        <v>45747</v>
      </c>
      <c r="C557" s="9" t="s">
        <v>225</v>
      </c>
      <c r="D557" s="15">
        <v>3307.14</v>
      </c>
      <c r="E557" s="15">
        <v>284.61</v>
      </c>
      <c r="F557" s="15">
        <v>2347.92</v>
      </c>
      <c r="G557" s="15">
        <v>1207.8699999999999</v>
      </c>
      <c r="H557" s="15">
        <v>1443.82</v>
      </c>
      <c r="I557" s="15">
        <v>8591.36</v>
      </c>
      <c r="J557" s="15">
        <v>5284.22</v>
      </c>
      <c r="K557" s="19">
        <v>0.80276529736989133</v>
      </c>
    </row>
    <row r="558" spans="1:11" x14ac:dyDescent="0.3">
      <c r="A558" s="9" t="s">
        <v>191</v>
      </c>
      <c r="B558" s="20">
        <v>45747</v>
      </c>
      <c r="C558" s="9" t="s">
        <v>224</v>
      </c>
      <c r="D558" s="15">
        <v>7157.71</v>
      </c>
      <c r="E558" s="15">
        <v>7859.35</v>
      </c>
      <c r="F558" s="15">
        <v>1235.29</v>
      </c>
      <c r="G558" s="15">
        <v>1117.8499999999999</v>
      </c>
      <c r="H558" s="15">
        <v>4708.7700000000004</v>
      </c>
      <c r="I558" s="15">
        <v>22078.97</v>
      </c>
      <c r="J558" s="15">
        <v>14921.27</v>
      </c>
      <c r="K558" s="19">
        <v>0.80276529736989133</v>
      </c>
    </row>
    <row r="559" spans="1:11" x14ac:dyDescent="0.3">
      <c r="A559" s="9" t="s">
        <v>191</v>
      </c>
      <c r="B559" s="20">
        <v>45747</v>
      </c>
      <c r="C559" s="9" t="s">
        <v>206</v>
      </c>
      <c r="D559" s="15">
        <v>6543.2</v>
      </c>
      <c r="E559" s="15">
        <v>1272.18</v>
      </c>
      <c r="F559" s="15">
        <v>1729.89</v>
      </c>
      <c r="G559" s="15">
        <v>4546.12</v>
      </c>
      <c r="H559" s="15">
        <v>2069.69</v>
      </c>
      <c r="I559" s="15">
        <v>16161.07</v>
      </c>
      <c r="J559" s="15">
        <v>9617.8799999999992</v>
      </c>
      <c r="K559" s="19">
        <v>0.80276529736989133</v>
      </c>
    </row>
    <row r="560" spans="1:11" x14ac:dyDescent="0.3">
      <c r="A560" s="9" t="s">
        <v>191</v>
      </c>
      <c r="B560" s="20">
        <v>45747</v>
      </c>
      <c r="C560" s="9" t="s">
        <v>211</v>
      </c>
      <c r="D560" s="15">
        <v>13176.22</v>
      </c>
      <c r="E560" s="15">
        <v>13123.35</v>
      </c>
      <c r="F560" s="15">
        <v>3993.59</v>
      </c>
      <c r="G560" s="15">
        <v>5321.14</v>
      </c>
      <c r="H560" s="15">
        <v>5224.54</v>
      </c>
      <c r="I560" s="15">
        <v>40838.83</v>
      </c>
      <c r="J560" s="15">
        <v>27662.61</v>
      </c>
      <c r="K560" s="19">
        <v>0.80276529736989133</v>
      </c>
    </row>
    <row r="561" spans="1:11" x14ac:dyDescent="0.3">
      <c r="A561" s="9" t="s">
        <v>191</v>
      </c>
      <c r="B561" s="20">
        <v>45747</v>
      </c>
      <c r="C561" s="9" t="s">
        <v>223</v>
      </c>
      <c r="D561" s="15">
        <v>16237.98</v>
      </c>
      <c r="E561" s="15">
        <v>3718.26</v>
      </c>
      <c r="F561" s="15">
        <v>7139.81</v>
      </c>
      <c r="G561" s="15">
        <v>4773.57</v>
      </c>
      <c r="H561" s="15">
        <v>5835.02</v>
      </c>
      <c r="I561" s="15">
        <v>37704.639999999999</v>
      </c>
      <c r="J561" s="15">
        <v>21466.66</v>
      </c>
      <c r="K561" s="19">
        <v>0.80276529736989133</v>
      </c>
    </row>
    <row r="562" spans="1:11" x14ac:dyDescent="0.3">
      <c r="A562" s="9" t="s">
        <v>191</v>
      </c>
      <c r="B562" s="20">
        <v>45777</v>
      </c>
      <c r="C562" s="9" t="s">
        <v>222</v>
      </c>
      <c r="D562" s="15">
        <v>18054.5</v>
      </c>
      <c r="E562" s="15">
        <v>15987.05</v>
      </c>
      <c r="F562" s="15">
        <v>3031.09</v>
      </c>
      <c r="G562" s="15">
        <v>11187.56</v>
      </c>
      <c r="H562" s="15">
        <v>7667.77</v>
      </c>
      <c r="I562" s="15">
        <v>55927.96</v>
      </c>
      <c r="J562" s="15">
        <v>37873.47</v>
      </c>
      <c r="K562" s="19">
        <v>0.83424735121572768</v>
      </c>
    </row>
    <row r="563" spans="1:11" x14ac:dyDescent="0.3">
      <c r="A563" s="9" t="s">
        <v>191</v>
      </c>
      <c r="B563" s="20">
        <v>45777</v>
      </c>
      <c r="C563" s="9" t="s">
        <v>235</v>
      </c>
      <c r="D563" s="15">
        <v>15036.72</v>
      </c>
      <c r="E563" s="15">
        <v>2953.47</v>
      </c>
      <c r="F563" s="15">
        <v>4908.66</v>
      </c>
      <c r="G563" s="15">
        <v>5770.17</v>
      </c>
      <c r="H563" s="15">
        <v>2617.38</v>
      </c>
      <c r="I563" s="15">
        <v>31286.400000000001</v>
      </c>
      <c r="J563" s="15">
        <v>16249.68</v>
      </c>
      <c r="K563" s="19">
        <v>0.83424735121572768</v>
      </c>
    </row>
    <row r="564" spans="1:11" x14ac:dyDescent="0.3">
      <c r="A564" s="9" t="s">
        <v>191</v>
      </c>
      <c r="B564" s="20">
        <v>45777</v>
      </c>
      <c r="C564" s="9" t="s">
        <v>234</v>
      </c>
      <c r="D564" s="15">
        <v>24876.06</v>
      </c>
      <c r="E564" s="15">
        <v>26521.61</v>
      </c>
      <c r="F564" s="15">
        <v>2172.65</v>
      </c>
      <c r="G564" s="15">
        <v>12629.79</v>
      </c>
      <c r="H564" s="15">
        <v>2902.67</v>
      </c>
      <c r="I564" s="15">
        <v>69102.789999999994</v>
      </c>
      <c r="J564" s="15">
        <v>44226.73</v>
      </c>
      <c r="K564" s="19">
        <v>0.83424735121572768</v>
      </c>
    </row>
    <row r="565" spans="1:11" x14ac:dyDescent="0.3">
      <c r="A565" s="9" t="s">
        <v>191</v>
      </c>
      <c r="B565" s="20">
        <v>45777</v>
      </c>
      <c r="C565" s="9" t="s">
        <v>219</v>
      </c>
      <c r="D565" s="15">
        <v>28126.2</v>
      </c>
      <c r="E565" s="15">
        <v>10285.870000000001</v>
      </c>
      <c r="F565" s="15">
        <v>8356.5300000000007</v>
      </c>
      <c r="G565" s="15">
        <v>13687.04</v>
      </c>
      <c r="H565" s="15">
        <v>5121.8</v>
      </c>
      <c r="I565" s="15">
        <v>65577.429999999993</v>
      </c>
      <c r="J565" s="15">
        <v>37451.230000000003</v>
      </c>
      <c r="K565" s="19">
        <v>0.83424735121572768</v>
      </c>
    </row>
    <row r="566" spans="1:11" x14ac:dyDescent="0.3">
      <c r="A566" s="9" t="s">
        <v>191</v>
      </c>
      <c r="B566" s="20">
        <v>45777</v>
      </c>
      <c r="C566" s="9" t="s">
        <v>233</v>
      </c>
      <c r="D566" s="15">
        <v>14381.46</v>
      </c>
      <c r="E566" s="15">
        <v>6967.94</v>
      </c>
      <c r="F566" s="15">
        <v>12460.63</v>
      </c>
      <c r="G566" s="15">
        <v>4768.95</v>
      </c>
      <c r="H566" s="15">
        <v>658.81</v>
      </c>
      <c r="I566" s="15">
        <v>39237.78</v>
      </c>
      <c r="J566" s="15">
        <v>24856.33</v>
      </c>
      <c r="K566" s="19">
        <v>0.83424735121572768</v>
      </c>
    </row>
    <row r="567" spans="1:11" x14ac:dyDescent="0.3">
      <c r="A567" s="9" t="s">
        <v>191</v>
      </c>
      <c r="B567" s="20">
        <v>45777</v>
      </c>
      <c r="C567" s="9" t="s">
        <v>232</v>
      </c>
      <c r="D567" s="15">
        <v>16235.75</v>
      </c>
      <c r="E567" s="15">
        <v>4792.13</v>
      </c>
      <c r="F567" s="15">
        <v>14652.07</v>
      </c>
      <c r="G567" s="15">
        <v>1501.18</v>
      </c>
      <c r="H567" s="15">
        <v>487.54</v>
      </c>
      <c r="I567" s="15">
        <v>37668.68</v>
      </c>
      <c r="J567" s="15">
        <v>21432.93</v>
      </c>
      <c r="K567" s="19">
        <v>0.83424735121572768</v>
      </c>
    </row>
    <row r="568" spans="1:11" x14ac:dyDescent="0.3">
      <c r="A568" s="9" t="s">
        <v>191</v>
      </c>
      <c r="B568" s="20">
        <v>45777</v>
      </c>
      <c r="C568" s="9" t="s">
        <v>231</v>
      </c>
      <c r="D568" s="15">
        <v>9721.94</v>
      </c>
      <c r="E568" s="15">
        <v>8394.92</v>
      </c>
      <c r="F568" s="15">
        <v>2299.35</v>
      </c>
      <c r="G568" s="15">
        <v>1703.02</v>
      </c>
      <c r="H568" s="15">
        <v>3904.29</v>
      </c>
      <c r="I568" s="15">
        <v>26023.51</v>
      </c>
      <c r="J568" s="15">
        <v>16301.57</v>
      </c>
      <c r="K568" s="19">
        <v>0.83424735121572768</v>
      </c>
    </row>
    <row r="569" spans="1:11" x14ac:dyDescent="0.3">
      <c r="A569" s="9" t="s">
        <v>191</v>
      </c>
      <c r="B569" s="20">
        <v>45777</v>
      </c>
      <c r="C569" s="9" t="s">
        <v>230</v>
      </c>
      <c r="D569" s="15">
        <v>6542.8</v>
      </c>
      <c r="E569" s="15">
        <v>6336.53</v>
      </c>
      <c r="F569" s="15">
        <v>1751.39</v>
      </c>
      <c r="G569" s="15">
        <v>5606.4</v>
      </c>
      <c r="H569" s="15">
        <v>6353.21</v>
      </c>
      <c r="I569" s="15">
        <v>26590.34</v>
      </c>
      <c r="J569" s="15">
        <v>20047.54</v>
      </c>
      <c r="K569" s="19">
        <v>0.83424735121572768</v>
      </c>
    </row>
    <row r="570" spans="1:11" x14ac:dyDescent="0.3">
      <c r="A570" s="9" t="s">
        <v>191</v>
      </c>
      <c r="B570" s="20">
        <v>45777</v>
      </c>
      <c r="C570" s="9" t="s">
        <v>229</v>
      </c>
      <c r="D570" s="15">
        <v>17480.41</v>
      </c>
      <c r="E570" s="15">
        <v>3178.45</v>
      </c>
      <c r="F570" s="15">
        <v>1807.51</v>
      </c>
      <c r="G570" s="15">
        <v>15215.04</v>
      </c>
      <c r="H570" s="15">
        <v>1158.71</v>
      </c>
      <c r="I570" s="15">
        <v>38840.120000000003</v>
      </c>
      <c r="J570" s="15">
        <v>21359.7</v>
      </c>
      <c r="K570" s="19">
        <v>0.83424735121572768</v>
      </c>
    </row>
    <row r="571" spans="1:11" x14ac:dyDescent="0.3">
      <c r="A571" s="9" t="s">
        <v>191</v>
      </c>
      <c r="B571" s="20">
        <v>45777</v>
      </c>
      <c r="C571" s="9" t="s">
        <v>228</v>
      </c>
      <c r="D571" s="15">
        <v>27326.52</v>
      </c>
      <c r="E571" s="15">
        <v>25662.51</v>
      </c>
      <c r="F571" s="15">
        <v>889.99</v>
      </c>
      <c r="G571" s="15">
        <v>7983.39</v>
      </c>
      <c r="H571" s="15">
        <v>1359.36</v>
      </c>
      <c r="I571" s="15">
        <v>63221.78</v>
      </c>
      <c r="J571" s="15">
        <v>35895.25</v>
      </c>
      <c r="K571" s="19">
        <v>0.83424735121572768</v>
      </c>
    </row>
    <row r="572" spans="1:11" x14ac:dyDescent="0.3">
      <c r="A572" s="9" t="s">
        <v>191</v>
      </c>
      <c r="B572" s="20">
        <v>45777</v>
      </c>
      <c r="C572" s="9" t="s">
        <v>203</v>
      </c>
      <c r="D572" s="15">
        <v>15049.16</v>
      </c>
      <c r="E572" s="15">
        <v>585.02</v>
      </c>
      <c r="F572" s="15">
        <v>1292.31</v>
      </c>
      <c r="G572" s="15">
        <v>21131.93</v>
      </c>
      <c r="H572" s="15">
        <v>3250.71</v>
      </c>
      <c r="I572" s="15">
        <v>41309.14</v>
      </c>
      <c r="J572" s="15">
        <v>26259.97</v>
      </c>
      <c r="K572" s="19">
        <v>0.83424735121572768</v>
      </c>
    </row>
    <row r="573" spans="1:11" x14ac:dyDescent="0.3">
      <c r="A573" s="9" t="s">
        <v>191</v>
      </c>
      <c r="B573" s="20">
        <v>45777</v>
      </c>
      <c r="C573" s="9" t="s">
        <v>216</v>
      </c>
      <c r="D573" s="15">
        <v>7442.73</v>
      </c>
      <c r="E573" s="15">
        <v>4380.25</v>
      </c>
      <c r="F573" s="15">
        <v>7592.65</v>
      </c>
      <c r="G573" s="15">
        <v>991.82</v>
      </c>
      <c r="H573" s="15">
        <v>1345.98</v>
      </c>
      <c r="I573" s="15">
        <v>21753.42</v>
      </c>
      <c r="J573" s="15">
        <v>14310.7</v>
      </c>
      <c r="K573" s="19">
        <v>0.83424735121572768</v>
      </c>
    </row>
    <row r="574" spans="1:11" x14ac:dyDescent="0.3">
      <c r="A574" s="9" t="s">
        <v>191</v>
      </c>
      <c r="B574" s="20">
        <v>45777</v>
      </c>
      <c r="C574" s="9" t="s">
        <v>227</v>
      </c>
      <c r="D574" s="15">
        <v>1372.73</v>
      </c>
      <c r="E574" s="15">
        <v>1198.25</v>
      </c>
      <c r="F574" s="15">
        <v>591.09</v>
      </c>
      <c r="G574" s="15">
        <v>425.96</v>
      </c>
      <c r="H574" s="15">
        <v>100.93</v>
      </c>
      <c r="I574" s="15">
        <v>3688.96</v>
      </c>
      <c r="J574" s="15">
        <v>2316.23</v>
      </c>
      <c r="K574" s="19">
        <v>0.83424735121572768</v>
      </c>
    </row>
    <row r="575" spans="1:11" x14ac:dyDescent="0.3">
      <c r="A575" s="9" t="s">
        <v>191</v>
      </c>
      <c r="B575" s="20">
        <v>45777</v>
      </c>
      <c r="C575" s="9" t="s">
        <v>226</v>
      </c>
      <c r="D575" s="15">
        <v>2585.7199999999998</v>
      </c>
      <c r="E575" s="15">
        <v>3008.01</v>
      </c>
      <c r="F575" s="15">
        <v>1042.6099999999999</v>
      </c>
      <c r="G575" s="15">
        <v>2232.8000000000002</v>
      </c>
      <c r="H575" s="15">
        <v>1151.93</v>
      </c>
      <c r="I575" s="15">
        <v>10021.07</v>
      </c>
      <c r="J575" s="15">
        <v>7435.35</v>
      </c>
      <c r="K575" s="19">
        <v>0.83424735121572768</v>
      </c>
    </row>
    <row r="576" spans="1:11" x14ac:dyDescent="0.3">
      <c r="A576" s="9" t="s">
        <v>191</v>
      </c>
      <c r="B576" s="20">
        <v>45777</v>
      </c>
      <c r="C576" s="9" t="s">
        <v>205</v>
      </c>
      <c r="D576" s="15">
        <v>13020.21</v>
      </c>
      <c r="E576" s="15">
        <v>3810.9</v>
      </c>
      <c r="F576" s="15">
        <v>2650.22</v>
      </c>
      <c r="G576" s="15">
        <v>2284.31</v>
      </c>
      <c r="H576" s="15">
        <v>18707.259999999998</v>
      </c>
      <c r="I576" s="15">
        <v>40472.9</v>
      </c>
      <c r="J576" s="15">
        <v>27452.69</v>
      </c>
      <c r="K576" s="19">
        <v>0.83424735121572768</v>
      </c>
    </row>
    <row r="577" spans="1:11" x14ac:dyDescent="0.3">
      <c r="A577" s="9" t="s">
        <v>191</v>
      </c>
      <c r="B577" s="20">
        <v>45777</v>
      </c>
      <c r="C577" s="9" t="s">
        <v>225</v>
      </c>
      <c r="D577" s="15">
        <v>14310.49</v>
      </c>
      <c r="E577" s="15">
        <v>9254.84</v>
      </c>
      <c r="F577" s="15">
        <v>13192.44</v>
      </c>
      <c r="G577" s="15">
        <v>2293.73</v>
      </c>
      <c r="H577" s="15">
        <v>2702.35</v>
      </c>
      <c r="I577" s="15">
        <v>41753.85</v>
      </c>
      <c r="J577" s="15">
        <v>27443.360000000001</v>
      </c>
      <c r="K577" s="19">
        <v>0.83424735121572768</v>
      </c>
    </row>
    <row r="578" spans="1:11" x14ac:dyDescent="0.3">
      <c r="A578" s="9" t="s">
        <v>191</v>
      </c>
      <c r="B578" s="20">
        <v>45777</v>
      </c>
      <c r="C578" s="9" t="s">
        <v>224</v>
      </c>
      <c r="D578" s="15">
        <v>6583.27</v>
      </c>
      <c r="E578" s="15">
        <v>3824.66</v>
      </c>
      <c r="F578" s="15">
        <v>2193.6</v>
      </c>
      <c r="G578" s="15">
        <v>1252.42</v>
      </c>
      <c r="H578" s="15">
        <v>1846.95</v>
      </c>
      <c r="I578" s="15">
        <v>15700.89</v>
      </c>
      <c r="J578" s="15">
        <v>9117.6299999999992</v>
      </c>
      <c r="K578" s="19">
        <v>0.83424735121572768</v>
      </c>
    </row>
    <row r="579" spans="1:11" x14ac:dyDescent="0.3">
      <c r="A579" s="9" t="s">
        <v>191</v>
      </c>
      <c r="B579" s="20">
        <v>45777</v>
      </c>
      <c r="C579" s="9" t="s">
        <v>206</v>
      </c>
      <c r="D579" s="15">
        <v>25426.82</v>
      </c>
      <c r="E579" s="15">
        <v>7576.42</v>
      </c>
      <c r="F579" s="15">
        <v>16699.669999999998</v>
      </c>
      <c r="G579" s="15">
        <v>2905.1</v>
      </c>
      <c r="H579" s="15">
        <v>4564.6400000000003</v>
      </c>
      <c r="I579" s="15">
        <v>57172.639999999999</v>
      </c>
      <c r="J579" s="15">
        <v>31745.83</v>
      </c>
      <c r="K579" s="19">
        <v>0.83424735121572768</v>
      </c>
    </row>
    <row r="580" spans="1:11" x14ac:dyDescent="0.3">
      <c r="A580" s="9" t="s">
        <v>191</v>
      </c>
      <c r="B580" s="20">
        <v>45777</v>
      </c>
      <c r="C580" s="9" t="s">
        <v>211</v>
      </c>
      <c r="D580" s="15">
        <v>35607.410000000003</v>
      </c>
      <c r="E580" s="15">
        <v>15353.57</v>
      </c>
      <c r="F580" s="15">
        <v>7549.12</v>
      </c>
      <c r="G580" s="15">
        <v>8671.34</v>
      </c>
      <c r="H580" s="15">
        <v>6794.42</v>
      </c>
      <c r="I580" s="15">
        <v>73975.839999999997</v>
      </c>
      <c r="J580" s="15">
        <v>38368.44</v>
      </c>
      <c r="K580" s="19">
        <v>0.83424735121572768</v>
      </c>
    </row>
    <row r="581" spans="1:11" x14ac:dyDescent="0.3">
      <c r="A581" s="9" t="s">
        <v>191</v>
      </c>
      <c r="B581" s="20">
        <v>45777</v>
      </c>
      <c r="C581" s="9" t="s">
        <v>223</v>
      </c>
      <c r="D581" s="15">
        <v>8914.99</v>
      </c>
      <c r="E581" s="15">
        <v>5736.79</v>
      </c>
      <c r="F581" s="15">
        <v>3942.08</v>
      </c>
      <c r="G581" s="15">
        <v>2638.31</v>
      </c>
      <c r="H581" s="15">
        <v>1152.0899999999999</v>
      </c>
      <c r="I581" s="15">
        <v>22384.27</v>
      </c>
      <c r="J581" s="15">
        <v>13469.28</v>
      </c>
      <c r="K581" s="19">
        <v>0.83424735121572768</v>
      </c>
    </row>
    <row r="582" spans="1:11" x14ac:dyDescent="0.3">
      <c r="A582" s="9" t="s">
        <v>191</v>
      </c>
      <c r="B582" s="20">
        <v>45808</v>
      </c>
      <c r="C582" s="9" t="s">
        <v>222</v>
      </c>
      <c r="D582" s="15">
        <v>2052.62</v>
      </c>
      <c r="E582" s="15">
        <v>2309.91</v>
      </c>
      <c r="F582" s="15">
        <v>402.69</v>
      </c>
      <c r="G582" s="15">
        <v>994.23</v>
      </c>
      <c r="H582" s="15">
        <v>1072.42</v>
      </c>
      <c r="I582" s="15">
        <v>6831.88</v>
      </c>
      <c r="J582" s="15">
        <v>4779.26</v>
      </c>
      <c r="K582" s="19">
        <v>0.65395382861911044</v>
      </c>
    </row>
    <row r="583" spans="1:11" x14ac:dyDescent="0.3">
      <c r="A583" s="9" t="s">
        <v>191</v>
      </c>
      <c r="B583" s="20">
        <v>45808</v>
      </c>
      <c r="C583" s="9" t="s">
        <v>235</v>
      </c>
      <c r="D583" s="15">
        <v>19128.93</v>
      </c>
      <c r="E583" s="15">
        <v>5076.53</v>
      </c>
      <c r="F583" s="15">
        <v>9260.6200000000008</v>
      </c>
      <c r="G583" s="15">
        <v>12470.65</v>
      </c>
      <c r="H583" s="15">
        <v>8160.37</v>
      </c>
      <c r="I583" s="15">
        <v>54097.11</v>
      </c>
      <c r="J583" s="15">
        <v>34968.18</v>
      </c>
      <c r="K583" s="19">
        <v>0.65395382861911044</v>
      </c>
    </row>
    <row r="584" spans="1:11" x14ac:dyDescent="0.3">
      <c r="A584" s="9" t="s">
        <v>191</v>
      </c>
      <c r="B584" s="20">
        <v>45808</v>
      </c>
      <c r="C584" s="9" t="s">
        <v>234</v>
      </c>
      <c r="D584" s="15">
        <v>2879.46</v>
      </c>
      <c r="E584" s="15">
        <v>1493.08</v>
      </c>
      <c r="F584" s="15">
        <v>322.26</v>
      </c>
      <c r="G584" s="15">
        <v>1085.83</v>
      </c>
      <c r="H584" s="15">
        <v>614.74</v>
      </c>
      <c r="I584" s="15">
        <v>6395.37</v>
      </c>
      <c r="J584" s="15">
        <v>3515.9</v>
      </c>
      <c r="K584" s="19">
        <v>0.65395382861911044</v>
      </c>
    </row>
    <row r="585" spans="1:11" x14ac:dyDescent="0.3">
      <c r="A585" s="9" t="s">
        <v>191</v>
      </c>
      <c r="B585" s="20">
        <v>45808</v>
      </c>
      <c r="C585" s="9" t="s">
        <v>219</v>
      </c>
      <c r="D585" s="15">
        <v>8287.3700000000008</v>
      </c>
      <c r="E585" s="15">
        <v>5332.91</v>
      </c>
      <c r="F585" s="15">
        <v>2893.7</v>
      </c>
      <c r="G585" s="15">
        <v>2041.7</v>
      </c>
      <c r="H585" s="15">
        <v>23.61</v>
      </c>
      <c r="I585" s="15">
        <v>18579.29</v>
      </c>
      <c r="J585" s="15">
        <v>10291.92</v>
      </c>
      <c r="K585" s="19">
        <v>0.65395382861911044</v>
      </c>
    </row>
    <row r="586" spans="1:11" x14ac:dyDescent="0.3">
      <c r="A586" s="9" t="s">
        <v>191</v>
      </c>
      <c r="B586" s="20">
        <v>45808</v>
      </c>
      <c r="C586" s="9" t="s">
        <v>233</v>
      </c>
      <c r="D586" s="15">
        <v>18137.990000000002</v>
      </c>
      <c r="E586" s="15">
        <v>14446.78</v>
      </c>
      <c r="F586" s="15">
        <v>10394.64</v>
      </c>
      <c r="G586" s="15">
        <v>1161.1600000000001</v>
      </c>
      <c r="H586" s="15">
        <v>2163.73</v>
      </c>
      <c r="I586" s="15">
        <v>46304.29</v>
      </c>
      <c r="J586" s="15">
        <v>28166.3</v>
      </c>
      <c r="K586" s="19">
        <v>0.65395382861911044</v>
      </c>
    </row>
    <row r="587" spans="1:11" x14ac:dyDescent="0.3">
      <c r="A587" s="9" t="s">
        <v>191</v>
      </c>
      <c r="B587" s="20">
        <v>45808</v>
      </c>
      <c r="C587" s="9" t="s">
        <v>232</v>
      </c>
      <c r="D587" s="15">
        <v>7134.31</v>
      </c>
      <c r="E587" s="15">
        <v>1429.8</v>
      </c>
      <c r="F587" s="15">
        <v>5971.13</v>
      </c>
      <c r="G587" s="15">
        <v>621.20000000000005</v>
      </c>
      <c r="H587" s="15">
        <v>622.13</v>
      </c>
      <c r="I587" s="15">
        <v>15778.56</v>
      </c>
      <c r="J587" s="15">
        <v>8644.25</v>
      </c>
      <c r="K587" s="19">
        <v>0.65395382861911044</v>
      </c>
    </row>
    <row r="588" spans="1:11" x14ac:dyDescent="0.3">
      <c r="A588" s="9" t="s">
        <v>191</v>
      </c>
      <c r="B588" s="20">
        <v>45808</v>
      </c>
      <c r="C588" s="9" t="s">
        <v>231</v>
      </c>
      <c r="D588" s="15">
        <v>10196.65</v>
      </c>
      <c r="E588" s="15">
        <v>2526.3000000000002</v>
      </c>
      <c r="F588" s="15">
        <v>1963.89</v>
      </c>
      <c r="G588" s="15">
        <v>5820.97</v>
      </c>
      <c r="H588" s="15">
        <v>1466.89</v>
      </c>
      <c r="I588" s="15">
        <v>21974.7</v>
      </c>
      <c r="J588" s="15">
        <v>11778.04</v>
      </c>
      <c r="K588" s="19">
        <v>0.65395382861911044</v>
      </c>
    </row>
    <row r="589" spans="1:11" x14ac:dyDescent="0.3">
      <c r="A589" s="9" t="s">
        <v>191</v>
      </c>
      <c r="B589" s="20">
        <v>45808</v>
      </c>
      <c r="C589" s="9" t="s">
        <v>230</v>
      </c>
      <c r="D589" s="15">
        <v>7738.2</v>
      </c>
      <c r="E589" s="15">
        <v>7215.99</v>
      </c>
      <c r="F589" s="15">
        <v>6863.03</v>
      </c>
      <c r="G589" s="15">
        <v>7839.71</v>
      </c>
      <c r="H589" s="15">
        <v>2602.9</v>
      </c>
      <c r="I589" s="15">
        <v>32259.83</v>
      </c>
      <c r="J589" s="15">
        <v>24521.63</v>
      </c>
      <c r="K589" s="19">
        <v>0.65395382861911044</v>
      </c>
    </row>
    <row r="590" spans="1:11" x14ac:dyDescent="0.3">
      <c r="A590" s="9" t="s">
        <v>191</v>
      </c>
      <c r="B590" s="20">
        <v>45808</v>
      </c>
      <c r="C590" s="9" t="s">
        <v>229</v>
      </c>
      <c r="D590" s="15">
        <v>1617.51</v>
      </c>
      <c r="E590" s="15">
        <v>999.08</v>
      </c>
      <c r="F590" s="15">
        <v>345.54</v>
      </c>
      <c r="G590" s="15">
        <v>148.41999999999999</v>
      </c>
      <c r="H590" s="15">
        <v>708.14</v>
      </c>
      <c r="I590" s="15">
        <v>3818.69</v>
      </c>
      <c r="J590" s="15">
        <v>2201.1799999999998</v>
      </c>
      <c r="K590" s="19">
        <v>0.65395382861911044</v>
      </c>
    </row>
    <row r="591" spans="1:11" x14ac:dyDescent="0.3">
      <c r="A591" s="9" t="s">
        <v>191</v>
      </c>
      <c r="B591" s="20">
        <v>45808</v>
      </c>
      <c r="C591" s="9" t="s">
        <v>228</v>
      </c>
      <c r="D591" s="15">
        <v>4658.72</v>
      </c>
      <c r="E591" s="15">
        <v>4236.99</v>
      </c>
      <c r="F591" s="15">
        <v>996.36</v>
      </c>
      <c r="G591" s="15">
        <v>5342.29</v>
      </c>
      <c r="H591" s="15">
        <v>510.21</v>
      </c>
      <c r="I591" s="15">
        <v>15744.57</v>
      </c>
      <c r="J591" s="15">
        <v>11085.85</v>
      </c>
      <c r="K591" s="19">
        <v>0.65395382861911044</v>
      </c>
    </row>
    <row r="592" spans="1:11" x14ac:dyDescent="0.3">
      <c r="A592" s="9" t="s">
        <v>191</v>
      </c>
      <c r="B592" s="20">
        <v>45808</v>
      </c>
      <c r="C592" s="9" t="s">
        <v>203</v>
      </c>
      <c r="D592" s="15">
        <v>16804.150000000001</v>
      </c>
      <c r="E592" s="15">
        <v>10939.04</v>
      </c>
      <c r="F592" s="15">
        <v>4077.75</v>
      </c>
      <c r="G592" s="15">
        <v>8146.95</v>
      </c>
      <c r="H592" s="15">
        <v>5692.25</v>
      </c>
      <c r="I592" s="15">
        <v>45660.14</v>
      </c>
      <c r="J592" s="15">
        <v>28855.99</v>
      </c>
      <c r="K592" s="19">
        <v>0.65395382861911044</v>
      </c>
    </row>
    <row r="593" spans="1:11" x14ac:dyDescent="0.3">
      <c r="A593" s="9" t="s">
        <v>191</v>
      </c>
      <c r="B593" s="20">
        <v>45808</v>
      </c>
      <c r="C593" s="9" t="s">
        <v>216</v>
      </c>
      <c r="D593" s="15">
        <v>21185.279999999999</v>
      </c>
      <c r="E593" s="15">
        <v>11572.81</v>
      </c>
      <c r="F593" s="15">
        <v>6514.34</v>
      </c>
      <c r="G593" s="15">
        <v>3864.39</v>
      </c>
      <c r="H593" s="15">
        <v>3686.35</v>
      </c>
      <c r="I593" s="15">
        <v>46823.16</v>
      </c>
      <c r="J593" s="15">
        <v>25637.89</v>
      </c>
      <c r="K593" s="19">
        <v>0.65395382861911044</v>
      </c>
    </row>
    <row r="594" spans="1:11" x14ac:dyDescent="0.3">
      <c r="A594" s="9" t="s">
        <v>191</v>
      </c>
      <c r="B594" s="20">
        <v>45808</v>
      </c>
      <c r="C594" s="9" t="s">
        <v>227</v>
      </c>
      <c r="D594" s="15">
        <v>29550.75</v>
      </c>
      <c r="E594" s="15">
        <v>12777.17</v>
      </c>
      <c r="F594" s="15">
        <v>1680.46</v>
      </c>
      <c r="G594" s="15">
        <v>10343.59</v>
      </c>
      <c r="H594" s="15">
        <v>5842.67</v>
      </c>
      <c r="I594" s="15">
        <v>60194.64</v>
      </c>
      <c r="J594" s="15">
        <v>30643.89</v>
      </c>
      <c r="K594" s="19">
        <v>0.65395382861911044</v>
      </c>
    </row>
    <row r="595" spans="1:11" x14ac:dyDescent="0.3">
      <c r="A595" s="9" t="s">
        <v>191</v>
      </c>
      <c r="B595" s="20">
        <v>45808</v>
      </c>
      <c r="C595" s="9" t="s">
        <v>226</v>
      </c>
      <c r="D595" s="15">
        <v>22457.74</v>
      </c>
      <c r="E595" s="15">
        <v>6359</v>
      </c>
      <c r="F595" s="15">
        <v>9610.69</v>
      </c>
      <c r="G595" s="15">
        <v>3697.96</v>
      </c>
      <c r="H595" s="15">
        <v>3269.87</v>
      </c>
      <c r="I595" s="15">
        <v>45395.25</v>
      </c>
      <c r="J595" s="15">
        <v>22937.51</v>
      </c>
      <c r="K595" s="19">
        <v>0.65395382861911044</v>
      </c>
    </row>
    <row r="596" spans="1:11" x14ac:dyDescent="0.3">
      <c r="A596" s="9" t="s">
        <v>191</v>
      </c>
      <c r="B596" s="20">
        <v>45808</v>
      </c>
      <c r="C596" s="9" t="s">
        <v>205</v>
      </c>
      <c r="D596" s="15">
        <v>8819.24</v>
      </c>
      <c r="E596" s="15">
        <v>14045.65</v>
      </c>
      <c r="F596" s="15">
        <v>6463.81</v>
      </c>
      <c r="G596" s="15">
        <v>5748.31</v>
      </c>
      <c r="H596" s="15">
        <v>305.93</v>
      </c>
      <c r="I596" s="15">
        <v>35382.93</v>
      </c>
      <c r="J596" s="15">
        <v>26563.7</v>
      </c>
      <c r="K596" s="19">
        <v>0.65395382861911044</v>
      </c>
    </row>
    <row r="597" spans="1:11" x14ac:dyDescent="0.3">
      <c r="A597" s="9" t="s">
        <v>191</v>
      </c>
      <c r="B597" s="20">
        <v>45808</v>
      </c>
      <c r="C597" s="9" t="s">
        <v>225</v>
      </c>
      <c r="D597" s="15">
        <v>17190.93</v>
      </c>
      <c r="E597" s="15">
        <v>5005.99</v>
      </c>
      <c r="F597" s="15">
        <v>5238.34</v>
      </c>
      <c r="G597" s="15">
        <v>16867.61</v>
      </c>
      <c r="H597" s="15">
        <v>2521.21</v>
      </c>
      <c r="I597" s="15">
        <v>46824.07</v>
      </c>
      <c r="J597" s="15">
        <v>29633.14</v>
      </c>
      <c r="K597" s="19">
        <v>0.65395382861911044</v>
      </c>
    </row>
    <row r="598" spans="1:11" x14ac:dyDescent="0.3">
      <c r="A598" s="9" t="s">
        <v>191</v>
      </c>
      <c r="B598" s="20">
        <v>45808</v>
      </c>
      <c r="C598" s="9" t="s">
        <v>224</v>
      </c>
      <c r="D598" s="15">
        <v>22569.1</v>
      </c>
      <c r="E598" s="15">
        <v>7801.66</v>
      </c>
      <c r="F598" s="15">
        <v>16370.2</v>
      </c>
      <c r="G598" s="15">
        <v>1129.9100000000001</v>
      </c>
      <c r="H598" s="15">
        <v>5281.47</v>
      </c>
      <c r="I598" s="15">
        <v>53152.34</v>
      </c>
      <c r="J598" s="15">
        <v>30583.24</v>
      </c>
      <c r="K598" s="19">
        <v>0.65395382861911044</v>
      </c>
    </row>
    <row r="599" spans="1:11" x14ac:dyDescent="0.3">
      <c r="A599" s="9" t="s">
        <v>191</v>
      </c>
      <c r="B599" s="20">
        <v>45808</v>
      </c>
      <c r="C599" s="9" t="s">
        <v>206</v>
      </c>
      <c r="D599" s="15">
        <v>1028.05</v>
      </c>
      <c r="E599" s="15">
        <v>342.26</v>
      </c>
      <c r="F599" s="15">
        <v>471.42</v>
      </c>
      <c r="G599" s="15">
        <v>824.4</v>
      </c>
      <c r="H599" s="15">
        <v>253.74</v>
      </c>
      <c r="I599" s="15">
        <v>2919.86</v>
      </c>
      <c r="J599" s="15">
        <v>1891.81</v>
      </c>
      <c r="K599" s="19">
        <v>0.65395382861911044</v>
      </c>
    </row>
    <row r="600" spans="1:11" x14ac:dyDescent="0.3">
      <c r="A600" s="9" t="s">
        <v>191</v>
      </c>
      <c r="B600" s="20">
        <v>45808</v>
      </c>
      <c r="C600" s="9" t="s">
        <v>211</v>
      </c>
      <c r="D600" s="15">
        <v>24830.78</v>
      </c>
      <c r="E600" s="15">
        <v>2618.48</v>
      </c>
      <c r="F600" s="15">
        <v>5442.21</v>
      </c>
      <c r="G600" s="15">
        <v>6740.9</v>
      </c>
      <c r="H600" s="15">
        <v>15567.46</v>
      </c>
      <c r="I600" s="15">
        <v>55199.83</v>
      </c>
      <c r="J600" s="15">
        <v>30369.05</v>
      </c>
      <c r="K600" s="19">
        <v>0.65395382861911044</v>
      </c>
    </row>
    <row r="601" spans="1:11" x14ac:dyDescent="0.3">
      <c r="A601" s="9" t="s">
        <v>191</v>
      </c>
      <c r="B601" s="20">
        <v>45808</v>
      </c>
      <c r="C601" s="9" t="s">
        <v>223</v>
      </c>
      <c r="D601" s="15">
        <v>14817.78</v>
      </c>
      <c r="E601" s="15">
        <v>12533.59</v>
      </c>
      <c r="F601" s="15">
        <v>2740.59</v>
      </c>
      <c r="G601" s="15">
        <v>1577.57</v>
      </c>
      <c r="H601" s="15">
        <v>7494.41</v>
      </c>
      <c r="I601" s="15">
        <v>39163.949999999997</v>
      </c>
      <c r="J601" s="15">
        <v>24346.16</v>
      </c>
      <c r="K601" s="19">
        <v>0.65395382861911044</v>
      </c>
    </row>
    <row r="602" spans="1:11" x14ac:dyDescent="0.3">
      <c r="A602" s="9" t="s">
        <v>191</v>
      </c>
      <c r="B602" s="20">
        <v>45838</v>
      </c>
      <c r="C602" s="9" t="s">
        <v>222</v>
      </c>
      <c r="D602" s="15">
        <v>409.67</v>
      </c>
      <c r="E602" s="15">
        <v>232.95</v>
      </c>
      <c r="F602" s="15">
        <v>658.99</v>
      </c>
      <c r="G602" s="15">
        <v>165.91</v>
      </c>
      <c r="H602" s="15">
        <v>155.19</v>
      </c>
      <c r="I602" s="15">
        <v>1622.7</v>
      </c>
      <c r="J602" s="15">
        <v>1213.03</v>
      </c>
      <c r="K602" s="19">
        <v>0.80801405904419854</v>
      </c>
    </row>
    <row r="603" spans="1:11" x14ac:dyDescent="0.3">
      <c r="A603" s="9" t="s">
        <v>191</v>
      </c>
      <c r="B603" s="20">
        <v>45838</v>
      </c>
      <c r="C603" s="9" t="s">
        <v>235</v>
      </c>
      <c r="D603" s="15">
        <v>2701.48</v>
      </c>
      <c r="E603" s="15">
        <v>3002.63</v>
      </c>
      <c r="F603" s="15">
        <v>82.48</v>
      </c>
      <c r="G603" s="15">
        <v>1004.24</v>
      </c>
      <c r="H603" s="15">
        <v>73.48</v>
      </c>
      <c r="I603" s="15">
        <v>6864.31</v>
      </c>
      <c r="J603" s="15">
        <v>4162.83</v>
      </c>
      <c r="K603" s="19">
        <v>0.80801405904419854</v>
      </c>
    </row>
    <row r="604" spans="1:11" x14ac:dyDescent="0.3">
      <c r="A604" s="9" t="s">
        <v>191</v>
      </c>
      <c r="B604" s="20">
        <v>45838</v>
      </c>
      <c r="C604" s="9" t="s">
        <v>234</v>
      </c>
      <c r="D604" s="15">
        <v>12544.51</v>
      </c>
      <c r="E604" s="15">
        <v>8645.7000000000007</v>
      </c>
      <c r="F604" s="15">
        <v>4679.1499999999996</v>
      </c>
      <c r="G604" s="15">
        <v>3442.94</v>
      </c>
      <c r="H604" s="15">
        <v>2884.23</v>
      </c>
      <c r="I604" s="15">
        <v>32196.54</v>
      </c>
      <c r="J604" s="15">
        <v>19652.02</v>
      </c>
      <c r="K604" s="19">
        <v>0.80801405904419854</v>
      </c>
    </row>
    <row r="605" spans="1:11" x14ac:dyDescent="0.3">
      <c r="A605" s="9" t="s">
        <v>191</v>
      </c>
      <c r="B605" s="20">
        <v>45838</v>
      </c>
      <c r="C605" s="9" t="s">
        <v>219</v>
      </c>
      <c r="D605" s="15">
        <v>9285.59</v>
      </c>
      <c r="E605" s="15">
        <v>4254.84</v>
      </c>
      <c r="F605" s="15">
        <v>2242.8200000000002</v>
      </c>
      <c r="G605" s="15">
        <v>6013.98</v>
      </c>
      <c r="H605" s="15">
        <v>2556.21</v>
      </c>
      <c r="I605" s="15">
        <v>24353.45</v>
      </c>
      <c r="J605" s="15">
        <v>15067.86</v>
      </c>
      <c r="K605" s="19">
        <v>0.80801405904419854</v>
      </c>
    </row>
    <row r="606" spans="1:11" x14ac:dyDescent="0.3">
      <c r="A606" s="9" t="s">
        <v>191</v>
      </c>
      <c r="B606" s="20">
        <v>45838</v>
      </c>
      <c r="C606" s="9" t="s">
        <v>233</v>
      </c>
      <c r="D606" s="15">
        <v>4277.32</v>
      </c>
      <c r="E606" s="15">
        <v>611.12</v>
      </c>
      <c r="F606" s="15">
        <v>1875.65</v>
      </c>
      <c r="G606" s="15">
        <v>2540.3000000000002</v>
      </c>
      <c r="H606" s="15">
        <v>556.65</v>
      </c>
      <c r="I606" s="15">
        <v>9861.0400000000009</v>
      </c>
      <c r="J606" s="15">
        <v>5583.72</v>
      </c>
      <c r="K606" s="19">
        <v>0.80801405904419854</v>
      </c>
    </row>
    <row r="607" spans="1:11" x14ac:dyDescent="0.3">
      <c r="A607" s="9" t="s">
        <v>191</v>
      </c>
      <c r="B607" s="20">
        <v>45838</v>
      </c>
      <c r="C607" s="9" t="s">
        <v>232</v>
      </c>
      <c r="D607" s="15">
        <v>17433.419999999998</v>
      </c>
      <c r="E607" s="15">
        <v>6837.9</v>
      </c>
      <c r="F607" s="15">
        <v>15788.19</v>
      </c>
      <c r="G607" s="15">
        <v>9485.7800000000007</v>
      </c>
      <c r="H607" s="15">
        <v>909.45</v>
      </c>
      <c r="I607" s="15">
        <v>50454.75</v>
      </c>
      <c r="J607" s="15">
        <v>33021.33</v>
      </c>
      <c r="K607" s="19">
        <v>0.80801405904419854</v>
      </c>
    </row>
    <row r="608" spans="1:11" x14ac:dyDescent="0.3">
      <c r="A608" s="9" t="s">
        <v>191</v>
      </c>
      <c r="B608" s="20">
        <v>45838</v>
      </c>
      <c r="C608" s="9" t="s">
        <v>231</v>
      </c>
      <c r="D608" s="15">
        <v>22368.14</v>
      </c>
      <c r="E608" s="15">
        <v>15430.45</v>
      </c>
      <c r="F608" s="15">
        <v>7578.95</v>
      </c>
      <c r="G608" s="15">
        <v>1263.8399999999999</v>
      </c>
      <c r="H608" s="15">
        <v>6859.06</v>
      </c>
      <c r="I608" s="15">
        <v>53500.44</v>
      </c>
      <c r="J608" s="15">
        <v>31132.3</v>
      </c>
      <c r="K608" s="19">
        <v>0.80801405904419854</v>
      </c>
    </row>
    <row r="609" spans="1:11" x14ac:dyDescent="0.3">
      <c r="A609" s="9" t="s">
        <v>191</v>
      </c>
      <c r="B609" s="20">
        <v>45838</v>
      </c>
      <c r="C609" s="9" t="s">
        <v>230</v>
      </c>
      <c r="D609" s="15">
        <v>24118.86</v>
      </c>
      <c r="E609" s="15">
        <v>9948.24</v>
      </c>
      <c r="F609" s="15">
        <v>8778.9500000000007</v>
      </c>
      <c r="G609" s="15">
        <v>3649.97</v>
      </c>
      <c r="H609" s="15">
        <v>20373.599999999999</v>
      </c>
      <c r="I609" s="15">
        <v>66869.62</v>
      </c>
      <c r="J609" s="15">
        <v>42750.76</v>
      </c>
      <c r="K609" s="19">
        <v>0.80801405904419854</v>
      </c>
    </row>
    <row r="610" spans="1:11" x14ac:dyDescent="0.3">
      <c r="A610" s="9" t="s">
        <v>191</v>
      </c>
      <c r="B610" s="20">
        <v>45838</v>
      </c>
      <c r="C610" s="9" t="s">
        <v>229</v>
      </c>
      <c r="D610" s="15">
        <v>25903.61</v>
      </c>
      <c r="E610" s="15">
        <v>14409.63</v>
      </c>
      <c r="F610" s="15">
        <v>15532.39</v>
      </c>
      <c r="G610" s="15">
        <v>12740.57</v>
      </c>
      <c r="H610" s="15">
        <v>2440.89</v>
      </c>
      <c r="I610" s="15">
        <v>71027.08</v>
      </c>
      <c r="J610" s="15">
        <v>45123.47</v>
      </c>
      <c r="K610" s="19">
        <v>0.80801405904419854</v>
      </c>
    </row>
    <row r="611" spans="1:11" x14ac:dyDescent="0.3">
      <c r="A611" s="9" t="s">
        <v>191</v>
      </c>
      <c r="B611" s="20">
        <v>45838</v>
      </c>
      <c r="C611" s="9" t="s">
        <v>228</v>
      </c>
      <c r="D611" s="15">
        <v>23294.28</v>
      </c>
      <c r="E611" s="15">
        <v>20752.98</v>
      </c>
      <c r="F611" s="15">
        <v>14526.57</v>
      </c>
      <c r="G611" s="15">
        <v>2541.91</v>
      </c>
      <c r="H611" s="15">
        <v>2587.89</v>
      </c>
      <c r="I611" s="15">
        <v>63703.64</v>
      </c>
      <c r="J611" s="15">
        <v>40409.35</v>
      </c>
      <c r="K611" s="19">
        <v>0.80801405904419854</v>
      </c>
    </row>
    <row r="612" spans="1:11" x14ac:dyDescent="0.3">
      <c r="A612" s="9" t="s">
        <v>191</v>
      </c>
      <c r="B612" s="20">
        <v>45838</v>
      </c>
      <c r="C612" s="9" t="s">
        <v>203</v>
      </c>
      <c r="D612" s="15">
        <v>23911.89</v>
      </c>
      <c r="E612" s="15">
        <v>11163.62</v>
      </c>
      <c r="F612" s="15">
        <v>8027.66</v>
      </c>
      <c r="G612" s="15">
        <v>892</v>
      </c>
      <c r="H612" s="15">
        <v>13920.8</v>
      </c>
      <c r="I612" s="15">
        <v>57915.97</v>
      </c>
      <c r="J612" s="15">
        <v>34004.080000000002</v>
      </c>
      <c r="K612" s="19">
        <v>0.80801405904419854</v>
      </c>
    </row>
    <row r="613" spans="1:11" x14ac:dyDescent="0.3">
      <c r="A613" s="9" t="s">
        <v>191</v>
      </c>
      <c r="B613" s="20">
        <v>45838</v>
      </c>
      <c r="C613" s="9" t="s">
        <v>216</v>
      </c>
      <c r="D613" s="15">
        <v>7343.35</v>
      </c>
      <c r="E613" s="15">
        <v>13257.9</v>
      </c>
      <c r="F613" s="15">
        <v>2410.33</v>
      </c>
      <c r="G613" s="15">
        <v>2231.12</v>
      </c>
      <c r="H613" s="15">
        <v>1618.12</v>
      </c>
      <c r="I613" s="15">
        <v>26860.81</v>
      </c>
      <c r="J613" s="15">
        <v>19517.46</v>
      </c>
      <c r="K613" s="19">
        <v>0.80801405904419854</v>
      </c>
    </row>
    <row r="614" spans="1:11" x14ac:dyDescent="0.3">
      <c r="A614" s="9" t="s">
        <v>191</v>
      </c>
      <c r="B614" s="20">
        <v>45838</v>
      </c>
      <c r="C614" s="9" t="s">
        <v>227</v>
      </c>
      <c r="D614" s="15">
        <v>3697.67</v>
      </c>
      <c r="E614" s="15">
        <v>1856.87</v>
      </c>
      <c r="F614" s="15">
        <v>685.46</v>
      </c>
      <c r="G614" s="15">
        <v>1909.25</v>
      </c>
      <c r="H614" s="15">
        <v>517.47</v>
      </c>
      <c r="I614" s="15">
        <v>8666.7199999999993</v>
      </c>
      <c r="J614" s="15">
        <v>4969.05</v>
      </c>
      <c r="K614" s="19">
        <v>0.80801405904419854</v>
      </c>
    </row>
    <row r="615" spans="1:11" x14ac:dyDescent="0.3">
      <c r="A615" s="9" t="s">
        <v>191</v>
      </c>
      <c r="B615" s="20">
        <v>45838</v>
      </c>
      <c r="C615" s="9" t="s">
        <v>226</v>
      </c>
      <c r="D615" s="15">
        <v>11081.32</v>
      </c>
      <c r="E615" s="15">
        <v>13248.32</v>
      </c>
      <c r="F615" s="15">
        <v>1687.81</v>
      </c>
      <c r="G615" s="15">
        <v>2317.7199999999998</v>
      </c>
      <c r="H615" s="15">
        <v>7525.35</v>
      </c>
      <c r="I615" s="15">
        <v>35860.51</v>
      </c>
      <c r="J615" s="15">
        <v>24779.19</v>
      </c>
      <c r="K615" s="19">
        <v>0.80801405904419854</v>
      </c>
    </row>
    <row r="616" spans="1:11" x14ac:dyDescent="0.3">
      <c r="A616" s="9" t="s">
        <v>191</v>
      </c>
      <c r="B616" s="20">
        <v>45838</v>
      </c>
      <c r="C616" s="9" t="s">
        <v>205</v>
      </c>
      <c r="D616" s="15">
        <v>33411.629999999997</v>
      </c>
      <c r="E616" s="15">
        <v>7592.4</v>
      </c>
      <c r="F616" s="15">
        <v>15868.04</v>
      </c>
      <c r="G616" s="15">
        <v>15898.72</v>
      </c>
      <c r="H616" s="15">
        <v>3951.78</v>
      </c>
      <c r="I616" s="15">
        <v>76722.570000000007</v>
      </c>
      <c r="J616" s="15">
        <v>43310.94</v>
      </c>
      <c r="K616" s="19">
        <v>0.80801405904419854</v>
      </c>
    </row>
    <row r="617" spans="1:11" x14ac:dyDescent="0.3">
      <c r="A617" s="9" t="s">
        <v>191</v>
      </c>
      <c r="B617" s="20">
        <v>45838</v>
      </c>
      <c r="C617" s="9" t="s">
        <v>225</v>
      </c>
      <c r="D617" s="15">
        <v>8128.82</v>
      </c>
      <c r="E617" s="15">
        <v>2439.09</v>
      </c>
      <c r="F617" s="15">
        <v>1594.7</v>
      </c>
      <c r="G617" s="15">
        <v>2412.5500000000002</v>
      </c>
      <c r="H617" s="15">
        <v>3805.12</v>
      </c>
      <c r="I617" s="15">
        <v>18380.28</v>
      </c>
      <c r="J617" s="15">
        <v>10251.459999999999</v>
      </c>
      <c r="K617" s="19">
        <v>0.80801405904419854</v>
      </c>
    </row>
    <row r="618" spans="1:11" x14ac:dyDescent="0.3">
      <c r="A618" s="9" t="s">
        <v>191</v>
      </c>
      <c r="B618" s="20">
        <v>45838</v>
      </c>
      <c r="C618" s="9" t="s">
        <v>224</v>
      </c>
      <c r="D618" s="15">
        <v>11065.17</v>
      </c>
      <c r="E618" s="15">
        <v>10652.17</v>
      </c>
      <c r="F618" s="15">
        <v>5096.78</v>
      </c>
      <c r="G618" s="15">
        <v>5273.97</v>
      </c>
      <c r="H618" s="15">
        <v>7705.3</v>
      </c>
      <c r="I618" s="15">
        <v>39793.39</v>
      </c>
      <c r="J618" s="15">
        <v>28728.23</v>
      </c>
      <c r="K618" s="19">
        <v>0.80801405904419854</v>
      </c>
    </row>
    <row r="619" spans="1:11" x14ac:dyDescent="0.3">
      <c r="A619" s="9" t="s">
        <v>191</v>
      </c>
      <c r="B619" s="20">
        <v>45838</v>
      </c>
      <c r="C619" s="9" t="s">
        <v>206</v>
      </c>
      <c r="D619" s="15">
        <v>18893.41</v>
      </c>
      <c r="E619" s="15">
        <v>5096.8100000000004</v>
      </c>
      <c r="F619" s="15">
        <v>5579.48</v>
      </c>
      <c r="G619" s="15">
        <v>5673.53</v>
      </c>
      <c r="H619" s="15">
        <v>4091.19</v>
      </c>
      <c r="I619" s="15">
        <v>39334.42</v>
      </c>
      <c r="J619" s="15">
        <v>20441.009999999998</v>
      </c>
      <c r="K619" s="19">
        <v>0.80801405904419854</v>
      </c>
    </row>
    <row r="620" spans="1:11" x14ac:dyDescent="0.3">
      <c r="A620" s="9" t="s">
        <v>191</v>
      </c>
      <c r="B620" s="20">
        <v>45838</v>
      </c>
      <c r="C620" s="9" t="s">
        <v>211</v>
      </c>
      <c r="D620" s="15">
        <v>13338</v>
      </c>
      <c r="E620" s="15">
        <v>16626.189999999999</v>
      </c>
      <c r="F620" s="15">
        <v>13093.89</v>
      </c>
      <c r="G620" s="15">
        <v>5166.97</v>
      </c>
      <c r="H620" s="15">
        <v>619.48</v>
      </c>
      <c r="I620" s="15">
        <v>48844.54</v>
      </c>
      <c r="J620" s="15">
        <v>35506.54</v>
      </c>
      <c r="K620" s="19">
        <v>0.80801405904419854</v>
      </c>
    </row>
    <row r="621" spans="1:11" x14ac:dyDescent="0.3">
      <c r="A621" s="9" t="s">
        <v>191</v>
      </c>
      <c r="B621" s="20">
        <v>45838</v>
      </c>
      <c r="C621" s="9" t="s">
        <v>223</v>
      </c>
      <c r="D621" s="15">
        <v>16007.61</v>
      </c>
      <c r="E621" s="15">
        <v>9761.16</v>
      </c>
      <c r="F621" s="15">
        <v>12212.86</v>
      </c>
      <c r="G621" s="15">
        <v>1906.45</v>
      </c>
      <c r="H621" s="15">
        <v>2559.8000000000002</v>
      </c>
      <c r="I621" s="15">
        <v>42447.89</v>
      </c>
      <c r="J621" s="15">
        <v>26440.28</v>
      </c>
      <c r="K621" s="19">
        <v>0.80801405904419854</v>
      </c>
    </row>
    <row r="622" spans="1:11" x14ac:dyDescent="0.3">
      <c r="A622" s="9" t="s">
        <v>191</v>
      </c>
      <c r="B622" s="20">
        <v>45869</v>
      </c>
      <c r="C622" s="9" t="s">
        <v>222</v>
      </c>
      <c r="D622" s="15">
        <v>15666.4</v>
      </c>
      <c r="E622" s="15">
        <v>19162.650000000001</v>
      </c>
      <c r="F622" s="15">
        <v>7637.38</v>
      </c>
      <c r="G622" s="15">
        <v>3628.06</v>
      </c>
      <c r="H622" s="15">
        <v>2983.44</v>
      </c>
      <c r="I622" s="15">
        <v>49077.93</v>
      </c>
      <c r="J622" s="15">
        <v>33411.53</v>
      </c>
      <c r="K622" s="19">
        <v>0.6850746869798684</v>
      </c>
    </row>
    <row r="623" spans="1:11" x14ac:dyDescent="0.3">
      <c r="A623" s="9" t="s">
        <v>191</v>
      </c>
      <c r="B623" s="20">
        <v>45869</v>
      </c>
      <c r="C623" s="9" t="s">
        <v>235</v>
      </c>
      <c r="D623" s="15">
        <v>15453.74</v>
      </c>
      <c r="E623" s="15">
        <v>9468.86</v>
      </c>
      <c r="F623" s="15">
        <v>3890.38</v>
      </c>
      <c r="G623" s="15">
        <v>8587.27</v>
      </c>
      <c r="H623" s="15">
        <v>4497.7700000000004</v>
      </c>
      <c r="I623" s="15">
        <v>41898.01</v>
      </c>
      <c r="J623" s="15">
        <v>26444.27</v>
      </c>
      <c r="K623" s="19">
        <v>0.6850746869798684</v>
      </c>
    </row>
    <row r="624" spans="1:11" x14ac:dyDescent="0.3">
      <c r="A624" s="9" t="s">
        <v>191</v>
      </c>
      <c r="B624" s="20">
        <v>45869</v>
      </c>
      <c r="C624" s="9" t="s">
        <v>234</v>
      </c>
      <c r="D624" s="15">
        <v>7068.65</v>
      </c>
      <c r="E624" s="15">
        <v>2676.76</v>
      </c>
      <c r="F624" s="15">
        <v>4201.67</v>
      </c>
      <c r="G624" s="15">
        <v>3510.86</v>
      </c>
      <c r="H624" s="15">
        <v>2024.43</v>
      </c>
      <c r="I624" s="15">
        <v>19482.37</v>
      </c>
      <c r="J624" s="15">
        <v>12413.72</v>
      </c>
      <c r="K624" s="19">
        <v>0.6850746869798684</v>
      </c>
    </row>
    <row r="625" spans="1:11" x14ac:dyDescent="0.3">
      <c r="A625" s="9" t="s">
        <v>191</v>
      </c>
      <c r="B625" s="20">
        <v>45869</v>
      </c>
      <c r="C625" s="9" t="s">
        <v>219</v>
      </c>
      <c r="D625" s="15">
        <v>24062.400000000001</v>
      </c>
      <c r="E625" s="15">
        <v>10206.18</v>
      </c>
      <c r="F625" s="15">
        <v>8228.32</v>
      </c>
      <c r="G625" s="15">
        <v>10573.67</v>
      </c>
      <c r="H625" s="15">
        <v>3603.97</v>
      </c>
      <c r="I625" s="15">
        <v>56674.54</v>
      </c>
      <c r="J625" s="15">
        <v>32612.14</v>
      </c>
      <c r="K625" s="19">
        <v>0.6850746869798684</v>
      </c>
    </row>
    <row r="626" spans="1:11" x14ac:dyDescent="0.3">
      <c r="A626" s="9" t="s">
        <v>191</v>
      </c>
      <c r="B626" s="20">
        <v>45869</v>
      </c>
      <c r="C626" s="9" t="s">
        <v>233</v>
      </c>
      <c r="D626" s="15">
        <v>5140.9399999999996</v>
      </c>
      <c r="E626" s="15">
        <v>2026.66</v>
      </c>
      <c r="F626" s="15">
        <v>1361.39</v>
      </c>
      <c r="G626" s="15">
        <v>1325.36</v>
      </c>
      <c r="H626" s="15">
        <v>1715.41</v>
      </c>
      <c r="I626" s="15">
        <v>11569.76</v>
      </c>
      <c r="J626" s="15">
        <v>6428.83</v>
      </c>
      <c r="K626" s="19">
        <v>0.6850746869798684</v>
      </c>
    </row>
    <row r="627" spans="1:11" x14ac:dyDescent="0.3">
      <c r="A627" s="9" t="s">
        <v>191</v>
      </c>
      <c r="B627" s="20">
        <v>45869</v>
      </c>
      <c r="C627" s="9" t="s">
        <v>232</v>
      </c>
      <c r="D627" s="15">
        <v>8721.3799999999992</v>
      </c>
      <c r="E627" s="15">
        <v>5390.41</v>
      </c>
      <c r="F627" s="15">
        <v>5775.47</v>
      </c>
      <c r="G627" s="15">
        <v>1632.95</v>
      </c>
      <c r="H627" s="15">
        <v>86.32</v>
      </c>
      <c r="I627" s="15">
        <v>21606.52</v>
      </c>
      <c r="J627" s="15">
        <v>12885.14</v>
      </c>
      <c r="K627" s="19">
        <v>0.6850746869798684</v>
      </c>
    </row>
    <row r="628" spans="1:11" x14ac:dyDescent="0.3">
      <c r="A628" s="9" t="s">
        <v>191</v>
      </c>
      <c r="B628" s="20">
        <v>45869</v>
      </c>
      <c r="C628" s="9" t="s">
        <v>231</v>
      </c>
      <c r="D628" s="15">
        <v>13496.02</v>
      </c>
      <c r="E628" s="15">
        <v>5965.16</v>
      </c>
      <c r="F628" s="15">
        <v>785.82</v>
      </c>
      <c r="G628" s="15">
        <v>7840.93</v>
      </c>
      <c r="H628" s="15">
        <v>1039.43</v>
      </c>
      <c r="I628" s="15">
        <v>29127.35</v>
      </c>
      <c r="J628" s="15">
        <v>15631.33</v>
      </c>
      <c r="K628" s="19">
        <v>0.6850746869798684</v>
      </c>
    </row>
    <row r="629" spans="1:11" x14ac:dyDescent="0.3">
      <c r="A629" s="9" t="s">
        <v>191</v>
      </c>
      <c r="B629" s="20">
        <v>45869</v>
      </c>
      <c r="C629" s="9" t="s">
        <v>230</v>
      </c>
      <c r="D629" s="15">
        <v>20591.439999999999</v>
      </c>
      <c r="E629" s="15">
        <v>9840.74</v>
      </c>
      <c r="F629" s="15">
        <v>14590.6</v>
      </c>
      <c r="G629" s="15">
        <v>9783.25</v>
      </c>
      <c r="H629" s="15">
        <v>1553.98</v>
      </c>
      <c r="I629" s="15">
        <v>56360</v>
      </c>
      <c r="J629" s="15">
        <v>35768.559999999998</v>
      </c>
      <c r="K629" s="19">
        <v>0.6850746869798684</v>
      </c>
    </row>
    <row r="630" spans="1:11" x14ac:dyDescent="0.3">
      <c r="A630" s="9" t="s">
        <v>191</v>
      </c>
      <c r="B630" s="20">
        <v>45869</v>
      </c>
      <c r="C630" s="9" t="s">
        <v>229</v>
      </c>
      <c r="D630" s="15">
        <v>2736.14</v>
      </c>
      <c r="E630" s="15">
        <v>1007.09</v>
      </c>
      <c r="F630" s="15">
        <v>938.88</v>
      </c>
      <c r="G630" s="15">
        <v>4443.6099999999997</v>
      </c>
      <c r="H630" s="15">
        <v>747.58</v>
      </c>
      <c r="I630" s="15">
        <v>9873.31</v>
      </c>
      <c r="J630" s="15">
        <v>7137.17</v>
      </c>
      <c r="K630" s="19">
        <v>0.6850746869798684</v>
      </c>
    </row>
    <row r="631" spans="1:11" x14ac:dyDescent="0.3">
      <c r="A631" s="9" t="s">
        <v>191</v>
      </c>
      <c r="B631" s="20">
        <v>45869</v>
      </c>
      <c r="C631" s="9" t="s">
        <v>228</v>
      </c>
      <c r="D631" s="15">
        <v>15404.79</v>
      </c>
      <c r="E631" s="15">
        <v>10706.14</v>
      </c>
      <c r="F631" s="15">
        <v>12328.96</v>
      </c>
      <c r="G631" s="15">
        <v>6259.01</v>
      </c>
      <c r="H631" s="15">
        <v>6203.3</v>
      </c>
      <c r="I631" s="15">
        <v>50902.2</v>
      </c>
      <c r="J631" s="15">
        <v>35497.410000000003</v>
      </c>
      <c r="K631" s="19">
        <v>0.6850746869798684</v>
      </c>
    </row>
    <row r="632" spans="1:11" x14ac:dyDescent="0.3">
      <c r="A632" s="9" t="s">
        <v>191</v>
      </c>
      <c r="B632" s="20">
        <v>45869</v>
      </c>
      <c r="C632" s="9" t="s">
        <v>203</v>
      </c>
      <c r="D632" s="15">
        <v>13124.44</v>
      </c>
      <c r="E632" s="15">
        <v>8561.32</v>
      </c>
      <c r="F632" s="15">
        <v>4488.16</v>
      </c>
      <c r="G632" s="15">
        <v>4378.1000000000004</v>
      </c>
      <c r="H632" s="15">
        <v>1149.52</v>
      </c>
      <c r="I632" s="15">
        <v>31701.54</v>
      </c>
      <c r="J632" s="15">
        <v>18577.099999999999</v>
      </c>
      <c r="K632" s="19">
        <v>0.6850746869798684</v>
      </c>
    </row>
    <row r="633" spans="1:11" x14ac:dyDescent="0.3">
      <c r="A633" s="9" t="s">
        <v>191</v>
      </c>
      <c r="B633" s="20">
        <v>45869</v>
      </c>
      <c r="C633" s="9" t="s">
        <v>216</v>
      </c>
      <c r="D633" s="15">
        <v>4808.05</v>
      </c>
      <c r="E633" s="15">
        <v>5279.24</v>
      </c>
      <c r="F633" s="15">
        <v>2780.56</v>
      </c>
      <c r="G633" s="15">
        <v>441.22</v>
      </c>
      <c r="H633" s="15">
        <v>890.83</v>
      </c>
      <c r="I633" s="15">
        <v>14199.9</v>
      </c>
      <c r="J633" s="15">
        <v>9391.85</v>
      </c>
      <c r="K633" s="19">
        <v>0.6850746869798684</v>
      </c>
    </row>
    <row r="634" spans="1:11" x14ac:dyDescent="0.3">
      <c r="A634" s="9" t="s">
        <v>191</v>
      </c>
      <c r="B634" s="20">
        <v>45869</v>
      </c>
      <c r="C634" s="9" t="s">
        <v>227</v>
      </c>
      <c r="D634" s="15">
        <v>22342.27</v>
      </c>
      <c r="E634" s="15">
        <v>8090.92</v>
      </c>
      <c r="F634" s="15">
        <v>11812.58</v>
      </c>
      <c r="G634" s="15">
        <v>4202.33</v>
      </c>
      <c r="H634" s="15">
        <v>1558.43</v>
      </c>
      <c r="I634" s="15">
        <v>48006.53</v>
      </c>
      <c r="J634" s="15">
        <v>25664.26</v>
      </c>
      <c r="K634" s="19">
        <v>0.6850746869798684</v>
      </c>
    </row>
    <row r="635" spans="1:11" x14ac:dyDescent="0.3">
      <c r="A635" s="9" t="s">
        <v>191</v>
      </c>
      <c r="B635" s="20">
        <v>45869</v>
      </c>
      <c r="C635" s="9" t="s">
        <v>226</v>
      </c>
      <c r="D635" s="15">
        <v>16507.09</v>
      </c>
      <c r="E635" s="15">
        <v>10559.45</v>
      </c>
      <c r="F635" s="15">
        <v>7063.11</v>
      </c>
      <c r="G635" s="15">
        <v>6386.77</v>
      </c>
      <c r="H635" s="15">
        <v>9806.99</v>
      </c>
      <c r="I635" s="15">
        <v>50323.4</v>
      </c>
      <c r="J635" s="15">
        <v>33816.31</v>
      </c>
      <c r="K635" s="19">
        <v>0.6850746869798684</v>
      </c>
    </row>
    <row r="636" spans="1:11" x14ac:dyDescent="0.3">
      <c r="A636" s="9" t="s">
        <v>191</v>
      </c>
      <c r="B636" s="20">
        <v>45869</v>
      </c>
      <c r="C636" s="9" t="s">
        <v>205</v>
      </c>
      <c r="D636" s="15">
        <v>2114.6</v>
      </c>
      <c r="E636" s="15">
        <v>853.23</v>
      </c>
      <c r="F636" s="15">
        <v>1446.8</v>
      </c>
      <c r="G636" s="15">
        <v>415.23</v>
      </c>
      <c r="H636" s="15">
        <v>263.66000000000003</v>
      </c>
      <c r="I636" s="15">
        <v>5093.5200000000004</v>
      </c>
      <c r="J636" s="15">
        <v>2978.92</v>
      </c>
      <c r="K636" s="19">
        <v>0.6850746869798684</v>
      </c>
    </row>
    <row r="637" spans="1:11" x14ac:dyDescent="0.3">
      <c r="A637" s="9" t="s">
        <v>191</v>
      </c>
      <c r="B637" s="20">
        <v>45869</v>
      </c>
      <c r="C637" s="9" t="s">
        <v>225</v>
      </c>
      <c r="D637" s="15">
        <v>13043.35</v>
      </c>
      <c r="E637" s="15">
        <v>13780.12</v>
      </c>
      <c r="F637" s="15">
        <v>11852.13</v>
      </c>
      <c r="G637" s="15">
        <v>5347.02</v>
      </c>
      <c r="H637" s="15">
        <v>4914.57</v>
      </c>
      <c r="I637" s="15">
        <v>48937.18</v>
      </c>
      <c r="J637" s="15">
        <v>35893.83</v>
      </c>
      <c r="K637" s="19">
        <v>0.6850746869798684</v>
      </c>
    </row>
    <row r="638" spans="1:11" x14ac:dyDescent="0.3">
      <c r="A638" s="9" t="s">
        <v>191</v>
      </c>
      <c r="B638" s="20">
        <v>45869</v>
      </c>
      <c r="C638" s="9" t="s">
        <v>224</v>
      </c>
      <c r="D638" s="15">
        <v>25913.9</v>
      </c>
      <c r="E638" s="15">
        <v>15906.01</v>
      </c>
      <c r="F638" s="15">
        <v>2004.97</v>
      </c>
      <c r="G638" s="15">
        <v>7809.79</v>
      </c>
      <c r="H638" s="15">
        <v>4268.99</v>
      </c>
      <c r="I638" s="15">
        <v>55903.67</v>
      </c>
      <c r="J638" s="15">
        <v>29989.77</v>
      </c>
      <c r="K638" s="19">
        <v>0.6850746869798684</v>
      </c>
    </row>
    <row r="639" spans="1:11" x14ac:dyDescent="0.3">
      <c r="A639" s="9" t="s">
        <v>191</v>
      </c>
      <c r="B639" s="20">
        <v>45869</v>
      </c>
      <c r="C639" s="9" t="s">
        <v>206</v>
      </c>
      <c r="D639" s="15">
        <v>1689.33</v>
      </c>
      <c r="E639" s="15">
        <v>899.15</v>
      </c>
      <c r="F639" s="15">
        <v>934.61</v>
      </c>
      <c r="G639" s="15">
        <v>567.45000000000005</v>
      </c>
      <c r="H639" s="15">
        <v>81.27</v>
      </c>
      <c r="I639" s="15">
        <v>4171.8</v>
      </c>
      <c r="J639" s="15">
        <v>2482.4699999999998</v>
      </c>
      <c r="K639" s="19">
        <v>0.6850746869798684</v>
      </c>
    </row>
    <row r="640" spans="1:11" x14ac:dyDescent="0.3">
      <c r="A640" s="9" t="s">
        <v>191</v>
      </c>
      <c r="B640" s="20">
        <v>45869</v>
      </c>
      <c r="C640" s="9" t="s">
        <v>211</v>
      </c>
      <c r="D640" s="15">
        <v>15901.4</v>
      </c>
      <c r="E640" s="15">
        <v>9630.39</v>
      </c>
      <c r="F640" s="15">
        <v>10892.34</v>
      </c>
      <c r="G640" s="15">
        <v>7717.6</v>
      </c>
      <c r="H640" s="15">
        <v>4712.1099999999997</v>
      </c>
      <c r="I640" s="15">
        <v>48853.84</v>
      </c>
      <c r="J640" s="15">
        <v>32952.44</v>
      </c>
      <c r="K640" s="19">
        <v>0.6850746869798684</v>
      </c>
    </row>
    <row r="641" spans="1:11" x14ac:dyDescent="0.3">
      <c r="A641" s="9" t="s">
        <v>191</v>
      </c>
      <c r="B641" s="20">
        <v>45869</v>
      </c>
      <c r="C641" s="9" t="s">
        <v>223</v>
      </c>
      <c r="D641" s="15">
        <v>10440.68</v>
      </c>
      <c r="E641" s="15">
        <v>3305.61</v>
      </c>
      <c r="F641" s="15">
        <v>3929.17</v>
      </c>
      <c r="G641" s="15">
        <v>5987.36</v>
      </c>
      <c r="H641" s="15">
        <v>134.49</v>
      </c>
      <c r="I641" s="15">
        <v>23797.31</v>
      </c>
      <c r="J641" s="15">
        <v>13356.62</v>
      </c>
      <c r="K641" s="19">
        <v>0.6850746869798684</v>
      </c>
    </row>
    <row r="642" spans="1:11" x14ac:dyDescent="0.3">
      <c r="A642" s="9" t="s">
        <v>191</v>
      </c>
      <c r="B642" s="20">
        <v>45900</v>
      </c>
      <c r="C642" s="9" t="s">
        <v>222</v>
      </c>
      <c r="D642" s="15">
        <v>3009.5</v>
      </c>
      <c r="E642" s="15">
        <v>1331.17</v>
      </c>
      <c r="F642" s="15">
        <v>1359.07</v>
      </c>
      <c r="G642" s="15">
        <v>1345.6</v>
      </c>
      <c r="H642" s="15">
        <v>481.35</v>
      </c>
      <c r="I642" s="15">
        <v>7526.68</v>
      </c>
      <c r="J642" s="15">
        <v>4517.18</v>
      </c>
      <c r="K642" s="19">
        <v>0.79010795453118088</v>
      </c>
    </row>
    <row r="643" spans="1:11" x14ac:dyDescent="0.3">
      <c r="A643" s="9" t="s">
        <v>191</v>
      </c>
      <c r="B643" s="20">
        <v>45900</v>
      </c>
      <c r="C643" s="9" t="s">
        <v>235</v>
      </c>
      <c r="D643" s="15">
        <v>374.81</v>
      </c>
      <c r="E643" s="15">
        <v>114.61</v>
      </c>
      <c r="F643" s="15">
        <v>175.15</v>
      </c>
      <c r="G643" s="15">
        <v>54.24</v>
      </c>
      <c r="H643" s="15">
        <v>40.32</v>
      </c>
      <c r="I643" s="15">
        <v>759.13</v>
      </c>
      <c r="J643" s="15">
        <v>384.32</v>
      </c>
      <c r="K643" s="19">
        <v>0.79010795453118088</v>
      </c>
    </row>
    <row r="644" spans="1:11" x14ac:dyDescent="0.3">
      <c r="A644" s="9" t="s">
        <v>191</v>
      </c>
      <c r="B644" s="20">
        <v>45900</v>
      </c>
      <c r="C644" s="9" t="s">
        <v>234</v>
      </c>
      <c r="D644" s="15">
        <v>10159.49</v>
      </c>
      <c r="E644" s="15">
        <v>10560.84</v>
      </c>
      <c r="F644" s="15">
        <v>1755.52</v>
      </c>
      <c r="G644" s="15">
        <v>6815.05</v>
      </c>
      <c r="H644" s="15">
        <v>3689.84</v>
      </c>
      <c r="I644" s="15">
        <v>32980.730000000003</v>
      </c>
      <c r="J644" s="15">
        <v>22821.24</v>
      </c>
      <c r="K644" s="19">
        <v>0.79010795453118088</v>
      </c>
    </row>
    <row r="645" spans="1:11" x14ac:dyDescent="0.3">
      <c r="A645" s="9" t="s">
        <v>191</v>
      </c>
      <c r="B645" s="20">
        <v>45900</v>
      </c>
      <c r="C645" s="9" t="s">
        <v>219</v>
      </c>
      <c r="D645" s="15">
        <v>841.7</v>
      </c>
      <c r="E645" s="15">
        <v>820.74</v>
      </c>
      <c r="F645" s="15">
        <v>434.48</v>
      </c>
      <c r="G645" s="15">
        <v>332.18</v>
      </c>
      <c r="H645" s="15">
        <v>431.24</v>
      </c>
      <c r="I645" s="15">
        <v>2860.34</v>
      </c>
      <c r="J645" s="15">
        <v>2018.64</v>
      </c>
      <c r="K645" s="19">
        <v>0.79010795453118088</v>
      </c>
    </row>
    <row r="646" spans="1:11" x14ac:dyDescent="0.3">
      <c r="A646" s="9" t="s">
        <v>191</v>
      </c>
      <c r="B646" s="20">
        <v>45900</v>
      </c>
      <c r="C646" s="9" t="s">
        <v>233</v>
      </c>
      <c r="D646" s="15">
        <v>41343.360000000001</v>
      </c>
      <c r="E646" s="15">
        <v>27996.240000000002</v>
      </c>
      <c r="F646" s="15">
        <v>4275.05</v>
      </c>
      <c r="G646" s="15">
        <v>6358.08</v>
      </c>
      <c r="H646" s="15">
        <v>7878.68</v>
      </c>
      <c r="I646" s="15">
        <v>87851.41</v>
      </c>
      <c r="J646" s="15">
        <v>46508.05</v>
      </c>
      <c r="K646" s="19">
        <v>0.79010795453118088</v>
      </c>
    </row>
    <row r="647" spans="1:11" x14ac:dyDescent="0.3">
      <c r="A647" s="9" t="s">
        <v>191</v>
      </c>
      <c r="B647" s="20">
        <v>45900</v>
      </c>
      <c r="C647" s="9" t="s">
        <v>232</v>
      </c>
      <c r="D647" s="15">
        <v>15255.44</v>
      </c>
      <c r="E647" s="15">
        <v>7374.99</v>
      </c>
      <c r="F647" s="15">
        <v>4739.9799999999996</v>
      </c>
      <c r="G647" s="15">
        <v>4711.12</v>
      </c>
      <c r="H647" s="15">
        <v>1500.54</v>
      </c>
      <c r="I647" s="15">
        <v>33582.07</v>
      </c>
      <c r="J647" s="15">
        <v>18326.63</v>
      </c>
      <c r="K647" s="19">
        <v>0.79010795453118088</v>
      </c>
    </row>
    <row r="648" spans="1:11" x14ac:dyDescent="0.3">
      <c r="A648" s="9" t="s">
        <v>191</v>
      </c>
      <c r="B648" s="20">
        <v>45900</v>
      </c>
      <c r="C648" s="9" t="s">
        <v>231</v>
      </c>
      <c r="D648" s="15">
        <v>16617.07</v>
      </c>
      <c r="E648" s="15">
        <v>4373.57</v>
      </c>
      <c r="F648" s="15">
        <v>8246.16</v>
      </c>
      <c r="G648" s="15">
        <v>5822.6</v>
      </c>
      <c r="H648" s="15">
        <v>1173.29</v>
      </c>
      <c r="I648" s="15">
        <v>36232.699999999997</v>
      </c>
      <c r="J648" s="15">
        <v>19615.62</v>
      </c>
      <c r="K648" s="19">
        <v>0.79010795453118088</v>
      </c>
    </row>
    <row r="649" spans="1:11" x14ac:dyDescent="0.3">
      <c r="A649" s="9" t="s">
        <v>191</v>
      </c>
      <c r="B649" s="20">
        <v>45900</v>
      </c>
      <c r="C649" s="9" t="s">
        <v>230</v>
      </c>
      <c r="D649" s="15">
        <v>18612.05</v>
      </c>
      <c r="E649" s="15">
        <v>12821.19</v>
      </c>
      <c r="F649" s="15">
        <v>6626.25</v>
      </c>
      <c r="G649" s="15">
        <v>1468.56</v>
      </c>
      <c r="H649" s="15">
        <v>3376.07</v>
      </c>
      <c r="I649" s="15">
        <v>42904.11</v>
      </c>
      <c r="J649" s="15">
        <v>24292.06</v>
      </c>
      <c r="K649" s="19">
        <v>0.79010795453118088</v>
      </c>
    </row>
    <row r="650" spans="1:11" x14ac:dyDescent="0.3">
      <c r="A650" s="9" t="s">
        <v>191</v>
      </c>
      <c r="B650" s="20">
        <v>45900</v>
      </c>
      <c r="C650" s="9" t="s">
        <v>229</v>
      </c>
      <c r="D650" s="15">
        <v>33925.550000000003</v>
      </c>
      <c r="E650" s="15">
        <v>8502.44</v>
      </c>
      <c r="F650" s="15">
        <v>22676.03</v>
      </c>
      <c r="G650" s="15">
        <v>6828.52</v>
      </c>
      <c r="H650" s="15">
        <v>4144.08</v>
      </c>
      <c r="I650" s="15">
        <v>76076.62</v>
      </c>
      <c r="J650" s="15">
        <v>42151.07</v>
      </c>
      <c r="K650" s="19">
        <v>0.79010795453118088</v>
      </c>
    </row>
    <row r="651" spans="1:11" x14ac:dyDescent="0.3">
      <c r="A651" s="9" t="s">
        <v>191</v>
      </c>
      <c r="B651" s="20">
        <v>45900</v>
      </c>
      <c r="C651" s="9" t="s">
        <v>228</v>
      </c>
      <c r="D651" s="15">
        <v>21107.93</v>
      </c>
      <c r="E651" s="15">
        <v>5298.57</v>
      </c>
      <c r="F651" s="15">
        <v>12698.48</v>
      </c>
      <c r="G651" s="15">
        <v>2724.72</v>
      </c>
      <c r="H651" s="15">
        <v>15252.16</v>
      </c>
      <c r="I651" s="15">
        <v>57081.87</v>
      </c>
      <c r="J651" s="15">
        <v>35973.94</v>
      </c>
      <c r="K651" s="19">
        <v>0.79010795453118088</v>
      </c>
    </row>
    <row r="652" spans="1:11" x14ac:dyDescent="0.3">
      <c r="A652" s="9" t="s">
        <v>191</v>
      </c>
      <c r="B652" s="20">
        <v>45900</v>
      </c>
      <c r="C652" s="9" t="s">
        <v>203</v>
      </c>
      <c r="D652" s="15">
        <v>30492.9</v>
      </c>
      <c r="E652" s="15">
        <v>19119.48</v>
      </c>
      <c r="F652" s="15">
        <v>13922.52</v>
      </c>
      <c r="G652" s="15">
        <v>6891.74</v>
      </c>
      <c r="H652" s="15">
        <v>6767.87</v>
      </c>
      <c r="I652" s="15">
        <v>77194.5</v>
      </c>
      <c r="J652" s="15">
        <v>46701.61</v>
      </c>
      <c r="K652" s="19">
        <v>0.79010795453118088</v>
      </c>
    </row>
    <row r="653" spans="1:11" x14ac:dyDescent="0.3">
      <c r="A653" s="9" t="s">
        <v>191</v>
      </c>
      <c r="B653" s="20">
        <v>45900</v>
      </c>
      <c r="C653" s="9" t="s">
        <v>216</v>
      </c>
      <c r="D653" s="15">
        <v>21596.09</v>
      </c>
      <c r="E653" s="15">
        <v>9774.2099999999991</v>
      </c>
      <c r="F653" s="15">
        <v>3325.62</v>
      </c>
      <c r="G653" s="15">
        <v>10310.1</v>
      </c>
      <c r="H653" s="15">
        <v>7067.78</v>
      </c>
      <c r="I653" s="15">
        <v>52073.8</v>
      </c>
      <c r="J653" s="15">
        <v>30477.71</v>
      </c>
      <c r="K653" s="19">
        <v>0.79010795453118088</v>
      </c>
    </row>
    <row r="654" spans="1:11" x14ac:dyDescent="0.3">
      <c r="A654" s="9" t="s">
        <v>191</v>
      </c>
      <c r="B654" s="20">
        <v>45900</v>
      </c>
      <c r="C654" s="9" t="s">
        <v>227</v>
      </c>
      <c r="D654" s="15">
        <v>3333.12</v>
      </c>
      <c r="E654" s="15">
        <v>5077.09</v>
      </c>
      <c r="F654" s="15">
        <v>386.6</v>
      </c>
      <c r="G654" s="15">
        <v>725.16</v>
      </c>
      <c r="H654" s="15">
        <v>2359</v>
      </c>
      <c r="I654" s="15">
        <v>11880.98</v>
      </c>
      <c r="J654" s="15">
        <v>8547.86</v>
      </c>
      <c r="K654" s="19">
        <v>0.79010795453118088</v>
      </c>
    </row>
    <row r="655" spans="1:11" x14ac:dyDescent="0.3">
      <c r="A655" s="9" t="s">
        <v>191</v>
      </c>
      <c r="B655" s="20">
        <v>45900</v>
      </c>
      <c r="C655" s="9" t="s">
        <v>226</v>
      </c>
      <c r="D655" s="15">
        <v>24202.37</v>
      </c>
      <c r="E655" s="15">
        <v>3738.12</v>
      </c>
      <c r="F655" s="15">
        <v>13895.75</v>
      </c>
      <c r="G655" s="15">
        <v>3017.92</v>
      </c>
      <c r="H655" s="15">
        <v>4052.85</v>
      </c>
      <c r="I655" s="15">
        <v>48907.01</v>
      </c>
      <c r="J655" s="15">
        <v>24704.63</v>
      </c>
      <c r="K655" s="19">
        <v>0.79010795453118088</v>
      </c>
    </row>
    <row r="656" spans="1:11" x14ac:dyDescent="0.3">
      <c r="A656" s="9" t="s">
        <v>191</v>
      </c>
      <c r="B656" s="20">
        <v>45900</v>
      </c>
      <c r="C656" s="9" t="s">
        <v>205</v>
      </c>
      <c r="D656" s="15">
        <v>5697.61</v>
      </c>
      <c r="E656" s="15">
        <v>1538.4</v>
      </c>
      <c r="F656" s="15">
        <v>1857.4</v>
      </c>
      <c r="G656" s="15">
        <v>848.19</v>
      </c>
      <c r="H656" s="15">
        <v>2228.5</v>
      </c>
      <c r="I656" s="15">
        <v>12170.1</v>
      </c>
      <c r="J656" s="15">
        <v>6472.49</v>
      </c>
      <c r="K656" s="19">
        <v>0.79010795453118088</v>
      </c>
    </row>
    <row r="657" spans="1:11" x14ac:dyDescent="0.3">
      <c r="A657" s="9" t="s">
        <v>191</v>
      </c>
      <c r="B657" s="20">
        <v>45900</v>
      </c>
      <c r="C657" s="9" t="s">
        <v>225</v>
      </c>
      <c r="D657" s="15">
        <v>33610.51</v>
      </c>
      <c r="E657" s="15">
        <v>17098.830000000002</v>
      </c>
      <c r="F657" s="15">
        <v>11733.78</v>
      </c>
      <c r="G657" s="15">
        <v>7046.23</v>
      </c>
      <c r="H657" s="15">
        <v>3370.97</v>
      </c>
      <c r="I657" s="15">
        <v>72860.31</v>
      </c>
      <c r="J657" s="15">
        <v>39249.800000000003</v>
      </c>
      <c r="K657" s="19">
        <v>0.79010795453118088</v>
      </c>
    </row>
    <row r="658" spans="1:11" x14ac:dyDescent="0.3">
      <c r="A658" s="9" t="s">
        <v>191</v>
      </c>
      <c r="B658" s="20">
        <v>45900</v>
      </c>
      <c r="C658" s="9" t="s">
        <v>224</v>
      </c>
      <c r="D658" s="15">
        <v>18372.7</v>
      </c>
      <c r="E658" s="15">
        <v>6886.12</v>
      </c>
      <c r="F658" s="15">
        <v>4735.92</v>
      </c>
      <c r="G658" s="15">
        <v>4088.28</v>
      </c>
      <c r="H658" s="15">
        <v>18344.55</v>
      </c>
      <c r="I658" s="15">
        <v>52427.56</v>
      </c>
      <c r="J658" s="15">
        <v>34054.870000000003</v>
      </c>
      <c r="K658" s="19">
        <v>0.79010795453118088</v>
      </c>
    </row>
    <row r="659" spans="1:11" x14ac:dyDescent="0.3">
      <c r="A659" s="9" t="s">
        <v>191</v>
      </c>
      <c r="B659" s="20">
        <v>45900</v>
      </c>
      <c r="C659" s="9" t="s">
        <v>206</v>
      </c>
      <c r="D659" s="15">
        <v>11991.22</v>
      </c>
      <c r="E659" s="15">
        <v>6259.99</v>
      </c>
      <c r="F659" s="15">
        <v>4107.7700000000004</v>
      </c>
      <c r="G659" s="15">
        <v>2688.5</v>
      </c>
      <c r="H659" s="15">
        <v>2709.68</v>
      </c>
      <c r="I659" s="15">
        <v>27757.14</v>
      </c>
      <c r="J659" s="15">
        <v>15765.92</v>
      </c>
      <c r="K659" s="19">
        <v>0.79010795453118088</v>
      </c>
    </row>
    <row r="660" spans="1:11" x14ac:dyDescent="0.3">
      <c r="A660" s="9" t="s">
        <v>191</v>
      </c>
      <c r="B660" s="20">
        <v>45900</v>
      </c>
      <c r="C660" s="9" t="s">
        <v>211</v>
      </c>
      <c r="D660" s="15">
        <v>12221.26</v>
      </c>
      <c r="E660" s="15">
        <v>10264.74</v>
      </c>
      <c r="F660" s="15">
        <v>4926.47</v>
      </c>
      <c r="G660" s="15">
        <v>1650.13</v>
      </c>
      <c r="H660" s="15">
        <v>5511.08</v>
      </c>
      <c r="I660" s="15">
        <v>34573.68</v>
      </c>
      <c r="J660" s="15">
        <v>22352.42</v>
      </c>
      <c r="K660" s="19">
        <v>0.79010795453118088</v>
      </c>
    </row>
    <row r="661" spans="1:11" x14ac:dyDescent="0.3">
      <c r="A661" s="9" t="s">
        <v>191</v>
      </c>
      <c r="B661" s="20">
        <v>45900</v>
      </c>
      <c r="C661" s="9" t="s">
        <v>223</v>
      </c>
      <c r="D661" s="15">
        <v>22222</v>
      </c>
      <c r="E661" s="15">
        <v>8751.64</v>
      </c>
      <c r="F661" s="15">
        <v>9324.51</v>
      </c>
      <c r="G661" s="15">
        <v>1790.63</v>
      </c>
      <c r="H661" s="15">
        <v>5734.88</v>
      </c>
      <c r="I661" s="15">
        <v>47823.66</v>
      </c>
      <c r="J661" s="15">
        <v>25601.66</v>
      </c>
      <c r="K661" s="19">
        <v>0.79010795453118088</v>
      </c>
    </row>
    <row r="662" spans="1:11" x14ac:dyDescent="0.3">
      <c r="A662" s="9" t="s">
        <v>191</v>
      </c>
      <c r="B662" s="20">
        <v>45930</v>
      </c>
      <c r="C662" s="9" t="s">
        <v>222</v>
      </c>
      <c r="D662" s="15">
        <v>12713.49</v>
      </c>
      <c r="E662" s="15">
        <v>11255.71</v>
      </c>
      <c r="F662" s="15">
        <v>1493.4</v>
      </c>
      <c r="G662" s="15">
        <v>4882.76</v>
      </c>
      <c r="H662" s="15">
        <v>1706.27</v>
      </c>
      <c r="I662" s="15">
        <v>32051.63</v>
      </c>
      <c r="J662" s="15">
        <v>19338.14</v>
      </c>
      <c r="K662" s="19">
        <v>0.66133932380501004</v>
      </c>
    </row>
    <row r="663" spans="1:11" x14ac:dyDescent="0.3">
      <c r="A663" s="9" t="s">
        <v>191</v>
      </c>
      <c r="B663" s="20">
        <v>45930</v>
      </c>
      <c r="C663" s="9" t="s">
        <v>235</v>
      </c>
      <c r="D663" s="15">
        <v>9921.52</v>
      </c>
      <c r="E663" s="15">
        <v>4483.55</v>
      </c>
      <c r="F663" s="15">
        <v>2854.18</v>
      </c>
      <c r="G663" s="15">
        <v>4901.5600000000004</v>
      </c>
      <c r="H663" s="15">
        <v>2064.92</v>
      </c>
      <c r="I663" s="15">
        <v>24225.73</v>
      </c>
      <c r="J663" s="15">
        <v>14304.21</v>
      </c>
      <c r="K663" s="19">
        <v>0.66133932380501004</v>
      </c>
    </row>
    <row r="664" spans="1:11" x14ac:dyDescent="0.3">
      <c r="A664" s="9" t="s">
        <v>191</v>
      </c>
      <c r="B664" s="20">
        <v>45930</v>
      </c>
      <c r="C664" s="9" t="s">
        <v>234</v>
      </c>
      <c r="D664" s="15">
        <v>16457.310000000001</v>
      </c>
      <c r="E664" s="15">
        <v>3383.33</v>
      </c>
      <c r="F664" s="15">
        <v>14096.09</v>
      </c>
      <c r="G664" s="15">
        <v>8226.11</v>
      </c>
      <c r="H664" s="15">
        <v>7938.26</v>
      </c>
      <c r="I664" s="15">
        <v>50101.09</v>
      </c>
      <c r="J664" s="15">
        <v>33643.79</v>
      </c>
      <c r="K664" s="19">
        <v>0.66133932380501004</v>
      </c>
    </row>
    <row r="665" spans="1:11" x14ac:dyDescent="0.3">
      <c r="A665" s="9" t="s">
        <v>191</v>
      </c>
      <c r="B665" s="20">
        <v>45930</v>
      </c>
      <c r="C665" s="9" t="s">
        <v>219</v>
      </c>
      <c r="D665" s="15">
        <v>1354.34</v>
      </c>
      <c r="E665" s="15">
        <v>325.10000000000002</v>
      </c>
      <c r="F665" s="15">
        <v>2365</v>
      </c>
      <c r="G665" s="15">
        <v>744.17</v>
      </c>
      <c r="H665" s="15">
        <v>372.77</v>
      </c>
      <c r="I665" s="15">
        <v>5161.3900000000003</v>
      </c>
      <c r="J665" s="15">
        <v>3807.04</v>
      </c>
      <c r="K665" s="19">
        <v>0.66133932380501004</v>
      </c>
    </row>
    <row r="666" spans="1:11" x14ac:dyDescent="0.3">
      <c r="A666" s="9" t="s">
        <v>191</v>
      </c>
      <c r="B666" s="20">
        <v>45930</v>
      </c>
      <c r="C666" s="9" t="s">
        <v>233</v>
      </c>
      <c r="D666" s="15">
        <v>23120.27</v>
      </c>
      <c r="E666" s="15">
        <v>5697.55</v>
      </c>
      <c r="F666" s="15">
        <v>18609.689999999999</v>
      </c>
      <c r="G666" s="15">
        <v>12832.14</v>
      </c>
      <c r="H666" s="15">
        <v>1270.22</v>
      </c>
      <c r="I666" s="15">
        <v>61529.87</v>
      </c>
      <c r="J666" s="15">
        <v>38409.599999999999</v>
      </c>
      <c r="K666" s="19">
        <v>0.66133932380501004</v>
      </c>
    </row>
    <row r="667" spans="1:11" x14ac:dyDescent="0.3">
      <c r="A667" s="9" t="s">
        <v>191</v>
      </c>
      <c r="B667" s="20">
        <v>45930</v>
      </c>
      <c r="C667" s="9" t="s">
        <v>232</v>
      </c>
      <c r="D667" s="15">
        <v>27808.15</v>
      </c>
      <c r="E667" s="15">
        <v>1208.01</v>
      </c>
      <c r="F667" s="15">
        <v>18683.849999999999</v>
      </c>
      <c r="G667" s="15">
        <v>3426.42</v>
      </c>
      <c r="H667" s="15">
        <v>8034.28</v>
      </c>
      <c r="I667" s="15">
        <v>59160.71</v>
      </c>
      <c r="J667" s="15">
        <v>31352.560000000001</v>
      </c>
      <c r="K667" s="19">
        <v>0.66133932380501004</v>
      </c>
    </row>
    <row r="668" spans="1:11" x14ac:dyDescent="0.3">
      <c r="A668" s="9" t="s">
        <v>191</v>
      </c>
      <c r="B668" s="20">
        <v>45930</v>
      </c>
      <c r="C668" s="9" t="s">
        <v>231</v>
      </c>
      <c r="D668" s="15">
        <v>3069.42</v>
      </c>
      <c r="E668" s="15">
        <v>1556.78</v>
      </c>
      <c r="F668" s="15">
        <v>1969.78</v>
      </c>
      <c r="G668" s="15">
        <v>1063.46</v>
      </c>
      <c r="H668" s="15">
        <v>1581.81</v>
      </c>
      <c r="I668" s="15">
        <v>9241.25</v>
      </c>
      <c r="J668" s="15">
        <v>6171.83</v>
      </c>
      <c r="K668" s="19">
        <v>0.66133932380501004</v>
      </c>
    </row>
    <row r="669" spans="1:11" x14ac:dyDescent="0.3">
      <c r="A669" s="9" t="s">
        <v>191</v>
      </c>
      <c r="B669" s="20">
        <v>45930</v>
      </c>
      <c r="C669" s="9" t="s">
        <v>230</v>
      </c>
      <c r="D669" s="15">
        <v>25033.51</v>
      </c>
      <c r="E669" s="15">
        <v>4187.3500000000004</v>
      </c>
      <c r="F669" s="15">
        <v>1998.82</v>
      </c>
      <c r="G669" s="15">
        <v>15053.34</v>
      </c>
      <c r="H669" s="15">
        <v>11848.7</v>
      </c>
      <c r="I669" s="15">
        <v>58121.71</v>
      </c>
      <c r="J669" s="15">
        <v>33088.199999999997</v>
      </c>
      <c r="K669" s="19">
        <v>0.66133932380501004</v>
      </c>
    </row>
    <row r="670" spans="1:11" x14ac:dyDescent="0.3">
      <c r="A670" s="9" t="s">
        <v>191</v>
      </c>
      <c r="B670" s="20">
        <v>45930</v>
      </c>
      <c r="C670" s="9" t="s">
        <v>229</v>
      </c>
      <c r="D670" s="15">
        <v>4574.66</v>
      </c>
      <c r="E670" s="15">
        <v>1265.19</v>
      </c>
      <c r="F670" s="15">
        <v>1372.4</v>
      </c>
      <c r="G670" s="15">
        <v>1285.24</v>
      </c>
      <c r="H670" s="15">
        <v>811.58</v>
      </c>
      <c r="I670" s="15">
        <v>9309.07</v>
      </c>
      <c r="J670" s="15">
        <v>4734.41</v>
      </c>
      <c r="K670" s="19">
        <v>0.66133932380501004</v>
      </c>
    </row>
    <row r="671" spans="1:11" x14ac:dyDescent="0.3">
      <c r="A671" s="9" t="s">
        <v>191</v>
      </c>
      <c r="B671" s="20">
        <v>45930</v>
      </c>
      <c r="C671" s="9" t="s">
        <v>228</v>
      </c>
      <c r="D671" s="15">
        <v>1865.57</v>
      </c>
      <c r="E671" s="15">
        <v>987.44</v>
      </c>
      <c r="F671" s="15">
        <v>209.22</v>
      </c>
      <c r="G671" s="15">
        <v>1352.76</v>
      </c>
      <c r="H671" s="15">
        <v>55.3</v>
      </c>
      <c r="I671" s="15">
        <v>4470.29</v>
      </c>
      <c r="J671" s="15">
        <v>2604.7199999999998</v>
      </c>
      <c r="K671" s="19">
        <v>0.66133932380501004</v>
      </c>
    </row>
    <row r="672" spans="1:11" x14ac:dyDescent="0.3">
      <c r="A672" s="9" t="s">
        <v>191</v>
      </c>
      <c r="B672" s="20">
        <v>45930</v>
      </c>
      <c r="C672" s="9" t="s">
        <v>203</v>
      </c>
      <c r="D672" s="15">
        <v>15524.61</v>
      </c>
      <c r="E672" s="15">
        <v>8042.14</v>
      </c>
      <c r="F672" s="15">
        <v>2575.04</v>
      </c>
      <c r="G672" s="15">
        <v>8868.73</v>
      </c>
      <c r="H672" s="15">
        <v>9676.39</v>
      </c>
      <c r="I672" s="15">
        <v>44686.92</v>
      </c>
      <c r="J672" s="15">
        <v>29162.3</v>
      </c>
      <c r="K672" s="19">
        <v>0.66133932380501004</v>
      </c>
    </row>
    <row r="673" spans="1:11" x14ac:dyDescent="0.3">
      <c r="A673" s="9" t="s">
        <v>191</v>
      </c>
      <c r="B673" s="20">
        <v>45930</v>
      </c>
      <c r="C673" s="9" t="s">
        <v>216</v>
      </c>
      <c r="D673" s="15">
        <v>15074.43</v>
      </c>
      <c r="E673" s="15">
        <v>5484.77</v>
      </c>
      <c r="F673" s="15">
        <v>3446.12</v>
      </c>
      <c r="G673" s="15">
        <v>7690.11</v>
      </c>
      <c r="H673" s="15">
        <v>1482.7</v>
      </c>
      <c r="I673" s="15">
        <v>33178.129999999997</v>
      </c>
      <c r="J673" s="15">
        <v>18103.7</v>
      </c>
      <c r="K673" s="19">
        <v>0.66133932380501004</v>
      </c>
    </row>
    <row r="674" spans="1:11" x14ac:dyDescent="0.3">
      <c r="A674" s="9" t="s">
        <v>191</v>
      </c>
      <c r="B674" s="20">
        <v>45930</v>
      </c>
      <c r="C674" s="9" t="s">
        <v>227</v>
      </c>
      <c r="D674" s="15">
        <v>8268.75</v>
      </c>
      <c r="E674" s="15">
        <v>3720.49</v>
      </c>
      <c r="F674" s="15">
        <v>1021.78</v>
      </c>
      <c r="G674" s="15">
        <v>9184.5</v>
      </c>
      <c r="H674" s="15">
        <v>5314.62</v>
      </c>
      <c r="I674" s="15">
        <v>27510.14</v>
      </c>
      <c r="J674" s="15">
        <v>19241.39</v>
      </c>
      <c r="K674" s="19">
        <v>0.66133932380501004</v>
      </c>
    </row>
    <row r="675" spans="1:11" x14ac:dyDescent="0.3">
      <c r="A675" s="9" t="s">
        <v>191</v>
      </c>
      <c r="B675" s="20">
        <v>45930</v>
      </c>
      <c r="C675" s="9" t="s">
        <v>226</v>
      </c>
      <c r="D675" s="15">
        <v>2991.55</v>
      </c>
      <c r="E675" s="15">
        <v>946.31</v>
      </c>
      <c r="F675" s="15">
        <v>374.39</v>
      </c>
      <c r="G675" s="15">
        <v>1548.2</v>
      </c>
      <c r="H675" s="15">
        <v>132.11000000000001</v>
      </c>
      <c r="I675" s="15">
        <v>5992.56</v>
      </c>
      <c r="J675" s="15">
        <v>3001.01</v>
      </c>
      <c r="K675" s="19">
        <v>0.66133932380501004</v>
      </c>
    </row>
    <row r="676" spans="1:11" x14ac:dyDescent="0.3">
      <c r="A676" s="9" t="s">
        <v>191</v>
      </c>
      <c r="B676" s="20">
        <v>45930</v>
      </c>
      <c r="C676" s="9" t="s">
        <v>205</v>
      </c>
      <c r="D676" s="15">
        <v>26401.27</v>
      </c>
      <c r="E676" s="15">
        <v>9000.3700000000008</v>
      </c>
      <c r="F676" s="15">
        <v>6871.29</v>
      </c>
      <c r="G676" s="15">
        <v>8403.6</v>
      </c>
      <c r="H676" s="15">
        <v>7432.89</v>
      </c>
      <c r="I676" s="15">
        <v>58109.42</v>
      </c>
      <c r="J676" s="15">
        <v>31708.15</v>
      </c>
      <c r="K676" s="19">
        <v>0.66133932380501004</v>
      </c>
    </row>
    <row r="677" spans="1:11" x14ac:dyDescent="0.3">
      <c r="A677" s="9" t="s">
        <v>191</v>
      </c>
      <c r="B677" s="20">
        <v>45930</v>
      </c>
      <c r="C677" s="9" t="s">
        <v>225</v>
      </c>
      <c r="D677" s="15">
        <v>14080.08</v>
      </c>
      <c r="E677" s="15">
        <v>8704.08</v>
      </c>
      <c r="F677" s="15">
        <v>7343.21</v>
      </c>
      <c r="G677" s="15">
        <v>8628.0499999999993</v>
      </c>
      <c r="H677" s="15">
        <v>4066.13</v>
      </c>
      <c r="I677" s="15">
        <v>42821.57</v>
      </c>
      <c r="J677" s="15">
        <v>28741.48</v>
      </c>
      <c r="K677" s="19">
        <v>0.66133932380501004</v>
      </c>
    </row>
    <row r="678" spans="1:11" x14ac:dyDescent="0.3">
      <c r="A678" s="9" t="s">
        <v>191</v>
      </c>
      <c r="B678" s="20">
        <v>45930</v>
      </c>
      <c r="C678" s="9" t="s">
        <v>224</v>
      </c>
      <c r="D678" s="15">
        <v>28367.200000000001</v>
      </c>
      <c r="E678" s="15">
        <v>8587.6299999999992</v>
      </c>
      <c r="F678" s="15">
        <v>12455.48</v>
      </c>
      <c r="G678" s="15">
        <v>10756.06</v>
      </c>
      <c r="H678" s="15">
        <v>8880.9599999999991</v>
      </c>
      <c r="I678" s="15">
        <v>69047.34</v>
      </c>
      <c r="J678" s="15">
        <v>40680.14</v>
      </c>
      <c r="K678" s="19">
        <v>0.66133932380501004</v>
      </c>
    </row>
    <row r="679" spans="1:11" x14ac:dyDescent="0.3">
      <c r="A679" s="9" t="s">
        <v>191</v>
      </c>
      <c r="B679" s="20">
        <v>45930</v>
      </c>
      <c r="C679" s="9" t="s">
        <v>206</v>
      </c>
      <c r="D679" s="15">
        <v>263.42</v>
      </c>
      <c r="E679" s="15">
        <v>205.11</v>
      </c>
      <c r="F679" s="15">
        <v>145.81</v>
      </c>
      <c r="G679" s="15">
        <v>295.72000000000003</v>
      </c>
      <c r="H679" s="15">
        <v>186.02</v>
      </c>
      <c r="I679" s="15">
        <v>1096.0899999999999</v>
      </c>
      <c r="J679" s="15">
        <v>832.67</v>
      </c>
      <c r="K679" s="19">
        <v>0.66133932380501004</v>
      </c>
    </row>
    <row r="680" spans="1:11" x14ac:dyDescent="0.3">
      <c r="A680" s="9" t="s">
        <v>191</v>
      </c>
      <c r="B680" s="20">
        <v>45930</v>
      </c>
      <c r="C680" s="9" t="s">
        <v>211</v>
      </c>
      <c r="D680" s="15">
        <v>6188.84</v>
      </c>
      <c r="E680" s="15">
        <v>5807.55</v>
      </c>
      <c r="F680" s="15">
        <v>7022.77</v>
      </c>
      <c r="G680" s="15">
        <v>2738.57</v>
      </c>
      <c r="H680" s="15">
        <v>2975.22</v>
      </c>
      <c r="I680" s="15">
        <v>24732.94</v>
      </c>
      <c r="J680" s="15">
        <v>18544.099999999999</v>
      </c>
      <c r="K680" s="19">
        <v>0.66133932380501004</v>
      </c>
    </row>
    <row r="681" spans="1:11" x14ac:dyDescent="0.3">
      <c r="A681" s="9" t="s">
        <v>191</v>
      </c>
      <c r="B681" s="20">
        <v>45930</v>
      </c>
      <c r="C681" s="9" t="s">
        <v>223</v>
      </c>
      <c r="D681" s="15">
        <v>11230.69</v>
      </c>
      <c r="E681" s="15">
        <v>7061.57</v>
      </c>
      <c r="F681" s="15">
        <v>3805.84</v>
      </c>
      <c r="G681" s="15">
        <v>4614.3999999999996</v>
      </c>
      <c r="H681" s="15">
        <v>4705.4399999999996</v>
      </c>
      <c r="I681" s="15">
        <v>31417.95</v>
      </c>
      <c r="J681" s="15">
        <v>20187.259999999998</v>
      </c>
      <c r="K681" s="19">
        <v>0.66133932380501004</v>
      </c>
    </row>
    <row r="682" spans="1:11" x14ac:dyDescent="0.3">
      <c r="A682" s="9" t="s">
        <v>191</v>
      </c>
      <c r="B682" s="20">
        <v>45961</v>
      </c>
      <c r="C682" s="9" t="s">
        <v>222</v>
      </c>
      <c r="D682" s="15">
        <v>4511.51</v>
      </c>
      <c r="E682" s="15">
        <v>1309.4100000000001</v>
      </c>
      <c r="F682" s="15">
        <v>1140.51</v>
      </c>
      <c r="G682" s="15">
        <v>2504.17</v>
      </c>
      <c r="H682" s="15">
        <v>638.54999999999995</v>
      </c>
      <c r="I682" s="15">
        <v>10104.14</v>
      </c>
      <c r="J682" s="15">
        <v>5592.64</v>
      </c>
      <c r="K682" s="19">
        <v>0.78449954405052291</v>
      </c>
    </row>
    <row r="683" spans="1:11" x14ac:dyDescent="0.3">
      <c r="A683" s="9" t="s">
        <v>191</v>
      </c>
      <c r="B683" s="20">
        <v>45961</v>
      </c>
      <c r="C683" s="9" t="s">
        <v>235</v>
      </c>
      <c r="D683" s="15">
        <v>17857.669999999998</v>
      </c>
      <c r="E683" s="15">
        <v>8217.6</v>
      </c>
      <c r="F683" s="15">
        <v>6517.47</v>
      </c>
      <c r="G683" s="15">
        <v>3808.89</v>
      </c>
      <c r="H683" s="15">
        <v>1361.66</v>
      </c>
      <c r="I683" s="15">
        <v>37763.269999999997</v>
      </c>
      <c r="J683" s="15">
        <v>19905.61</v>
      </c>
      <c r="K683" s="19">
        <v>0.78449954405052291</v>
      </c>
    </row>
    <row r="684" spans="1:11" x14ac:dyDescent="0.3">
      <c r="A684" s="9" t="s">
        <v>191</v>
      </c>
      <c r="B684" s="20">
        <v>45961</v>
      </c>
      <c r="C684" s="9" t="s">
        <v>234</v>
      </c>
      <c r="D684" s="15">
        <v>13628.28</v>
      </c>
      <c r="E684" s="15">
        <v>8586.02</v>
      </c>
      <c r="F684" s="15">
        <v>1779.28</v>
      </c>
      <c r="G684" s="15">
        <v>1857.76</v>
      </c>
      <c r="H684" s="15">
        <v>7849.63</v>
      </c>
      <c r="I684" s="15">
        <v>33700.959999999999</v>
      </c>
      <c r="J684" s="15">
        <v>20072.689999999999</v>
      </c>
      <c r="K684" s="19">
        <v>0.78449954405052291</v>
      </c>
    </row>
    <row r="685" spans="1:11" x14ac:dyDescent="0.3">
      <c r="A685" s="9" t="s">
        <v>191</v>
      </c>
      <c r="B685" s="20">
        <v>45961</v>
      </c>
      <c r="C685" s="9" t="s">
        <v>219</v>
      </c>
      <c r="D685" s="15">
        <v>15331.91</v>
      </c>
      <c r="E685" s="15">
        <v>9652.33</v>
      </c>
      <c r="F685" s="15">
        <v>9197.4</v>
      </c>
      <c r="G685" s="15">
        <v>9525.4599999999991</v>
      </c>
      <c r="H685" s="15">
        <v>6441.3</v>
      </c>
      <c r="I685" s="15">
        <v>50148.4</v>
      </c>
      <c r="J685" s="15">
        <v>34816.49</v>
      </c>
      <c r="K685" s="19">
        <v>0.78449954405052291</v>
      </c>
    </row>
    <row r="686" spans="1:11" x14ac:dyDescent="0.3">
      <c r="A686" s="9" t="s">
        <v>191</v>
      </c>
      <c r="B686" s="20">
        <v>45961</v>
      </c>
      <c r="C686" s="9" t="s">
        <v>233</v>
      </c>
      <c r="D686" s="15">
        <v>2509.4899999999998</v>
      </c>
      <c r="E686" s="15">
        <v>1221.6500000000001</v>
      </c>
      <c r="F686" s="15">
        <v>734.62</v>
      </c>
      <c r="G686" s="15">
        <v>1956.42</v>
      </c>
      <c r="H686" s="15">
        <v>1015.77</v>
      </c>
      <c r="I686" s="15">
        <v>7437.94</v>
      </c>
      <c r="J686" s="15">
        <v>4928.45</v>
      </c>
      <c r="K686" s="19">
        <v>0.78449954405052291</v>
      </c>
    </row>
    <row r="687" spans="1:11" x14ac:dyDescent="0.3">
      <c r="A687" s="9" t="s">
        <v>191</v>
      </c>
      <c r="B687" s="20">
        <v>45961</v>
      </c>
      <c r="C687" s="9" t="s">
        <v>232</v>
      </c>
      <c r="D687" s="15">
        <v>9337.0499999999993</v>
      </c>
      <c r="E687" s="15">
        <v>2877.64</v>
      </c>
      <c r="F687" s="15">
        <v>4692.7299999999996</v>
      </c>
      <c r="G687" s="15">
        <v>1978.9</v>
      </c>
      <c r="H687" s="15">
        <v>55.68</v>
      </c>
      <c r="I687" s="15">
        <v>18942.009999999998</v>
      </c>
      <c r="J687" s="15">
        <v>9604.9599999999991</v>
      </c>
      <c r="K687" s="19">
        <v>0.78449954405052291</v>
      </c>
    </row>
    <row r="688" spans="1:11" x14ac:dyDescent="0.3">
      <c r="A688" s="9" t="s">
        <v>191</v>
      </c>
      <c r="B688" s="20">
        <v>45961</v>
      </c>
      <c r="C688" s="9" t="s">
        <v>231</v>
      </c>
      <c r="D688" s="15">
        <v>19783.09</v>
      </c>
      <c r="E688" s="15">
        <v>7295.83</v>
      </c>
      <c r="F688" s="15">
        <v>4752.09</v>
      </c>
      <c r="G688" s="15">
        <v>4845.8599999999997</v>
      </c>
      <c r="H688" s="15">
        <v>4363.8599999999997</v>
      </c>
      <c r="I688" s="15">
        <v>41040.730000000003</v>
      </c>
      <c r="J688" s="15">
        <v>21257.65</v>
      </c>
      <c r="K688" s="19">
        <v>0.78449954405052291</v>
      </c>
    </row>
    <row r="689" spans="1:11" x14ac:dyDescent="0.3">
      <c r="A689" s="9" t="s">
        <v>191</v>
      </c>
      <c r="B689" s="20">
        <v>45961</v>
      </c>
      <c r="C689" s="9" t="s">
        <v>230</v>
      </c>
      <c r="D689" s="15">
        <v>28873.599999999999</v>
      </c>
      <c r="E689" s="15">
        <v>12612.71</v>
      </c>
      <c r="F689" s="15">
        <v>7157.72</v>
      </c>
      <c r="G689" s="15">
        <v>14566.89</v>
      </c>
      <c r="H689" s="15">
        <v>1012.84</v>
      </c>
      <c r="I689" s="15">
        <v>64223.76</v>
      </c>
      <c r="J689" s="15">
        <v>35350.160000000003</v>
      </c>
      <c r="K689" s="19">
        <v>0.78449954405052291</v>
      </c>
    </row>
    <row r="690" spans="1:11" x14ac:dyDescent="0.3">
      <c r="A690" s="9" t="s">
        <v>191</v>
      </c>
      <c r="B690" s="20">
        <v>45961</v>
      </c>
      <c r="C690" s="9" t="s">
        <v>229</v>
      </c>
      <c r="D690" s="15">
        <v>34308.5</v>
      </c>
      <c r="E690" s="15">
        <v>10690.86</v>
      </c>
      <c r="F690" s="15">
        <v>10469.870000000001</v>
      </c>
      <c r="G690" s="15">
        <v>5297.54</v>
      </c>
      <c r="H690" s="15">
        <v>15732.85</v>
      </c>
      <c r="I690" s="15">
        <v>76499.62</v>
      </c>
      <c r="J690" s="15">
        <v>42191.12</v>
      </c>
      <c r="K690" s="19">
        <v>0.78449954405052291</v>
      </c>
    </row>
    <row r="691" spans="1:11" x14ac:dyDescent="0.3">
      <c r="A691" s="9" t="s">
        <v>191</v>
      </c>
      <c r="B691" s="20">
        <v>45961</v>
      </c>
      <c r="C691" s="9" t="s">
        <v>228</v>
      </c>
      <c r="D691" s="15">
        <v>7836.8</v>
      </c>
      <c r="E691" s="15">
        <v>4146.0600000000004</v>
      </c>
      <c r="F691" s="15">
        <v>5605.5</v>
      </c>
      <c r="G691" s="15">
        <v>2814.28</v>
      </c>
      <c r="H691" s="15">
        <v>3366.28</v>
      </c>
      <c r="I691" s="15">
        <v>23768.93</v>
      </c>
      <c r="J691" s="15">
        <v>15932.13</v>
      </c>
      <c r="K691" s="19">
        <v>0.78449954405052291</v>
      </c>
    </row>
    <row r="692" spans="1:11" x14ac:dyDescent="0.3">
      <c r="A692" s="9" t="s">
        <v>191</v>
      </c>
      <c r="B692" s="20">
        <v>45961</v>
      </c>
      <c r="C692" s="9" t="s">
        <v>203</v>
      </c>
      <c r="D692" s="15">
        <v>7.23</v>
      </c>
      <c r="E692" s="15">
        <v>3.83</v>
      </c>
      <c r="F692" s="15">
        <v>3.57</v>
      </c>
      <c r="G692" s="15">
        <v>2.99</v>
      </c>
      <c r="H692" s="15">
        <v>1.83</v>
      </c>
      <c r="I692" s="15">
        <v>19.46</v>
      </c>
      <c r="J692" s="15">
        <v>12.23</v>
      </c>
      <c r="K692" s="19">
        <v>0.78449954405052291</v>
      </c>
    </row>
    <row r="693" spans="1:11" x14ac:dyDescent="0.3">
      <c r="A693" s="9" t="s">
        <v>191</v>
      </c>
      <c r="B693" s="20">
        <v>45961</v>
      </c>
      <c r="C693" s="9" t="s">
        <v>216</v>
      </c>
      <c r="D693" s="15">
        <v>15860.77</v>
      </c>
      <c r="E693" s="15">
        <v>5647.87</v>
      </c>
      <c r="F693" s="15">
        <v>10554.6</v>
      </c>
      <c r="G693" s="15">
        <v>5863.21</v>
      </c>
      <c r="H693" s="15">
        <v>11321.55</v>
      </c>
      <c r="I693" s="15">
        <v>49248</v>
      </c>
      <c r="J693" s="15">
        <v>33387.230000000003</v>
      </c>
      <c r="K693" s="19">
        <v>0.78449954405052291</v>
      </c>
    </row>
    <row r="694" spans="1:11" x14ac:dyDescent="0.3">
      <c r="A694" s="9" t="s">
        <v>191</v>
      </c>
      <c r="B694" s="20">
        <v>45961</v>
      </c>
      <c r="C694" s="9" t="s">
        <v>227</v>
      </c>
      <c r="D694" s="15">
        <v>4177.78</v>
      </c>
      <c r="E694" s="15">
        <v>2120.92</v>
      </c>
      <c r="F694" s="15">
        <v>2630.65</v>
      </c>
      <c r="G694" s="15">
        <v>1091.6199999999999</v>
      </c>
      <c r="H694" s="15">
        <v>293.01</v>
      </c>
      <c r="I694" s="15">
        <v>10313.969999999999</v>
      </c>
      <c r="J694" s="15">
        <v>6136.19</v>
      </c>
      <c r="K694" s="19">
        <v>0.78449954405052291</v>
      </c>
    </row>
    <row r="695" spans="1:11" x14ac:dyDescent="0.3">
      <c r="A695" s="9" t="s">
        <v>191</v>
      </c>
      <c r="B695" s="20">
        <v>45961</v>
      </c>
      <c r="C695" s="9" t="s">
        <v>226</v>
      </c>
      <c r="D695" s="15">
        <v>8614.5</v>
      </c>
      <c r="E695" s="15">
        <v>11626.97</v>
      </c>
      <c r="F695" s="15">
        <v>5882.3</v>
      </c>
      <c r="G695" s="15">
        <v>9443.58</v>
      </c>
      <c r="H695" s="15">
        <v>730.65</v>
      </c>
      <c r="I695" s="15">
        <v>36298</v>
      </c>
      <c r="J695" s="15">
        <v>27683.49</v>
      </c>
      <c r="K695" s="19">
        <v>0.78449954405052291</v>
      </c>
    </row>
    <row r="696" spans="1:11" x14ac:dyDescent="0.3">
      <c r="A696" s="9" t="s">
        <v>191</v>
      </c>
      <c r="B696" s="20">
        <v>45961</v>
      </c>
      <c r="C696" s="9" t="s">
        <v>205</v>
      </c>
      <c r="D696" s="15">
        <v>29985.040000000001</v>
      </c>
      <c r="E696" s="15">
        <v>7368.79</v>
      </c>
      <c r="F696" s="15">
        <v>4504.87</v>
      </c>
      <c r="G696" s="15">
        <v>3482.73</v>
      </c>
      <c r="H696" s="15">
        <v>19646.34</v>
      </c>
      <c r="I696" s="15">
        <v>64987.77</v>
      </c>
      <c r="J696" s="15">
        <v>35002.730000000003</v>
      </c>
      <c r="K696" s="19">
        <v>0.78449954405052291</v>
      </c>
    </row>
    <row r="697" spans="1:11" x14ac:dyDescent="0.3">
      <c r="A697" s="9" t="s">
        <v>191</v>
      </c>
      <c r="B697" s="20">
        <v>45961</v>
      </c>
      <c r="C697" s="9" t="s">
        <v>225</v>
      </c>
      <c r="D697" s="15">
        <v>19007.04</v>
      </c>
      <c r="E697" s="15">
        <v>7446.69</v>
      </c>
      <c r="F697" s="15">
        <v>6674.07</v>
      </c>
      <c r="G697" s="15">
        <v>18677.8</v>
      </c>
      <c r="H697" s="15">
        <v>17824.86</v>
      </c>
      <c r="I697" s="15">
        <v>69630.47</v>
      </c>
      <c r="J697" s="15">
        <v>50623.42</v>
      </c>
      <c r="K697" s="19">
        <v>0.78449954405052291</v>
      </c>
    </row>
    <row r="698" spans="1:11" x14ac:dyDescent="0.3">
      <c r="A698" s="9" t="s">
        <v>191</v>
      </c>
      <c r="B698" s="20">
        <v>45961</v>
      </c>
      <c r="C698" s="9" t="s">
        <v>224</v>
      </c>
      <c r="D698" s="15">
        <v>36745.879999999997</v>
      </c>
      <c r="E698" s="15">
        <v>16601.43</v>
      </c>
      <c r="F698" s="15">
        <v>7362.98</v>
      </c>
      <c r="G698" s="15">
        <v>8520.67</v>
      </c>
      <c r="H698" s="15">
        <v>14821.94</v>
      </c>
      <c r="I698" s="15">
        <v>84052.9</v>
      </c>
      <c r="J698" s="15">
        <v>47307.02</v>
      </c>
      <c r="K698" s="19">
        <v>0.78449954405052291</v>
      </c>
    </row>
    <row r="699" spans="1:11" x14ac:dyDescent="0.3">
      <c r="A699" s="9" t="s">
        <v>191</v>
      </c>
      <c r="B699" s="20">
        <v>45961</v>
      </c>
      <c r="C699" s="9" t="s">
        <v>206</v>
      </c>
      <c r="D699" s="15">
        <v>7635.47</v>
      </c>
      <c r="E699" s="15">
        <v>3533.6</v>
      </c>
      <c r="F699" s="15">
        <v>4455.93</v>
      </c>
      <c r="G699" s="15">
        <v>2857.32</v>
      </c>
      <c r="H699" s="15">
        <v>344.19</v>
      </c>
      <c r="I699" s="15">
        <v>18826.5</v>
      </c>
      <c r="J699" s="15">
        <v>11191.03</v>
      </c>
      <c r="K699" s="19">
        <v>0.78449954405052291</v>
      </c>
    </row>
    <row r="700" spans="1:11" x14ac:dyDescent="0.3">
      <c r="A700" s="9" t="s">
        <v>191</v>
      </c>
      <c r="B700" s="20">
        <v>45961</v>
      </c>
      <c r="C700" s="9" t="s">
        <v>211</v>
      </c>
      <c r="D700" s="15">
        <v>11641.38</v>
      </c>
      <c r="E700" s="15">
        <v>2858.56</v>
      </c>
      <c r="F700" s="15">
        <v>3093.7</v>
      </c>
      <c r="G700" s="15">
        <v>2265.63</v>
      </c>
      <c r="H700" s="15">
        <v>4601.8999999999996</v>
      </c>
      <c r="I700" s="15">
        <v>24461.16</v>
      </c>
      <c r="J700" s="15">
        <v>12819.78</v>
      </c>
      <c r="K700" s="19">
        <v>0.78449954405052291</v>
      </c>
    </row>
    <row r="701" spans="1:11" x14ac:dyDescent="0.3">
      <c r="A701" s="9" t="s">
        <v>191</v>
      </c>
      <c r="B701" s="20">
        <v>45961</v>
      </c>
      <c r="C701" s="9" t="s">
        <v>223</v>
      </c>
      <c r="D701" s="15">
        <v>26069.33</v>
      </c>
      <c r="E701" s="15">
        <v>13375.37</v>
      </c>
      <c r="F701" s="15">
        <v>16093.37</v>
      </c>
      <c r="G701" s="15">
        <v>1933.32</v>
      </c>
      <c r="H701" s="15">
        <v>21906.14</v>
      </c>
      <c r="I701" s="15">
        <v>79377.53</v>
      </c>
      <c r="J701" s="15">
        <v>53308.2</v>
      </c>
      <c r="K701" s="19">
        <v>0.78449954405052291</v>
      </c>
    </row>
    <row r="702" spans="1:11" x14ac:dyDescent="0.3">
      <c r="A702" s="9" t="s">
        <v>191</v>
      </c>
      <c r="B702" s="20">
        <v>45991</v>
      </c>
      <c r="C702" s="9" t="s">
        <v>222</v>
      </c>
      <c r="D702" s="15">
        <v>17396.22</v>
      </c>
      <c r="E702" s="15">
        <v>16540.240000000002</v>
      </c>
      <c r="F702" s="15">
        <v>9073.42</v>
      </c>
      <c r="G702" s="15">
        <v>6869.07</v>
      </c>
      <c r="H702" s="15">
        <v>8625.2099999999991</v>
      </c>
      <c r="I702" s="15">
        <v>58504.14</v>
      </c>
      <c r="J702" s="15">
        <v>41107.93</v>
      </c>
      <c r="K702" s="19">
        <v>0.78530864530509392</v>
      </c>
    </row>
    <row r="703" spans="1:11" x14ac:dyDescent="0.3">
      <c r="A703" s="9" t="s">
        <v>191</v>
      </c>
      <c r="B703" s="20">
        <v>45991</v>
      </c>
      <c r="C703" s="9" t="s">
        <v>235</v>
      </c>
      <c r="D703" s="15">
        <v>26678.38</v>
      </c>
      <c r="E703" s="15">
        <v>20572.240000000002</v>
      </c>
      <c r="F703" s="15">
        <v>3735.77</v>
      </c>
      <c r="G703" s="15">
        <v>4812.96</v>
      </c>
      <c r="H703" s="15">
        <v>6065.6</v>
      </c>
      <c r="I703" s="15">
        <v>61864.95</v>
      </c>
      <c r="J703" s="15">
        <v>35186.57</v>
      </c>
      <c r="K703" s="19">
        <v>0.78530864530509392</v>
      </c>
    </row>
    <row r="704" spans="1:11" x14ac:dyDescent="0.3">
      <c r="A704" s="9" t="s">
        <v>191</v>
      </c>
      <c r="B704" s="20">
        <v>45991</v>
      </c>
      <c r="C704" s="9" t="s">
        <v>234</v>
      </c>
      <c r="D704" s="15">
        <v>5974.63</v>
      </c>
      <c r="E704" s="15">
        <v>4081.93</v>
      </c>
      <c r="F704" s="15">
        <v>1498.35</v>
      </c>
      <c r="G704" s="15">
        <v>1302.1600000000001</v>
      </c>
      <c r="H704" s="15">
        <v>315.12</v>
      </c>
      <c r="I704" s="15">
        <v>13172.19</v>
      </c>
      <c r="J704" s="15">
        <v>7197.56</v>
      </c>
      <c r="K704" s="19">
        <v>0.78530864530509392</v>
      </c>
    </row>
    <row r="705" spans="1:11" x14ac:dyDescent="0.3">
      <c r="A705" s="9" t="s">
        <v>191</v>
      </c>
      <c r="B705" s="20">
        <v>45991</v>
      </c>
      <c r="C705" s="9" t="s">
        <v>219</v>
      </c>
      <c r="D705" s="15">
        <v>7499.25</v>
      </c>
      <c r="E705" s="15">
        <v>3381.36</v>
      </c>
      <c r="F705" s="15">
        <v>198.48</v>
      </c>
      <c r="G705" s="15">
        <v>3858.24</v>
      </c>
      <c r="H705" s="15">
        <v>266.17</v>
      </c>
      <c r="I705" s="15">
        <v>15203.5</v>
      </c>
      <c r="J705" s="15">
        <v>7704.25</v>
      </c>
      <c r="K705" s="19">
        <v>0.78530864530509392</v>
      </c>
    </row>
    <row r="706" spans="1:11" x14ac:dyDescent="0.3">
      <c r="A706" s="9" t="s">
        <v>191</v>
      </c>
      <c r="B706" s="20">
        <v>45991</v>
      </c>
      <c r="C706" s="9" t="s">
        <v>233</v>
      </c>
      <c r="D706" s="15">
        <v>744.03</v>
      </c>
      <c r="E706" s="15">
        <v>447.69</v>
      </c>
      <c r="F706" s="15">
        <v>600.55999999999995</v>
      </c>
      <c r="G706" s="15">
        <v>435.66</v>
      </c>
      <c r="H706" s="15">
        <v>52.2</v>
      </c>
      <c r="I706" s="15">
        <v>2280.14</v>
      </c>
      <c r="J706" s="15">
        <v>1536.11</v>
      </c>
      <c r="K706" s="19">
        <v>0.78530864530509392</v>
      </c>
    </row>
    <row r="707" spans="1:11" x14ac:dyDescent="0.3">
      <c r="A707" s="9" t="s">
        <v>191</v>
      </c>
      <c r="B707" s="20">
        <v>45991</v>
      </c>
      <c r="C707" s="9" t="s">
        <v>232</v>
      </c>
      <c r="D707" s="15">
        <v>12611.19</v>
      </c>
      <c r="E707" s="15">
        <v>6487.2</v>
      </c>
      <c r="F707" s="15">
        <v>9000.0499999999993</v>
      </c>
      <c r="G707" s="15">
        <v>3458.66</v>
      </c>
      <c r="H707" s="15">
        <v>9187.19</v>
      </c>
      <c r="I707" s="15">
        <v>40744.300000000003</v>
      </c>
      <c r="J707" s="15">
        <v>28133.11</v>
      </c>
      <c r="K707" s="19">
        <v>0.78530864530509392</v>
      </c>
    </row>
    <row r="708" spans="1:11" x14ac:dyDescent="0.3">
      <c r="A708" s="9" t="s">
        <v>191</v>
      </c>
      <c r="B708" s="20">
        <v>45991</v>
      </c>
      <c r="C708" s="9" t="s">
        <v>231</v>
      </c>
      <c r="D708" s="15">
        <v>13789.43</v>
      </c>
      <c r="E708" s="15">
        <v>2476.7600000000002</v>
      </c>
      <c r="F708" s="15">
        <v>4131.5</v>
      </c>
      <c r="G708" s="15">
        <v>5442.96</v>
      </c>
      <c r="H708" s="15">
        <v>2092.0700000000002</v>
      </c>
      <c r="I708" s="15">
        <v>27932.71</v>
      </c>
      <c r="J708" s="15">
        <v>14143.29</v>
      </c>
      <c r="K708" s="19">
        <v>0.78530864530509392</v>
      </c>
    </row>
    <row r="709" spans="1:11" x14ac:dyDescent="0.3">
      <c r="A709" s="9" t="s">
        <v>191</v>
      </c>
      <c r="B709" s="20">
        <v>45991</v>
      </c>
      <c r="C709" s="9" t="s">
        <v>230</v>
      </c>
      <c r="D709" s="15">
        <v>12702.81</v>
      </c>
      <c r="E709" s="15">
        <v>7073.32</v>
      </c>
      <c r="F709" s="15">
        <v>2569.37</v>
      </c>
      <c r="G709" s="15">
        <v>10377.66</v>
      </c>
      <c r="H709" s="15">
        <v>1314.43</v>
      </c>
      <c r="I709" s="15">
        <v>34037.589999999997</v>
      </c>
      <c r="J709" s="15">
        <v>21334.78</v>
      </c>
      <c r="K709" s="19">
        <v>0.78530864530509392</v>
      </c>
    </row>
    <row r="710" spans="1:11" x14ac:dyDescent="0.3">
      <c r="A710" s="9" t="s">
        <v>191</v>
      </c>
      <c r="B710" s="20">
        <v>45991</v>
      </c>
      <c r="C710" s="9" t="s">
        <v>229</v>
      </c>
      <c r="D710" s="15">
        <v>13472.57</v>
      </c>
      <c r="E710" s="15">
        <v>25429.08</v>
      </c>
      <c r="F710" s="15">
        <v>4878.7</v>
      </c>
      <c r="G710" s="15">
        <v>2390.34</v>
      </c>
      <c r="H710" s="15">
        <v>3261.4</v>
      </c>
      <c r="I710" s="15">
        <v>49432.09</v>
      </c>
      <c r="J710" s="15">
        <v>35959.53</v>
      </c>
      <c r="K710" s="19">
        <v>0.78530864530509392</v>
      </c>
    </row>
    <row r="711" spans="1:11" x14ac:dyDescent="0.3">
      <c r="A711" s="9" t="s">
        <v>191</v>
      </c>
      <c r="B711" s="20">
        <v>45991</v>
      </c>
      <c r="C711" s="9" t="s">
        <v>228</v>
      </c>
      <c r="D711" s="15">
        <v>16383.39</v>
      </c>
      <c r="E711" s="15">
        <v>2047.92</v>
      </c>
      <c r="F711" s="15">
        <v>15704.68</v>
      </c>
      <c r="G711" s="15">
        <v>2541.86</v>
      </c>
      <c r="H711" s="15">
        <v>1954.98</v>
      </c>
      <c r="I711" s="15">
        <v>38632.82</v>
      </c>
      <c r="J711" s="15">
        <v>22249.439999999999</v>
      </c>
      <c r="K711" s="19">
        <v>0.78530864530509392</v>
      </c>
    </row>
    <row r="712" spans="1:11" x14ac:dyDescent="0.3">
      <c r="A712" s="9" t="s">
        <v>191</v>
      </c>
      <c r="B712" s="20">
        <v>45991</v>
      </c>
      <c r="C712" s="9" t="s">
        <v>203</v>
      </c>
      <c r="D712" s="15">
        <v>4485.88</v>
      </c>
      <c r="E712" s="15">
        <v>4823.3599999999997</v>
      </c>
      <c r="F712" s="15">
        <v>704.01</v>
      </c>
      <c r="G712" s="15">
        <v>4005.69</v>
      </c>
      <c r="H712" s="15">
        <v>1766.22</v>
      </c>
      <c r="I712" s="15">
        <v>15785.16</v>
      </c>
      <c r="J712" s="15">
        <v>11299.28</v>
      </c>
      <c r="K712" s="19">
        <v>0.78530864530509392</v>
      </c>
    </row>
    <row r="713" spans="1:11" x14ac:dyDescent="0.3">
      <c r="A713" s="9" t="s">
        <v>191</v>
      </c>
      <c r="B713" s="20">
        <v>45991</v>
      </c>
      <c r="C713" s="9" t="s">
        <v>216</v>
      </c>
      <c r="D713" s="15">
        <v>5904.21</v>
      </c>
      <c r="E713" s="15">
        <v>1629.26</v>
      </c>
      <c r="F713" s="15">
        <v>2711.63</v>
      </c>
      <c r="G713" s="15">
        <v>1830.72</v>
      </c>
      <c r="H713" s="15">
        <v>2882.82</v>
      </c>
      <c r="I713" s="15">
        <v>14958.65</v>
      </c>
      <c r="J713" s="15">
        <v>9054.44</v>
      </c>
      <c r="K713" s="19">
        <v>0.78530864530509392</v>
      </c>
    </row>
    <row r="714" spans="1:11" x14ac:dyDescent="0.3">
      <c r="A714" s="9" t="s">
        <v>191</v>
      </c>
      <c r="B714" s="20">
        <v>45991</v>
      </c>
      <c r="C714" s="9" t="s">
        <v>227</v>
      </c>
      <c r="D714" s="15">
        <v>18123.23</v>
      </c>
      <c r="E714" s="15">
        <v>1798.77</v>
      </c>
      <c r="F714" s="15">
        <v>4724.67</v>
      </c>
      <c r="G714" s="15">
        <v>6153.41</v>
      </c>
      <c r="H714" s="15">
        <v>27923.7</v>
      </c>
      <c r="I714" s="15">
        <v>58723.79</v>
      </c>
      <c r="J714" s="15">
        <v>40600.559999999998</v>
      </c>
      <c r="K714" s="19">
        <v>0.78530864530509392</v>
      </c>
    </row>
    <row r="715" spans="1:11" x14ac:dyDescent="0.3">
      <c r="A715" s="9" t="s">
        <v>191</v>
      </c>
      <c r="B715" s="20">
        <v>45991</v>
      </c>
      <c r="C715" s="9" t="s">
        <v>226</v>
      </c>
      <c r="D715" s="15">
        <v>18832.2</v>
      </c>
      <c r="E715" s="15">
        <v>14371.54</v>
      </c>
      <c r="F715" s="15">
        <v>6989.4</v>
      </c>
      <c r="G715" s="15">
        <v>3295.02</v>
      </c>
      <c r="H715" s="15">
        <v>9773.7999999999993</v>
      </c>
      <c r="I715" s="15">
        <v>53261.96</v>
      </c>
      <c r="J715" s="15">
        <v>34429.760000000002</v>
      </c>
      <c r="K715" s="19">
        <v>0.78530864530509392</v>
      </c>
    </row>
    <row r="716" spans="1:11" x14ac:dyDescent="0.3">
      <c r="A716" s="9" t="s">
        <v>191</v>
      </c>
      <c r="B716" s="20">
        <v>45991</v>
      </c>
      <c r="C716" s="9" t="s">
        <v>205</v>
      </c>
      <c r="D716" s="15">
        <v>13219.23</v>
      </c>
      <c r="E716" s="15">
        <v>2537.9699999999998</v>
      </c>
      <c r="F716" s="15">
        <v>2842.2</v>
      </c>
      <c r="G716" s="15">
        <v>3145.31</v>
      </c>
      <c r="H716" s="15">
        <v>5950.29</v>
      </c>
      <c r="I716" s="15">
        <v>27695.01</v>
      </c>
      <c r="J716" s="15">
        <v>14475.78</v>
      </c>
      <c r="K716" s="19">
        <v>0.78530864530509392</v>
      </c>
    </row>
    <row r="717" spans="1:11" x14ac:dyDescent="0.3">
      <c r="A717" s="9" t="s">
        <v>191</v>
      </c>
      <c r="B717" s="20">
        <v>45991</v>
      </c>
      <c r="C717" s="9" t="s">
        <v>225</v>
      </c>
      <c r="D717" s="15">
        <v>20621.349999999999</v>
      </c>
      <c r="E717" s="15">
        <v>22344.26</v>
      </c>
      <c r="F717" s="15">
        <v>5276.21</v>
      </c>
      <c r="G717" s="15">
        <v>8591.99</v>
      </c>
      <c r="H717" s="15">
        <v>10250.629999999999</v>
      </c>
      <c r="I717" s="15">
        <v>67084.44</v>
      </c>
      <c r="J717" s="15">
        <v>46463.09</v>
      </c>
      <c r="K717" s="19">
        <v>0.78530864530509392</v>
      </c>
    </row>
    <row r="718" spans="1:11" x14ac:dyDescent="0.3">
      <c r="A718" s="9" t="s">
        <v>191</v>
      </c>
      <c r="B718" s="20">
        <v>45991</v>
      </c>
      <c r="C718" s="9" t="s">
        <v>224</v>
      </c>
      <c r="D718" s="15">
        <v>13998.5</v>
      </c>
      <c r="E718" s="15">
        <v>10281.01</v>
      </c>
      <c r="F718" s="15">
        <v>2403.52</v>
      </c>
      <c r="G718" s="15">
        <v>4273.1400000000003</v>
      </c>
      <c r="H718" s="15">
        <v>5689.37</v>
      </c>
      <c r="I718" s="15">
        <v>36645.53</v>
      </c>
      <c r="J718" s="15">
        <v>22647.03</v>
      </c>
      <c r="K718" s="19">
        <v>0.78530864530509392</v>
      </c>
    </row>
    <row r="719" spans="1:11" x14ac:dyDescent="0.3">
      <c r="A719" s="9" t="s">
        <v>191</v>
      </c>
      <c r="B719" s="20">
        <v>45991</v>
      </c>
      <c r="C719" s="9" t="s">
        <v>206</v>
      </c>
      <c r="D719" s="15">
        <v>22612.43</v>
      </c>
      <c r="E719" s="15">
        <v>13594.87</v>
      </c>
      <c r="F719" s="15">
        <v>3029.9</v>
      </c>
      <c r="G719" s="15">
        <v>5751.33</v>
      </c>
      <c r="H719" s="15">
        <v>7989.7</v>
      </c>
      <c r="I719" s="15">
        <v>52978.239999999998</v>
      </c>
      <c r="J719" s="15">
        <v>30365.81</v>
      </c>
      <c r="K719" s="19">
        <v>0.78530864530509392</v>
      </c>
    </row>
    <row r="720" spans="1:11" x14ac:dyDescent="0.3">
      <c r="A720" s="9" t="s">
        <v>191</v>
      </c>
      <c r="B720" s="20">
        <v>45991</v>
      </c>
      <c r="C720" s="9" t="s">
        <v>211</v>
      </c>
      <c r="D720" s="15">
        <v>33549.33</v>
      </c>
      <c r="E720" s="15">
        <v>9557.67</v>
      </c>
      <c r="F720" s="15">
        <v>29066.27</v>
      </c>
      <c r="G720" s="15">
        <v>1875.85</v>
      </c>
      <c r="H720" s="15">
        <v>2338.9299999999998</v>
      </c>
      <c r="I720" s="15">
        <v>76388.05</v>
      </c>
      <c r="J720" s="15">
        <v>42838.720000000001</v>
      </c>
      <c r="K720" s="19">
        <v>0.78530864530509392</v>
      </c>
    </row>
    <row r="721" spans="1:11" x14ac:dyDescent="0.3">
      <c r="A721" s="9" t="s">
        <v>191</v>
      </c>
      <c r="B721" s="20">
        <v>45991</v>
      </c>
      <c r="C721" s="9" t="s">
        <v>223</v>
      </c>
      <c r="D721" s="15">
        <v>4080.28</v>
      </c>
      <c r="E721" s="15">
        <v>2326.39</v>
      </c>
      <c r="F721" s="15">
        <v>1515.52</v>
      </c>
      <c r="G721" s="15">
        <v>29.51</v>
      </c>
      <c r="H721" s="15">
        <v>468.94</v>
      </c>
      <c r="I721" s="15">
        <v>8420.65</v>
      </c>
      <c r="J721" s="15">
        <v>4340.37</v>
      </c>
      <c r="K721" s="19">
        <v>0.78530864530509392</v>
      </c>
    </row>
    <row r="722" spans="1:11" x14ac:dyDescent="0.3">
      <c r="A722" s="9" t="s">
        <v>193</v>
      </c>
      <c r="B722" s="20">
        <v>45657</v>
      </c>
      <c r="C722" s="9" t="s">
        <v>222</v>
      </c>
      <c r="D722" s="15">
        <v>40627.56</v>
      </c>
      <c r="E722" s="15">
        <v>22426.84</v>
      </c>
      <c r="F722" s="15">
        <v>15750.28</v>
      </c>
      <c r="G722" s="15">
        <v>24693.82</v>
      </c>
      <c r="H722" s="15">
        <v>9347.11</v>
      </c>
      <c r="I722" s="15">
        <v>112845.61</v>
      </c>
      <c r="J722" s="15">
        <v>72218.05</v>
      </c>
      <c r="K722" s="19">
        <v>0.7080039870017012</v>
      </c>
    </row>
    <row r="723" spans="1:11" x14ac:dyDescent="0.3">
      <c r="A723" s="9" t="s">
        <v>193</v>
      </c>
      <c r="B723" s="20">
        <v>45657</v>
      </c>
      <c r="C723" s="9" t="s">
        <v>221</v>
      </c>
      <c r="D723" s="15">
        <v>18344.2</v>
      </c>
      <c r="E723" s="15">
        <v>14222.54</v>
      </c>
      <c r="F723" s="15">
        <v>6266.71</v>
      </c>
      <c r="G723" s="15">
        <v>18466.669999999998</v>
      </c>
      <c r="H723" s="15">
        <v>2180.34</v>
      </c>
      <c r="I723" s="15">
        <v>59480.45</v>
      </c>
      <c r="J723" s="15">
        <v>41136.25</v>
      </c>
      <c r="K723" s="19">
        <v>0.7080039870017012</v>
      </c>
    </row>
    <row r="724" spans="1:11" x14ac:dyDescent="0.3">
      <c r="A724" s="9" t="s">
        <v>193</v>
      </c>
      <c r="B724" s="20">
        <v>45657</v>
      </c>
      <c r="C724" s="9" t="s">
        <v>220</v>
      </c>
      <c r="D724" s="15">
        <v>69378.66</v>
      </c>
      <c r="E724" s="15">
        <v>19101.79</v>
      </c>
      <c r="F724" s="15">
        <v>21207.07</v>
      </c>
      <c r="G724" s="15">
        <v>6483.97</v>
      </c>
      <c r="H724" s="15">
        <v>39700.47</v>
      </c>
      <c r="I724" s="15">
        <v>155871.96</v>
      </c>
      <c r="J724" s="15">
        <v>86493.29</v>
      </c>
      <c r="K724" s="19">
        <v>0.7080039870017012</v>
      </c>
    </row>
    <row r="725" spans="1:11" x14ac:dyDescent="0.3">
      <c r="A725" s="9" t="s">
        <v>193</v>
      </c>
      <c r="B725" s="20">
        <v>45657</v>
      </c>
      <c r="C725" s="9" t="s">
        <v>219</v>
      </c>
      <c r="D725" s="15">
        <v>57608.58</v>
      </c>
      <c r="E725" s="15">
        <v>18526.27</v>
      </c>
      <c r="F725" s="15">
        <v>25519.47</v>
      </c>
      <c r="G725" s="15">
        <v>15296.3</v>
      </c>
      <c r="H725" s="15">
        <v>8799.56</v>
      </c>
      <c r="I725" s="15">
        <v>125750.2</v>
      </c>
      <c r="J725" s="15">
        <v>68141.61</v>
      </c>
      <c r="K725" s="19">
        <v>0.7080039870017012</v>
      </c>
    </row>
    <row r="726" spans="1:11" x14ac:dyDescent="0.3">
      <c r="A726" s="9" t="s">
        <v>193</v>
      </c>
      <c r="B726" s="20">
        <v>45657</v>
      </c>
      <c r="C726" s="9" t="s">
        <v>218</v>
      </c>
      <c r="D726" s="15">
        <v>32886.21</v>
      </c>
      <c r="E726" s="15">
        <v>4942.12</v>
      </c>
      <c r="F726" s="15">
        <v>28550.97</v>
      </c>
      <c r="G726" s="15">
        <v>3794.85</v>
      </c>
      <c r="H726" s="15">
        <v>4498.93</v>
      </c>
      <c r="I726" s="15">
        <v>74673.08</v>
      </c>
      <c r="J726" s="15">
        <v>41786.870000000003</v>
      </c>
      <c r="K726" s="19">
        <v>0.7080039870017012</v>
      </c>
    </row>
    <row r="727" spans="1:11" x14ac:dyDescent="0.3">
      <c r="A727" s="9" t="s">
        <v>193</v>
      </c>
      <c r="B727" s="20">
        <v>45657</v>
      </c>
      <c r="C727" s="9" t="s">
        <v>217</v>
      </c>
      <c r="D727" s="15">
        <v>36780.57</v>
      </c>
      <c r="E727" s="15">
        <v>10415.14</v>
      </c>
      <c r="F727" s="15">
        <v>494.86</v>
      </c>
      <c r="G727" s="15">
        <v>21484.02</v>
      </c>
      <c r="H727" s="15">
        <v>4682.76</v>
      </c>
      <c r="I727" s="15">
        <v>73857.36</v>
      </c>
      <c r="J727" s="15">
        <v>37076.79</v>
      </c>
      <c r="K727" s="19">
        <v>0.7080039870017012</v>
      </c>
    </row>
    <row r="728" spans="1:11" x14ac:dyDescent="0.3">
      <c r="A728" s="9" t="s">
        <v>193</v>
      </c>
      <c r="B728" s="20">
        <v>45657</v>
      </c>
      <c r="C728" s="9" t="s">
        <v>216</v>
      </c>
      <c r="D728" s="15">
        <v>86132.479999999996</v>
      </c>
      <c r="E728" s="15">
        <v>37979.19</v>
      </c>
      <c r="F728" s="15">
        <v>7336.66</v>
      </c>
      <c r="G728" s="15">
        <v>40031.1</v>
      </c>
      <c r="H728" s="15">
        <v>2600.71</v>
      </c>
      <c r="I728" s="15">
        <v>174080.13</v>
      </c>
      <c r="J728" s="15">
        <v>87947.65</v>
      </c>
      <c r="K728" s="19">
        <v>0.7080039870017012</v>
      </c>
    </row>
    <row r="729" spans="1:11" x14ac:dyDescent="0.3">
      <c r="A729" s="9" t="s">
        <v>193</v>
      </c>
      <c r="B729" s="20">
        <v>45657</v>
      </c>
      <c r="C729" s="9" t="s">
        <v>215</v>
      </c>
      <c r="D729" s="15">
        <v>6979.1</v>
      </c>
      <c r="E729" s="15">
        <v>3718.21</v>
      </c>
      <c r="F729" s="15">
        <v>901.43</v>
      </c>
      <c r="G729" s="15">
        <v>2256.29</v>
      </c>
      <c r="H729" s="15">
        <v>1014.59</v>
      </c>
      <c r="I729" s="15">
        <v>14869.61</v>
      </c>
      <c r="J729" s="15">
        <v>7890.51</v>
      </c>
      <c r="K729" s="19">
        <v>0.7080039870017012</v>
      </c>
    </row>
    <row r="730" spans="1:11" x14ac:dyDescent="0.3">
      <c r="A730" s="9" t="s">
        <v>193</v>
      </c>
      <c r="B730" s="20">
        <v>45657</v>
      </c>
      <c r="C730" s="9" t="s">
        <v>214</v>
      </c>
      <c r="D730" s="15">
        <v>18357.93</v>
      </c>
      <c r="E730" s="15">
        <v>24183.88</v>
      </c>
      <c r="F730" s="15">
        <v>10121.14</v>
      </c>
      <c r="G730" s="15">
        <v>22865.08</v>
      </c>
      <c r="H730" s="15">
        <v>3346.57</v>
      </c>
      <c r="I730" s="15">
        <v>78874.61</v>
      </c>
      <c r="J730" s="15">
        <v>60516.68</v>
      </c>
      <c r="K730" s="19">
        <v>0.7080039870017012</v>
      </c>
    </row>
    <row r="731" spans="1:11" x14ac:dyDescent="0.3">
      <c r="A731" s="9" t="s">
        <v>193</v>
      </c>
      <c r="B731" s="20">
        <v>45657</v>
      </c>
      <c r="C731" s="9" t="s">
        <v>213</v>
      </c>
      <c r="D731" s="15">
        <v>18651.02</v>
      </c>
      <c r="E731" s="15">
        <v>6171.29</v>
      </c>
      <c r="F731" s="15">
        <v>9414.07</v>
      </c>
      <c r="G731" s="15">
        <v>2869.93</v>
      </c>
      <c r="H731" s="15">
        <v>6926.43</v>
      </c>
      <c r="I731" s="15">
        <v>44032.74</v>
      </c>
      <c r="J731" s="15">
        <v>25381.72</v>
      </c>
      <c r="K731" s="19">
        <v>0.7080039870017012</v>
      </c>
    </row>
    <row r="732" spans="1:11" x14ac:dyDescent="0.3">
      <c r="A732" s="9" t="s">
        <v>193</v>
      </c>
      <c r="B732" s="20">
        <v>45657</v>
      </c>
      <c r="C732" s="9" t="s">
        <v>212</v>
      </c>
      <c r="D732" s="15">
        <v>72403.45</v>
      </c>
      <c r="E732" s="15">
        <v>23076.06</v>
      </c>
      <c r="F732" s="15">
        <v>40340.65</v>
      </c>
      <c r="G732" s="15">
        <v>26038.18</v>
      </c>
      <c r="H732" s="15">
        <v>9162.2000000000007</v>
      </c>
      <c r="I732" s="15">
        <v>171020.54</v>
      </c>
      <c r="J732" s="15">
        <v>98617.08</v>
      </c>
      <c r="K732" s="19">
        <v>0.7080039870017012</v>
      </c>
    </row>
    <row r="733" spans="1:11" x14ac:dyDescent="0.3">
      <c r="A733" s="9" t="s">
        <v>193</v>
      </c>
      <c r="B733" s="20">
        <v>45657</v>
      </c>
      <c r="C733" s="9" t="s">
        <v>211</v>
      </c>
      <c r="D733" s="15">
        <v>13874.11</v>
      </c>
      <c r="E733" s="15">
        <v>10874.51</v>
      </c>
      <c r="F733" s="15">
        <v>3784.44</v>
      </c>
      <c r="G733" s="15">
        <v>3525.21</v>
      </c>
      <c r="H733" s="15">
        <v>3506.1</v>
      </c>
      <c r="I733" s="15">
        <v>35564.379999999997</v>
      </c>
      <c r="J733" s="15">
        <v>21690.27</v>
      </c>
      <c r="K733" s="19">
        <v>0.7080039870017012</v>
      </c>
    </row>
    <row r="734" spans="1:11" x14ac:dyDescent="0.3">
      <c r="A734" s="9" t="s">
        <v>193</v>
      </c>
      <c r="B734" s="20">
        <v>45657</v>
      </c>
      <c r="C734" s="9" t="s">
        <v>210</v>
      </c>
      <c r="D734" s="15">
        <v>59907.9</v>
      </c>
      <c r="E734" s="15">
        <v>35802.46</v>
      </c>
      <c r="F734" s="15">
        <v>3317.64</v>
      </c>
      <c r="G734" s="15">
        <v>23186.63</v>
      </c>
      <c r="H734" s="15">
        <v>4454.2700000000004</v>
      </c>
      <c r="I734" s="15">
        <v>126668.9</v>
      </c>
      <c r="J734" s="15">
        <v>66760.990000000005</v>
      </c>
      <c r="K734" s="19">
        <v>0.7080039870017012</v>
      </c>
    </row>
    <row r="735" spans="1:11" x14ac:dyDescent="0.3">
      <c r="A735" s="9" t="s">
        <v>193</v>
      </c>
      <c r="B735" s="20">
        <v>45657</v>
      </c>
      <c r="C735" s="9" t="s">
        <v>209</v>
      </c>
      <c r="D735" s="15">
        <v>23167.77</v>
      </c>
      <c r="E735" s="15">
        <v>15133.64</v>
      </c>
      <c r="F735" s="15">
        <v>18851.53</v>
      </c>
      <c r="G735" s="15">
        <v>2651.46</v>
      </c>
      <c r="H735" s="15">
        <v>24825.46</v>
      </c>
      <c r="I735" s="15">
        <v>84629.87</v>
      </c>
      <c r="J735" s="15">
        <v>61462.1</v>
      </c>
      <c r="K735" s="19">
        <v>0.7080039870017012</v>
      </c>
    </row>
    <row r="736" spans="1:11" x14ac:dyDescent="0.3">
      <c r="A736" s="9" t="s">
        <v>193</v>
      </c>
      <c r="B736" s="20">
        <v>45657</v>
      </c>
      <c r="C736" s="9" t="s">
        <v>208</v>
      </c>
      <c r="D736" s="15">
        <v>50511.54</v>
      </c>
      <c r="E736" s="15">
        <v>23388.54</v>
      </c>
      <c r="F736" s="15">
        <v>59088.2</v>
      </c>
      <c r="G736" s="15">
        <v>12728.02</v>
      </c>
      <c r="H736" s="15">
        <v>22060.54</v>
      </c>
      <c r="I736" s="15">
        <v>167776.84</v>
      </c>
      <c r="J736" s="15">
        <v>117265.3</v>
      </c>
      <c r="K736" s="19">
        <v>0.7080039870017012</v>
      </c>
    </row>
    <row r="737" spans="1:11" x14ac:dyDescent="0.3">
      <c r="A737" s="9" t="s">
        <v>193</v>
      </c>
      <c r="B737" s="20">
        <v>45657</v>
      </c>
      <c r="C737" s="9" t="s">
        <v>207</v>
      </c>
      <c r="D737" s="15">
        <v>61866.78</v>
      </c>
      <c r="E737" s="15">
        <v>36398.370000000003</v>
      </c>
      <c r="F737" s="15">
        <v>9935.1200000000008</v>
      </c>
      <c r="G737" s="15">
        <v>6163.25</v>
      </c>
      <c r="H737" s="15">
        <v>11789.7</v>
      </c>
      <c r="I737" s="15">
        <v>126153.22</v>
      </c>
      <c r="J737" s="15">
        <v>64286.44</v>
      </c>
      <c r="K737" s="19">
        <v>0.7080039870017012</v>
      </c>
    </row>
    <row r="738" spans="1:11" x14ac:dyDescent="0.3">
      <c r="A738" s="9" t="s">
        <v>193</v>
      </c>
      <c r="B738" s="20">
        <v>45657</v>
      </c>
      <c r="C738" s="9" t="s">
        <v>206</v>
      </c>
      <c r="D738" s="15">
        <v>33787.78</v>
      </c>
      <c r="E738" s="15">
        <v>26794.7</v>
      </c>
      <c r="F738" s="15">
        <v>14335.15</v>
      </c>
      <c r="G738" s="15">
        <v>12206.3</v>
      </c>
      <c r="H738" s="15">
        <v>14448.99</v>
      </c>
      <c r="I738" s="15">
        <v>101572.93</v>
      </c>
      <c r="J738" s="15">
        <v>67785.149999999994</v>
      </c>
      <c r="K738" s="19">
        <v>0.7080039870017012</v>
      </c>
    </row>
    <row r="739" spans="1:11" x14ac:dyDescent="0.3">
      <c r="A739" s="9" t="s">
        <v>193</v>
      </c>
      <c r="B739" s="20">
        <v>45657</v>
      </c>
      <c r="C739" s="9" t="s">
        <v>205</v>
      </c>
      <c r="D739" s="15">
        <v>52446.3</v>
      </c>
      <c r="E739" s="15">
        <v>21812.37</v>
      </c>
      <c r="F739" s="15">
        <v>6813.75</v>
      </c>
      <c r="G739" s="15">
        <v>47603.93</v>
      </c>
      <c r="H739" s="15">
        <v>43915.57</v>
      </c>
      <c r="I739" s="15">
        <v>172591.92</v>
      </c>
      <c r="J739" s="15">
        <v>120145.62</v>
      </c>
      <c r="K739" s="19">
        <v>0.7080039870017012</v>
      </c>
    </row>
    <row r="740" spans="1:11" x14ac:dyDescent="0.3">
      <c r="A740" s="9" t="s">
        <v>193</v>
      </c>
      <c r="B740" s="20">
        <v>45657</v>
      </c>
      <c r="C740" s="9" t="s">
        <v>204</v>
      </c>
      <c r="D740" s="15">
        <v>11249.42</v>
      </c>
      <c r="E740" s="15">
        <v>23328.85</v>
      </c>
      <c r="F740" s="15">
        <v>5559.82</v>
      </c>
      <c r="G740" s="15">
        <v>5719.24</v>
      </c>
      <c r="H740" s="15">
        <v>513.80999999999995</v>
      </c>
      <c r="I740" s="15">
        <v>46371.15</v>
      </c>
      <c r="J740" s="15">
        <v>35121.72</v>
      </c>
      <c r="K740" s="19">
        <v>0.7080039870017012</v>
      </c>
    </row>
    <row r="741" spans="1:11" x14ac:dyDescent="0.3">
      <c r="A741" s="9" t="s">
        <v>193</v>
      </c>
      <c r="B741" s="20">
        <v>45657</v>
      </c>
      <c r="C741" s="9" t="s">
        <v>203</v>
      </c>
      <c r="D741" s="15">
        <v>16816.23</v>
      </c>
      <c r="E741" s="15">
        <v>12342.3</v>
      </c>
      <c r="F741" s="15">
        <v>3134.47</v>
      </c>
      <c r="G741" s="15">
        <v>8693.08</v>
      </c>
      <c r="H741" s="15">
        <v>3610.48</v>
      </c>
      <c r="I741" s="15">
        <v>44596.56</v>
      </c>
      <c r="J741" s="15">
        <v>27780.34</v>
      </c>
      <c r="K741" s="19">
        <v>0.7080039870017012</v>
      </c>
    </row>
    <row r="742" spans="1:11" x14ac:dyDescent="0.3">
      <c r="A742" s="9" t="s">
        <v>193</v>
      </c>
      <c r="B742" s="20">
        <v>45688</v>
      </c>
      <c r="C742" s="9" t="s">
        <v>222</v>
      </c>
      <c r="D742" s="15">
        <v>5598.16</v>
      </c>
      <c r="E742" s="15">
        <v>1784.76</v>
      </c>
      <c r="F742" s="15">
        <v>780.5</v>
      </c>
      <c r="G742" s="15">
        <v>2882.63</v>
      </c>
      <c r="H742" s="15">
        <v>595.04</v>
      </c>
      <c r="I742" s="15">
        <v>11641.1</v>
      </c>
      <c r="J742" s="15">
        <v>6042.94</v>
      </c>
      <c r="K742" s="19">
        <v>0.76467193113366205</v>
      </c>
    </row>
    <row r="743" spans="1:11" x14ac:dyDescent="0.3">
      <c r="A743" s="9" t="s">
        <v>193</v>
      </c>
      <c r="B743" s="20">
        <v>45688</v>
      </c>
      <c r="C743" s="9" t="s">
        <v>221</v>
      </c>
      <c r="D743" s="15">
        <v>32953.82</v>
      </c>
      <c r="E743" s="15">
        <v>19071.099999999999</v>
      </c>
      <c r="F743" s="15">
        <v>28263.95</v>
      </c>
      <c r="G743" s="15">
        <v>12253.3</v>
      </c>
      <c r="H743" s="15">
        <v>25367.24</v>
      </c>
      <c r="I743" s="15">
        <v>117909.41</v>
      </c>
      <c r="J743" s="15">
        <v>84955.59</v>
      </c>
      <c r="K743" s="19">
        <v>0.76467193113366205</v>
      </c>
    </row>
    <row r="744" spans="1:11" x14ac:dyDescent="0.3">
      <c r="A744" s="9" t="s">
        <v>193</v>
      </c>
      <c r="B744" s="20">
        <v>45688</v>
      </c>
      <c r="C744" s="9" t="s">
        <v>220</v>
      </c>
      <c r="D744" s="15">
        <v>30465.06</v>
      </c>
      <c r="E744" s="15">
        <v>8280.91</v>
      </c>
      <c r="F744" s="15">
        <v>14809.43</v>
      </c>
      <c r="G744" s="15">
        <v>20417.560000000001</v>
      </c>
      <c r="H744" s="15">
        <v>44934.94</v>
      </c>
      <c r="I744" s="15">
        <v>118907.89</v>
      </c>
      <c r="J744" s="15">
        <v>88442.84</v>
      </c>
      <c r="K744" s="19">
        <v>0.76467193113366205</v>
      </c>
    </row>
    <row r="745" spans="1:11" x14ac:dyDescent="0.3">
      <c r="A745" s="9" t="s">
        <v>193</v>
      </c>
      <c r="B745" s="20">
        <v>45688</v>
      </c>
      <c r="C745" s="9" t="s">
        <v>219</v>
      </c>
      <c r="D745" s="15">
        <v>20949.87</v>
      </c>
      <c r="E745" s="15">
        <v>16272.27</v>
      </c>
      <c r="F745" s="15">
        <v>26530.13</v>
      </c>
      <c r="G745" s="15">
        <v>10658.94</v>
      </c>
      <c r="H745" s="15">
        <v>5581.82</v>
      </c>
      <c r="I745" s="15">
        <v>79993.03</v>
      </c>
      <c r="J745" s="15">
        <v>59043.16</v>
      </c>
      <c r="K745" s="19">
        <v>0.76467193113366205</v>
      </c>
    </row>
    <row r="746" spans="1:11" x14ac:dyDescent="0.3">
      <c r="A746" s="9" t="s">
        <v>193</v>
      </c>
      <c r="B746" s="20">
        <v>45688</v>
      </c>
      <c r="C746" s="9" t="s">
        <v>218</v>
      </c>
      <c r="D746" s="15">
        <v>51669.01</v>
      </c>
      <c r="E746" s="15">
        <v>19563.11</v>
      </c>
      <c r="F746" s="15">
        <v>10941.52</v>
      </c>
      <c r="G746" s="15">
        <v>30596.62</v>
      </c>
      <c r="H746" s="15">
        <v>10559.67</v>
      </c>
      <c r="I746" s="15">
        <v>123329.93</v>
      </c>
      <c r="J746" s="15">
        <v>71660.92</v>
      </c>
      <c r="K746" s="19">
        <v>0.76467193113366205</v>
      </c>
    </row>
    <row r="747" spans="1:11" x14ac:dyDescent="0.3">
      <c r="A747" s="9" t="s">
        <v>193</v>
      </c>
      <c r="B747" s="20">
        <v>45688</v>
      </c>
      <c r="C747" s="9" t="s">
        <v>217</v>
      </c>
      <c r="D747" s="15">
        <v>44652.56</v>
      </c>
      <c r="E747" s="15">
        <v>16770.900000000001</v>
      </c>
      <c r="F747" s="15">
        <v>30083.13</v>
      </c>
      <c r="G747" s="15">
        <v>8397.9500000000007</v>
      </c>
      <c r="H747" s="15">
        <v>12192.74</v>
      </c>
      <c r="I747" s="15">
        <v>112097.28</v>
      </c>
      <c r="J747" s="15">
        <v>67444.72</v>
      </c>
      <c r="K747" s="19">
        <v>0.76467193113366205</v>
      </c>
    </row>
    <row r="748" spans="1:11" x14ac:dyDescent="0.3">
      <c r="A748" s="9" t="s">
        <v>193</v>
      </c>
      <c r="B748" s="20">
        <v>45688</v>
      </c>
      <c r="C748" s="9" t="s">
        <v>216</v>
      </c>
      <c r="D748" s="15">
        <v>10456.959999999999</v>
      </c>
      <c r="E748" s="15">
        <v>4157.76</v>
      </c>
      <c r="F748" s="15">
        <v>3217.66</v>
      </c>
      <c r="G748" s="15">
        <v>991.5</v>
      </c>
      <c r="H748" s="15">
        <v>2475.04</v>
      </c>
      <c r="I748" s="15">
        <v>21298.92</v>
      </c>
      <c r="J748" s="15">
        <v>10841.96</v>
      </c>
      <c r="K748" s="19">
        <v>0.76467193113366205</v>
      </c>
    </row>
    <row r="749" spans="1:11" x14ac:dyDescent="0.3">
      <c r="A749" s="9" t="s">
        <v>193</v>
      </c>
      <c r="B749" s="20">
        <v>45688</v>
      </c>
      <c r="C749" s="9" t="s">
        <v>215</v>
      </c>
      <c r="D749" s="15">
        <v>12807.84</v>
      </c>
      <c r="E749" s="15">
        <v>5658.41</v>
      </c>
      <c r="F749" s="15">
        <v>5063.6899999999996</v>
      </c>
      <c r="G749" s="15">
        <v>1270.3399999999999</v>
      </c>
      <c r="H749" s="15">
        <v>2397.9299999999998</v>
      </c>
      <c r="I749" s="15">
        <v>27198.21</v>
      </c>
      <c r="J749" s="15">
        <v>14390.37</v>
      </c>
      <c r="K749" s="19">
        <v>0.76467193113366205</v>
      </c>
    </row>
    <row r="750" spans="1:11" x14ac:dyDescent="0.3">
      <c r="A750" s="9" t="s">
        <v>193</v>
      </c>
      <c r="B750" s="20">
        <v>45688</v>
      </c>
      <c r="C750" s="9" t="s">
        <v>214</v>
      </c>
      <c r="D750" s="15">
        <v>21252.73</v>
      </c>
      <c r="E750" s="15">
        <v>34409.21</v>
      </c>
      <c r="F750" s="15">
        <v>4678.92</v>
      </c>
      <c r="G750" s="15">
        <v>18242.48</v>
      </c>
      <c r="H750" s="15">
        <v>6896.4</v>
      </c>
      <c r="I750" s="15">
        <v>85479.73</v>
      </c>
      <c r="J750" s="15">
        <v>64227</v>
      </c>
      <c r="K750" s="19">
        <v>0.76467193113366205</v>
      </c>
    </row>
    <row r="751" spans="1:11" x14ac:dyDescent="0.3">
      <c r="A751" s="9" t="s">
        <v>193</v>
      </c>
      <c r="B751" s="20">
        <v>45688</v>
      </c>
      <c r="C751" s="9" t="s">
        <v>213</v>
      </c>
      <c r="D751" s="15">
        <v>61325.08</v>
      </c>
      <c r="E751" s="15">
        <v>28806.720000000001</v>
      </c>
      <c r="F751" s="15">
        <v>22987.38</v>
      </c>
      <c r="G751" s="15">
        <v>26710.799999999999</v>
      </c>
      <c r="H751" s="15">
        <v>29491.34</v>
      </c>
      <c r="I751" s="15">
        <v>169321.31</v>
      </c>
      <c r="J751" s="15">
        <v>107996.23</v>
      </c>
      <c r="K751" s="19">
        <v>0.76467193113366205</v>
      </c>
    </row>
    <row r="752" spans="1:11" x14ac:dyDescent="0.3">
      <c r="A752" s="9" t="s">
        <v>193</v>
      </c>
      <c r="B752" s="20">
        <v>45688</v>
      </c>
      <c r="C752" s="9" t="s">
        <v>212</v>
      </c>
      <c r="D752" s="15">
        <v>47843.79</v>
      </c>
      <c r="E752" s="15">
        <v>20877.64</v>
      </c>
      <c r="F752" s="15">
        <v>51535.5</v>
      </c>
      <c r="G752" s="15">
        <v>6912.6</v>
      </c>
      <c r="H752" s="15">
        <v>14539.52</v>
      </c>
      <c r="I752" s="15">
        <v>141709.04999999999</v>
      </c>
      <c r="J752" s="15">
        <v>93865.25</v>
      </c>
      <c r="K752" s="19">
        <v>0.76467193113366205</v>
      </c>
    </row>
    <row r="753" spans="1:11" x14ac:dyDescent="0.3">
      <c r="A753" s="9" t="s">
        <v>193</v>
      </c>
      <c r="B753" s="20">
        <v>45688</v>
      </c>
      <c r="C753" s="9" t="s">
        <v>211</v>
      </c>
      <c r="D753" s="15">
        <v>22257.61</v>
      </c>
      <c r="E753" s="15">
        <v>6261.02</v>
      </c>
      <c r="F753" s="15">
        <v>5424.77</v>
      </c>
      <c r="G753" s="15">
        <v>8739.09</v>
      </c>
      <c r="H753" s="15">
        <v>2839.87</v>
      </c>
      <c r="I753" s="15">
        <v>45522.36</v>
      </c>
      <c r="J753" s="15">
        <v>23264.75</v>
      </c>
      <c r="K753" s="19">
        <v>0.76467193113366205</v>
      </c>
    </row>
    <row r="754" spans="1:11" x14ac:dyDescent="0.3">
      <c r="A754" s="9" t="s">
        <v>193</v>
      </c>
      <c r="B754" s="20">
        <v>45688</v>
      </c>
      <c r="C754" s="9" t="s">
        <v>210</v>
      </c>
      <c r="D754" s="15">
        <v>39394.730000000003</v>
      </c>
      <c r="E754" s="15">
        <v>24726.22</v>
      </c>
      <c r="F754" s="15">
        <v>13138.38</v>
      </c>
      <c r="G754" s="15">
        <v>10457.299999999999</v>
      </c>
      <c r="H754" s="15">
        <v>5120.63</v>
      </c>
      <c r="I754" s="15">
        <v>92837.26</v>
      </c>
      <c r="J754" s="15">
        <v>53442.53</v>
      </c>
      <c r="K754" s="19">
        <v>0.76467193113366205</v>
      </c>
    </row>
    <row r="755" spans="1:11" x14ac:dyDescent="0.3">
      <c r="A755" s="9" t="s">
        <v>193</v>
      </c>
      <c r="B755" s="20">
        <v>45688</v>
      </c>
      <c r="C755" s="9" t="s">
        <v>209</v>
      </c>
      <c r="D755" s="15">
        <v>89409.11</v>
      </c>
      <c r="E755" s="15">
        <v>22154.36</v>
      </c>
      <c r="F755" s="15">
        <v>37558.26</v>
      </c>
      <c r="G755" s="15">
        <v>40696.61</v>
      </c>
      <c r="H755" s="15">
        <v>14437.05</v>
      </c>
      <c r="I755" s="15">
        <v>204255.4</v>
      </c>
      <c r="J755" s="15">
        <v>114846.29</v>
      </c>
      <c r="K755" s="19">
        <v>0.76467193113366205</v>
      </c>
    </row>
    <row r="756" spans="1:11" x14ac:dyDescent="0.3">
      <c r="A756" s="9" t="s">
        <v>193</v>
      </c>
      <c r="B756" s="20">
        <v>45688</v>
      </c>
      <c r="C756" s="9" t="s">
        <v>208</v>
      </c>
      <c r="D756" s="15">
        <v>107132.05</v>
      </c>
      <c r="E756" s="15">
        <v>34361.07</v>
      </c>
      <c r="F756" s="15">
        <v>12956.58</v>
      </c>
      <c r="G756" s="15">
        <v>56459.67</v>
      </c>
      <c r="H756" s="15">
        <v>3767.9</v>
      </c>
      <c r="I756" s="15">
        <v>214677.28</v>
      </c>
      <c r="J756" s="15">
        <v>107545.22</v>
      </c>
      <c r="K756" s="19">
        <v>0.76467193113366205</v>
      </c>
    </row>
    <row r="757" spans="1:11" x14ac:dyDescent="0.3">
      <c r="A757" s="9" t="s">
        <v>193</v>
      </c>
      <c r="B757" s="20">
        <v>45688</v>
      </c>
      <c r="C757" s="9" t="s">
        <v>207</v>
      </c>
      <c r="D757" s="15">
        <v>22242.53</v>
      </c>
      <c r="E757" s="15">
        <v>20901.439999999999</v>
      </c>
      <c r="F757" s="15">
        <v>2451.9299999999998</v>
      </c>
      <c r="G757" s="15">
        <v>1859.81</v>
      </c>
      <c r="H757" s="15">
        <v>18036.689999999999</v>
      </c>
      <c r="I757" s="15">
        <v>65492.4</v>
      </c>
      <c r="J757" s="15">
        <v>43249.87</v>
      </c>
      <c r="K757" s="19">
        <v>0.76467193113366205</v>
      </c>
    </row>
    <row r="758" spans="1:11" x14ac:dyDescent="0.3">
      <c r="A758" s="9" t="s">
        <v>193</v>
      </c>
      <c r="B758" s="20">
        <v>45688</v>
      </c>
      <c r="C758" s="9" t="s">
        <v>206</v>
      </c>
      <c r="D758" s="15">
        <v>58117.93</v>
      </c>
      <c r="E758" s="15">
        <v>17285.27</v>
      </c>
      <c r="F758" s="15">
        <v>6859.19</v>
      </c>
      <c r="G758" s="15">
        <v>38786.1</v>
      </c>
      <c r="H758" s="15">
        <v>20268.36</v>
      </c>
      <c r="I758" s="15">
        <v>141316.85</v>
      </c>
      <c r="J758" s="15">
        <v>83198.92</v>
      </c>
      <c r="K758" s="19">
        <v>0.76467193113366205</v>
      </c>
    </row>
    <row r="759" spans="1:11" x14ac:dyDescent="0.3">
      <c r="A759" s="9" t="s">
        <v>193</v>
      </c>
      <c r="B759" s="20">
        <v>45688</v>
      </c>
      <c r="C759" s="9" t="s">
        <v>205</v>
      </c>
      <c r="D759" s="15">
        <v>61990.559999999998</v>
      </c>
      <c r="E759" s="15">
        <v>1833.41</v>
      </c>
      <c r="F759" s="15">
        <v>31813.38</v>
      </c>
      <c r="G759" s="15">
        <v>10555.15</v>
      </c>
      <c r="H759" s="15">
        <v>19638.27</v>
      </c>
      <c r="I759" s="15">
        <v>125830.77</v>
      </c>
      <c r="J759" s="15">
        <v>63840.21</v>
      </c>
      <c r="K759" s="19">
        <v>0.76467193113366205</v>
      </c>
    </row>
    <row r="760" spans="1:11" x14ac:dyDescent="0.3">
      <c r="A760" s="9" t="s">
        <v>193</v>
      </c>
      <c r="B760" s="20">
        <v>45688</v>
      </c>
      <c r="C760" s="9" t="s">
        <v>204</v>
      </c>
      <c r="D760" s="15">
        <v>65667.649999999994</v>
      </c>
      <c r="E760" s="15">
        <v>57226.53</v>
      </c>
      <c r="F760" s="15">
        <v>23345.55</v>
      </c>
      <c r="G760" s="15">
        <v>3550.84</v>
      </c>
      <c r="H760" s="15">
        <v>21997.85</v>
      </c>
      <c r="I760" s="15">
        <v>171788.4</v>
      </c>
      <c r="J760" s="15">
        <v>106120.76</v>
      </c>
      <c r="K760" s="19">
        <v>0.76467193113366205</v>
      </c>
    </row>
    <row r="761" spans="1:11" x14ac:dyDescent="0.3">
      <c r="A761" s="9" t="s">
        <v>193</v>
      </c>
      <c r="B761" s="20">
        <v>45688</v>
      </c>
      <c r="C761" s="9" t="s">
        <v>203</v>
      </c>
      <c r="D761" s="15">
        <v>20611.29</v>
      </c>
      <c r="E761" s="15">
        <v>6432.6</v>
      </c>
      <c r="F761" s="15">
        <v>3791.71</v>
      </c>
      <c r="G761" s="15">
        <v>20104.419999999998</v>
      </c>
      <c r="H761" s="15">
        <v>4802.51</v>
      </c>
      <c r="I761" s="15">
        <v>55742.53</v>
      </c>
      <c r="J761" s="15">
        <v>35131.24</v>
      </c>
      <c r="K761" s="19">
        <v>0.76467193113366205</v>
      </c>
    </row>
    <row r="762" spans="1:11" x14ac:dyDescent="0.3">
      <c r="A762" s="9" t="s">
        <v>193</v>
      </c>
      <c r="B762" s="20">
        <v>45716</v>
      </c>
      <c r="C762" s="9" t="s">
        <v>222</v>
      </c>
      <c r="D762" s="15">
        <v>28662.31</v>
      </c>
      <c r="E762" s="15">
        <v>14800.02</v>
      </c>
      <c r="F762" s="15">
        <v>3258.04</v>
      </c>
      <c r="G762" s="15">
        <v>5311.43</v>
      </c>
      <c r="H762" s="15">
        <v>18997.259999999998</v>
      </c>
      <c r="I762" s="15">
        <v>71029.06</v>
      </c>
      <c r="J762" s="15">
        <v>42366.75</v>
      </c>
      <c r="K762" s="19">
        <v>0.68269626302438424</v>
      </c>
    </row>
    <row r="763" spans="1:11" x14ac:dyDescent="0.3">
      <c r="A763" s="9" t="s">
        <v>193</v>
      </c>
      <c r="B763" s="20">
        <v>45716</v>
      </c>
      <c r="C763" s="9" t="s">
        <v>221</v>
      </c>
      <c r="D763" s="15">
        <v>32107.360000000001</v>
      </c>
      <c r="E763" s="15">
        <v>15737.3</v>
      </c>
      <c r="F763" s="15">
        <v>1770.38</v>
      </c>
      <c r="G763" s="15">
        <v>20730.64</v>
      </c>
      <c r="H763" s="15">
        <v>10499.02</v>
      </c>
      <c r="I763" s="15">
        <v>80844.7</v>
      </c>
      <c r="J763" s="15">
        <v>48737.35</v>
      </c>
      <c r="K763" s="19">
        <v>0.68269626302438424</v>
      </c>
    </row>
    <row r="764" spans="1:11" x14ac:dyDescent="0.3">
      <c r="A764" s="9" t="s">
        <v>193</v>
      </c>
      <c r="B764" s="20">
        <v>45716</v>
      </c>
      <c r="C764" s="9" t="s">
        <v>220</v>
      </c>
      <c r="D764" s="15">
        <v>58797.16</v>
      </c>
      <c r="E764" s="15">
        <v>13291.13</v>
      </c>
      <c r="F764" s="15">
        <v>17947.98</v>
      </c>
      <c r="G764" s="15">
        <v>27168.18</v>
      </c>
      <c r="H764" s="15">
        <v>4941.54</v>
      </c>
      <c r="I764" s="15">
        <v>122146</v>
      </c>
      <c r="J764" s="15">
        <v>63348.84</v>
      </c>
      <c r="K764" s="19">
        <v>0.68269626302438424</v>
      </c>
    </row>
    <row r="765" spans="1:11" x14ac:dyDescent="0.3">
      <c r="A765" s="9" t="s">
        <v>193</v>
      </c>
      <c r="B765" s="20">
        <v>45716</v>
      </c>
      <c r="C765" s="9" t="s">
        <v>219</v>
      </c>
      <c r="D765" s="15">
        <v>12752.93</v>
      </c>
      <c r="E765" s="15">
        <v>1754.77</v>
      </c>
      <c r="F765" s="15">
        <v>4630.34</v>
      </c>
      <c r="G765" s="15">
        <v>2222.39</v>
      </c>
      <c r="H765" s="15">
        <v>7523.06</v>
      </c>
      <c r="I765" s="15">
        <v>28883.48</v>
      </c>
      <c r="J765" s="15">
        <v>16130.55</v>
      </c>
      <c r="K765" s="19">
        <v>0.68269626302438424</v>
      </c>
    </row>
    <row r="766" spans="1:11" x14ac:dyDescent="0.3">
      <c r="A766" s="9" t="s">
        <v>193</v>
      </c>
      <c r="B766" s="20">
        <v>45716</v>
      </c>
      <c r="C766" s="9" t="s">
        <v>218</v>
      </c>
      <c r="D766" s="15">
        <v>88110.81</v>
      </c>
      <c r="E766" s="15">
        <v>41945.36</v>
      </c>
      <c r="F766" s="15">
        <v>51174.07</v>
      </c>
      <c r="G766" s="15">
        <v>9992.16</v>
      </c>
      <c r="H766" s="15">
        <v>5415.53</v>
      </c>
      <c r="I766" s="15">
        <v>196637.93</v>
      </c>
      <c r="J766" s="15">
        <v>108527.11</v>
      </c>
      <c r="K766" s="19">
        <v>0.68269626302438424</v>
      </c>
    </row>
    <row r="767" spans="1:11" x14ac:dyDescent="0.3">
      <c r="A767" s="9" t="s">
        <v>193</v>
      </c>
      <c r="B767" s="20">
        <v>45716</v>
      </c>
      <c r="C767" s="9" t="s">
        <v>217</v>
      </c>
      <c r="D767" s="15">
        <v>83534.47</v>
      </c>
      <c r="E767" s="15">
        <v>51533.04</v>
      </c>
      <c r="F767" s="15">
        <v>9544.44</v>
      </c>
      <c r="G767" s="15">
        <v>16369.51</v>
      </c>
      <c r="H767" s="15">
        <v>26304.62</v>
      </c>
      <c r="I767" s="15">
        <v>187286.08</v>
      </c>
      <c r="J767" s="15">
        <v>103751.61</v>
      </c>
      <c r="K767" s="19">
        <v>0.68269626302438424</v>
      </c>
    </row>
    <row r="768" spans="1:11" x14ac:dyDescent="0.3">
      <c r="A768" s="9" t="s">
        <v>193</v>
      </c>
      <c r="B768" s="20">
        <v>45716</v>
      </c>
      <c r="C768" s="9" t="s">
        <v>216</v>
      </c>
      <c r="D768" s="15">
        <v>18461.18</v>
      </c>
      <c r="E768" s="15">
        <v>15609.49</v>
      </c>
      <c r="F768" s="15">
        <v>4317.5200000000004</v>
      </c>
      <c r="G768" s="15">
        <v>1646.43</v>
      </c>
      <c r="H768" s="15">
        <v>82.4</v>
      </c>
      <c r="I768" s="15">
        <v>40117.019999999997</v>
      </c>
      <c r="J768" s="15">
        <v>21655.84</v>
      </c>
      <c r="K768" s="19">
        <v>0.68269626302438424</v>
      </c>
    </row>
    <row r="769" spans="1:11" x14ac:dyDescent="0.3">
      <c r="A769" s="9" t="s">
        <v>193</v>
      </c>
      <c r="B769" s="20">
        <v>45716</v>
      </c>
      <c r="C769" s="9" t="s">
        <v>215</v>
      </c>
      <c r="D769" s="15">
        <v>3003.24</v>
      </c>
      <c r="E769" s="15">
        <v>201.02</v>
      </c>
      <c r="F769" s="15">
        <v>923.8</v>
      </c>
      <c r="G769" s="15">
        <v>275.48</v>
      </c>
      <c r="H769" s="15">
        <v>2173.81</v>
      </c>
      <c r="I769" s="15">
        <v>6577.34</v>
      </c>
      <c r="J769" s="15">
        <v>3574.1</v>
      </c>
      <c r="K769" s="19">
        <v>0.68269626302438424</v>
      </c>
    </row>
    <row r="770" spans="1:11" x14ac:dyDescent="0.3">
      <c r="A770" s="9" t="s">
        <v>193</v>
      </c>
      <c r="B770" s="20">
        <v>45716</v>
      </c>
      <c r="C770" s="9" t="s">
        <v>214</v>
      </c>
      <c r="D770" s="15">
        <v>45239.05</v>
      </c>
      <c r="E770" s="15">
        <v>28420.39</v>
      </c>
      <c r="F770" s="15">
        <v>14630.38</v>
      </c>
      <c r="G770" s="15">
        <v>28427.360000000001</v>
      </c>
      <c r="H770" s="15">
        <v>15726.18</v>
      </c>
      <c r="I770" s="15">
        <v>132443.35999999999</v>
      </c>
      <c r="J770" s="15">
        <v>87204.31</v>
      </c>
      <c r="K770" s="19">
        <v>0.68269626302438424</v>
      </c>
    </row>
    <row r="771" spans="1:11" x14ac:dyDescent="0.3">
      <c r="A771" s="9" t="s">
        <v>193</v>
      </c>
      <c r="B771" s="20">
        <v>45716</v>
      </c>
      <c r="C771" s="9" t="s">
        <v>213</v>
      </c>
      <c r="D771" s="15">
        <v>15683.01</v>
      </c>
      <c r="E771" s="15">
        <v>6258.35</v>
      </c>
      <c r="F771" s="15">
        <v>2673.92</v>
      </c>
      <c r="G771" s="15">
        <v>2170.5100000000002</v>
      </c>
      <c r="H771" s="15">
        <v>4846.9799999999996</v>
      </c>
      <c r="I771" s="15">
        <v>31632.76</v>
      </c>
      <c r="J771" s="15">
        <v>15949.76</v>
      </c>
      <c r="K771" s="19">
        <v>0.68269626302438424</v>
      </c>
    </row>
    <row r="772" spans="1:11" x14ac:dyDescent="0.3">
      <c r="A772" s="9" t="s">
        <v>193</v>
      </c>
      <c r="B772" s="20">
        <v>45716</v>
      </c>
      <c r="C772" s="9" t="s">
        <v>212</v>
      </c>
      <c r="D772" s="15">
        <v>27601.439999999999</v>
      </c>
      <c r="E772" s="15">
        <v>19981.169999999998</v>
      </c>
      <c r="F772" s="15">
        <v>13562.54</v>
      </c>
      <c r="G772" s="15">
        <v>23096.63</v>
      </c>
      <c r="H772" s="15">
        <v>27278.41</v>
      </c>
      <c r="I772" s="15">
        <v>111520.19</v>
      </c>
      <c r="J772" s="15">
        <v>83918.75</v>
      </c>
      <c r="K772" s="19">
        <v>0.68269626302438424</v>
      </c>
    </row>
    <row r="773" spans="1:11" x14ac:dyDescent="0.3">
      <c r="A773" s="9" t="s">
        <v>193</v>
      </c>
      <c r="B773" s="20">
        <v>45716</v>
      </c>
      <c r="C773" s="9" t="s">
        <v>211</v>
      </c>
      <c r="D773" s="15">
        <v>60528.46</v>
      </c>
      <c r="E773" s="15">
        <v>58777.72</v>
      </c>
      <c r="F773" s="15">
        <v>16416.13</v>
      </c>
      <c r="G773" s="15">
        <v>6167.63</v>
      </c>
      <c r="H773" s="15">
        <v>13439.86</v>
      </c>
      <c r="I773" s="15">
        <v>155329.79999999999</v>
      </c>
      <c r="J773" s="15">
        <v>94801.34</v>
      </c>
      <c r="K773" s="19">
        <v>0.68269626302438424</v>
      </c>
    </row>
    <row r="774" spans="1:11" x14ac:dyDescent="0.3">
      <c r="A774" s="9" t="s">
        <v>193</v>
      </c>
      <c r="B774" s="20">
        <v>45716</v>
      </c>
      <c r="C774" s="9" t="s">
        <v>210</v>
      </c>
      <c r="D774" s="15">
        <v>56978.79</v>
      </c>
      <c r="E774" s="15">
        <v>19156.91</v>
      </c>
      <c r="F774" s="15">
        <v>30019.29</v>
      </c>
      <c r="G774" s="15">
        <v>8187.96</v>
      </c>
      <c r="H774" s="15">
        <v>496.57</v>
      </c>
      <c r="I774" s="15">
        <v>114839.52</v>
      </c>
      <c r="J774" s="15">
        <v>57860.72</v>
      </c>
      <c r="K774" s="19">
        <v>0.68269626302438424</v>
      </c>
    </row>
    <row r="775" spans="1:11" x14ac:dyDescent="0.3">
      <c r="A775" s="9" t="s">
        <v>193</v>
      </c>
      <c r="B775" s="20">
        <v>45716</v>
      </c>
      <c r="C775" s="9" t="s">
        <v>209</v>
      </c>
      <c r="D775" s="15">
        <v>80770.2</v>
      </c>
      <c r="E775" s="15">
        <v>37119.54</v>
      </c>
      <c r="F775" s="15">
        <v>9883.57</v>
      </c>
      <c r="G775" s="15">
        <v>21598.11</v>
      </c>
      <c r="H775" s="15">
        <v>23463</v>
      </c>
      <c r="I775" s="15">
        <v>172834.43</v>
      </c>
      <c r="J775" s="15">
        <v>92064.23</v>
      </c>
      <c r="K775" s="19">
        <v>0.68269626302438424</v>
      </c>
    </row>
    <row r="776" spans="1:11" x14ac:dyDescent="0.3">
      <c r="A776" s="9" t="s">
        <v>193</v>
      </c>
      <c r="B776" s="20">
        <v>45716</v>
      </c>
      <c r="C776" s="9" t="s">
        <v>208</v>
      </c>
      <c r="D776" s="15">
        <v>30472.34</v>
      </c>
      <c r="E776" s="15">
        <v>8064.62</v>
      </c>
      <c r="F776" s="15">
        <v>10353.31</v>
      </c>
      <c r="G776" s="15">
        <v>25265.57</v>
      </c>
      <c r="H776" s="15">
        <v>2178.6</v>
      </c>
      <c r="I776" s="15">
        <v>76334.44</v>
      </c>
      <c r="J776" s="15">
        <v>45862.11</v>
      </c>
      <c r="K776" s="19">
        <v>0.68269626302438424</v>
      </c>
    </row>
    <row r="777" spans="1:11" x14ac:dyDescent="0.3">
      <c r="A777" s="9" t="s">
        <v>193</v>
      </c>
      <c r="B777" s="20">
        <v>45716</v>
      </c>
      <c r="C777" s="9" t="s">
        <v>207</v>
      </c>
      <c r="D777" s="15">
        <v>39180.870000000003</v>
      </c>
      <c r="E777" s="15">
        <v>36065.449999999997</v>
      </c>
      <c r="F777" s="15">
        <v>20989.45</v>
      </c>
      <c r="G777" s="15">
        <v>19492.189999999999</v>
      </c>
      <c r="H777" s="15">
        <v>15897.99</v>
      </c>
      <c r="I777" s="15">
        <v>131625.95000000001</v>
      </c>
      <c r="J777" s="15">
        <v>92445.07</v>
      </c>
      <c r="K777" s="19">
        <v>0.68269626302438424</v>
      </c>
    </row>
    <row r="778" spans="1:11" x14ac:dyDescent="0.3">
      <c r="A778" s="9" t="s">
        <v>193</v>
      </c>
      <c r="B778" s="20">
        <v>45716</v>
      </c>
      <c r="C778" s="9" t="s">
        <v>206</v>
      </c>
      <c r="D778" s="15">
        <v>35212.82</v>
      </c>
      <c r="E778" s="15">
        <v>29438.43</v>
      </c>
      <c r="F778" s="15">
        <v>29100.41</v>
      </c>
      <c r="G778" s="15">
        <v>7867.46</v>
      </c>
      <c r="H778" s="15">
        <v>7343.99</v>
      </c>
      <c r="I778" s="15">
        <v>108963.12</v>
      </c>
      <c r="J778" s="15">
        <v>73750.289999999994</v>
      </c>
      <c r="K778" s="19">
        <v>0.68269626302438424</v>
      </c>
    </row>
    <row r="779" spans="1:11" x14ac:dyDescent="0.3">
      <c r="A779" s="9" t="s">
        <v>193</v>
      </c>
      <c r="B779" s="20">
        <v>45716</v>
      </c>
      <c r="C779" s="9" t="s">
        <v>205</v>
      </c>
      <c r="D779" s="15">
        <v>47462.31</v>
      </c>
      <c r="E779" s="15">
        <v>14577.79</v>
      </c>
      <c r="F779" s="15">
        <v>30290.61</v>
      </c>
      <c r="G779" s="15">
        <v>33900.050000000003</v>
      </c>
      <c r="H779" s="15">
        <v>3928.49</v>
      </c>
      <c r="I779" s="15">
        <v>130159.23</v>
      </c>
      <c r="J779" s="15">
        <v>82696.929999999993</v>
      </c>
      <c r="K779" s="19">
        <v>0.68269626302438424</v>
      </c>
    </row>
    <row r="780" spans="1:11" x14ac:dyDescent="0.3">
      <c r="A780" s="9" t="s">
        <v>193</v>
      </c>
      <c r="B780" s="20">
        <v>45716</v>
      </c>
      <c r="C780" s="9" t="s">
        <v>204</v>
      </c>
      <c r="D780" s="15">
        <v>23378.89</v>
      </c>
      <c r="E780" s="15">
        <v>6658.58</v>
      </c>
      <c r="F780" s="15">
        <v>10762.43</v>
      </c>
      <c r="G780" s="15">
        <v>12852.93</v>
      </c>
      <c r="H780" s="15">
        <v>1490.05</v>
      </c>
      <c r="I780" s="15">
        <v>55142.87</v>
      </c>
      <c r="J780" s="15">
        <v>31763.98</v>
      </c>
      <c r="K780" s="19">
        <v>0.68269626302438424</v>
      </c>
    </row>
    <row r="781" spans="1:11" x14ac:dyDescent="0.3">
      <c r="A781" s="9" t="s">
        <v>193</v>
      </c>
      <c r="B781" s="20">
        <v>45716</v>
      </c>
      <c r="C781" s="9" t="s">
        <v>203</v>
      </c>
      <c r="D781" s="15">
        <v>4319.4399999999996</v>
      </c>
      <c r="E781" s="15">
        <v>574.73</v>
      </c>
      <c r="F781" s="15">
        <v>2096.6999999999998</v>
      </c>
      <c r="G781" s="15">
        <v>2274.87</v>
      </c>
      <c r="H781" s="15">
        <v>662.87</v>
      </c>
      <c r="I781" s="15">
        <v>9928.61</v>
      </c>
      <c r="J781" s="15">
        <v>5609.16</v>
      </c>
      <c r="K781" s="19">
        <v>0.68269626302438424</v>
      </c>
    </row>
    <row r="782" spans="1:11" x14ac:dyDescent="0.3">
      <c r="A782" s="9" t="s">
        <v>193</v>
      </c>
      <c r="B782" s="20">
        <v>45747</v>
      </c>
      <c r="C782" s="9" t="s">
        <v>222</v>
      </c>
      <c r="D782" s="15">
        <v>41257.519999999997</v>
      </c>
      <c r="E782" s="15">
        <v>13661.68</v>
      </c>
      <c r="F782" s="15">
        <v>68322.3</v>
      </c>
      <c r="G782" s="15">
        <v>6609.13</v>
      </c>
      <c r="H782" s="15">
        <v>17058.259999999998</v>
      </c>
      <c r="I782" s="15">
        <v>146908.89000000001</v>
      </c>
      <c r="J782" s="15">
        <v>105651.37</v>
      </c>
      <c r="K782" s="19">
        <v>0.77959392435562469</v>
      </c>
    </row>
    <row r="783" spans="1:11" x14ac:dyDescent="0.3">
      <c r="A783" s="9" t="s">
        <v>193</v>
      </c>
      <c r="B783" s="20">
        <v>45747</v>
      </c>
      <c r="C783" s="9" t="s">
        <v>221</v>
      </c>
      <c r="D783" s="15">
        <v>10613.01</v>
      </c>
      <c r="E783" s="15">
        <v>6703.6</v>
      </c>
      <c r="F783" s="15">
        <v>3239.04</v>
      </c>
      <c r="G783" s="15">
        <v>632.07000000000005</v>
      </c>
      <c r="H783" s="15">
        <v>3116.18</v>
      </c>
      <c r="I783" s="15">
        <v>24303.9</v>
      </c>
      <c r="J783" s="15">
        <v>13690.89</v>
      </c>
      <c r="K783" s="19">
        <v>0.77959392435562469</v>
      </c>
    </row>
    <row r="784" spans="1:11" x14ac:dyDescent="0.3">
      <c r="A784" s="9" t="s">
        <v>193</v>
      </c>
      <c r="B784" s="20">
        <v>45747</v>
      </c>
      <c r="C784" s="9" t="s">
        <v>220</v>
      </c>
      <c r="D784" s="15">
        <v>34773.360000000001</v>
      </c>
      <c r="E784" s="15">
        <v>24040.639999999999</v>
      </c>
      <c r="F784" s="15">
        <v>4916.8599999999997</v>
      </c>
      <c r="G784" s="15">
        <v>16530.009999999998</v>
      </c>
      <c r="H784" s="15">
        <v>2797.72</v>
      </c>
      <c r="I784" s="15">
        <v>83058.59</v>
      </c>
      <c r="J784" s="15">
        <v>48285.22</v>
      </c>
      <c r="K784" s="19">
        <v>0.77959392435562469</v>
      </c>
    </row>
    <row r="785" spans="1:11" x14ac:dyDescent="0.3">
      <c r="A785" s="9" t="s">
        <v>193</v>
      </c>
      <c r="B785" s="20">
        <v>45747</v>
      </c>
      <c r="C785" s="9" t="s">
        <v>219</v>
      </c>
      <c r="D785" s="15">
        <v>57886.63</v>
      </c>
      <c r="E785" s="15">
        <v>10915.71</v>
      </c>
      <c r="F785" s="15">
        <v>17116.060000000001</v>
      </c>
      <c r="G785" s="15">
        <v>44244.85</v>
      </c>
      <c r="H785" s="15">
        <v>22401.86</v>
      </c>
      <c r="I785" s="15">
        <v>152565.10999999999</v>
      </c>
      <c r="J785" s="15">
        <v>94678.48</v>
      </c>
      <c r="K785" s="19">
        <v>0.77959392435562469</v>
      </c>
    </row>
    <row r="786" spans="1:11" x14ac:dyDescent="0.3">
      <c r="A786" s="9" t="s">
        <v>193</v>
      </c>
      <c r="B786" s="20">
        <v>45747</v>
      </c>
      <c r="C786" s="9" t="s">
        <v>218</v>
      </c>
      <c r="D786" s="15">
        <v>21733.83</v>
      </c>
      <c r="E786" s="15">
        <v>11217.31</v>
      </c>
      <c r="F786" s="15">
        <v>19624.48</v>
      </c>
      <c r="G786" s="15">
        <v>13927.43</v>
      </c>
      <c r="H786" s="15">
        <v>18115.93</v>
      </c>
      <c r="I786" s="15">
        <v>84618.97</v>
      </c>
      <c r="J786" s="15">
        <v>62885.15</v>
      </c>
      <c r="K786" s="19">
        <v>0.77959392435562469</v>
      </c>
    </row>
    <row r="787" spans="1:11" x14ac:dyDescent="0.3">
      <c r="A787" s="9" t="s">
        <v>193</v>
      </c>
      <c r="B787" s="20">
        <v>45747</v>
      </c>
      <c r="C787" s="9" t="s">
        <v>217</v>
      </c>
      <c r="D787" s="15">
        <v>25111.01</v>
      </c>
      <c r="E787" s="15">
        <v>12457.1</v>
      </c>
      <c r="F787" s="15">
        <v>12035.96</v>
      </c>
      <c r="G787" s="15">
        <v>3749.77</v>
      </c>
      <c r="H787" s="15">
        <v>3478.01</v>
      </c>
      <c r="I787" s="15">
        <v>56831.85</v>
      </c>
      <c r="J787" s="15">
        <v>31720.84</v>
      </c>
      <c r="K787" s="19">
        <v>0.77959392435562469</v>
      </c>
    </row>
    <row r="788" spans="1:11" x14ac:dyDescent="0.3">
      <c r="A788" s="9" t="s">
        <v>193</v>
      </c>
      <c r="B788" s="20">
        <v>45747</v>
      </c>
      <c r="C788" s="9" t="s">
        <v>216</v>
      </c>
      <c r="D788" s="15">
        <v>103159.09</v>
      </c>
      <c r="E788" s="15">
        <v>20877.150000000001</v>
      </c>
      <c r="F788" s="15">
        <v>10709.94</v>
      </c>
      <c r="G788" s="15">
        <v>50719.68</v>
      </c>
      <c r="H788" s="15">
        <v>26130.37</v>
      </c>
      <c r="I788" s="15">
        <v>211596.23</v>
      </c>
      <c r="J788" s="15">
        <v>108437.14</v>
      </c>
      <c r="K788" s="19">
        <v>0.77959392435562469</v>
      </c>
    </row>
    <row r="789" spans="1:11" x14ac:dyDescent="0.3">
      <c r="A789" s="9" t="s">
        <v>193</v>
      </c>
      <c r="B789" s="20">
        <v>45747</v>
      </c>
      <c r="C789" s="9" t="s">
        <v>215</v>
      </c>
      <c r="D789" s="15">
        <v>25316.51</v>
      </c>
      <c r="E789" s="15">
        <v>17598.97</v>
      </c>
      <c r="F789" s="15">
        <v>18157.21</v>
      </c>
      <c r="G789" s="15">
        <v>8652.51</v>
      </c>
      <c r="H789" s="15">
        <v>11183.42</v>
      </c>
      <c r="I789" s="15">
        <v>80908.62</v>
      </c>
      <c r="J789" s="15">
        <v>55592.11</v>
      </c>
      <c r="K789" s="19">
        <v>0.77959392435562469</v>
      </c>
    </row>
    <row r="790" spans="1:11" x14ac:dyDescent="0.3">
      <c r="A790" s="9" t="s">
        <v>193</v>
      </c>
      <c r="B790" s="20">
        <v>45747</v>
      </c>
      <c r="C790" s="9" t="s">
        <v>214</v>
      </c>
      <c r="D790" s="15">
        <v>47550.87</v>
      </c>
      <c r="E790" s="15">
        <v>47848.02</v>
      </c>
      <c r="F790" s="15">
        <v>27272.75</v>
      </c>
      <c r="G790" s="15">
        <v>10925.76</v>
      </c>
      <c r="H790" s="15">
        <v>2208.52</v>
      </c>
      <c r="I790" s="15">
        <v>135805.92000000001</v>
      </c>
      <c r="J790" s="15">
        <v>88255.05</v>
      </c>
      <c r="K790" s="19">
        <v>0.77959392435562469</v>
      </c>
    </row>
    <row r="791" spans="1:11" x14ac:dyDescent="0.3">
      <c r="A791" s="9" t="s">
        <v>193</v>
      </c>
      <c r="B791" s="20">
        <v>45747</v>
      </c>
      <c r="C791" s="9" t="s">
        <v>213</v>
      </c>
      <c r="D791" s="15">
        <v>70974.7</v>
      </c>
      <c r="E791" s="15">
        <v>27165.4</v>
      </c>
      <c r="F791" s="15">
        <v>66181.53</v>
      </c>
      <c r="G791" s="15">
        <v>7171.2</v>
      </c>
      <c r="H791" s="15">
        <v>6001.34</v>
      </c>
      <c r="I791" s="15">
        <v>177494.16</v>
      </c>
      <c r="J791" s="15">
        <v>106519.46</v>
      </c>
      <c r="K791" s="19">
        <v>0.77959392435562469</v>
      </c>
    </row>
    <row r="792" spans="1:11" x14ac:dyDescent="0.3">
      <c r="A792" s="9" t="s">
        <v>193</v>
      </c>
      <c r="B792" s="20">
        <v>45747</v>
      </c>
      <c r="C792" s="9" t="s">
        <v>212</v>
      </c>
      <c r="D792" s="15">
        <v>52178.61</v>
      </c>
      <c r="E792" s="15">
        <v>26095.22</v>
      </c>
      <c r="F792" s="15">
        <v>50987.8</v>
      </c>
      <c r="G792" s="15">
        <v>17995.95</v>
      </c>
      <c r="H792" s="15">
        <v>14155.99</v>
      </c>
      <c r="I792" s="15">
        <v>161413.57</v>
      </c>
      <c r="J792" s="15">
        <v>109234.97</v>
      </c>
      <c r="K792" s="19">
        <v>0.77959392435562469</v>
      </c>
    </row>
    <row r="793" spans="1:11" x14ac:dyDescent="0.3">
      <c r="A793" s="9" t="s">
        <v>193</v>
      </c>
      <c r="B793" s="20">
        <v>45747</v>
      </c>
      <c r="C793" s="9" t="s">
        <v>211</v>
      </c>
      <c r="D793" s="15">
        <v>61857.82</v>
      </c>
      <c r="E793" s="15">
        <v>66507.45</v>
      </c>
      <c r="F793" s="15">
        <v>16682.93</v>
      </c>
      <c r="G793" s="15">
        <v>18566.330000000002</v>
      </c>
      <c r="H793" s="15">
        <v>8956.76</v>
      </c>
      <c r="I793" s="15">
        <v>172571.28</v>
      </c>
      <c r="J793" s="15">
        <v>110713.46</v>
      </c>
      <c r="K793" s="19">
        <v>0.77959392435562469</v>
      </c>
    </row>
    <row r="794" spans="1:11" x14ac:dyDescent="0.3">
      <c r="A794" s="9" t="s">
        <v>193</v>
      </c>
      <c r="B794" s="20">
        <v>45747</v>
      </c>
      <c r="C794" s="9" t="s">
        <v>210</v>
      </c>
      <c r="D794" s="15">
        <v>22123.08</v>
      </c>
      <c r="E794" s="15">
        <v>6660.6</v>
      </c>
      <c r="F794" s="15">
        <v>2851.39</v>
      </c>
      <c r="G794" s="15">
        <v>2910.64</v>
      </c>
      <c r="H794" s="15">
        <v>9918.67</v>
      </c>
      <c r="I794" s="15">
        <v>44464.37</v>
      </c>
      <c r="J794" s="15">
        <v>22341.29</v>
      </c>
      <c r="K794" s="19">
        <v>0.77959392435562469</v>
      </c>
    </row>
    <row r="795" spans="1:11" x14ac:dyDescent="0.3">
      <c r="A795" s="9" t="s">
        <v>193</v>
      </c>
      <c r="B795" s="20">
        <v>45747</v>
      </c>
      <c r="C795" s="9" t="s">
        <v>209</v>
      </c>
      <c r="D795" s="15">
        <v>83728.39</v>
      </c>
      <c r="E795" s="15">
        <v>50065.77</v>
      </c>
      <c r="F795" s="15">
        <v>13892.79</v>
      </c>
      <c r="G795" s="15">
        <v>18006.62</v>
      </c>
      <c r="H795" s="15">
        <v>2774.67</v>
      </c>
      <c r="I795" s="15">
        <v>168468.24</v>
      </c>
      <c r="J795" s="15">
        <v>84739.85</v>
      </c>
      <c r="K795" s="19">
        <v>0.77959392435562469</v>
      </c>
    </row>
    <row r="796" spans="1:11" x14ac:dyDescent="0.3">
      <c r="A796" s="9" t="s">
        <v>193</v>
      </c>
      <c r="B796" s="20">
        <v>45747</v>
      </c>
      <c r="C796" s="9" t="s">
        <v>208</v>
      </c>
      <c r="D796" s="15">
        <v>57972.09</v>
      </c>
      <c r="E796" s="15">
        <v>11335.1</v>
      </c>
      <c r="F796" s="15">
        <v>41670.230000000003</v>
      </c>
      <c r="G796" s="15">
        <v>1439.73</v>
      </c>
      <c r="H796" s="15">
        <v>4732.1000000000004</v>
      </c>
      <c r="I796" s="15">
        <v>117149.24</v>
      </c>
      <c r="J796" s="15">
        <v>59177.15</v>
      </c>
      <c r="K796" s="19">
        <v>0.77959392435562469</v>
      </c>
    </row>
    <row r="797" spans="1:11" x14ac:dyDescent="0.3">
      <c r="A797" s="9" t="s">
        <v>193</v>
      </c>
      <c r="B797" s="20">
        <v>45747</v>
      </c>
      <c r="C797" s="9" t="s">
        <v>207</v>
      </c>
      <c r="D797" s="15">
        <v>41241.29</v>
      </c>
      <c r="E797" s="15">
        <v>34037.96</v>
      </c>
      <c r="F797" s="15">
        <v>4499.08</v>
      </c>
      <c r="G797" s="15">
        <v>14032.49</v>
      </c>
      <c r="H797" s="15">
        <v>6610.12</v>
      </c>
      <c r="I797" s="15">
        <v>100420.94</v>
      </c>
      <c r="J797" s="15">
        <v>59179.65</v>
      </c>
      <c r="K797" s="19">
        <v>0.77959392435562469</v>
      </c>
    </row>
    <row r="798" spans="1:11" x14ac:dyDescent="0.3">
      <c r="A798" s="9" t="s">
        <v>193</v>
      </c>
      <c r="B798" s="20">
        <v>45747</v>
      </c>
      <c r="C798" s="9" t="s">
        <v>206</v>
      </c>
      <c r="D798" s="15">
        <v>77593.210000000006</v>
      </c>
      <c r="E798" s="15">
        <v>21517.439999999999</v>
      </c>
      <c r="F798" s="15">
        <v>27042.080000000002</v>
      </c>
      <c r="G798" s="15">
        <v>22954.799999999999</v>
      </c>
      <c r="H798" s="15">
        <v>7109.58</v>
      </c>
      <c r="I798" s="15">
        <v>156217.10999999999</v>
      </c>
      <c r="J798" s="15">
        <v>78623.899999999994</v>
      </c>
      <c r="K798" s="19">
        <v>0.77959392435562469</v>
      </c>
    </row>
    <row r="799" spans="1:11" x14ac:dyDescent="0.3">
      <c r="A799" s="9" t="s">
        <v>193</v>
      </c>
      <c r="B799" s="20">
        <v>45747</v>
      </c>
      <c r="C799" s="9" t="s">
        <v>205</v>
      </c>
      <c r="D799" s="15">
        <v>1675.43</v>
      </c>
      <c r="E799" s="15">
        <v>1278.8</v>
      </c>
      <c r="F799" s="15">
        <v>987.1</v>
      </c>
      <c r="G799" s="15">
        <v>630.44000000000005</v>
      </c>
      <c r="H799" s="15">
        <v>195.38</v>
      </c>
      <c r="I799" s="15">
        <v>4767.1499999999996</v>
      </c>
      <c r="J799" s="15">
        <v>3091.72</v>
      </c>
      <c r="K799" s="19">
        <v>0.77959392435562469</v>
      </c>
    </row>
    <row r="800" spans="1:11" x14ac:dyDescent="0.3">
      <c r="A800" s="9" t="s">
        <v>193</v>
      </c>
      <c r="B800" s="20">
        <v>45747</v>
      </c>
      <c r="C800" s="9" t="s">
        <v>204</v>
      </c>
      <c r="D800" s="15">
        <v>46448.38</v>
      </c>
      <c r="E800" s="15">
        <v>25334.080000000002</v>
      </c>
      <c r="F800" s="15">
        <v>13792.29</v>
      </c>
      <c r="G800" s="15">
        <v>3739.17</v>
      </c>
      <c r="H800" s="15">
        <v>6818</v>
      </c>
      <c r="I800" s="15">
        <v>96131.91</v>
      </c>
      <c r="J800" s="15">
        <v>49683.53</v>
      </c>
      <c r="K800" s="19">
        <v>0.77959392435562469</v>
      </c>
    </row>
    <row r="801" spans="1:11" x14ac:dyDescent="0.3">
      <c r="A801" s="9" t="s">
        <v>193</v>
      </c>
      <c r="B801" s="20">
        <v>45747</v>
      </c>
      <c r="C801" s="9" t="s">
        <v>203</v>
      </c>
      <c r="D801" s="15">
        <v>17922.22</v>
      </c>
      <c r="E801" s="15">
        <v>11358.28</v>
      </c>
      <c r="F801" s="15">
        <v>4607.92</v>
      </c>
      <c r="G801" s="15">
        <v>13056.81</v>
      </c>
      <c r="H801" s="15">
        <v>3730.05</v>
      </c>
      <c r="I801" s="15">
        <v>50675.29</v>
      </c>
      <c r="J801" s="15">
        <v>32753.07</v>
      </c>
      <c r="K801" s="19">
        <v>0.77959392435562469</v>
      </c>
    </row>
    <row r="802" spans="1:11" x14ac:dyDescent="0.3">
      <c r="A802" s="9" t="s">
        <v>193</v>
      </c>
      <c r="B802" s="20">
        <v>45777</v>
      </c>
      <c r="C802" s="9" t="s">
        <v>222</v>
      </c>
      <c r="D802" s="15">
        <v>11808.85</v>
      </c>
      <c r="E802" s="15">
        <v>16918.54</v>
      </c>
      <c r="F802" s="15">
        <v>7979.31</v>
      </c>
      <c r="G802" s="15">
        <v>6900.82</v>
      </c>
      <c r="H802" s="15">
        <v>5008.95</v>
      </c>
      <c r="I802" s="15">
        <v>48616.47</v>
      </c>
      <c r="J802" s="15">
        <v>36807.620000000003</v>
      </c>
      <c r="K802" s="19">
        <v>0.69053891879943219</v>
      </c>
    </row>
    <row r="803" spans="1:11" x14ac:dyDescent="0.3">
      <c r="A803" s="9" t="s">
        <v>193</v>
      </c>
      <c r="B803" s="20">
        <v>45777</v>
      </c>
      <c r="C803" s="9" t="s">
        <v>221</v>
      </c>
      <c r="D803" s="15">
        <v>4009.86</v>
      </c>
      <c r="E803" s="15">
        <v>1873</v>
      </c>
      <c r="F803" s="15">
        <v>1936.52</v>
      </c>
      <c r="G803" s="15">
        <v>1496.32</v>
      </c>
      <c r="H803" s="15">
        <v>250.62</v>
      </c>
      <c r="I803" s="15">
        <v>9566.32</v>
      </c>
      <c r="J803" s="15">
        <v>5556.46</v>
      </c>
      <c r="K803" s="19">
        <v>0.69053891879943219</v>
      </c>
    </row>
    <row r="804" spans="1:11" x14ac:dyDescent="0.3">
      <c r="A804" s="9" t="s">
        <v>193</v>
      </c>
      <c r="B804" s="20">
        <v>45777</v>
      </c>
      <c r="C804" s="9" t="s">
        <v>220</v>
      </c>
      <c r="D804" s="15">
        <v>55420.32</v>
      </c>
      <c r="E804" s="15">
        <v>21105.279999999999</v>
      </c>
      <c r="F804" s="15">
        <v>23865.16</v>
      </c>
      <c r="G804" s="15">
        <v>18436.36</v>
      </c>
      <c r="H804" s="15">
        <v>41826.32</v>
      </c>
      <c r="I804" s="15">
        <v>160653.44</v>
      </c>
      <c r="J804" s="15">
        <v>105233.12</v>
      </c>
      <c r="K804" s="19">
        <v>0.69053891879943219</v>
      </c>
    </row>
    <row r="805" spans="1:11" x14ac:dyDescent="0.3">
      <c r="A805" s="9" t="s">
        <v>193</v>
      </c>
      <c r="B805" s="20">
        <v>45777</v>
      </c>
      <c r="C805" s="9" t="s">
        <v>219</v>
      </c>
      <c r="D805" s="15">
        <v>35146.92</v>
      </c>
      <c r="E805" s="15">
        <v>36115.53</v>
      </c>
      <c r="F805" s="15">
        <v>7692.61</v>
      </c>
      <c r="G805" s="15">
        <v>14030.78</v>
      </c>
      <c r="H805" s="15">
        <v>3256.31</v>
      </c>
      <c r="I805" s="15">
        <v>96242.16</v>
      </c>
      <c r="J805" s="15">
        <v>61095.23</v>
      </c>
      <c r="K805" s="19">
        <v>0.69053891879943219</v>
      </c>
    </row>
    <row r="806" spans="1:11" x14ac:dyDescent="0.3">
      <c r="A806" s="9" t="s">
        <v>193</v>
      </c>
      <c r="B806" s="20">
        <v>45777</v>
      </c>
      <c r="C806" s="9" t="s">
        <v>218</v>
      </c>
      <c r="D806" s="15">
        <v>43651.46</v>
      </c>
      <c r="E806" s="15">
        <v>19605.96</v>
      </c>
      <c r="F806" s="15">
        <v>19472.060000000001</v>
      </c>
      <c r="G806" s="15">
        <v>17763.22</v>
      </c>
      <c r="H806" s="15">
        <v>11573.3</v>
      </c>
      <c r="I806" s="15">
        <v>112065.99</v>
      </c>
      <c r="J806" s="15">
        <v>68414.539999999994</v>
      </c>
      <c r="K806" s="19">
        <v>0.69053891879943219</v>
      </c>
    </row>
    <row r="807" spans="1:11" x14ac:dyDescent="0.3">
      <c r="A807" s="9" t="s">
        <v>193</v>
      </c>
      <c r="B807" s="20">
        <v>45777</v>
      </c>
      <c r="C807" s="9" t="s">
        <v>217</v>
      </c>
      <c r="D807" s="15">
        <v>13671.65</v>
      </c>
      <c r="E807" s="15">
        <v>13443.74</v>
      </c>
      <c r="F807" s="15">
        <v>4574.46</v>
      </c>
      <c r="G807" s="15">
        <v>3276.08</v>
      </c>
      <c r="H807" s="15">
        <v>9570.43</v>
      </c>
      <c r="I807" s="15">
        <v>44536.36</v>
      </c>
      <c r="J807" s="15">
        <v>30864.720000000001</v>
      </c>
      <c r="K807" s="19">
        <v>0.69053891879943219</v>
      </c>
    </row>
    <row r="808" spans="1:11" x14ac:dyDescent="0.3">
      <c r="A808" s="9" t="s">
        <v>193</v>
      </c>
      <c r="B808" s="20">
        <v>45777</v>
      </c>
      <c r="C808" s="9" t="s">
        <v>216</v>
      </c>
      <c r="D808" s="15">
        <v>82990.33</v>
      </c>
      <c r="E808" s="15">
        <v>7891.67</v>
      </c>
      <c r="F808" s="15">
        <v>28502.57</v>
      </c>
      <c r="G808" s="15">
        <v>41008.300000000003</v>
      </c>
      <c r="H808" s="15">
        <v>24127.4</v>
      </c>
      <c r="I808" s="15">
        <v>184520.26</v>
      </c>
      <c r="J808" s="15">
        <v>101529.93</v>
      </c>
      <c r="K808" s="19">
        <v>0.69053891879943219</v>
      </c>
    </row>
    <row r="809" spans="1:11" x14ac:dyDescent="0.3">
      <c r="A809" s="9" t="s">
        <v>193</v>
      </c>
      <c r="B809" s="20">
        <v>45777</v>
      </c>
      <c r="C809" s="9" t="s">
        <v>215</v>
      </c>
      <c r="D809" s="15">
        <v>22385.23</v>
      </c>
      <c r="E809" s="15">
        <v>10642.38</v>
      </c>
      <c r="F809" s="15">
        <v>19137.5</v>
      </c>
      <c r="G809" s="15">
        <v>9872.76</v>
      </c>
      <c r="H809" s="15">
        <v>1639.74</v>
      </c>
      <c r="I809" s="15">
        <v>63677.599999999999</v>
      </c>
      <c r="J809" s="15">
        <v>41292.379999999997</v>
      </c>
      <c r="K809" s="19">
        <v>0.69053891879943219</v>
      </c>
    </row>
    <row r="810" spans="1:11" x14ac:dyDescent="0.3">
      <c r="A810" s="9" t="s">
        <v>193</v>
      </c>
      <c r="B810" s="20">
        <v>45777</v>
      </c>
      <c r="C810" s="9" t="s">
        <v>214</v>
      </c>
      <c r="D810" s="15">
        <v>3993.81</v>
      </c>
      <c r="E810" s="15">
        <v>3477.06</v>
      </c>
      <c r="F810" s="15">
        <v>437.14</v>
      </c>
      <c r="G810" s="15">
        <v>1478.77</v>
      </c>
      <c r="H810" s="15">
        <v>146.47</v>
      </c>
      <c r="I810" s="15">
        <v>9533.24</v>
      </c>
      <c r="J810" s="15">
        <v>5539.43</v>
      </c>
      <c r="K810" s="19">
        <v>0.69053891879943219</v>
      </c>
    </row>
    <row r="811" spans="1:11" x14ac:dyDescent="0.3">
      <c r="A811" s="9" t="s">
        <v>193</v>
      </c>
      <c r="B811" s="20">
        <v>45777</v>
      </c>
      <c r="C811" s="9" t="s">
        <v>213</v>
      </c>
      <c r="D811" s="15">
        <v>41194.910000000003</v>
      </c>
      <c r="E811" s="15">
        <v>7407.78</v>
      </c>
      <c r="F811" s="15">
        <v>20437.13</v>
      </c>
      <c r="G811" s="15">
        <v>36670.49</v>
      </c>
      <c r="H811" s="15">
        <v>28874.69</v>
      </c>
      <c r="I811" s="15">
        <v>134585</v>
      </c>
      <c r="J811" s="15">
        <v>93390.09</v>
      </c>
      <c r="K811" s="19">
        <v>0.69053891879943219</v>
      </c>
    </row>
    <row r="812" spans="1:11" x14ac:dyDescent="0.3">
      <c r="A812" s="9" t="s">
        <v>193</v>
      </c>
      <c r="B812" s="20">
        <v>45777</v>
      </c>
      <c r="C812" s="9" t="s">
        <v>212</v>
      </c>
      <c r="D812" s="15">
        <v>56194.96</v>
      </c>
      <c r="E812" s="15">
        <v>7246.94</v>
      </c>
      <c r="F812" s="15">
        <v>41422.42</v>
      </c>
      <c r="G812" s="15">
        <v>33814.519999999997</v>
      </c>
      <c r="H812" s="15">
        <v>13607.5</v>
      </c>
      <c r="I812" s="15">
        <v>152286.35</v>
      </c>
      <c r="J812" s="15">
        <v>96091.39</v>
      </c>
      <c r="K812" s="19">
        <v>0.69053891879943219</v>
      </c>
    </row>
    <row r="813" spans="1:11" x14ac:dyDescent="0.3">
      <c r="A813" s="9" t="s">
        <v>193</v>
      </c>
      <c r="B813" s="20">
        <v>45777</v>
      </c>
      <c r="C813" s="9" t="s">
        <v>211</v>
      </c>
      <c r="D813" s="15">
        <v>31453.26</v>
      </c>
      <c r="E813" s="15">
        <v>27900.79</v>
      </c>
      <c r="F813" s="15">
        <v>9387.7099999999991</v>
      </c>
      <c r="G813" s="15">
        <v>16512.59</v>
      </c>
      <c r="H813" s="15">
        <v>18247.66</v>
      </c>
      <c r="I813" s="15">
        <v>103502.01</v>
      </c>
      <c r="J813" s="15">
        <v>72048.75</v>
      </c>
      <c r="K813" s="19">
        <v>0.69053891879943219</v>
      </c>
    </row>
    <row r="814" spans="1:11" x14ac:dyDescent="0.3">
      <c r="A814" s="9" t="s">
        <v>193</v>
      </c>
      <c r="B814" s="20">
        <v>45777</v>
      </c>
      <c r="C814" s="9" t="s">
        <v>210</v>
      </c>
      <c r="D814" s="15">
        <v>32259.82</v>
      </c>
      <c r="E814" s="15">
        <v>16876.86</v>
      </c>
      <c r="F814" s="15">
        <v>11934.18</v>
      </c>
      <c r="G814" s="15">
        <v>10845.8</v>
      </c>
      <c r="H814" s="15">
        <v>2443.85</v>
      </c>
      <c r="I814" s="15">
        <v>74360.52</v>
      </c>
      <c r="J814" s="15">
        <v>42100.69</v>
      </c>
      <c r="K814" s="19">
        <v>0.69053891879943219</v>
      </c>
    </row>
    <row r="815" spans="1:11" x14ac:dyDescent="0.3">
      <c r="A815" s="9" t="s">
        <v>193</v>
      </c>
      <c r="B815" s="20">
        <v>45777</v>
      </c>
      <c r="C815" s="9" t="s">
        <v>209</v>
      </c>
      <c r="D815" s="15">
        <v>46766.99</v>
      </c>
      <c r="E815" s="15">
        <v>52247.45</v>
      </c>
      <c r="F815" s="15">
        <v>20234.310000000001</v>
      </c>
      <c r="G815" s="15">
        <v>12660.07</v>
      </c>
      <c r="H815" s="15">
        <v>2566.4899999999998</v>
      </c>
      <c r="I815" s="15">
        <v>134475.31</v>
      </c>
      <c r="J815" s="15">
        <v>87708.32</v>
      </c>
      <c r="K815" s="19">
        <v>0.69053891879943219</v>
      </c>
    </row>
    <row r="816" spans="1:11" x14ac:dyDescent="0.3">
      <c r="A816" s="9" t="s">
        <v>193</v>
      </c>
      <c r="B816" s="20">
        <v>45777</v>
      </c>
      <c r="C816" s="9" t="s">
        <v>208</v>
      </c>
      <c r="D816" s="15">
        <v>34812.870000000003</v>
      </c>
      <c r="E816" s="15">
        <v>9214.32</v>
      </c>
      <c r="F816" s="15">
        <v>14017.15</v>
      </c>
      <c r="G816" s="15">
        <v>45627.21</v>
      </c>
      <c r="H816" s="15">
        <v>7933.87</v>
      </c>
      <c r="I816" s="15">
        <v>111605.43</v>
      </c>
      <c r="J816" s="15">
        <v>76792.55</v>
      </c>
      <c r="K816" s="19">
        <v>0.69053891879943219</v>
      </c>
    </row>
    <row r="817" spans="1:11" x14ac:dyDescent="0.3">
      <c r="A817" s="9" t="s">
        <v>193</v>
      </c>
      <c r="B817" s="20">
        <v>45777</v>
      </c>
      <c r="C817" s="9" t="s">
        <v>207</v>
      </c>
      <c r="D817" s="15">
        <v>9841.41</v>
      </c>
      <c r="E817" s="15">
        <v>3512.33</v>
      </c>
      <c r="F817" s="15">
        <v>2565.85</v>
      </c>
      <c r="G817" s="15">
        <v>2037.15</v>
      </c>
      <c r="H817" s="15">
        <v>3640.34</v>
      </c>
      <c r="I817" s="15">
        <v>21597.09</v>
      </c>
      <c r="J817" s="15">
        <v>11755.68</v>
      </c>
      <c r="K817" s="19">
        <v>0.69053891879943219</v>
      </c>
    </row>
    <row r="818" spans="1:11" x14ac:dyDescent="0.3">
      <c r="A818" s="9" t="s">
        <v>193</v>
      </c>
      <c r="B818" s="20">
        <v>45777</v>
      </c>
      <c r="C818" s="9" t="s">
        <v>206</v>
      </c>
      <c r="D818" s="15">
        <v>54252.32</v>
      </c>
      <c r="E818" s="15">
        <v>47021.61</v>
      </c>
      <c r="F818" s="15">
        <v>17264.03</v>
      </c>
      <c r="G818" s="15">
        <v>25822.41</v>
      </c>
      <c r="H818" s="15">
        <v>13339.84</v>
      </c>
      <c r="I818" s="15">
        <v>157700.21</v>
      </c>
      <c r="J818" s="15">
        <v>103447.9</v>
      </c>
      <c r="K818" s="19">
        <v>0.69053891879943219</v>
      </c>
    </row>
    <row r="819" spans="1:11" x14ac:dyDescent="0.3">
      <c r="A819" s="9" t="s">
        <v>193</v>
      </c>
      <c r="B819" s="20">
        <v>45777</v>
      </c>
      <c r="C819" s="9" t="s">
        <v>205</v>
      </c>
      <c r="D819" s="15">
        <v>22374.28</v>
      </c>
      <c r="E819" s="15">
        <v>9262.17</v>
      </c>
      <c r="F819" s="15">
        <v>7974.6</v>
      </c>
      <c r="G819" s="15">
        <v>18819</v>
      </c>
      <c r="H819" s="15">
        <v>16563.419999999998</v>
      </c>
      <c r="I819" s="15">
        <v>74993.47</v>
      </c>
      <c r="J819" s="15">
        <v>52619.19</v>
      </c>
      <c r="K819" s="19">
        <v>0.69053891879943219</v>
      </c>
    </row>
    <row r="820" spans="1:11" x14ac:dyDescent="0.3">
      <c r="A820" s="9" t="s">
        <v>193</v>
      </c>
      <c r="B820" s="20">
        <v>45777</v>
      </c>
      <c r="C820" s="9" t="s">
        <v>204</v>
      </c>
      <c r="D820" s="15">
        <v>6200.27</v>
      </c>
      <c r="E820" s="15">
        <v>6680.35</v>
      </c>
      <c r="F820" s="15">
        <v>1615.24</v>
      </c>
      <c r="G820" s="15">
        <v>3363.01</v>
      </c>
      <c r="H820" s="15">
        <v>3373.38</v>
      </c>
      <c r="I820" s="15">
        <v>21232.25</v>
      </c>
      <c r="J820" s="15">
        <v>15031.99</v>
      </c>
      <c r="K820" s="19">
        <v>0.69053891879943219</v>
      </c>
    </row>
    <row r="821" spans="1:11" x14ac:dyDescent="0.3">
      <c r="A821" s="9" t="s">
        <v>193</v>
      </c>
      <c r="B821" s="20">
        <v>45777</v>
      </c>
      <c r="C821" s="9" t="s">
        <v>203</v>
      </c>
      <c r="D821" s="15">
        <v>64498.19</v>
      </c>
      <c r="E821" s="15">
        <v>13006.85</v>
      </c>
      <c r="F821" s="15">
        <v>21871.61</v>
      </c>
      <c r="G821" s="15">
        <v>26878.74</v>
      </c>
      <c r="H821" s="15">
        <v>7373.28</v>
      </c>
      <c r="I821" s="15">
        <v>133628.66</v>
      </c>
      <c r="J821" s="15">
        <v>69130.48</v>
      </c>
      <c r="K821" s="19">
        <v>0.69053891879943219</v>
      </c>
    </row>
    <row r="822" spans="1:11" x14ac:dyDescent="0.3">
      <c r="A822" s="9" t="s">
        <v>193</v>
      </c>
      <c r="B822" s="20">
        <v>45808</v>
      </c>
      <c r="C822" s="9" t="s">
        <v>222</v>
      </c>
      <c r="D822" s="15">
        <v>15575.7</v>
      </c>
      <c r="E822" s="15">
        <v>17154.330000000002</v>
      </c>
      <c r="F822" s="15">
        <v>2771.07</v>
      </c>
      <c r="G822" s="15">
        <v>21384.6</v>
      </c>
      <c r="H822" s="15">
        <v>2304.6999999999998</v>
      </c>
      <c r="I822" s="15">
        <v>59190.39</v>
      </c>
      <c r="J822" s="15">
        <v>43614.69</v>
      </c>
      <c r="K822" s="19">
        <v>0.76559422311881786</v>
      </c>
    </row>
    <row r="823" spans="1:11" x14ac:dyDescent="0.3">
      <c r="A823" s="9" t="s">
        <v>193</v>
      </c>
      <c r="B823" s="20">
        <v>45808</v>
      </c>
      <c r="C823" s="9" t="s">
        <v>221</v>
      </c>
      <c r="D823" s="15">
        <v>4200.8</v>
      </c>
      <c r="E823" s="15">
        <v>860.29</v>
      </c>
      <c r="F823" s="15">
        <v>681.44</v>
      </c>
      <c r="G823" s="15">
        <v>9208.06</v>
      </c>
      <c r="H823" s="15">
        <v>2582.7399999999998</v>
      </c>
      <c r="I823" s="15">
        <v>17533.330000000002</v>
      </c>
      <c r="J823" s="15">
        <v>13332.53</v>
      </c>
      <c r="K823" s="19">
        <v>0.76559422311881786</v>
      </c>
    </row>
    <row r="824" spans="1:11" x14ac:dyDescent="0.3">
      <c r="A824" s="9" t="s">
        <v>193</v>
      </c>
      <c r="B824" s="20">
        <v>45808</v>
      </c>
      <c r="C824" s="9" t="s">
        <v>220</v>
      </c>
      <c r="D824" s="15">
        <v>3891.7</v>
      </c>
      <c r="E824" s="15">
        <v>2854.03</v>
      </c>
      <c r="F824" s="15">
        <v>608.32000000000005</v>
      </c>
      <c r="G824" s="15">
        <v>1231.6300000000001</v>
      </c>
      <c r="H824" s="15">
        <v>386.26</v>
      </c>
      <c r="I824" s="15">
        <v>8971.94</v>
      </c>
      <c r="J824" s="15">
        <v>5080.24</v>
      </c>
      <c r="K824" s="19">
        <v>0.76559422311881786</v>
      </c>
    </row>
    <row r="825" spans="1:11" x14ac:dyDescent="0.3">
      <c r="A825" s="9" t="s">
        <v>193</v>
      </c>
      <c r="B825" s="20">
        <v>45808</v>
      </c>
      <c r="C825" s="9" t="s">
        <v>219</v>
      </c>
      <c r="D825" s="15">
        <v>16494.439999999999</v>
      </c>
      <c r="E825" s="15">
        <v>20367.54</v>
      </c>
      <c r="F825" s="15">
        <v>12450.31</v>
      </c>
      <c r="G825" s="15">
        <v>10604.36</v>
      </c>
      <c r="H825" s="15">
        <v>3892.55</v>
      </c>
      <c r="I825" s="15">
        <v>63809.21</v>
      </c>
      <c r="J825" s="15">
        <v>47314.77</v>
      </c>
      <c r="K825" s="19">
        <v>0.76559422311881786</v>
      </c>
    </row>
    <row r="826" spans="1:11" x14ac:dyDescent="0.3">
      <c r="A826" s="9" t="s">
        <v>193</v>
      </c>
      <c r="B826" s="20">
        <v>45808</v>
      </c>
      <c r="C826" s="9" t="s">
        <v>218</v>
      </c>
      <c r="D826" s="15">
        <v>67481.929999999993</v>
      </c>
      <c r="E826" s="15">
        <v>12097.25</v>
      </c>
      <c r="F826" s="15">
        <v>34143.269999999997</v>
      </c>
      <c r="G826" s="15">
        <v>13612.17</v>
      </c>
      <c r="H826" s="15">
        <v>38144.69</v>
      </c>
      <c r="I826" s="15">
        <v>165479.31</v>
      </c>
      <c r="J826" s="15">
        <v>97997.38</v>
      </c>
      <c r="K826" s="19">
        <v>0.76559422311881786</v>
      </c>
    </row>
    <row r="827" spans="1:11" x14ac:dyDescent="0.3">
      <c r="A827" s="9" t="s">
        <v>193</v>
      </c>
      <c r="B827" s="20">
        <v>45808</v>
      </c>
      <c r="C827" s="9" t="s">
        <v>217</v>
      </c>
      <c r="D827" s="15">
        <v>27454.78</v>
      </c>
      <c r="E827" s="15">
        <v>33493.5</v>
      </c>
      <c r="F827" s="15">
        <v>5924.33</v>
      </c>
      <c r="G827" s="15">
        <v>17543.099999999999</v>
      </c>
      <c r="H827" s="15">
        <v>6593.16</v>
      </c>
      <c r="I827" s="15">
        <v>91008.87</v>
      </c>
      <c r="J827" s="15">
        <v>63554.09</v>
      </c>
      <c r="K827" s="19">
        <v>0.76559422311881786</v>
      </c>
    </row>
    <row r="828" spans="1:11" x14ac:dyDescent="0.3">
      <c r="A828" s="9" t="s">
        <v>193</v>
      </c>
      <c r="B828" s="20">
        <v>45808</v>
      </c>
      <c r="C828" s="9" t="s">
        <v>216</v>
      </c>
      <c r="D828" s="15">
        <v>39046.29</v>
      </c>
      <c r="E828" s="15">
        <v>5394.29</v>
      </c>
      <c r="F828" s="15">
        <v>10906.06</v>
      </c>
      <c r="G828" s="15">
        <v>19947.38</v>
      </c>
      <c r="H828" s="15">
        <v>6949.66</v>
      </c>
      <c r="I828" s="15">
        <v>82243.69</v>
      </c>
      <c r="J828" s="15">
        <v>43197.4</v>
      </c>
      <c r="K828" s="19">
        <v>0.76559422311881786</v>
      </c>
    </row>
    <row r="829" spans="1:11" x14ac:dyDescent="0.3">
      <c r="A829" s="9" t="s">
        <v>193</v>
      </c>
      <c r="B829" s="20">
        <v>45808</v>
      </c>
      <c r="C829" s="9" t="s">
        <v>215</v>
      </c>
      <c r="D829" s="15">
        <v>81472.36</v>
      </c>
      <c r="E829" s="15">
        <v>17824.91</v>
      </c>
      <c r="F829" s="15">
        <v>21644.720000000001</v>
      </c>
      <c r="G829" s="15">
        <v>21149.77</v>
      </c>
      <c r="H829" s="15">
        <v>47696.83</v>
      </c>
      <c r="I829" s="15">
        <v>189788.59</v>
      </c>
      <c r="J829" s="15">
        <v>108316.24</v>
      </c>
      <c r="K829" s="19">
        <v>0.76559422311881786</v>
      </c>
    </row>
    <row r="830" spans="1:11" x14ac:dyDescent="0.3">
      <c r="A830" s="9" t="s">
        <v>193</v>
      </c>
      <c r="B830" s="20">
        <v>45808</v>
      </c>
      <c r="C830" s="9" t="s">
        <v>214</v>
      </c>
      <c r="D830" s="15">
        <v>21640.44</v>
      </c>
      <c r="E830" s="15">
        <v>7746.67</v>
      </c>
      <c r="F830" s="15">
        <v>15383.91</v>
      </c>
      <c r="G830" s="15">
        <v>8462.2099999999991</v>
      </c>
      <c r="H830" s="15">
        <v>6290.71</v>
      </c>
      <c r="I830" s="15">
        <v>59523.94</v>
      </c>
      <c r="J830" s="15">
        <v>37883.5</v>
      </c>
      <c r="K830" s="19">
        <v>0.76559422311881786</v>
      </c>
    </row>
    <row r="831" spans="1:11" x14ac:dyDescent="0.3">
      <c r="A831" s="9" t="s">
        <v>193</v>
      </c>
      <c r="B831" s="20">
        <v>45808</v>
      </c>
      <c r="C831" s="9" t="s">
        <v>213</v>
      </c>
      <c r="D831" s="15">
        <v>58166.23</v>
      </c>
      <c r="E831" s="15">
        <v>20697.61</v>
      </c>
      <c r="F831" s="15">
        <v>47379.82</v>
      </c>
      <c r="G831" s="15">
        <v>10150.950000000001</v>
      </c>
      <c r="H831" s="15">
        <v>22432.92</v>
      </c>
      <c r="I831" s="15">
        <v>158827.53</v>
      </c>
      <c r="J831" s="15">
        <v>100661.3</v>
      </c>
      <c r="K831" s="19">
        <v>0.76559422311881786</v>
      </c>
    </row>
    <row r="832" spans="1:11" x14ac:dyDescent="0.3">
      <c r="A832" s="9" t="s">
        <v>193</v>
      </c>
      <c r="B832" s="20">
        <v>45808</v>
      </c>
      <c r="C832" s="9" t="s">
        <v>212</v>
      </c>
      <c r="D832" s="15">
        <v>91148.08</v>
      </c>
      <c r="E832" s="15">
        <v>14187.9</v>
      </c>
      <c r="F832" s="15">
        <v>19316.490000000002</v>
      </c>
      <c r="G832" s="15">
        <v>52589.06</v>
      </c>
      <c r="H832" s="15">
        <v>12354.51</v>
      </c>
      <c r="I832" s="15">
        <v>189596.05</v>
      </c>
      <c r="J832" s="15">
        <v>98447.97</v>
      </c>
      <c r="K832" s="19">
        <v>0.76559422311881786</v>
      </c>
    </row>
    <row r="833" spans="1:11" x14ac:dyDescent="0.3">
      <c r="A833" s="9" t="s">
        <v>193</v>
      </c>
      <c r="B833" s="20">
        <v>45808</v>
      </c>
      <c r="C833" s="9" t="s">
        <v>211</v>
      </c>
      <c r="D833" s="15">
        <v>23051.65</v>
      </c>
      <c r="E833" s="15">
        <v>21260.29</v>
      </c>
      <c r="F833" s="15">
        <v>5994.85</v>
      </c>
      <c r="G833" s="15">
        <v>16649.89</v>
      </c>
      <c r="H833" s="15">
        <v>5208.8599999999997</v>
      </c>
      <c r="I833" s="15">
        <v>72165.539999999994</v>
      </c>
      <c r="J833" s="15">
        <v>49113.9</v>
      </c>
      <c r="K833" s="19">
        <v>0.76559422311881786</v>
      </c>
    </row>
    <row r="834" spans="1:11" x14ac:dyDescent="0.3">
      <c r="A834" s="9" t="s">
        <v>193</v>
      </c>
      <c r="B834" s="20">
        <v>45808</v>
      </c>
      <c r="C834" s="9" t="s">
        <v>210</v>
      </c>
      <c r="D834" s="15">
        <v>27322.09</v>
      </c>
      <c r="E834" s="15">
        <v>9761.01</v>
      </c>
      <c r="F834" s="15">
        <v>12615.86</v>
      </c>
      <c r="G834" s="15">
        <v>4558.46</v>
      </c>
      <c r="H834" s="15">
        <v>11509.53</v>
      </c>
      <c r="I834" s="15">
        <v>65766.94</v>
      </c>
      <c r="J834" s="15">
        <v>38444.86</v>
      </c>
      <c r="K834" s="19">
        <v>0.76559422311881786</v>
      </c>
    </row>
    <row r="835" spans="1:11" x14ac:dyDescent="0.3">
      <c r="A835" s="9" t="s">
        <v>193</v>
      </c>
      <c r="B835" s="20">
        <v>45808</v>
      </c>
      <c r="C835" s="9" t="s">
        <v>209</v>
      </c>
      <c r="D835" s="15">
        <v>40570.1</v>
      </c>
      <c r="E835" s="15">
        <v>17255.02</v>
      </c>
      <c r="F835" s="15">
        <v>13113.39</v>
      </c>
      <c r="G835" s="15">
        <v>1688.52</v>
      </c>
      <c r="H835" s="15">
        <v>10008.030000000001</v>
      </c>
      <c r="I835" s="15">
        <v>82635.070000000007</v>
      </c>
      <c r="J835" s="15">
        <v>42064.97</v>
      </c>
      <c r="K835" s="19">
        <v>0.76559422311881786</v>
      </c>
    </row>
    <row r="836" spans="1:11" x14ac:dyDescent="0.3">
      <c r="A836" s="9" t="s">
        <v>193</v>
      </c>
      <c r="B836" s="20">
        <v>45808</v>
      </c>
      <c r="C836" s="9" t="s">
        <v>208</v>
      </c>
      <c r="D836" s="15">
        <v>39831.769999999997</v>
      </c>
      <c r="E836" s="15">
        <v>19385.330000000002</v>
      </c>
      <c r="F836" s="15">
        <v>10760.63</v>
      </c>
      <c r="G836" s="15">
        <v>43272.72</v>
      </c>
      <c r="H836" s="15">
        <v>4832.21</v>
      </c>
      <c r="I836" s="15">
        <v>118082.66</v>
      </c>
      <c r="J836" s="15">
        <v>78250.89</v>
      </c>
      <c r="K836" s="19">
        <v>0.76559422311881786</v>
      </c>
    </row>
    <row r="837" spans="1:11" x14ac:dyDescent="0.3">
      <c r="A837" s="9" t="s">
        <v>193</v>
      </c>
      <c r="B837" s="20">
        <v>45808</v>
      </c>
      <c r="C837" s="9" t="s">
        <v>207</v>
      </c>
      <c r="D837" s="15">
        <v>19838.41</v>
      </c>
      <c r="E837" s="15">
        <v>14979.94</v>
      </c>
      <c r="F837" s="15">
        <v>16199.56</v>
      </c>
      <c r="G837" s="15">
        <v>8065.25</v>
      </c>
      <c r="H837" s="15">
        <v>7819.75</v>
      </c>
      <c r="I837" s="15">
        <v>66902.91</v>
      </c>
      <c r="J837" s="15">
        <v>47064.5</v>
      </c>
      <c r="K837" s="19">
        <v>0.76559422311881786</v>
      </c>
    </row>
    <row r="838" spans="1:11" x14ac:dyDescent="0.3">
      <c r="A838" s="9" t="s">
        <v>193</v>
      </c>
      <c r="B838" s="20">
        <v>45808</v>
      </c>
      <c r="C838" s="9" t="s">
        <v>206</v>
      </c>
      <c r="D838" s="15">
        <v>77613.63</v>
      </c>
      <c r="E838" s="15">
        <v>53133.5</v>
      </c>
      <c r="F838" s="15">
        <v>2208.89</v>
      </c>
      <c r="G838" s="15">
        <v>44288.800000000003</v>
      </c>
      <c r="H838" s="15">
        <v>6051.77</v>
      </c>
      <c r="I838" s="15">
        <v>183296.59</v>
      </c>
      <c r="J838" s="15">
        <v>105682.96</v>
      </c>
      <c r="K838" s="19">
        <v>0.76559422311881786</v>
      </c>
    </row>
    <row r="839" spans="1:11" x14ac:dyDescent="0.3">
      <c r="A839" s="9" t="s">
        <v>193</v>
      </c>
      <c r="B839" s="20">
        <v>45808</v>
      </c>
      <c r="C839" s="9" t="s">
        <v>205</v>
      </c>
      <c r="D839" s="15">
        <v>105076.8</v>
      </c>
      <c r="E839" s="15">
        <v>28844.05</v>
      </c>
      <c r="F839" s="15">
        <v>21952.09</v>
      </c>
      <c r="G839" s="15">
        <v>23244.2</v>
      </c>
      <c r="H839" s="15">
        <v>31088.67</v>
      </c>
      <c r="I839" s="15">
        <v>210205.8</v>
      </c>
      <c r="J839" s="15">
        <v>105129</v>
      </c>
      <c r="K839" s="19">
        <v>0.76559422311881786</v>
      </c>
    </row>
    <row r="840" spans="1:11" x14ac:dyDescent="0.3">
      <c r="A840" s="9" t="s">
        <v>193</v>
      </c>
      <c r="B840" s="20">
        <v>45808</v>
      </c>
      <c r="C840" s="9" t="s">
        <v>204</v>
      </c>
      <c r="D840" s="15">
        <v>31514.51</v>
      </c>
      <c r="E840" s="15">
        <v>17409.55</v>
      </c>
      <c r="F840" s="15">
        <v>27516.880000000001</v>
      </c>
      <c r="G840" s="15">
        <v>11958.29</v>
      </c>
      <c r="H840" s="15">
        <v>9175.1</v>
      </c>
      <c r="I840" s="15">
        <v>97574.33</v>
      </c>
      <c r="J840" s="15">
        <v>66059.820000000007</v>
      </c>
      <c r="K840" s="19">
        <v>0.76559422311881786</v>
      </c>
    </row>
    <row r="841" spans="1:11" x14ac:dyDescent="0.3">
      <c r="A841" s="9" t="s">
        <v>193</v>
      </c>
      <c r="B841" s="20">
        <v>45808</v>
      </c>
      <c r="C841" s="9" t="s">
        <v>203</v>
      </c>
      <c r="D841" s="15">
        <v>62699.199999999997</v>
      </c>
      <c r="E841" s="15">
        <v>21178.94</v>
      </c>
      <c r="F841" s="15">
        <v>7374.21</v>
      </c>
      <c r="G841" s="15">
        <v>4440.5200000000004</v>
      </c>
      <c r="H841" s="15">
        <v>32264.07</v>
      </c>
      <c r="I841" s="15">
        <v>127956.94</v>
      </c>
      <c r="J841" s="15">
        <v>65257.75</v>
      </c>
      <c r="K841" s="19">
        <v>0.76559422311881786</v>
      </c>
    </row>
    <row r="842" spans="1:11" x14ac:dyDescent="0.3">
      <c r="A842" s="9" t="s">
        <v>193</v>
      </c>
      <c r="B842" s="20">
        <v>45838</v>
      </c>
      <c r="C842" s="9" t="s">
        <v>222</v>
      </c>
      <c r="D842" s="15">
        <v>10806.53</v>
      </c>
      <c r="E842" s="15">
        <v>7367.2</v>
      </c>
      <c r="F842" s="15">
        <v>2222.09</v>
      </c>
      <c r="G842" s="15">
        <v>7696.19</v>
      </c>
      <c r="H842" s="15">
        <v>5312.79</v>
      </c>
      <c r="I842" s="15">
        <v>33404.800000000003</v>
      </c>
      <c r="J842" s="15">
        <v>22598.27</v>
      </c>
      <c r="K842" s="19">
        <v>0.69730319816591213</v>
      </c>
    </row>
    <row r="843" spans="1:11" x14ac:dyDescent="0.3">
      <c r="A843" s="9" t="s">
        <v>193</v>
      </c>
      <c r="B843" s="20">
        <v>45838</v>
      </c>
      <c r="C843" s="9" t="s">
        <v>221</v>
      </c>
      <c r="D843" s="15">
        <v>65337.69</v>
      </c>
      <c r="E843" s="15">
        <v>22823.56</v>
      </c>
      <c r="F843" s="15">
        <v>27094.89</v>
      </c>
      <c r="G843" s="15">
        <v>11491.52</v>
      </c>
      <c r="H843" s="15">
        <v>25424.720000000001</v>
      </c>
      <c r="I843" s="15">
        <v>152172.37</v>
      </c>
      <c r="J843" s="15">
        <v>86834.68</v>
      </c>
      <c r="K843" s="19">
        <v>0.69730319816591213</v>
      </c>
    </row>
    <row r="844" spans="1:11" x14ac:dyDescent="0.3">
      <c r="A844" s="9" t="s">
        <v>193</v>
      </c>
      <c r="B844" s="20">
        <v>45838</v>
      </c>
      <c r="C844" s="9" t="s">
        <v>220</v>
      </c>
      <c r="D844" s="15">
        <v>69067.429999999993</v>
      </c>
      <c r="E844" s="15">
        <v>18927.080000000002</v>
      </c>
      <c r="F844" s="15">
        <v>15846.43</v>
      </c>
      <c r="G844" s="15">
        <v>14418.8</v>
      </c>
      <c r="H844" s="15">
        <v>43753.78</v>
      </c>
      <c r="I844" s="15">
        <v>162013.51999999999</v>
      </c>
      <c r="J844" s="15">
        <v>92946.09</v>
      </c>
      <c r="K844" s="19">
        <v>0.69730319816591213</v>
      </c>
    </row>
    <row r="845" spans="1:11" x14ac:dyDescent="0.3">
      <c r="A845" s="9" t="s">
        <v>193</v>
      </c>
      <c r="B845" s="20">
        <v>45838</v>
      </c>
      <c r="C845" s="9" t="s">
        <v>219</v>
      </c>
      <c r="D845" s="15">
        <v>34635.050000000003</v>
      </c>
      <c r="E845" s="15">
        <v>23522.720000000001</v>
      </c>
      <c r="F845" s="15">
        <v>8616.01</v>
      </c>
      <c r="G845" s="15">
        <v>14887.34</v>
      </c>
      <c r="H845" s="15">
        <v>9873.7900000000009</v>
      </c>
      <c r="I845" s="15">
        <v>91534.91</v>
      </c>
      <c r="J845" s="15">
        <v>56899.86</v>
      </c>
      <c r="K845" s="19">
        <v>0.69730319816591213</v>
      </c>
    </row>
    <row r="846" spans="1:11" x14ac:dyDescent="0.3">
      <c r="A846" s="9" t="s">
        <v>193</v>
      </c>
      <c r="B846" s="20">
        <v>45838</v>
      </c>
      <c r="C846" s="9" t="s">
        <v>218</v>
      </c>
      <c r="D846" s="15">
        <v>49797.53</v>
      </c>
      <c r="E846" s="15">
        <v>33741.57</v>
      </c>
      <c r="F846" s="15">
        <v>54879.28</v>
      </c>
      <c r="G846" s="15">
        <v>8855.27</v>
      </c>
      <c r="H846" s="15">
        <v>2766.39</v>
      </c>
      <c r="I846" s="15">
        <v>150040.04999999999</v>
      </c>
      <c r="J846" s="15">
        <v>100242.52</v>
      </c>
      <c r="K846" s="19">
        <v>0.69730319816591213</v>
      </c>
    </row>
    <row r="847" spans="1:11" x14ac:dyDescent="0.3">
      <c r="A847" s="9" t="s">
        <v>193</v>
      </c>
      <c r="B847" s="20">
        <v>45838</v>
      </c>
      <c r="C847" s="9" t="s">
        <v>217</v>
      </c>
      <c r="D847" s="15">
        <v>52445.62</v>
      </c>
      <c r="E847" s="15">
        <v>35184.51</v>
      </c>
      <c r="F847" s="15">
        <v>20486.72</v>
      </c>
      <c r="G847" s="15">
        <v>25542.99</v>
      </c>
      <c r="H847" s="15">
        <v>5315.39</v>
      </c>
      <c r="I847" s="15">
        <v>138975.24</v>
      </c>
      <c r="J847" s="15">
        <v>86529.62</v>
      </c>
      <c r="K847" s="19">
        <v>0.69730319816591213</v>
      </c>
    </row>
    <row r="848" spans="1:11" x14ac:dyDescent="0.3">
      <c r="A848" s="9" t="s">
        <v>193</v>
      </c>
      <c r="B848" s="20">
        <v>45838</v>
      </c>
      <c r="C848" s="9" t="s">
        <v>216</v>
      </c>
      <c r="D848" s="15">
        <v>96466.59</v>
      </c>
      <c r="E848" s="15">
        <v>40924.699999999997</v>
      </c>
      <c r="F848" s="15">
        <v>28331.16</v>
      </c>
      <c r="G848" s="15">
        <v>19717.02</v>
      </c>
      <c r="H848" s="15">
        <v>8841.0400000000009</v>
      </c>
      <c r="I848" s="15">
        <v>194280.52</v>
      </c>
      <c r="J848" s="15">
        <v>97813.93</v>
      </c>
      <c r="K848" s="19">
        <v>0.69730319816591213</v>
      </c>
    </row>
    <row r="849" spans="1:11" x14ac:dyDescent="0.3">
      <c r="A849" s="9" t="s">
        <v>193</v>
      </c>
      <c r="B849" s="20">
        <v>45838</v>
      </c>
      <c r="C849" s="9" t="s">
        <v>215</v>
      </c>
      <c r="D849" s="15">
        <v>29716.87</v>
      </c>
      <c r="E849" s="15">
        <v>12785.74</v>
      </c>
      <c r="F849" s="15">
        <v>10166.61</v>
      </c>
      <c r="G849" s="15">
        <v>5025.79</v>
      </c>
      <c r="H849" s="15">
        <v>8872.15</v>
      </c>
      <c r="I849" s="15">
        <v>66567.16</v>
      </c>
      <c r="J849" s="15">
        <v>36850.29</v>
      </c>
      <c r="K849" s="19">
        <v>0.69730319816591213</v>
      </c>
    </row>
    <row r="850" spans="1:11" x14ac:dyDescent="0.3">
      <c r="A850" s="9" t="s">
        <v>193</v>
      </c>
      <c r="B850" s="20">
        <v>45838</v>
      </c>
      <c r="C850" s="9" t="s">
        <v>214</v>
      </c>
      <c r="D850" s="15">
        <v>57662.65</v>
      </c>
      <c r="E850" s="15">
        <v>18667.71</v>
      </c>
      <c r="F850" s="15">
        <v>29021.75</v>
      </c>
      <c r="G850" s="15">
        <v>20232.21</v>
      </c>
      <c r="H850" s="15">
        <v>28212.01</v>
      </c>
      <c r="I850" s="15">
        <v>153796.32999999999</v>
      </c>
      <c r="J850" s="15">
        <v>96133.68</v>
      </c>
      <c r="K850" s="19">
        <v>0.69730319816591213</v>
      </c>
    </row>
    <row r="851" spans="1:11" x14ac:dyDescent="0.3">
      <c r="A851" s="9" t="s">
        <v>193</v>
      </c>
      <c r="B851" s="20">
        <v>45838</v>
      </c>
      <c r="C851" s="9" t="s">
        <v>213</v>
      </c>
      <c r="D851" s="15">
        <v>47073.9</v>
      </c>
      <c r="E851" s="15">
        <v>37337.24</v>
      </c>
      <c r="F851" s="15">
        <v>23235.43</v>
      </c>
      <c r="G851" s="15">
        <v>23809.59</v>
      </c>
      <c r="H851" s="15">
        <v>9373.25</v>
      </c>
      <c r="I851" s="15">
        <v>140829.41</v>
      </c>
      <c r="J851" s="15">
        <v>93755.51</v>
      </c>
      <c r="K851" s="19">
        <v>0.69730319816591213</v>
      </c>
    </row>
    <row r="852" spans="1:11" x14ac:dyDescent="0.3">
      <c r="A852" s="9" t="s">
        <v>193</v>
      </c>
      <c r="B852" s="20">
        <v>45838</v>
      </c>
      <c r="C852" s="9" t="s">
        <v>212</v>
      </c>
      <c r="D852" s="15">
        <v>8617.3799999999992</v>
      </c>
      <c r="E852" s="15">
        <v>2649.26</v>
      </c>
      <c r="F852" s="15">
        <v>3292.11</v>
      </c>
      <c r="G852" s="15">
        <v>6577.3</v>
      </c>
      <c r="H852" s="15">
        <v>2363.8200000000002</v>
      </c>
      <c r="I852" s="15">
        <v>23499.87</v>
      </c>
      <c r="J852" s="15">
        <v>14882.49</v>
      </c>
      <c r="K852" s="19">
        <v>0.69730319816591213</v>
      </c>
    </row>
    <row r="853" spans="1:11" x14ac:dyDescent="0.3">
      <c r="A853" s="9" t="s">
        <v>193</v>
      </c>
      <c r="B853" s="20">
        <v>45838</v>
      </c>
      <c r="C853" s="9" t="s">
        <v>211</v>
      </c>
      <c r="D853" s="15">
        <v>5273.39</v>
      </c>
      <c r="E853" s="15">
        <v>4568.46</v>
      </c>
      <c r="F853" s="15">
        <v>3825.24</v>
      </c>
      <c r="G853" s="15">
        <v>2832.69</v>
      </c>
      <c r="H853" s="15">
        <v>1086.81</v>
      </c>
      <c r="I853" s="15">
        <v>17586.599999999999</v>
      </c>
      <c r="J853" s="15">
        <v>12313.2</v>
      </c>
      <c r="K853" s="19">
        <v>0.69730319816591213</v>
      </c>
    </row>
    <row r="854" spans="1:11" x14ac:dyDescent="0.3">
      <c r="A854" s="9" t="s">
        <v>193</v>
      </c>
      <c r="B854" s="20">
        <v>45838</v>
      </c>
      <c r="C854" s="9" t="s">
        <v>210</v>
      </c>
      <c r="D854" s="15">
        <v>17248.45</v>
      </c>
      <c r="E854" s="15">
        <v>4021.45</v>
      </c>
      <c r="F854" s="15">
        <v>12852.12</v>
      </c>
      <c r="G854" s="15">
        <v>11432.85</v>
      </c>
      <c r="H854" s="15">
        <v>3804.63</v>
      </c>
      <c r="I854" s="15">
        <v>49359.5</v>
      </c>
      <c r="J854" s="15">
        <v>32111.05</v>
      </c>
      <c r="K854" s="19">
        <v>0.69730319816591213</v>
      </c>
    </row>
    <row r="855" spans="1:11" x14ac:dyDescent="0.3">
      <c r="A855" s="9" t="s">
        <v>193</v>
      </c>
      <c r="B855" s="20">
        <v>45838</v>
      </c>
      <c r="C855" s="9" t="s">
        <v>209</v>
      </c>
      <c r="D855" s="15">
        <v>12647.36</v>
      </c>
      <c r="E855" s="15">
        <v>21468.03</v>
      </c>
      <c r="F855" s="15">
        <v>7387.24</v>
      </c>
      <c r="G855" s="15">
        <v>1668.58</v>
      </c>
      <c r="H855" s="15">
        <v>4314.1899999999996</v>
      </c>
      <c r="I855" s="15">
        <v>47485.4</v>
      </c>
      <c r="J855" s="15">
        <v>34838.04</v>
      </c>
      <c r="K855" s="19">
        <v>0.69730319816591213</v>
      </c>
    </row>
    <row r="856" spans="1:11" x14ac:dyDescent="0.3">
      <c r="A856" s="9" t="s">
        <v>193</v>
      </c>
      <c r="B856" s="20">
        <v>45838</v>
      </c>
      <c r="C856" s="9" t="s">
        <v>208</v>
      </c>
      <c r="D856" s="15">
        <v>1118.6199999999999</v>
      </c>
      <c r="E856" s="15">
        <v>781.35</v>
      </c>
      <c r="F856" s="15">
        <v>135.16</v>
      </c>
      <c r="G856" s="15">
        <v>284.77</v>
      </c>
      <c r="H856" s="15">
        <v>927.45</v>
      </c>
      <c r="I856" s="15">
        <v>3247.36</v>
      </c>
      <c r="J856" s="15">
        <v>2128.73</v>
      </c>
      <c r="K856" s="19">
        <v>0.69730319816591213</v>
      </c>
    </row>
    <row r="857" spans="1:11" x14ac:dyDescent="0.3">
      <c r="A857" s="9" t="s">
        <v>193</v>
      </c>
      <c r="B857" s="20">
        <v>45838</v>
      </c>
      <c r="C857" s="9" t="s">
        <v>207</v>
      </c>
      <c r="D857" s="15">
        <v>19501.2</v>
      </c>
      <c r="E857" s="15">
        <v>18960.37</v>
      </c>
      <c r="F857" s="15">
        <v>10783.09</v>
      </c>
      <c r="G857" s="15">
        <v>7065.56</v>
      </c>
      <c r="H857" s="15">
        <v>1321.53</v>
      </c>
      <c r="I857" s="15">
        <v>57631.75</v>
      </c>
      <c r="J857" s="15">
        <v>38130.550000000003</v>
      </c>
      <c r="K857" s="19">
        <v>0.69730319816591213</v>
      </c>
    </row>
    <row r="858" spans="1:11" x14ac:dyDescent="0.3">
      <c r="A858" s="9" t="s">
        <v>193</v>
      </c>
      <c r="B858" s="20">
        <v>45838</v>
      </c>
      <c r="C858" s="9" t="s">
        <v>206</v>
      </c>
      <c r="D858" s="15">
        <v>53318.34</v>
      </c>
      <c r="E858" s="15">
        <v>19984.25</v>
      </c>
      <c r="F858" s="15">
        <v>26368.37</v>
      </c>
      <c r="G858" s="15">
        <v>22932.06</v>
      </c>
      <c r="H858" s="15">
        <v>20810.009999999998</v>
      </c>
      <c r="I858" s="15">
        <v>143413.01999999999</v>
      </c>
      <c r="J858" s="15">
        <v>90094.68</v>
      </c>
      <c r="K858" s="19">
        <v>0.69730319816591213</v>
      </c>
    </row>
    <row r="859" spans="1:11" x14ac:dyDescent="0.3">
      <c r="A859" s="9" t="s">
        <v>193</v>
      </c>
      <c r="B859" s="20">
        <v>45838</v>
      </c>
      <c r="C859" s="9" t="s">
        <v>205</v>
      </c>
      <c r="D859" s="15">
        <v>50206.239999999998</v>
      </c>
      <c r="E859" s="15">
        <v>37528.74</v>
      </c>
      <c r="F859" s="15">
        <v>22228.6</v>
      </c>
      <c r="G859" s="15">
        <v>1376.09</v>
      </c>
      <c r="H859" s="15">
        <v>17946.18</v>
      </c>
      <c r="I859" s="15">
        <v>129285.85</v>
      </c>
      <c r="J859" s="15">
        <v>79079.61</v>
      </c>
      <c r="K859" s="19">
        <v>0.69730319816591213</v>
      </c>
    </row>
    <row r="860" spans="1:11" x14ac:dyDescent="0.3">
      <c r="A860" s="9" t="s">
        <v>193</v>
      </c>
      <c r="B860" s="20">
        <v>45838</v>
      </c>
      <c r="C860" s="9" t="s">
        <v>204</v>
      </c>
      <c r="D860" s="15">
        <v>26682.51</v>
      </c>
      <c r="E860" s="15">
        <v>8862.11</v>
      </c>
      <c r="F860" s="15">
        <v>8995.2099999999991</v>
      </c>
      <c r="G860" s="15">
        <v>12995.7</v>
      </c>
      <c r="H860" s="15">
        <v>3938.18</v>
      </c>
      <c r="I860" s="15">
        <v>61473.7</v>
      </c>
      <c r="J860" s="15">
        <v>34791.19</v>
      </c>
      <c r="K860" s="19">
        <v>0.69730319816591213</v>
      </c>
    </row>
    <row r="861" spans="1:11" x14ac:dyDescent="0.3">
      <c r="A861" s="9" t="s">
        <v>193</v>
      </c>
      <c r="B861" s="20">
        <v>45838</v>
      </c>
      <c r="C861" s="9" t="s">
        <v>203</v>
      </c>
      <c r="D861" s="15">
        <v>44636.42</v>
      </c>
      <c r="E861" s="15">
        <v>49867.87</v>
      </c>
      <c r="F861" s="15">
        <v>16657.72</v>
      </c>
      <c r="G861" s="15">
        <v>10403.33</v>
      </c>
      <c r="H861" s="15">
        <v>7161.94</v>
      </c>
      <c r="I861" s="15">
        <v>128727.28</v>
      </c>
      <c r="J861" s="15">
        <v>84090.86</v>
      </c>
      <c r="K861" s="19">
        <v>0.69730319816591213</v>
      </c>
    </row>
    <row r="862" spans="1:11" x14ac:dyDescent="0.3">
      <c r="A862" s="9" t="s">
        <v>193</v>
      </c>
      <c r="B862" s="20">
        <v>45869</v>
      </c>
      <c r="C862" s="9" t="s">
        <v>222</v>
      </c>
      <c r="D862" s="15">
        <v>4348.09</v>
      </c>
      <c r="E862" s="15">
        <v>1732.29</v>
      </c>
      <c r="F862" s="15">
        <v>4889.76</v>
      </c>
      <c r="G862" s="15">
        <v>1657.67</v>
      </c>
      <c r="H862" s="15">
        <v>1602.8</v>
      </c>
      <c r="I862" s="15">
        <v>14230.61</v>
      </c>
      <c r="J862" s="15">
        <v>9882.51</v>
      </c>
      <c r="K862" s="19">
        <v>0.74380887971977516</v>
      </c>
    </row>
    <row r="863" spans="1:11" x14ac:dyDescent="0.3">
      <c r="A863" s="9" t="s">
        <v>193</v>
      </c>
      <c r="B863" s="20">
        <v>45869</v>
      </c>
      <c r="C863" s="9" t="s">
        <v>221</v>
      </c>
      <c r="D863" s="15">
        <v>32652.89</v>
      </c>
      <c r="E863" s="15">
        <v>15452.06</v>
      </c>
      <c r="F863" s="15">
        <v>23613.74</v>
      </c>
      <c r="G863" s="15">
        <v>17937.59</v>
      </c>
      <c r="H863" s="15">
        <v>13847.09</v>
      </c>
      <c r="I863" s="15">
        <v>103503.36</v>
      </c>
      <c r="J863" s="15">
        <v>70850.47</v>
      </c>
      <c r="K863" s="19">
        <v>0.74380887971977516</v>
      </c>
    </row>
    <row r="864" spans="1:11" x14ac:dyDescent="0.3">
      <c r="A864" s="9" t="s">
        <v>193</v>
      </c>
      <c r="B864" s="20">
        <v>45869</v>
      </c>
      <c r="C864" s="9" t="s">
        <v>220</v>
      </c>
      <c r="D864" s="15">
        <v>81214.289999999994</v>
      </c>
      <c r="E864" s="15">
        <v>65903.38</v>
      </c>
      <c r="F864" s="15">
        <v>18396.73</v>
      </c>
      <c r="G864" s="15">
        <v>3674.28</v>
      </c>
      <c r="H864" s="15">
        <v>5349.99</v>
      </c>
      <c r="I864" s="15">
        <v>174538.67</v>
      </c>
      <c r="J864" s="15">
        <v>93324.38</v>
      </c>
      <c r="K864" s="19">
        <v>0.74380887971977516</v>
      </c>
    </row>
    <row r="865" spans="1:11" x14ac:dyDescent="0.3">
      <c r="A865" s="9" t="s">
        <v>193</v>
      </c>
      <c r="B865" s="20">
        <v>45869</v>
      </c>
      <c r="C865" s="9" t="s">
        <v>219</v>
      </c>
      <c r="D865" s="15">
        <v>42979.31</v>
      </c>
      <c r="E865" s="15">
        <v>8367.07</v>
      </c>
      <c r="F865" s="15">
        <v>28529.68</v>
      </c>
      <c r="G865" s="15">
        <v>16786.63</v>
      </c>
      <c r="H865" s="15">
        <v>5126.6000000000004</v>
      </c>
      <c r="I865" s="15">
        <v>101789.29</v>
      </c>
      <c r="J865" s="15">
        <v>58809.98</v>
      </c>
      <c r="K865" s="19">
        <v>0.74380887971977516</v>
      </c>
    </row>
    <row r="866" spans="1:11" x14ac:dyDescent="0.3">
      <c r="A866" s="9" t="s">
        <v>193</v>
      </c>
      <c r="B866" s="20">
        <v>45869</v>
      </c>
      <c r="C866" s="9" t="s">
        <v>218</v>
      </c>
      <c r="D866" s="15">
        <v>41685.980000000003</v>
      </c>
      <c r="E866" s="15">
        <v>11970.5</v>
      </c>
      <c r="F866" s="15">
        <v>19438.830000000002</v>
      </c>
      <c r="G866" s="15">
        <v>9271.8799999999992</v>
      </c>
      <c r="H866" s="15">
        <v>4578.4399999999996</v>
      </c>
      <c r="I866" s="15">
        <v>86945.63</v>
      </c>
      <c r="J866" s="15">
        <v>45259.65</v>
      </c>
      <c r="K866" s="19">
        <v>0.74380887971977516</v>
      </c>
    </row>
    <row r="867" spans="1:11" x14ac:dyDescent="0.3">
      <c r="A867" s="9" t="s">
        <v>193</v>
      </c>
      <c r="B867" s="20">
        <v>45869</v>
      </c>
      <c r="C867" s="9" t="s">
        <v>217</v>
      </c>
      <c r="D867" s="15">
        <v>21877.07</v>
      </c>
      <c r="E867" s="15">
        <v>24793.17</v>
      </c>
      <c r="F867" s="15">
        <v>10349.92</v>
      </c>
      <c r="G867" s="15">
        <v>3626.29</v>
      </c>
      <c r="H867" s="15">
        <v>1541.55</v>
      </c>
      <c r="I867" s="15">
        <v>62188</v>
      </c>
      <c r="J867" s="15">
        <v>40310.93</v>
      </c>
      <c r="K867" s="19">
        <v>0.74380887971977516</v>
      </c>
    </row>
    <row r="868" spans="1:11" x14ac:dyDescent="0.3">
      <c r="A868" s="9" t="s">
        <v>193</v>
      </c>
      <c r="B868" s="20">
        <v>45869</v>
      </c>
      <c r="C868" s="9" t="s">
        <v>216</v>
      </c>
      <c r="D868" s="15">
        <v>38411.040000000001</v>
      </c>
      <c r="E868" s="15">
        <v>23124.05</v>
      </c>
      <c r="F868" s="15">
        <v>8537.01</v>
      </c>
      <c r="G868" s="15">
        <v>15292.08</v>
      </c>
      <c r="H868" s="15">
        <v>21520.04</v>
      </c>
      <c r="I868" s="15">
        <v>106884.21</v>
      </c>
      <c r="J868" s="15">
        <v>68473.179999999993</v>
      </c>
      <c r="K868" s="19">
        <v>0.74380887971977516</v>
      </c>
    </row>
    <row r="869" spans="1:11" x14ac:dyDescent="0.3">
      <c r="A869" s="9" t="s">
        <v>193</v>
      </c>
      <c r="B869" s="20">
        <v>45869</v>
      </c>
      <c r="C869" s="9" t="s">
        <v>215</v>
      </c>
      <c r="D869" s="15">
        <v>20170.2</v>
      </c>
      <c r="E869" s="15">
        <v>13981.05</v>
      </c>
      <c r="F869" s="15">
        <v>2604.62</v>
      </c>
      <c r="G869" s="15">
        <v>13246.35</v>
      </c>
      <c r="H869" s="15">
        <v>4980.54</v>
      </c>
      <c r="I869" s="15">
        <v>54982.76</v>
      </c>
      <c r="J869" s="15">
        <v>34812.559999999998</v>
      </c>
      <c r="K869" s="19">
        <v>0.74380887971977516</v>
      </c>
    </row>
    <row r="870" spans="1:11" x14ac:dyDescent="0.3">
      <c r="A870" s="9" t="s">
        <v>193</v>
      </c>
      <c r="B870" s="20">
        <v>45869</v>
      </c>
      <c r="C870" s="9" t="s">
        <v>214</v>
      </c>
      <c r="D870" s="15">
        <v>67667.02</v>
      </c>
      <c r="E870" s="15">
        <v>21801.93</v>
      </c>
      <c r="F870" s="15">
        <v>47116.87</v>
      </c>
      <c r="G870" s="15">
        <v>22608.720000000001</v>
      </c>
      <c r="H870" s="15">
        <v>9926.7900000000009</v>
      </c>
      <c r="I870" s="15">
        <v>169121.34</v>
      </c>
      <c r="J870" s="15">
        <v>101454.32</v>
      </c>
      <c r="K870" s="19">
        <v>0.74380887971977516</v>
      </c>
    </row>
    <row r="871" spans="1:11" x14ac:dyDescent="0.3">
      <c r="A871" s="9" t="s">
        <v>193</v>
      </c>
      <c r="B871" s="20">
        <v>45869</v>
      </c>
      <c r="C871" s="9" t="s">
        <v>213</v>
      </c>
      <c r="D871" s="15">
        <v>10187.870000000001</v>
      </c>
      <c r="E871" s="15">
        <v>4799.18</v>
      </c>
      <c r="F871" s="15">
        <v>1716.97</v>
      </c>
      <c r="G871" s="15">
        <v>11485.43</v>
      </c>
      <c r="H871" s="15">
        <v>161.38999999999999</v>
      </c>
      <c r="I871" s="15">
        <v>28350.85</v>
      </c>
      <c r="J871" s="15">
        <v>18162.98</v>
      </c>
      <c r="K871" s="19">
        <v>0.74380887971977516</v>
      </c>
    </row>
    <row r="872" spans="1:11" x14ac:dyDescent="0.3">
      <c r="A872" s="9" t="s">
        <v>193</v>
      </c>
      <c r="B872" s="20">
        <v>45869</v>
      </c>
      <c r="C872" s="9" t="s">
        <v>212</v>
      </c>
      <c r="D872" s="15">
        <v>16737.71</v>
      </c>
      <c r="E872" s="15">
        <v>4954.34</v>
      </c>
      <c r="F872" s="15">
        <v>7104.36</v>
      </c>
      <c r="G872" s="15">
        <v>9131.9</v>
      </c>
      <c r="H872" s="15">
        <v>6992.03</v>
      </c>
      <c r="I872" s="15">
        <v>44920.34</v>
      </c>
      <c r="J872" s="15">
        <v>28182.63</v>
      </c>
      <c r="K872" s="19">
        <v>0.74380887971977516</v>
      </c>
    </row>
    <row r="873" spans="1:11" x14ac:dyDescent="0.3">
      <c r="A873" s="9" t="s">
        <v>193</v>
      </c>
      <c r="B873" s="20">
        <v>45869</v>
      </c>
      <c r="C873" s="9" t="s">
        <v>211</v>
      </c>
      <c r="D873" s="15">
        <v>36453.14</v>
      </c>
      <c r="E873" s="15">
        <v>27909.66</v>
      </c>
      <c r="F873" s="15">
        <v>58055.26</v>
      </c>
      <c r="G873" s="15">
        <v>9781.91</v>
      </c>
      <c r="H873" s="15">
        <v>14626.65</v>
      </c>
      <c r="I873" s="15">
        <v>146826.62</v>
      </c>
      <c r="J873" s="15">
        <v>110373.48</v>
      </c>
      <c r="K873" s="19">
        <v>0.74380887971977516</v>
      </c>
    </row>
    <row r="874" spans="1:11" x14ac:dyDescent="0.3">
      <c r="A874" s="9" t="s">
        <v>193</v>
      </c>
      <c r="B874" s="20">
        <v>45869</v>
      </c>
      <c r="C874" s="9" t="s">
        <v>210</v>
      </c>
      <c r="D874" s="15">
        <v>32680.98</v>
      </c>
      <c r="E874" s="15">
        <v>26766.71</v>
      </c>
      <c r="F874" s="15">
        <v>17647.53</v>
      </c>
      <c r="G874" s="15">
        <v>10626.25</v>
      </c>
      <c r="H874" s="15">
        <v>5214.92</v>
      </c>
      <c r="I874" s="15">
        <v>92936.39</v>
      </c>
      <c r="J874" s="15">
        <v>60255.41</v>
      </c>
      <c r="K874" s="19">
        <v>0.74380887971977516</v>
      </c>
    </row>
    <row r="875" spans="1:11" x14ac:dyDescent="0.3">
      <c r="A875" s="9" t="s">
        <v>193</v>
      </c>
      <c r="B875" s="20">
        <v>45869</v>
      </c>
      <c r="C875" s="9" t="s">
        <v>209</v>
      </c>
      <c r="D875" s="15">
        <v>86244.66</v>
      </c>
      <c r="E875" s="15">
        <v>23035.37</v>
      </c>
      <c r="F875" s="15">
        <v>8633.66</v>
      </c>
      <c r="G875" s="15">
        <v>29247.7</v>
      </c>
      <c r="H875" s="15">
        <v>57617.97</v>
      </c>
      <c r="I875" s="15">
        <v>204779.37</v>
      </c>
      <c r="J875" s="15">
        <v>118534.7</v>
      </c>
      <c r="K875" s="19">
        <v>0.74380887971977516</v>
      </c>
    </row>
    <row r="876" spans="1:11" x14ac:dyDescent="0.3">
      <c r="A876" s="9" t="s">
        <v>193</v>
      </c>
      <c r="B876" s="20">
        <v>45869</v>
      </c>
      <c r="C876" s="9" t="s">
        <v>208</v>
      </c>
      <c r="D876" s="15">
        <v>76146.63</v>
      </c>
      <c r="E876" s="15">
        <v>75948.47</v>
      </c>
      <c r="F876" s="15">
        <v>13726.33</v>
      </c>
      <c r="G876" s="15">
        <v>18288.77</v>
      </c>
      <c r="H876" s="15">
        <v>8965.9500000000007</v>
      </c>
      <c r="I876" s="15">
        <v>193076.14</v>
      </c>
      <c r="J876" s="15">
        <v>116929.51</v>
      </c>
      <c r="K876" s="19">
        <v>0.74380887971977516</v>
      </c>
    </row>
    <row r="877" spans="1:11" x14ac:dyDescent="0.3">
      <c r="A877" s="9" t="s">
        <v>193</v>
      </c>
      <c r="B877" s="20">
        <v>45869</v>
      </c>
      <c r="C877" s="9" t="s">
        <v>207</v>
      </c>
      <c r="D877" s="15">
        <v>41544.35</v>
      </c>
      <c r="E877" s="15">
        <v>37874.67</v>
      </c>
      <c r="F877" s="15">
        <v>11917.73</v>
      </c>
      <c r="G877" s="15">
        <v>4171.79</v>
      </c>
      <c r="H877" s="15">
        <v>3021.83</v>
      </c>
      <c r="I877" s="15">
        <v>98530.37</v>
      </c>
      <c r="J877" s="15">
        <v>56986.02</v>
      </c>
      <c r="K877" s="19">
        <v>0.74380887971977516</v>
      </c>
    </row>
    <row r="878" spans="1:11" x14ac:dyDescent="0.3">
      <c r="A878" s="9" t="s">
        <v>193</v>
      </c>
      <c r="B878" s="20">
        <v>45869</v>
      </c>
      <c r="C878" s="9" t="s">
        <v>206</v>
      </c>
      <c r="D878" s="15">
        <v>26135.95</v>
      </c>
      <c r="E878" s="15">
        <v>5488.97</v>
      </c>
      <c r="F878" s="15">
        <v>22303.45</v>
      </c>
      <c r="G878" s="15">
        <v>2839.37</v>
      </c>
      <c r="H878" s="15">
        <v>7375.42</v>
      </c>
      <c r="I878" s="15">
        <v>64143.15</v>
      </c>
      <c r="J878" s="15">
        <v>38007.199999999997</v>
      </c>
      <c r="K878" s="19">
        <v>0.74380887971977516</v>
      </c>
    </row>
    <row r="879" spans="1:11" x14ac:dyDescent="0.3">
      <c r="A879" s="9" t="s">
        <v>193</v>
      </c>
      <c r="B879" s="20">
        <v>45869</v>
      </c>
      <c r="C879" s="9" t="s">
        <v>205</v>
      </c>
      <c r="D879" s="15">
        <v>39896.97</v>
      </c>
      <c r="E879" s="15">
        <v>33324.400000000001</v>
      </c>
      <c r="F879" s="15">
        <v>31534.94</v>
      </c>
      <c r="G879" s="15">
        <v>3523.71</v>
      </c>
      <c r="H879" s="15">
        <v>701.52</v>
      </c>
      <c r="I879" s="15">
        <v>108981.55</v>
      </c>
      <c r="J879" s="15">
        <v>69084.58</v>
      </c>
      <c r="K879" s="19">
        <v>0.74380887971977516</v>
      </c>
    </row>
    <row r="880" spans="1:11" x14ac:dyDescent="0.3">
      <c r="A880" s="9" t="s">
        <v>193</v>
      </c>
      <c r="B880" s="20">
        <v>45869</v>
      </c>
      <c r="C880" s="9" t="s">
        <v>204</v>
      </c>
      <c r="D880" s="15">
        <v>43405.94</v>
      </c>
      <c r="E880" s="15">
        <v>34401.29</v>
      </c>
      <c r="F880" s="15">
        <v>16508.13</v>
      </c>
      <c r="G880" s="15">
        <v>15032.78</v>
      </c>
      <c r="H880" s="15">
        <v>1686.35</v>
      </c>
      <c r="I880" s="15">
        <v>111034.49</v>
      </c>
      <c r="J880" s="15">
        <v>67628.55</v>
      </c>
      <c r="K880" s="19">
        <v>0.74380887971977516</v>
      </c>
    </row>
    <row r="881" spans="1:11" x14ac:dyDescent="0.3">
      <c r="A881" s="9" t="s">
        <v>193</v>
      </c>
      <c r="B881" s="20">
        <v>45869</v>
      </c>
      <c r="C881" s="9" t="s">
        <v>203</v>
      </c>
      <c r="D881" s="15">
        <v>43996.05</v>
      </c>
      <c r="E881" s="15">
        <v>22205.200000000001</v>
      </c>
      <c r="F881" s="15">
        <v>13801.4</v>
      </c>
      <c r="G881" s="15">
        <v>16805.16</v>
      </c>
      <c r="H881" s="15">
        <v>3664.93</v>
      </c>
      <c r="I881" s="15">
        <v>100472.73</v>
      </c>
      <c r="J881" s="15">
        <v>56476.68</v>
      </c>
      <c r="K881" s="19">
        <v>0.74380887971977516</v>
      </c>
    </row>
    <row r="882" spans="1:11" x14ac:dyDescent="0.3">
      <c r="A882" s="9" t="s">
        <v>193</v>
      </c>
      <c r="B882" s="20">
        <v>45900</v>
      </c>
      <c r="C882" s="9" t="s">
        <v>222</v>
      </c>
      <c r="D882" s="15">
        <v>2023.58</v>
      </c>
      <c r="E882" s="15">
        <v>340.94</v>
      </c>
      <c r="F882" s="15">
        <v>719.36</v>
      </c>
      <c r="G882" s="15">
        <v>2905.29</v>
      </c>
      <c r="H882" s="15">
        <v>1015.93</v>
      </c>
      <c r="I882" s="15">
        <v>7005.1</v>
      </c>
      <c r="J882" s="15">
        <v>4981.5200000000004</v>
      </c>
      <c r="K882" s="19">
        <v>0.67534664427166979</v>
      </c>
    </row>
    <row r="883" spans="1:11" x14ac:dyDescent="0.3">
      <c r="A883" s="9" t="s">
        <v>193</v>
      </c>
      <c r="B883" s="20">
        <v>45900</v>
      </c>
      <c r="C883" s="9" t="s">
        <v>221</v>
      </c>
      <c r="D883" s="15">
        <v>61782.77</v>
      </c>
      <c r="E883" s="15">
        <v>38232.959999999999</v>
      </c>
      <c r="F883" s="15">
        <v>56231.23</v>
      </c>
      <c r="G883" s="15">
        <v>9430.31</v>
      </c>
      <c r="H883" s="15">
        <v>3216.56</v>
      </c>
      <c r="I883" s="15">
        <v>168893.82</v>
      </c>
      <c r="J883" s="15">
        <v>107111.05</v>
      </c>
      <c r="K883" s="19">
        <v>0.67534664427166979</v>
      </c>
    </row>
    <row r="884" spans="1:11" x14ac:dyDescent="0.3">
      <c r="A884" s="9" t="s">
        <v>193</v>
      </c>
      <c r="B884" s="20">
        <v>45900</v>
      </c>
      <c r="C884" s="9" t="s">
        <v>220</v>
      </c>
      <c r="D884" s="15">
        <v>92460.58</v>
      </c>
      <c r="E884" s="15">
        <v>24637.55</v>
      </c>
      <c r="F884" s="15">
        <v>50423.03</v>
      </c>
      <c r="G884" s="15">
        <v>9370.27</v>
      </c>
      <c r="H884" s="15">
        <v>15726.03</v>
      </c>
      <c r="I884" s="15">
        <v>192617.45</v>
      </c>
      <c r="J884" s="15">
        <v>100156.87</v>
      </c>
      <c r="K884" s="19">
        <v>0.67534664427166979</v>
      </c>
    </row>
    <row r="885" spans="1:11" x14ac:dyDescent="0.3">
      <c r="A885" s="9" t="s">
        <v>193</v>
      </c>
      <c r="B885" s="20">
        <v>45900</v>
      </c>
      <c r="C885" s="9" t="s">
        <v>219</v>
      </c>
      <c r="D885" s="15">
        <v>84298.62</v>
      </c>
      <c r="E885" s="15">
        <v>63290.16</v>
      </c>
      <c r="F885" s="15">
        <v>9268.23</v>
      </c>
      <c r="G885" s="15">
        <v>7484.33</v>
      </c>
      <c r="H885" s="15">
        <v>26542.720000000001</v>
      </c>
      <c r="I885" s="15">
        <v>190884.05</v>
      </c>
      <c r="J885" s="15">
        <v>106585.43</v>
      </c>
      <c r="K885" s="19">
        <v>0.67534664427166979</v>
      </c>
    </row>
    <row r="886" spans="1:11" x14ac:dyDescent="0.3">
      <c r="A886" s="9" t="s">
        <v>193</v>
      </c>
      <c r="B886" s="20">
        <v>45900</v>
      </c>
      <c r="C886" s="9" t="s">
        <v>218</v>
      </c>
      <c r="D886" s="15">
        <v>25909.18</v>
      </c>
      <c r="E886" s="15">
        <v>36333.96</v>
      </c>
      <c r="F886" s="15">
        <v>24288.95</v>
      </c>
      <c r="G886" s="15">
        <v>13305.45</v>
      </c>
      <c r="H886" s="15">
        <v>4712.9799999999996</v>
      </c>
      <c r="I886" s="15">
        <v>104550.51</v>
      </c>
      <c r="J886" s="15">
        <v>78641.33</v>
      </c>
      <c r="K886" s="19">
        <v>0.67534664427166979</v>
      </c>
    </row>
    <row r="887" spans="1:11" x14ac:dyDescent="0.3">
      <c r="A887" s="9" t="s">
        <v>193</v>
      </c>
      <c r="B887" s="20">
        <v>45900</v>
      </c>
      <c r="C887" s="9" t="s">
        <v>217</v>
      </c>
      <c r="D887" s="15">
        <v>41247.980000000003</v>
      </c>
      <c r="E887" s="15">
        <v>16434.13</v>
      </c>
      <c r="F887" s="15">
        <v>4327.3500000000004</v>
      </c>
      <c r="G887" s="15">
        <v>33493.050000000003</v>
      </c>
      <c r="H887" s="15">
        <v>14254.51</v>
      </c>
      <c r="I887" s="15">
        <v>109757.02</v>
      </c>
      <c r="J887" s="15">
        <v>68509.05</v>
      </c>
      <c r="K887" s="19">
        <v>0.67534664427166979</v>
      </c>
    </row>
    <row r="888" spans="1:11" x14ac:dyDescent="0.3">
      <c r="A888" s="9" t="s">
        <v>193</v>
      </c>
      <c r="B888" s="20">
        <v>45900</v>
      </c>
      <c r="C888" s="9" t="s">
        <v>216</v>
      </c>
      <c r="D888" s="15">
        <v>106627.27</v>
      </c>
      <c r="E888" s="15">
        <v>40022.18</v>
      </c>
      <c r="F888" s="15">
        <v>25501.040000000001</v>
      </c>
      <c r="G888" s="15">
        <v>41928.51</v>
      </c>
      <c r="H888" s="15">
        <v>3945.43</v>
      </c>
      <c r="I888" s="15">
        <v>218024.44</v>
      </c>
      <c r="J888" s="15">
        <v>111397.16</v>
      </c>
      <c r="K888" s="19">
        <v>0.67534664427166979</v>
      </c>
    </row>
    <row r="889" spans="1:11" x14ac:dyDescent="0.3">
      <c r="A889" s="9" t="s">
        <v>193</v>
      </c>
      <c r="B889" s="20">
        <v>45900</v>
      </c>
      <c r="C889" s="9" t="s">
        <v>215</v>
      </c>
      <c r="D889" s="15">
        <v>12844.01</v>
      </c>
      <c r="E889" s="15">
        <v>8761.5499999999993</v>
      </c>
      <c r="F889" s="15">
        <v>6791.98</v>
      </c>
      <c r="G889" s="15">
        <v>1926.6</v>
      </c>
      <c r="H889" s="15">
        <v>1588.24</v>
      </c>
      <c r="I889" s="15">
        <v>31912.39</v>
      </c>
      <c r="J889" s="15">
        <v>19068.38</v>
      </c>
      <c r="K889" s="19">
        <v>0.67534664427166979</v>
      </c>
    </row>
    <row r="890" spans="1:11" x14ac:dyDescent="0.3">
      <c r="A890" s="9" t="s">
        <v>193</v>
      </c>
      <c r="B890" s="20">
        <v>45900</v>
      </c>
      <c r="C890" s="9" t="s">
        <v>214</v>
      </c>
      <c r="D890" s="15">
        <v>1848.09</v>
      </c>
      <c r="E890" s="15">
        <v>2859.06</v>
      </c>
      <c r="F890" s="15">
        <v>1942.1</v>
      </c>
      <c r="G890" s="15">
        <v>599.19000000000005</v>
      </c>
      <c r="H890" s="15">
        <v>310.72000000000003</v>
      </c>
      <c r="I890" s="15">
        <v>7559.16</v>
      </c>
      <c r="J890" s="15">
        <v>5711.07</v>
      </c>
      <c r="K890" s="19">
        <v>0.67534664427166979</v>
      </c>
    </row>
    <row r="891" spans="1:11" x14ac:dyDescent="0.3">
      <c r="A891" s="9" t="s">
        <v>193</v>
      </c>
      <c r="B891" s="20">
        <v>45900</v>
      </c>
      <c r="C891" s="9" t="s">
        <v>213</v>
      </c>
      <c r="D891" s="15">
        <v>31179.53</v>
      </c>
      <c r="E891" s="15">
        <v>23702.99</v>
      </c>
      <c r="F891" s="15">
        <v>1419.77</v>
      </c>
      <c r="G891" s="15">
        <v>17271.95</v>
      </c>
      <c r="H891" s="15">
        <v>5973.11</v>
      </c>
      <c r="I891" s="15">
        <v>79547.360000000001</v>
      </c>
      <c r="J891" s="15">
        <v>48367.83</v>
      </c>
      <c r="K891" s="19">
        <v>0.67534664427166979</v>
      </c>
    </row>
    <row r="892" spans="1:11" x14ac:dyDescent="0.3">
      <c r="A892" s="9" t="s">
        <v>193</v>
      </c>
      <c r="B892" s="20">
        <v>45900</v>
      </c>
      <c r="C892" s="9" t="s">
        <v>212</v>
      </c>
      <c r="D892" s="15">
        <v>45332.39</v>
      </c>
      <c r="E892" s="15">
        <v>7775.33</v>
      </c>
      <c r="F892" s="15">
        <v>21581.59</v>
      </c>
      <c r="G892" s="15">
        <v>13611.4</v>
      </c>
      <c r="H892" s="15">
        <v>12529.57</v>
      </c>
      <c r="I892" s="15">
        <v>100830.28</v>
      </c>
      <c r="J892" s="15">
        <v>55497.89</v>
      </c>
      <c r="K892" s="19">
        <v>0.67534664427166979</v>
      </c>
    </row>
    <row r="893" spans="1:11" x14ac:dyDescent="0.3">
      <c r="A893" s="9" t="s">
        <v>193</v>
      </c>
      <c r="B893" s="20">
        <v>45900</v>
      </c>
      <c r="C893" s="9" t="s">
        <v>211</v>
      </c>
      <c r="D893" s="15">
        <v>37139.760000000002</v>
      </c>
      <c r="E893" s="15">
        <v>27459.46</v>
      </c>
      <c r="F893" s="15">
        <v>10252.98</v>
      </c>
      <c r="G893" s="15">
        <v>9275.5499999999993</v>
      </c>
      <c r="H893" s="15">
        <v>798.67</v>
      </c>
      <c r="I893" s="15">
        <v>84926.42</v>
      </c>
      <c r="J893" s="15">
        <v>47786.67</v>
      </c>
      <c r="K893" s="19">
        <v>0.67534664427166979</v>
      </c>
    </row>
    <row r="894" spans="1:11" x14ac:dyDescent="0.3">
      <c r="A894" s="9" t="s">
        <v>193</v>
      </c>
      <c r="B894" s="20">
        <v>45900</v>
      </c>
      <c r="C894" s="9" t="s">
        <v>210</v>
      </c>
      <c r="D894" s="15">
        <v>13660.73</v>
      </c>
      <c r="E894" s="15">
        <v>2464.06</v>
      </c>
      <c r="F894" s="15">
        <v>5041.34</v>
      </c>
      <c r="G894" s="15">
        <v>6493.08</v>
      </c>
      <c r="H894" s="15">
        <v>4177.32</v>
      </c>
      <c r="I894" s="15">
        <v>31836.53</v>
      </c>
      <c r="J894" s="15">
        <v>18175.8</v>
      </c>
      <c r="K894" s="19">
        <v>0.67534664427166979</v>
      </c>
    </row>
    <row r="895" spans="1:11" x14ac:dyDescent="0.3">
      <c r="A895" s="9" t="s">
        <v>193</v>
      </c>
      <c r="B895" s="20">
        <v>45900</v>
      </c>
      <c r="C895" s="9" t="s">
        <v>209</v>
      </c>
      <c r="D895" s="15">
        <v>74053.22</v>
      </c>
      <c r="E895" s="15">
        <v>34983.269999999997</v>
      </c>
      <c r="F895" s="15">
        <v>7130.4</v>
      </c>
      <c r="G895" s="15">
        <v>18783.240000000002</v>
      </c>
      <c r="H895" s="15">
        <v>22298.69</v>
      </c>
      <c r="I895" s="15">
        <v>157248.81</v>
      </c>
      <c r="J895" s="15">
        <v>83195.600000000006</v>
      </c>
      <c r="K895" s="19">
        <v>0.67534664427166979</v>
      </c>
    </row>
    <row r="896" spans="1:11" x14ac:dyDescent="0.3">
      <c r="A896" s="9" t="s">
        <v>193</v>
      </c>
      <c r="B896" s="20">
        <v>45900</v>
      </c>
      <c r="C896" s="9" t="s">
        <v>208</v>
      </c>
      <c r="D896" s="15">
        <v>24882.22</v>
      </c>
      <c r="E896" s="15">
        <v>16506.21</v>
      </c>
      <c r="F896" s="15">
        <v>24525.97</v>
      </c>
      <c r="G896" s="15">
        <v>16374.13</v>
      </c>
      <c r="H896" s="15">
        <v>7869.04</v>
      </c>
      <c r="I896" s="15">
        <v>90157.57</v>
      </c>
      <c r="J896" s="15">
        <v>65275.35</v>
      </c>
      <c r="K896" s="19">
        <v>0.67534664427166979</v>
      </c>
    </row>
    <row r="897" spans="1:11" x14ac:dyDescent="0.3">
      <c r="A897" s="9" t="s">
        <v>193</v>
      </c>
      <c r="B897" s="20">
        <v>45900</v>
      </c>
      <c r="C897" s="9" t="s">
        <v>207</v>
      </c>
      <c r="D897" s="15">
        <v>20952.490000000002</v>
      </c>
      <c r="E897" s="15">
        <v>4177.1099999999997</v>
      </c>
      <c r="F897" s="15">
        <v>3563.64</v>
      </c>
      <c r="G897" s="15">
        <v>12593.16</v>
      </c>
      <c r="H897" s="15">
        <v>10367.58</v>
      </c>
      <c r="I897" s="15">
        <v>51653.98</v>
      </c>
      <c r="J897" s="15">
        <v>30701.49</v>
      </c>
      <c r="K897" s="19">
        <v>0.67534664427166979</v>
      </c>
    </row>
    <row r="898" spans="1:11" x14ac:dyDescent="0.3">
      <c r="A898" s="9" t="s">
        <v>193</v>
      </c>
      <c r="B898" s="20">
        <v>45900</v>
      </c>
      <c r="C898" s="9" t="s">
        <v>206</v>
      </c>
      <c r="D898" s="15">
        <v>66381.95</v>
      </c>
      <c r="E898" s="15">
        <v>31083.87</v>
      </c>
      <c r="F898" s="15">
        <v>5550.38</v>
      </c>
      <c r="G898" s="15">
        <v>31107.59</v>
      </c>
      <c r="H898" s="15">
        <v>10418.58</v>
      </c>
      <c r="I898" s="15">
        <v>144542.37</v>
      </c>
      <c r="J898" s="15">
        <v>78160.41</v>
      </c>
      <c r="K898" s="19">
        <v>0.67534664427166979</v>
      </c>
    </row>
    <row r="899" spans="1:11" x14ac:dyDescent="0.3">
      <c r="A899" s="9" t="s">
        <v>193</v>
      </c>
      <c r="B899" s="20">
        <v>45900</v>
      </c>
      <c r="C899" s="9" t="s">
        <v>205</v>
      </c>
      <c r="D899" s="15">
        <v>16537.87</v>
      </c>
      <c r="E899" s="15">
        <v>8898.5400000000009</v>
      </c>
      <c r="F899" s="15">
        <v>2650.95</v>
      </c>
      <c r="G899" s="15">
        <v>3514.74</v>
      </c>
      <c r="H899" s="15">
        <v>6890.86</v>
      </c>
      <c r="I899" s="15">
        <v>38492.97</v>
      </c>
      <c r="J899" s="15">
        <v>21955.1</v>
      </c>
      <c r="K899" s="19">
        <v>0.67534664427166979</v>
      </c>
    </row>
    <row r="900" spans="1:11" x14ac:dyDescent="0.3">
      <c r="A900" s="9" t="s">
        <v>193</v>
      </c>
      <c r="B900" s="20">
        <v>45900</v>
      </c>
      <c r="C900" s="9" t="s">
        <v>204</v>
      </c>
      <c r="D900" s="15">
        <v>84136.85</v>
      </c>
      <c r="E900" s="15">
        <v>36082.550000000003</v>
      </c>
      <c r="F900" s="15">
        <v>23967.62</v>
      </c>
      <c r="G900" s="15">
        <v>24698.46</v>
      </c>
      <c r="H900" s="15">
        <v>8454.58</v>
      </c>
      <c r="I900" s="15">
        <v>177340.06</v>
      </c>
      <c r="J900" s="15">
        <v>93203.21</v>
      </c>
      <c r="K900" s="19">
        <v>0.67534664427166979</v>
      </c>
    </row>
    <row r="901" spans="1:11" x14ac:dyDescent="0.3">
      <c r="A901" s="9" t="s">
        <v>193</v>
      </c>
      <c r="B901" s="20">
        <v>45900</v>
      </c>
      <c r="C901" s="9" t="s">
        <v>203</v>
      </c>
      <c r="D901" s="15">
        <v>23774.49</v>
      </c>
      <c r="E901" s="15">
        <v>10491.2</v>
      </c>
      <c r="F901" s="15">
        <v>4290.6000000000004</v>
      </c>
      <c r="G901" s="15">
        <v>24197.24</v>
      </c>
      <c r="H901" s="15">
        <v>3361.53</v>
      </c>
      <c r="I901" s="15">
        <v>66115.06</v>
      </c>
      <c r="J901" s="15">
        <v>42340.57</v>
      </c>
      <c r="K901" s="19">
        <v>0.67534664427166979</v>
      </c>
    </row>
    <row r="902" spans="1:11" x14ac:dyDescent="0.3">
      <c r="A902" s="9" t="s">
        <v>193</v>
      </c>
      <c r="B902" s="20">
        <v>45930</v>
      </c>
      <c r="C902" s="9" t="s">
        <v>222</v>
      </c>
      <c r="D902" s="15">
        <v>109801.31</v>
      </c>
      <c r="E902" s="15">
        <v>4166.37</v>
      </c>
      <c r="F902" s="15">
        <v>45984.54</v>
      </c>
      <c r="G902" s="15">
        <v>22859.41</v>
      </c>
      <c r="H902" s="15">
        <v>41653.660000000003</v>
      </c>
      <c r="I902" s="15">
        <v>224465.29</v>
      </c>
      <c r="J902" s="15">
        <v>114663.98</v>
      </c>
      <c r="K902" s="19">
        <v>0.77256520325439326</v>
      </c>
    </row>
    <row r="903" spans="1:11" x14ac:dyDescent="0.3">
      <c r="A903" s="9" t="s">
        <v>193</v>
      </c>
      <c r="B903" s="20">
        <v>45930</v>
      </c>
      <c r="C903" s="9" t="s">
        <v>221</v>
      </c>
      <c r="D903" s="15">
        <v>62465.14</v>
      </c>
      <c r="E903" s="15">
        <v>26734.54</v>
      </c>
      <c r="F903" s="15">
        <v>72553.02</v>
      </c>
      <c r="G903" s="15">
        <v>3451.64</v>
      </c>
      <c r="H903" s="15">
        <v>14090.14</v>
      </c>
      <c r="I903" s="15">
        <v>179294.48</v>
      </c>
      <c r="J903" s="15">
        <v>116829.34</v>
      </c>
      <c r="K903" s="19">
        <v>0.77256520325439326</v>
      </c>
    </row>
    <row r="904" spans="1:11" x14ac:dyDescent="0.3">
      <c r="A904" s="9" t="s">
        <v>193</v>
      </c>
      <c r="B904" s="20">
        <v>45930</v>
      </c>
      <c r="C904" s="9" t="s">
        <v>220</v>
      </c>
      <c r="D904" s="15">
        <v>85140.01</v>
      </c>
      <c r="E904" s="15">
        <v>36044.75</v>
      </c>
      <c r="F904" s="15">
        <v>30874.21</v>
      </c>
      <c r="G904" s="15">
        <v>9187.19</v>
      </c>
      <c r="H904" s="15">
        <v>10866.56</v>
      </c>
      <c r="I904" s="15">
        <v>172112.71</v>
      </c>
      <c r="J904" s="15">
        <v>86972.7</v>
      </c>
      <c r="K904" s="19">
        <v>0.77256520325439326</v>
      </c>
    </row>
    <row r="905" spans="1:11" x14ac:dyDescent="0.3">
      <c r="A905" s="9" t="s">
        <v>193</v>
      </c>
      <c r="B905" s="20">
        <v>45930</v>
      </c>
      <c r="C905" s="9" t="s">
        <v>219</v>
      </c>
      <c r="D905" s="15">
        <v>70623.92</v>
      </c>
      <c r="E905" s="15">
        <v>37668.22</v>
      </c>
      <c r="F905" s="15">
        <v>12498.61</v>
      </c>
      <c r="G905" s="15">
        <v>6026.93</v>
      </c>
      <c r="H905" s="15">
        <v>50762.91</v>
      </c>
      <c r="I905" s="15">
        <v>177580.58</v>
      </c>
      <c r="J905" s="15">
        <v>106956.66</v>
      </c>
      <c r="K905" s="19">
        <v>0.77256520325439326</v>
      </c>
    </row>
    <row r="906" spans="1:11" x14ac:dyDescent="0.3">
      <c r="A906" s="9" t="s">
        <v>193</v>
      </c>
      <c r="B906" s="20">
        <v>45930</v>
      </c>
      <c r="C906" s="9" t="s">
        <v>218</v>
      </c>
      <c r="D906" s="15">
        <v>23124.53</v>
      </c>
      <c r="E906" s="15">
        <v>13401.26</v>
      </c>
      <c r="F906" s="15">
        <v>9174.4500000000007</v>
      </c>
      <c r="G906" s="15">
        <v>1898.69</v>
      </c>
      <c r="H906" s="15">
        <v>2333.16</v>
      </c>
      <c r="I906" s="15">
        <v>49932.1</v>
      </c>
      <c r="J906" s="15">
        <v>26807.56</v>
      </c>
      <c r="K906" s="19">
        <v>0.77256520325439326</v>
      </c>
    </row>
    <row r="907" spans="1:11" x14ac:dyDescent="0.3">
      <c r="A907" s="9" t="s">
        <v>193</v>
      </c>
      <c r="B907" s="20">
        <v>45930</v>
      </c>
      <c r="C907" s="9" t="s">
        <v>217</v>
      </c>
      <c r="D907" s="15">
        <v>27936.48</v>
      </c>
      <c r="E907" s="15">
        <v>16283.33</v>
      </c>
      <c r="F907" s="15">
        <v>5461.01</v>
      </c>
      <c r="G907" s="15">
        <v>4275.22</v>
      </c>
      <c r="H907" s="15">
        <v>5641.03</v>
      </c>
      <c r="I907" s="15">
        <v>59597.06</v>
      </c>
      <c r="J907" s="15">
        <v>31660.58</v>
      </c>
      <c r="K907" s="19">
        <v>0.77256520325439326</v>
      </c>
    </row>
    <row r="908" spans="1:11" x14ac:dyDescent="0.3">
      <c r="A908" s="9" t="s">
        <v>193</v>
      </c>
      <c r="B908" s="20">
        <v>45930</v>
      </c>
      <c r="C908" s="9" t="s">
        <v>216</v>
      </c>
      <c r="D908" s="15">
        <v>73339.399999999994</v>
      </c>
      <c r="E908" s="15">
        <v>25163.56</v>
      </c>
      <c r="F908" s="15">
        <v>15930.37</v>
      </c>
      <c r="G908" s="15">
        <v>44826.25</v>
      </c>
      <c r="H908" s="15">
        <v>29853.43</v>
      </c>
      <c r="I908" s="15">
        <v>189113.01</v>
      </c>
      <c r="J908" s="15">
        <v>115773.61</v>
      </c>
      <c r="K908" s="19">
        <v>0.77256520325439326</v>
      </c>
    </row>
    <row r="909" spans="1:11" x14ac:dyDescent="0.3">
      <c r="A909" s="9" t="s">
        <v>193</v>
      </c>
      <c r="B909" s="20">
        <v>45930</v>
      </c>
      <c r="C909" s="9" t="s">
        <v>215</v>
      </c>
      <c r="D909" s="15">
        <v>4423.42</v>
      </c>
      <c r="E909" s="15">
        <v>6798.51</v>
      </c>
      <c r="F909" s="15">
        <v>942.23</v>
      </c>
      <c r="G909" s="15">
        <v>771.55</v>
      </c>
      <c r="H909" s="15">
        <v>1106.72</v>
      </c>
      <c r="I909" s="15">
        <v>14042.44</v>
      </c>
      <c r="J909" s="15">
        <v>9619.01</v>
      </c>
      <c r="K909" s="19">
        <v>0.77256520325439326</v>
      </c>
    </row>
    <row r="910" spans="1:11" x14ac:dyDescent="0.3">
      <c r="A910" s="9" t="s">
        <v>193</v>
      </c>
      <c r="B910" s="20">
        <v>45930</v>
      </c>
      <c r="C910" s="9" t="s">
        <v>214</v>
      </c>
      <c r="D910" s="15">
        <v>2498.6</v>
      </c>
      <c r="E910" s="15">
        <v>1052.55</v>
      </c>
      <c r="F910" s="15">
        <v>533.22</v>
      </c>
      <c r="G910" s="15">
        <v>1241.6400000000001</v>
      </c>
      <c r="H910" s="15">
        <v>1513.67</v>
      </c>
      <c r="I910" s="15">
        <v>6839.67</v>
      </c>
      <c r="J910" s="15">
        <v>4341.07</v>
      </c>
      <c r="K910" s="19">
        <v>0.77256520325439326</v>
      </c>
    </row>
    <row r="911" spans="1:11" x14ac:dyDescent="0.3">
      <c r="A911" s="9" t="s">
        <v>193</v>
      </c>
      <c r="B911" s="20">
        <v>45930</v>
      </c>
      <c r="C911" s="9" t="s">
        <v>213</v>
      </c>
      <c r="D911" s="15">
        <v>62429.02</v>
      </c>
      <c r="E911" s="15">
        <v>10835.11</v>
      </c>
      <c r="F911" s="15">
        <v>38448.9</v>
      </c>
      <c r="G911" s="15">
        <v>23583.200000000001</v>
      </c>
      <c r="H911" s="15">
        <v>4297.28</v>
      </c>
      <c r="I911" s="15">
        <v>139593.5</v>
      </c>
      <c r="J911" s="15">
        <v>77164.479999999996</v>
      </c>
      <c r="K911" s="19">
        <v>0.77256520325439326</v>
      </c>
    </row>
    <row r="912" spans="1:11" x14ac:dyDescent="0.3">
      <c r="A912" s="9" t="s">
        <v>193</v>
      </c>
      <c r="B912" s="20">
        <v>45930</v>
      </c>
      <c r="C912" s="9" t="s">
        <v>212</v>
      </c>
      <c r="D912" s="15">
        <v>62806.6</v>
      </c>
      <c r="E912" s="15">
        <v>23360.78</v>
      </c>
      <c r="F912" s="15">
        <v>23056.32</v>
      </c>
      <c r="G912" s="15">
        <v>11296.12</v>
      </c>
      <c r="H912" s="15">
        <v>22100.32</v>
      </c>
      <c r="I912" s="15">
        <v>142620.13</v>
      </c>
      <c r="J912" s="15">
        <v>79813.539999999994</v>
      </c>
      <c r="K912" s="19">
        <v>0.77256520325439326</v>
      </c>
    </row>
    <row r="913" spans="1:11" x14ac:dyDescent="0.3">
      <c r="A913" s="9" t="s">
        <v>193</v>
      </c>
      <c r="B913" s="20">
        <v>45930</v>
      </c>
      <c r="C913" s="9" t="s">
        <v>211</v>
      </c>
      <c r="D913" s="15">
        <v>33491.68</v>
      </c>
      <c r="E913" s="15">
        <v>28259.040000000001</v>
      </c>
      <c r="F913" s="15">
        <v>23709.08</v>
      </c>
      <c r="G913" s="15">
        <v>6714.23</v>
      </c>
      <c r="H913" s="15">
        <v>8318.31</v>
      </c>
      <c r="I913" s="15">
        <v>100492.35</v>
      </c>
      <c r="J913" s="15">
        <v>67000.67</v>
      </c>
      <c r="K913" s="19">
        <v>0.77256520325439326</v>
      </c>
    </row>
    <row r="914" spans="1:11" x14ac:dyDescent="0.3">
      <c r="A914" s="9" t="s">
        <v>193</v>
      </c>
      <c r="B914" s="20">
        <v>45930</v>
      </c>
      <c r="C914" s="9" t="s">
        <v>210</v>
      </c>
      <c r="D914" s="15">
        <v>102756.63</v>
      </c>
      <c r="E914" s="15">
        <v>13554.31</v>
      </c>
      <c r="F914" s="15">
        <v>44959.6</v>
      </c>
      <c r="G914" s="15">
        <v>37046.31</v>
      </c>
      <c r="H914" s="15">
        <v>24064.44</v>
      </c>
      <c r="I914" s="15">
        <v>222381.27</v>
      </c>
      <c r="J914" s="15">
        <v>119624.65</v>
      </c>
      <c r="K914" s="19">
        <v>0.77256520325439326</v>
      </c>
    </row>
    <row r="915" spans="1:11" x14ac:dyDescent="0.3">
      <c r="A915" s="9" t="s">
        <v>193</v>
      </c>
      <c r="B915" s="20">
        <v>45930</v>
      </c>
      <c r="C915" s="9" t="s">
        <v>209</v>
      </c>
      <c r="D915" s="15">
        <v>52447.71</v>
      </c>
      <c r="E915" s="15">
        <v>34303.9</v>
      </c>
      <c r="F915" s="15">
        <v>6034.93</v>
      </c>
      <c r="G915" s="15">
        <v>18555.689999999999</v>
      </c>
      <c r="H915" s="15">
        <v>55471.02</v>
      </c>
      <c r="I915" s="15">
        <v>166813.25</v>
      </c>
      <c r="J915" s="15">
        <v>114365.54</v>
      </c>
      <c r="K915" s="19">
        <v>0.77256520325439326</v>
      </c>
    </row>
    <row r="916" spans="1:11" x14ac:dyDescent="0.3">
      <c r="A916" s="9" t="s">
        <v>193</v>
      </c>
      <c r="B916" s="20">
        <v>45930</v>
      </c>
      <c r="C916" s="9" t="s">
        <v>208</v>
      </c>
      <c r="D916" s="15">
        <v>17346.310000000001</v>
      </c>
      <c r="E916" s="15">
        <v>15828.66</v>
      </c>
      <c r="F916" s="15">
        <v>4868.38</v>
      </c>
      <c r="G916" s="15">
        <v>2386.2600000000002</v>
      </c>
      <c r="H916" s="15">
        <v>4019.92</v>
      </c>
      <c r="I916" s="15">
        <v>44449.53</v>
      </c>
      <c r="J916" s="15">
        <v>27103.22</v>
      </c>
      <c r="K916" s="19">
        <v>0.77256520325439326</v>
      </c>
    </row>
    <row r="917" spans="1:11" x14ac:dyDescent="0.3">
      <c r="A917" s="9" t="s">
        <v>193</v>
      </c>
      <c r="B917" s="20">
        <v>45930</v>
      </c>
      <c r="C917" s="9" t="s">
        <v>207</v>
      </c>
      <c r="D917" s="15">
        <v>9963.14</v>
      </c>
      <c r="E917" s="15">
        <v>2794.67</v>
      </c>
      <c r="F917" s="15">
        <v>4326.1000000000004</v>
      </c>
      <c r="G917" s="15">
        <v>2159.5</v>
      </c>
      <c r="H917" s="15">
        <v>867.59</v>
      </c>
      <c r="I917" s="15">
        <v>20111</v>
      </c>
      <c r="J917" s="15">
        <v>10147.86</v>
      </c>
      <c r="K917" s="19">
        <v>0.77256520325439326</v>
      </c>
    </row>
    <row r="918" spans="1:11" x14ac:dyDescent="0.3">
      <c r="A918" s="9" t="s">
        <v>193</v>
      </c>
      <c r="B918" s="20">
        <v>45930</v>
      </c>
      <c r="C918" s="9" t="s">
        <v>206</v>
      </c>
      <c r="D918" s="15">
        <v>3377.61</v>
      </c>
      <c r="E918" s="15">
        <v>2749.49</v>
      </c>
      <c r="F918" s="15">
        <v>1517.63</v>
      </c>
      <c r="G918" s="15">
        <v>515.57000000000005</v>
      </c>
      <c r="H918" s="15">
        <v>1281.1400000000001</v>
      </c>
      <c r="I918" s="15">
        <v>9441.43</v>
      </c>
      <c r="J918" s="15">
        <v>6063.82</v>
      </c>
      <c r="K918" s="19">
        <v>0.77256520325439326</v>
      </c>
    </row>
    <row r="919" spans="1:11" x14ac:dyDescent="0.3">
      <c r="A919" s="9" t="s">
        <v>193</v>
      </c>
      <c r="B919" s="20">
        <v>45930</v>
      </c>
      <c r="C919" s="9" t="s">
        <v>205</v>
      </c>
      <c r="D919" s="15">
        <v>99251.75</v>
      </c>
      <c r="E919" s="15">
        <v>22136.83</v>
      </c>
      <c r="F919" s="15">
        <v>44927.040000000001</v>
      </c>
      <c r="G919" s="15">
        <v>13144.59</v>
      </c>
      <c r="H919" s="15">
        <v>29569.64</v>
      </c>
      <c r="I919" s="15">
        <v>209029.85</v>
      </c>
      <c r="J919" s="15">
        <v>109778.1</v>
      </c>
      <c r="K919" s="19">
        <v>0.77256520325439326</v>
      </c>
    </row>
    <row r="920" spans="1:11" x14ac:dyDescent="0.3">
      <c r="A920" s="9" t="s">
        <v>193</v>
      </c>
      <c r="B920" s="20">
        <v>45930</v>
      </c>
      <c r="C920" s="9" t="s">
        <v>204</v>
      </c>
      <c r="D920" s="15">
        <v>35221.339999999997</v>
      </c>
      <c r="E920" s="15">
        <v>18022.669999999998</v>
      </c>
      <c r="F920" s="15">
        <v>34395.61</v>
      </c>
      <c r="G920" s="15">
        <v>14753.51</v>
      </c>
      <c r="H920" s="15">
        <v>4121.0600000000004</v>
      </c>
      <c r="I920" s="15">
        <v>106514.19</v>
      </c>
      <c r="J920" s="15">
        <v>71292.850000000006</v>
      </c>
      <c r="K920" s="19">
        <v>0.77256520325439326</v>
      </c>
    </row>
    <row r="921" spans="1:11" x14ac:dyDescent="0.3">
      <c r="A921" s="9" t="s">
        <v>193</v>
      </c>
      <c r="B921" s="20">
        <v>45930</v>
      </c>
      <c r="C921" s="9" t="s">
        <v>203</v>
      </c>
      <c r="D921" s="15">
        <v>89168.17</v>
      </c>
      <c r="E921" s="15">
        <v>56872.54</v>
      </c>
      <c r="F921" s="15">
        <v>4120.51</v>
      </c>
      <c r="G921" s="15">
        <v>5243.03</v>
      </c>
      <c r="H921" s="15">
        <v>24453.45</v>
      </c>
      <c r="I921" s="15">
        <v>179857.71</v>
      </c>
      <c r="J921" s="15">
        <v>90689.54</v>
      </c>
      <c r="K921" s="19">
        <v>0.77256520325439326</v>
      </c>
    </row>
    <row r="922" spans="1:11" x14ac:dyDescent="0.3">
      <c r="A922" s="9" t="s">
        <v>193</v>
      </c>
      <c r="B922" s="20">
        <v>45961</v>
      </c>
      <c r="C922" s="9" t="s">
        <v>222</v>
      </c>
      <c r="D922" s="15">
        <v>27537.07</v>
      </c>
      <c r="E922" s="15">
        <v>19459.61</v>
      </c>
      <c r="F922" s="15">
        <v>9989.9699999999993</v>
      </c>
      <c r="G922" s="15">
        <v>4536.34</v>
      </c>
      <c r="H922" s="15">
        <v>1147.25</v>
      </c>
      <c r="I922" s="15">
        <v>62670.25</v>
      </c>
      <c r="J922" s="15">
        <v>35133.18</v>
      </c>
      <c r="K922" s="19">
        <v>0.70405154983044671</v>
      </c>
    </row>
    <row r="923" spans="1:11" x14ac:dyDescent="0.3">
      <c r="A923" s="9" t="s">
        <v>193</v>
      </c>
      <c r="B923" s="20">
        <v>45961</v>
      </c>
      <c r="C923" s="9" t="s">
        <v>221</v>
      </c>
      <c r="D923" s="15">
        <v>47508.63</v>
      </c>
      <c r="E923" s="15">
        <v>35684.699999999997</v>
      </c>
      <c r="F923" s="15">
        <v>26396.6</v>
      </c>
      <c r="G923" s="15">
        <v>38986.46</v>
      </c>
      <c r="H923" s="15">
        <v>20330.23</v>
      </c>
      <c r="I923" s="15">
        <v>168906.63</v>
      </c>
      <c r="J923" s="15">
        <v>121397.99</v>
      </c>
      <c r="K923" s="19">
        <v>0.70405154983044671</v>
      </c>
    </row>
    <row r="924" spans="1:11" x14ac:dyDescent="0.3">
      <c r="A924" s="9" t="s">
        <v>193</v>
      </c>
      <c r="B924" s="20">
        <v>45961</v>
      </c>
      <c r="C924" s="9" t="s">
        <v>220</v>
      </c>
      <c r="D924" s="15">
        <v>100781.41</v>
      </c>
      <c r="E924" s="15">
        <v>56650.06</v>
      </c>
      <c r="F924" s="15">
        <v>45497.85</v>
      </c>
      <c r="G924" s="15">
        <v>5805.84</v>
      </c>
      <c r="H924" s="15">
        <v>5803.48</v>
      </c>
      <c r="I924" s="15">
        <v>214538.63</v>
      </c>
      <c r="J924" s="15">
        <v>113757.22</v>
      </c>
      <c r="K924" s="19">
        <v>0.70405154983044671</v>
      </c>
    </row>
    <row r="925" spans="1:11" x14ac:dyDescent="0.3">
      <c r="A925" s="9" t="s">
        <v>193</v>
      </c>
      <c r="B925" s="20">
        <v>45961</v>
      </c>
      <c r="C925" s="9" t="s">
        <v>219</v>
      </c>
      <c r="D925" s="15">
        <v>7415.82</v>
      </c>
      <c r="E925" s="15">
        <v>1516.74</v>
      </c>
      <c r="F925" s="15">
        <v>2872.99</v>
      </c>
      <c r="G925" s="15">
        <v>15274.35</v>
      </c>
      <c r="H925" s="15">
        <v>1746.45</v>
      </c>
      <c r="I925" s="15">
        <v>28826.36</v>
      </c>
      <c r="J925" s="15">
        <v>21410.54</v>
      </c>
      <c r="K925" s="19">
        <v>0.70405154983044671</v>
      </c>
    </row>
    <row r="926" spans="1:11" x14ac:dyDescent="0.3">
      <c r="A926" s="9" t="s">
        <v>193</v>
      </c>
      <c r="B926" s="20">
        <v>45961</v>
      </c>
      <c r="C926" s="9" t="s">
        <v>218</v>
      </c>
      <c r="D926" s="15">
        <v>26308.68</v>
      </c>
      <c r="E926" s="15">
        <v>13964.09</v>
      </c>
      <c r="F926" s="15">
        <v>17993.95</v>
      </c>
      <c r="G926" s="15">
        <v>6098.29</v>
      </c>
      <c r="H926" s="15">
        <v>8340.76</v>
      </c>
      <c r="I926" s="15">
        <v>72705.77</v>
      </c>
      <c r="J926" s="15">
        <v>46397.1</v>
      </c>
      <c r="K926" s="19">
        <v>0.70405154983044671</v>
      </c>
    </row>
    <row r="927" spans="1:11" x14ac:dyDescent="0.3">
      <c r="A927" s="9" t="s">
        <v>193</v>
      </c>
      <c r="B927" s="20">
        <v>45961</v>
      </c>
      <c r="C927" s="9" t="s">
        <v>217</v>
      </c>
      <c r="D927" s="15">
        <v>2197.89</v>
      </c>
      <c r="E927" s="15">
        <v>959.24</v>
      </c>
      <c r="F927" s="15">
        <v>443.46</v>
      </c>
      <c r="G927" s="15">
        <v>1144.75</v>
      </c>
      <c r="H927" s="15">
        <v>156.97999999999999</v>
      </c>
      <c r="I927" s="15">
        <v>4902.32</v>
      </c>
      <c r="J927" s="15">
        <v>2704.43</v>
      </c>
      <c r="K927" s="19">
        <v>0.70405154983044671</v>
      </c>
    </row>
    <row r="928" spans="1:11" x14ac:dyDescent="0.3">
      <c r="A928" s="9" t="s">
        <v>193</v>
      </c>
      <c r="B928" s="20">
        <v>45961</v>
      </c>
      <c r="C928" s="9" t="s">
        <v>216</v>
      </c>
      <c r="D928" s="15">
        <v>27380.46</v>
      </c>
      <c r="E928" s="15">
        <v>19926.419999999998</v>
      </c>
      <c r="F928" s="15">
        <v>14838.72</v>
      </c>
      <c r="G928" s="15">
        <v>9132.57</v>
      </c>
      <c r="H928" s="15">
        <v>7430</v>
      </c>
      <c r="I928" s="15">
        <v>78708.179999999993</v>
      </c>
      <c r="J928" s="15">
        <v>51327.71</v>
      </c>
      <c r="K928" s="19">
        <v>0.70405154983044671</v>
      </c>
    </row>
    <row r="929" spans="1:11" x14ac:dyDescent="0.3">
      <c r="A929" s="9" t="s">
        <v>193</v>
      </c>
      <c r="B929" s="20">
        <v>45961</v>
      </c>
      <c r="C929" s="9" t="s">
        <v>215</v>
      </c>
      <c r="D929" s="15">
        <v>53787.58</v>
      </c>
      <c r="E929" s="15">
        <v>46789.78</v>
      </c>
      <c r="F929" s="15">
        <v>52238.66</v>
      </c>
      <c r="G929" s="15">
        <v>3252.9</v>
      </c>
      <c r="H929" s="15">
        <v>17849.88</v>
      </c>
      <c r="I929" s="15">
        <v>173918.8</v>
      </c>
      <c r="J929" s="15">
        <v>120131.23</v>
      </c>
      <c r="K929" s="19">
        <v>0.70405154983044671</v>
      </c>
    </row>
    <row r="930" spans="1:11" x14ac:dyDescent="0.3">
      <c r="A930" s="9" t="s">
        <v>193</v>
      </c>
      <c r="B930" s="20">
        <v>45961</v>
      </c>
      <c r="C930" s="9" t="s">
        <v>214</v>
      </c>
      <c r="D930" s="15">
        <v>72015.149999999994</v>
      </c>
      <c r="E930" s="15">
        <v>15163.48</v>
      </c>
      <c r="F930" s="15">
        <v>37653.29</v>
      </c>
      <c r="G930" s="15">
        <v>5910.73</v>
      </c>
      <c r="H930" s="15">
        <v>16146.91</v>
      </c>
      <c r="I930" s="15">
        <v>146889.56</v>
      </c>
      <c r="J930" s="15">
        <v>74874.399999999994</v>
      </c>
      <c r="K930" s="19">
        <v>0.70405154983044671</v>
      </c>
    </row>
    <row r="931" spans="1:11" x14ac:dyDescent="0.3">
      <c r="A931" s="9" t="s">
        <v>193</v>
      </c>
      <c r="B931" s="20">
        <v>45961</v>
      </c>
      <c r="C931" s="9" t="s">
        <v>213</v>
      </c>
      <c r="D931" s="15">
        <v>29877.43</v>
      </c>
      <c r="E931" s="15">
        <v>32340.92</v>
      </c>
      <c r="F931" s="15">
        <v>11826.86</v>
      </c>
      <c r="G931" s="15">
        <v>11973.96</v>
      </c>
      <c r="H931" s="15">
        <v>20339.86</v>
      </c>
      <c r="I931" s="15">
        <v>106359.03</v>
      </c>
      <c r="J931" s="15">
        <v>76481.61</v>
      </c>
      <c r="K931" s="19">
        <v>0.70405154983044671</v>
      </c>
    </row>
    <row r="932" spans="1:11" x14ac:dyDescent="0.3">
      <c r="A932" s="9" t="s">
        <v>193</v>
      </c>
      <c r="B932" s="20">
        <v>45961</v>
      </c>
      <c r="C932" s="9" t="s">
        <v>212</v>
      </c>
      <c r="D932" s="15">
        <v>61370.16</v>
      </c>
      <c r="E932" s="15">
        <v>33914.69</v>
      </c>
      <c r="F932" s="15">
        <v>10490.02</v>
      </c>
      <c r="G932" s="15">
        <v>7686.12</v>
      </c>
      <c r="H932" s="15">
        <v>22694.13</v>
      </c>
      <c r="I932" s="15">
        <v>136155.13</v>
      </c>
      <c r="J932" s="15">
        <v>74784.97</v>
      </c>
      <c r="K932" s="19">
        <v>0.70405154983044671</v>
      </c>
    </row>
    <row r="933" spans="1:11" x14ac:dyDescent="0.3">
      <c r="A933" s="9" t="s">
        <v>193</v>
      </c>
      <c r="B933" s="20">
        <v>45961</v>
      </c>
      <c r="C933" s="9" t="s">
        <v>211</v>
      </c>
      <c r="D933" s="15">
        <v>21676.080000000002</v>
      </c>
      <c r="E933" s="15">
        <v>14601.16</v>
      </c>
      <c r="F933" s="15">
        <v>2690.66</v>
      </c>
      <c r="G933" s="15">
        <v>11749.43</v>
      </c>
      <c r="H933" s="15">
        <v>2026.89</v>
      </c>
      <c r="I933" s="15">
        <v>52744.22</v>
      </c>
      <c r="J933" s="15">
        <v>31068.14</v>
      </c>
      <c r="K933" s="19">
        <v>0.70405154983044671</v>
      </c>
    </row>
    <row r="934" spans="1:11" x14ac:dyDescent="0.3">
      <c r="A934" s="9" t="s">
        <v>193</v>
      </c>
      <c r="B934" s="20">
        <v>45961</v>
      </c>
      <c r="C934" s="9" t="s">
        <v>210</v>
      </c>
      <c r="D934" s="15">
        <v>22077.79</v>
      </c>
      <c r="E934" s="15">
        <v>12941.88</v>
      </c>
      <c r="F934" s="15">
        <v>7942.62</v>
      </c>
      <c r="G934" s="15">
        <v>1241.3</v>
      </c>
      <c r="H934" s="15">
        <v>2140.91</v>
      </c>
      <c r="I934" s="15">
        <v>46344.5</v>
      </c>
      <c r="J934" s="15">
        <v>24266.71</v>
      </c>
      <c r="K934" s="19">
        <v>0.70405154983044671</v>
      </c>
    </row>
    <row r="935" spans="1:11" x14ac:dyDescent="0.3">
      <c r="A935" s="9" t="s">
        <v>193</v>
      </c>
      <c r="B935" s="20">
        <v>45961</v>
      </c>
      <c r="C935" s="9" t="s">
        <v>209</v>
      </c>
      <c r="D935" s="15">
        <v>20682.3</v>
      </c>
      <c r="E935" s="15">
        <v>47472.75</v>
      </c>
      <c r="F935" s="15">
        <v>8414.73</v>
      </c>
      <c r="G935" s="15">
        <v>4219.17</v>
      </c>
      <c r="H935" s="15">
        <v>393.73</v>
      </c>
      <c r="I935" s="15">
        <v>81182.679999999993</v>
      </c>
      <c r="J935" s="15">
        <v>60500.38</v>
      </c>
      <c r="K935" s="19">
        <v>0.70405154983044671</v>
      </c>
    </row>
    <row r="936" spans="1:11" x14ac:dyDescent="0.3">
      <c r="A936" s="9" t="s">
        <v>193</v>
      </c>
      <c r="B936" s="20">
        <v>45961</v>
      </c>
      <c r="C936" s="9" t="s">
        <v>208</v>
      </c>
      <c r="D936" s="15">
        <v>41052.06</v>
      </c>
      <c r="E936" s="15">
        <v>24851.9</v>
      </c>
      <c r="F936" s="15">
        <v>28440.78</v>
      </c>
      <c r="G936" s="15">
        <v>16163.81</v>
      </c>
      <c r="H936" s="15">
        <v>22707.63</v>
      </c>
      <c r="I936" s="15">
        <v>133216.18</v>
      </c>
      <c r="J936" s="15">
        <v>92164.12</v>
      </c>
      <c r="K936" s="19">
        <v>0.70405154983044671</v>
      </c>
    </row>
    <row r="937" spans="1:11" x14ac:dyDescent="0.3">
      <c r="A937" s="9" t="s">
        <v>193</v>
      </c>
      <c r="B937" s="20">
        <v>45961</v>
      </c>
      <c r="C937" s="9" t="s">
        <v>207</v>
      </c>
      <c r="D937" s="15">
        <v>56350.65</v>
      </c>
      <c r="E937" s="15">
        <v>45002.29</v>
      </c>
      <c r="F937" s="15">
        <v>50048.68</v>
      </c>
      <c r="G937" s="15">
        <v>405.36</v>
      </c>
      <c r="H937" s="15">
        <v>19115.96</v>
      </c>
      <c r="I937" s="15">
        <v>170922.94</v>
      </c>
      <c r="J937" s="15">
        <v>114572.29</v>
      </c>
      <c r="K937" s="19">
        <v>0.70405154983044671</v>
      </c>
    </row>
    <row r="938" spans="1:11" x14ac:dyDescent="0.3">
      <c r="A938" s="9" t="s">
        <v>193</v>
      </c>
      <c r="B938" s="20">
        <v>45961</v>
      </c>
      <c r="C938" s="9" t="s">
        <v>206</v>
      </c>
      <c r="D938" s="15">
        <v>4474.34</v>
      </c>
      <c r="E938" s="15">
        <v>3224.52</v>
      </c>
      <c r="F938" s="15">
        <v>1980.7</v>
      </c>
      <c r="G938" s="15">
        <v>6329.86</v>
      </c>
      <c r="H938" s="15">
        <v>3012.52</v>
      </c>
      <c r="I938" s="15">
        <v>19021.939999999999</v>
      </c>
      <c r="J938" s="15">
        <v>14547.61</v>
      </c>
      <c r="K938" s="19">
        <v>0.70405154983044671</v>
      </c>
    </row>
    <row r="939" spans="1:11" x14ac:dyDescent="0.3">
      <c r="A939" s="9" t="s">
        <v>193</v>
      </c>
      <c r="B939" s="20">
        <v>45961</v>
      </c>
      <c r="C939" s="9" t="s">
        <v>205</v>
      </c>
      <c r="D939" s="15">
        <v>91324.66</v>
      </c>
      <c r="E939" s="15">
        <v>66767.600000000006</v>
      </c>
      <c r="F939" s="15">
        <v>5384.3</v>
      </c>
      <c r="G939" s="15">
        <v>20823.830000000002</v>
      </c>
      <c r="H939" s="15">
        <v>11023.65</v>
      </c>
      <c r="I939" s="15">
        <v>195324.03</v>
      </c>
      <c r="J939" s="15">
        <v>103999.37</v>
      </c>
      <c r="K939" s="19">
        <v>0.70405154983044671</v>
      </c>
    </row>
    <row r="940" spans="1:11" x14ac:dyDescent="0.3">
      <c r="A940" s="9" t="s">
        <v>193</v>
      </c>
      <c r="B940" s="20">
        <v>45961</v>
      </c>
      <c r="C940" s="9" t="s">
        <v>204</v>
      </c>
      <c r="D940" s="15">
        <v>6443.83</v>
      </c>
      <c r="E940" s="15">
        <v>4227.0200000000004</v>
      </c>
      <c r="F940" s="15">
        <v>4239.74</v>
      </c>
      <c r="G940" s="15">
        <v>3620.46</v>
      </c>
      <c r="H940" s="15">
        <v>1089.06</v>
      </c>
      <c r="I940" s="15">
        <v>19620.12</v>
      </c>
      <c r="J940" s="15">
        <v>13176.29</v>
      </c>
      <c r="K940" s="19">
        <v>0.70405154983044671</v>
      </c>
    </row>
    <row r="941" spans="1:11" x14ac:dyDescent="0.3">
      <c r="A941" s="9" t="s">
        <v>193</v>
      </c>
      <c r="B941" s="20">
        <v>45961</v>
      </c>
      <c r="C941" s="9" t="s">
        <v>203</v>
      </c>
      <c r="D941" s="15">
        <v>45380.01</v>
      </c>
      <c r="E941" s="15">
        <v>36629.730000000003</v>
      </c>
      <c r="F941" s="15">
        <v>14813.18</v>
      </c>
      <c r="G941" s="15">
        <v>42720.65</v>
      </c>
      <c r="H941" s="15">
        <v>10333.61</v>
      </c>
      <c r="I941" s="15">
        <v>149877.19</v>
      </c>
      <c r="J941" s="15">
        <v>104497.18</v>
      </c>
      <c r="K941" s="19">
        <v>0.70405154983044671</v>
      </c>
    </row>
    <row r="942" spans="1:11" x14ac:dyDescent="0.3">
      <c r="A942" s="9" t="s">
        <v>193</v>
      </c>
      <c r="B942" s="20">
        <v>45991</v>
      </c>
      <c r="C942" s="9" t="s">
        <v>222</v>
      </c>
      <c r="D942" s="15">
        <v>50355.98</v>
      </c>
      <c r="E942" s="15">
        <v>3958.44</v>
      </c>
      <c r="F942" s="15">
        <v>11440.95</v>
      </c>
      <c r="G942" s="15">
        <v>46465.11</v>
      </c>
      <c r="H942" s="15">
        <v>6330.89</v>
      </c>
      <c r="I942" s="15">
        <v>118551.36</v>
      </c>
      <c r="J942" s="15">
        <v>68195.38</v>
      </c>
      <c r="K942" s="19">
        <v>0.71941021868704458</v>
      </c>
    </row>
    <row r="943" spans="1:11" x14ac:dyDescent="0.3">
      <c r="A943" s="9" t="s">
        <v>193</v>
      </c>
      <c r="B943" s="20">
        <v>45991</v>
      </c>
      <c r="C943" s="9" t="s">
        <v>221</v>
      </c>
      <c r="D943" s="15">
        <v>27906.07</v>
      </c>
      <c r="E943" s="15">
        <v>24157.43</v>
      </c>
      <c r="F943" s="15">
        <v>22048.639999999999</v>
      </c>
      <c r="G943" s="15">
        <v>24646.01</v>
      </c>
      <c r="H943" s="15">
        <v>15848.12</v>
      </c>
      <c r="I943" s="15">
        <v>114606.27</v>
      </c>
      <c r="J943" s="15">
        <v>86700.2</v>
      </c>
      <c r="K943" s="19">
        <v>0.71941021868704458</v>
      </c>
    </row>
    <row r="944" spans="1:11" x14ac:dyDescent="0.3">
      <c r="A944" s="9" t="s">
        <v>193</v>
      </c>
      <c r="B944" s="20">
        <v>45991</v>
      </c>
      <c r="C944" s="9" t="s">
        <v>220</v>
      </c>
      <c r="D944" s="15">
        <v>44444.87</v>
      </c>
      <c r="E944" s="15">
        <v>18881.330000000002</v>
      </c>
      <c r="F944" s="15">
        <v>24161.17</v>
      </c>
      <c r="G944" s="15">
        <v>16101.36</v>
      </c>
      <c r="H944" s="15">
        <v>6412.15</v>
      </c>
      <c r="I944" s="15">
        <v>110000.88</v>
      </c>
      <c r="J944" s="15">
        <v>65556.009999999995</v>
      </c>
      <c r="K944" s="19">
        <v>0.71941021868704458</v>
      </c>
    </row>
    <row r="945" spans="1:11" x14ac:dyDescent="0.3">
      <c r="A945" s="9" t="s">
        <v>193</v>
      </c>
      <c r="B945" s="20">
        <v>45991</v>
      </c>
      <c r="C945" s="9" t="s">
        <v>219</v>
      </c>
      <c r="D945" s="15">
        <v>75417.17</v>
      </c>
      <c r="E945" s="15">
        <v>17120.82</v>
      </c>
      <c r="F945" s="15">
        <v>29970.93</v>
      </c>
      <c r="G945" s="15">
        <v>46046.38</v>
      </c>
      <c r="H945" s="15">
        <v>10020.27</v>
      </c>
      <c r="I945" s="15">
        <v>178575.57</v>
      </c>
      <c r="J945" s="15">
        <v>103158.39999999999</v>
      </c>
      <c r="K945" s="19">
        <v>0.71941021868704458</v>
      </c>
    </row>
    <row r="946" spans="1:11" x14ac:dyDescent="0.3">
      <c r="A946" s="9" t="s">
        <v>193</v>
      </c>
      <c r="B946" s="20">
        <v>45991</v>
      </c>
      <c r="C946" s="9" t="s">
        <v>218</v>
      </c>
      <c r="D946" s="15">
        <v>17652.349999999999</v>
      </c>
      <c r="E946" s="15">
        <v>14477.41</v>
      </c>
      <c r="F946" s="15">
        <v>19156.36</v>
      </c>
      <c r="G946" s="15">
        <v>11859.24</v>
      </c>
      <c r="H946" s="15">
        <v>13291</v>
      </c>
      <c r="I946" s="15">
        <v>76436.350000000006</v>
      </c>
      <c r="J946" s="15">
        <v>58784</v>
      </c>
      <c r="K946" s="19">
        <v>0.71941021868704458</v>
      </c>
    </row>
    <row r="947" spans="1:11" x14ac:dyDescent="0.3">
      <c r="A947" s="9" t="s">
        <v>193</v>
      </c>
      <c r="B947" s="20">
        <v>45991</v>
      </c>
      <c r="C947" s="9" t="s">
        <v>217</v>
      </c>
      <c r="D947" s="15">
        <v>5991.23</v>
      </c>
      <c r="E947" s="15">
        <v>2690.68</v>
      </c>
      <c r="F947" s="15">
        <v>1759.11</v>
      </c>
      <c r="G947" s="15">
        <v>1144.44</v>
      </c>
      <c r="H947" s="15">
        <v>683.09</v>
      </c>
      <c r="I947" s="15">
        <v>12268.55</v>
      </c>
      <c r="J947" s="15">
        <v>6277.32</v>
      </c>
      <c r="K947" s="19">
        <v>0.71941021868704458</v>
      </c>
    </row>
    <row r="948" spans="1:11" x14ac:dyDescent="0.3">
      <c r="A948" s="9" t="s">
        <v>193</v>
      </c>
      <c r="B948" s="20">
        <v>45991</v>
      </c>
      <c r="C948" s="9" t="s">
        <v>216</v>
      </c>
      <c r="D948" s="15">
        <v>28769.87</v>
      </c>
      <c r="E948" s="15">
        <v>33370.58</v>
      </c>
      <c r="F948" s="15">
        <v>11986.05</v>
      </c>
      <c r="G948" s="15">
        <v>27333.13</v>
      </c>
      <c r="H948" s="15">
        <v>6162.9</v>
      </c>
      <c r="I948" s="15">
        <v>107622.53</v>
      </c>
      <c r="J948" s="15">
        <v>78852.66</v>
      </c>
      <c r="K948" s="19">
        <v>0.71941021868704458</v>
      </c>
    </row>
    <row r="949" spans="1:11" x14ac:dyDescent="0.3">
      <c r="A949" s="9" t="s">
        <v>193</v>
      </c>
      <c r="B949" s="20">
        <v>45991</v>
      </c>
      <c r="C949" s="9" t="s">
        <v>215</v>
      </c>
      <c r="D949" s="15">
        <v>47304.38</v>
      </c>
      <c r="E949" s="15">
        <v>12483.46</v>
      </c>
      <c r="F949" s="15">
        <v>6506.18</v>
      </c>
      <c r="G949" s="15">
        <v>44850.12</v>
      </c>
      <c r="H949" s="15">
        <v>24333.17</v>
      </c>
      <c r="I949" s="15">
        <v>135477.32</v>
      </c>
      <c r="J949" s="15">
        <v>88172.93</v>
      </c>
      <c r="K949" s="19">
        <v>0.71941021868704458</v>
      </c>
    </row>
    <row r="950" spans="1:11" x14ac:dyDescent="0.3">
      <c r="A950" s="9" t="s">
        <v>193</v>
      </c>
      <c r="B950" s="20">
        <v>45991</v>
      </c>
      <c r="C950" s="9" t="s">
        <v>214</v>
      </c>
      <c r="D950" s="15">
        <v>19822.43</v>
      </c>
      <c r="E950" s="15">
        <v>5378.02</v>
      </c>
      <c r="F950" s="15">
        <v>6021.79</v>
      </c>
      <c r="G950" s="15">
        <v>16533.169999999998</v>
      </c>
      <c r="H950" s="15">
        <v>3055.26</v>
      </c>
      <c r="I950" s="15">
        <v>50810.68</v>
      </c>
      <c r="J950" s="15">
        <v>30988.25</v>
      </c>
      <c r="K950" s="19">
        <v>0.71941021868704458</v>
      </c>
    </row>
    <row r="951" spans="1:11" x14ac:dyDescent="0.3">
      <c r="A951" s="9" t="s">
        <v>193</v>
      </c>
      <c r="B951" s="20">
        <v>45991</v>
      </c>
      <c r="C951" s="9" t="s">
        <v>213</v>
      </c>
      <c r="D951" s="15">
        <v>24566.59</v>
      </c>
      <c r="E951" s="15">
        <v>13528.19</v>
      </c>
      <c r="F951" s="15">
        <v>8774.18</v>
      </c>
      <c r="G951" s="15">
        <v>3324.06</v>
      </c>
      <c r="H951" s="15">
        <v>2228.83</v>
      </c>
      <c r="I951" s="15">
        <v>52421.85</v>
      </c>
      <c r="J951" s="15">
        <v>27855.25</v>
      </c>
      <c r="K951" s="19">
        <v>0.71941021868704458</v>
      </c>
    </row>
    <row r="952" spans="1:11" x14ac:dyDescent="0.3">
      <c r="A952" s="9" t="s">
        <v>193</v>
      </c>
      <c r="B952" s="20">
        <v>45991</v>
      </c>
      <c r="C952" s="9" t="s">
        <v>212</v>
      </c>
      <c r="D952" s="15">
        <v>62112.07</v>
      </c>
      <c r="E952" s="15">
        <v>8346.98</v>
      </c>
      <c r="F952" s="15">
        <v>63889.58</v>
      </c>
      <c r="G952" s="15">
        <v>12223.58</v>
      </c>
      <c r="H952" s="15">
        <v>401.87</v>
      </c>
      <c r="I952" s="15">
        <v>146974.07999999999</v>
      </c>
      <c r="J952" s="15">
        <v>84862.01</v>
      </c>
      <c r="K952" s="19">
        <v>0.71941021868704458</v>
      </c>
    </row>
    <row r="953" spans="1:11" x14ac:dyDescent="0.3">
      <c r="A953" s="9" t="s">
        <v>193</v>
      </c>
      <c r="B953" s="20">
        <v>45991</v>
      </c>
      <c r="C953" s="9" t="s">
        <v>211</v>
      </c>
      <c r="D953" s="15">
        <v>44789.97</v>
      </c>
      <c r="E953" s="15">
        <v>39353.519999999997</v>
      </c>
      <c r="F953" s="15">
        <v>41935.78</v>
      </c>
      <c r="G953" s="15">
        <v>14993.64</v>
      </c>
      <c r="H953" s="15">
        <v>7576.63</v>
      </c>
      <c r="I953" s="15">
        <v>148649.54</v>
      </c>
      <c r="J953" s="15">
        <v>103859.58</v>
      </c>
      <c r="K953" s="19">
        <v>0.71941021868704458</v>
      </c>
    </row>
    <row r="954" spans="1:11" x14ac:dyDescent="0.3">
      <c r="A954" s="9" t="s">
        <v>193</v>
      </c>
      <c r="B954" s="20">
        <v>45991</v>
      </c>
      <c r="C954" s="9" t="s">
        <v>210</v>
      </c>
      <c r="D954" s="15">
        <v>38072.57</v>
      </c>
      <c r="E954" s="15">
        <v>8636.02</v>
      </c>
      <c r="F954" s="15">
        <v>9616.08</v>
      </c>
      <c r="G954" s="15">
        <v>6633.63</v>
      </c>
      <c r="H954" s="15">
        <v>23369.759999999998</v>
      </c>
      <c r="I954" s="15">
        <v>86328.06</v>
      </c>
      <c r="J954" s="15">
        <v>48255.49</v>
      </c>
      <c r="K954" s="19">
        <v>0.71941021868704458</v>
      </c>
    </row>
    <row r="955" spans="1:11" x14ac:dyDescent="0.3">
      <c r="A955" s="9" t="s">
        <v>193</v>
      </c>
      <c r="B955" s="20">
        <v>45991</v>
      </c>
      <c r="C955" s="9" t="s">
        <v>209</v>
      </c>
      <c r="D955" s="15">
        <v>35935.08</v>
      </c>
      <c r="E955" s="15">
        <v>43139.95</v>
      </c>
      <c r="F955" s="15">
        <v>4822.1899999999996</v>
      </c>
      <c r="G955" s="15">
        <v>24275.96</v>
      </c>
      <c r="H955" s="15">
        <v>9826.36</v>
      </c>
      <c r="I955" s="15">
        <v>117999.54</v>
      </c>
      <c r="J955" s="15">
        <v>82064.460000000006</v>
      </c>
      <c r="K955" s="19">
        <v>0.71941021868704458</v>
      </c>
    </row>
    <row r="956" spans="1:11" x14ac:dyDescent="0.3">
      <c r="A956" s="9" t="s">
        <v>193</v>
      </c>
      <c r="B956" s="20">
        <v>45991</v>
      </c>
      <c r="C956" s="9" t="s">
        <v>208</v>
      </c>
      <c r="D956" s="15">
        <v>64474.18</v>
      </c>
      <c r="E956" s="15">
        <v>42495</v>
      </c>
      <c r="F956" s="15">
        <v>43909.22</v>
      </c>
      <c r="G956" s="15">
        <v>7763.21</v>
      </c>
      <c r="H956" s="15">
        <v>14558.31</v>
      </c>
      <c r="I956" s="15">
        <v>173199.92</v>
      </c>
      <c r="J956" s="15">
        <v>108725.74</v>
      </c>
      <c r="K956" s="19">
        <v>0.71941021868704458</v>
      </c>
    </row>
    <row r="957" spans="1:11" x14ac:dyDescent="0.3">
      <c r="A957" s="9" t="s">
        <v>193</v>
      </c>
      <c r="B957" s="20">
        <v>45991</v>
      </c>
      <c r="C957" s="9" t="s">
        <v>207</v>
      </c>
      <c r="D957" s="15">
        <v>18654.73</v>
      </c>
      <c r="E957" s="15">
        <v>16414.91</v>
      </c>
      <c r="F957" s="15">
        <v>3757.64</v>
      </c>
      <c r="G957" s="15">
        <v>4081.56</v>
      </c>
      <c r="H957" s="15">
        <v>503.1</v>
      </c>
      <c r="I957" s="15">
        <v>43411.95</v>
      </c>
      <c r="J957" s="15">
        <v>24757.21</v>
      </c>
      <c r="K957" s="19">
        <v>0.71941021868704458</v>
      </c>
    </row>
    <row r="958" spans="1:11" x14ac:dyDescent="0.3">
      <c r="A958" s="9" t="s">
        <v>193</v>
      </c>
      <c r="B958" s="20">
        <v>45991</v>
      </c>
      <c r="C958" s="9" t="s">
        <v>206</v>
      </c>
      <c r="D958" s="15">
        <v>25592.15</v>
      </c>
      <c r="E958" s="15">
        <v>39371.800000000003</v>
      </c>
      <c r="F958" s="15">
        <v>5281.77</v>
      </c>
      <c r="G958" s="15">
        <v>13823.8</v>
      </c>
      <c r="H958" s="15">
        <v>2028.81</v>
      </c>
      <c r="I958" s="15">
        <v>86098.33</v>
      </c>
      <c r="J958" s="15">
        <v>60506.18</v>
      </c>
      <c r="K958" s="19">
        <v>0.71941021868704458</v>
      </c>
    </row>
    <row r="959" spans="1:11" x14ac:dyDescent="0.3">
      <c r="A959" s="9" t="s">
        <v>193</v>
      </c>
      <c r="B959" s="20">
        <v>45991</v>
      </c>
      <c r="C959" s="9" t="s">
        <v>205</v>
      </c>
      <c r="D959" s="15">
        <v>31222.13</v>
      </c>
      <c r="E959" s="15">
        <v>4574.45</v>
      </c>
      <c r="F959" s="15">
        <v>9728.23</v>
      </c>
      <c r="G959" s="15">
        <v>18778.7</v>
      </c>
      <c r="H959" s="15">
        <v>2027.42</v>
      </c>
      <c r="I959" s="15">
        <v>66330.929999999993</v>
      </c>
      <c r="J959" s="15">
        <v>35108.800000000003</v>
      </c>
      <c r="K959" s="19">
        <v>0.71941021868704458</v>
      </c>
    </row>
    <row r="960" spans="1:11" x14ac:dyDescent="0.3">
      <c r="A960" s="9" t="s">
        <v>193</v>
      </c>
      <c r="B960" s="20">
        <v>45991</v>
      </c>
      <c r="C960" s="9" t="s">
        <v>204</v>
      </c>
      <c r="D960" s="15">
        <v>44634.21</v>
      </c>
      <c r="E960" s="15">
        <v>16945.34</v>
      </c>
      <c r="F960" s="15">
        <v>10965.47</v>
      </c>
      <c r="G960" s="15">
        <v>11897.98</v>
      </c>
      <c r="H960" s="15">
        <v>10273.780000000001</v>
      </c>
      <c r="I960" s="15">
        <v>94716.77</v>
      </c>
      <c r="J960" s="15">
        <v>50082.559999999998</v>
      </c>
      <c r="K960" s="19">
        <v>0.71941021868704458</v>
      </c>
    </row>
    <row r="961" spans="1:11" x14ac:dyDescent="0.3">
      <c r="A961" s="9" t="s">
        <v>193</v>
      </c>
      <c r="B961" s="20">
        <v>45991</v>
      </c>
      <c r="C961" s="9" t="s">
        <v>203</v>
      </c>
      <c r="D961" s="15">
        <v>16079.39</v>
      </c>
      <c r="E961" s="15">
        <v>6277.08</v>
      </c>
      <c r="F961" s="15">
        <v>3060.24</v>
      </c>
      <c r="G961" s="15">
        <v>10671.07</v>
      </c>
      <c r="H961" s="15">
        <v>7276.56</v>
      </c>
      <c r="I961" s="15">
        <v>43364.35</v>
      </c>
      <c r="J961" s="15">
        <v>27284.959999999999</v>
      </c>
      <c r="K961" s="19">
        <v>0.71941021868704458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516B-3711-4534-AB93-A43AB91630DF}">
  <sheetPr>
    <tabColor theme="6" tint="0.39997558519241921"/>
  </sheetPr>
  <dimension ref="A1:E49"/>
  <sheetViews>
    <sheetView workbookViewId="0">
      <selection activeCell="P13" sqref="P13"/>
    </sheetView>
  </sheetViews>
  <sheetFormatPr defaultRowHeight="14.4" x14ac:dyDescent="0.3"/>
  <cols>
    <col min="1" max="2" width="19.109375" style="9" customWidth="1"/>
    <col min="3" max="4" width="19.109375" style="15" customWidth="1"/>
    <col min="5" max="5" width="19.109375" style="19" customWidth="1"/>
  </cols>
  <sheetData>
    <row r="1" spans="1:5" x14ac:dyDescent="0.3">
      <c r="A1" s="13" t="s">
        <v>267</v>
      </c>
      <c r="B1" s="13" t="s">
        <v>22</v>
      </c>
      <c r="C1" s="21" t="s">
        <v>266</v>
      </c>
      <c r="D1" s="21" t="s">
        <v>265</v>
      </c>
      <c r="E1" s="22" t="s">
        <v>264</v>
      </c>
    </row>
    <row r="2" spans="1:5" x14ac:dyDescent="0.3">
      <c r="A2" s="20">
        <v>45657</v>
      </c>
      <c r="B2" s="9" t="s">
        <v>193</v>
      </c>
      <c r="C2" s="15">
        <v>7730000</v>
      </c>
      <c r="D2" s="15">
        <v>912348.47</v>
      </c>
      <c r="E2" s="19">
        <v>0.11799999999999999</v>
      </c>
    </row>
    <row r="3" spans="1:5" x14ac:dyDescent="0.3">
      <c r="A3" s="20">
        <v>45688</v>
      </c>
      <c r="B3" s="9" t="s">
        <v>193</v>
      </c>
      <c r="C3" s="15">
        <v>7587000</v>
      </c>
      <c r="D3" s="15">
        <v>1404198.23</v>
      </c>
      <c r="E3" s="19">
        <v>0.18509999999999999</v>
      </c>
    </row>
    <row r="4" spans="1:5" x14ac:dyDescent="0.3">
      <c r="A4" s="20">
        <v>45716</v>
      </c>
      <c r="B4" s="9" t="s">
        <v>193</v>
      </c>
      <c r="C4" s="15">
        <v>7630000</v>
      </c>
      <c r="D4" s="15">
        <v>1004388.26</v>
      </c>
      <c r="E4" s="19">
        <v>0.13159999999999999</v>
      </c>
    </row>
    <row r="5" spans="1:5" x14ac:dyDescent="0.3">
      <c r="A5" s="20">
        <v>45747</v>
      </c>
      <c r="B5" s="9" t="s">
        <v>193</v>
      </c>
      <c r="C5" s="15">
        <v>7623000</v>
      </c>
      <c r="D5" s="15">
        <v>1219331.93</v>
      </c>
      <c r="E5" s="19">
        <v>0.16</v>
      </c>
    </row>
    <row r="6" spans="1:5" x14ac:dyDescent="0.3">
      <c r="A6" s="20">
        <v>45777</v>
      </c>
      <c r="B6" s="9" t="s">
        <v>193</v>
      </c>
      <c r="C6" s="15">
        <v>7815000</v>
      </c>
      <c r="D6" s="15">
        <v>1552585.21</v>
      </c>
      <c r="E6" s="19">
        <v>0.19869999999999999</v>
      </c>
    </row>
    <row r="7" spans="1:5" x14ac:dyDescent="0.3">
      <c r="A7" s="20">
        <v>45808</v>
      </c>
      <c r="B7" s="9" t="s">
        <v>193</v>
      </c>
      <c r="C7" s="15">
        <v>7598000</v>
      </c>
      <c r="D7" s="15">
        <v>980342.33</v>
      </c>
      <c r="E7" s="19">
        <v>0.129</v>
      </c>
    </row>
    <row r="8" spans="1:5" x14ac:dyDescent="0.3">
      <c r="A8" s="20">
        <v>45838</v>
      </c>
      <c r="B8" s="9" t="s">
        <v>193</v>
      </c>
      <c r="C8" s="15">
        <v>7958000</v>
      </c>
      <c r="D8" s="15">
        <v>1378982.4</v>
      </c>
      <c r="E8" s="19">
        <v>0.17330000000000001</v>
      </c>
    </row>
    <row r="9" spans="1:5" x14ac:dyDescent="0.3">
      <c r="A9" s="20">
        <v>45869</v>
      </c>
      <c r="B9" s="9" t="s">
        <v>193</v>
      </c>
      <c r="C9" s="15">
        <v>7794000</v>
      </c>
      <c r="D9" s="15">
        <v>1058766.52</v>
      </c>
      <c r="E9" s="19">
        <v>0.1358</v>
      </c>
    </row>
    <row r="10" spans="1:5" x14ac:dyDescent="0.3">
      <c r="A10" s="20">
        <v>45900</v>
      </c>
      <c r="B10" s="9" t="s">
        <v>193</v>
      </c>
      <c r="C10" s="15">
        <v>7916000</v>
      </c>
      <c r="D10" s="15">
        <v>1543488.04</v>
      </c>
      <c r="E10" s="19">
        <v>0.19500000000000001</v>
      </c>
    </row>
    <row r="11" spans="1:5" x14ac:dyDescent="0.3">
      <c r="A11" s="20">
        <v>45930</v>
      </c>
      <c r="B11" s="9" t="s">
        <v>193</v>
      </c>
      <c r="C11" s="15">
        <v>7907000</v>
      </c>
      <c r="D11" s="15">
        <v>1283174.8500000001</v>
      </c>
      <c r="E11" s="19">
        <v>0.1623</v>
      </c>
    </row>
    <row r="12" spans="1:5" x14ac:dyDescent="0.3">
      <c r="A12" s="20">
        <v>45961</v>
      </c>
      <c r="B12" s="9" t="s">
        <v>193</v>
      </c>
      <c r="C12" s="15">
        <v>8081000</v>
      </c>
      <c r="D12" s="15">
        <v>1331794.4099999999</v>
      </c>
      <c r="E12" s="19">
        <v>0.1648</v>
      </c>
    </row>
    <row r="13" spans="1:5" x14ac:dyDescent="0.3">
      <c r="A13" s="20">
        <v>45991</v>
      </c>
      <c r="B13" s="9" t="s">
        <v>193</v>
      </c>
      <c r="C13" s="15">
        <v>7835000</v>
      </c>
      <c r="D13" s="15">
        <v>1234450.1200000001</v>
      </c>
      <c r="E13" s="19">
        <v>0.15759999999999999</v>
      </c>
    </row>
    <row r="14" spans="1:5" x14ac:dyDescent="0.3">
      <c r="A14" s="20">
        <v>45657</v>
      </c>
      <c r="B14" s="9" t="s">
        <v>192</v>
      </c>
      <c r="C14" s="15">
        <v>5681000</v>
      </c>
      <c r="D14" s="15">
        <v>763363.53</v>
      </c>
      <c r="E14" s="19">
        <v>0.13439999999999999</v>
      </c>
    </row>
    <row r="15" spans="1:5" x14ac:dyDescent="0.3">
      <c r="A15" s="20">
        <v>45688</v>
      </c>
      <c r="B15" s="9" t="s">
        <v>192</v>
      </c>
      <c r="C15" s="15">
        <v>5704000</v>
      </c>
      <c r="D15" s="15">
        <v>1090103.8</v>
      </c>
      <c r="E15" s="19">
        <v>0.19109999999999999</v>
      </c>
    </row>
    <row r="16" spans="1:5" x14ac:dyDescent="0.3">
      <c r="A16" s="20">
        <v>45716</v>
      </c>
      <c r="B16" s="9" t="s">
        <v>192</v>
      </c>
      <c r="C16" s="15">
        <v>5823000</v>
      </c>
      <c r="D16" s="15">
        <v>843037.15</v>
      </c>
      <c r="E16" s="19">
        <v>0.14480000000000001</v>
      </c>
    </row>
    <row r="17" spans="1:5" x14ac:dyDescent="0.3">
      <c r="A17" s="20">
        <v>45747</v>
      </c>
      <c r="B17" s="9" t="s">
        <v>192</v>
      </c>
      <c r="C17" s="15">
        <v>5716000</v>
      </c>
      <c r="D17" s="15">
        <v>750899</v>
      </c>
      <c r="E17" s="19">
        <v>0.13139999999999999</v>
      </c>
    </row>
    <row r="18" spans="1:5" x14ac:dyDescent="0.3">
      <c r="A18" s="20">
        <v>45777</v>
      </c>
      <c r="B18" s="9" t="s">
        <v>192</v>
      </c>
      <c r="C18" s="15">
        <v>5799000</v>
      </c>
      <c r="D18" s="15">
        <v>993347.2</v>
      </c>
      <c r="E18" s="19">
        <v>0.17130000000000001</v>
      </c>
    </row>
    <row r="19" spans="1:5" x14ac:dyDescent="0.3">
      <c r="A19" s="20">
        <v>45808</v>
      </c>
      <c r="B19" s="9" t="s">
        <v>192</v>
      </c>
      <c r="C19" s="15">
        <v>5784000</v>
      </c>
      <c r="D19" s="15">
        <v>604931.32999999996</v>
      </c>
      <c r="E19" s="19">
        <v>0.1046</v>
      </c>
    </row>
    <row r="20" spans="1:5" x14ac:dyDescent="0.3">
      <c r="A20" s="20">
        <v>45838</v>
      </c>
      <c r="B20" s="9" t="s">
        <v>192</v>
      </c>
      <c r="C20" s="15">
        <v>5866000</v>
      </c>
      <c r="D20" s="15">
        <v>1166795.01</v>
      </c>
      <c r="E20" s="19">
        <v>0.19889999999999999</v>
      </c>
    </row>
    <row r="21" spans="1:5" x14ac:dyDescent="0.3">
      <c r="A21" s="20">
        <v>45869</v>
      </c>
      <c r="B21" s="9" t="s">
        <v>192</v>
      </c>
      <c r="C21" s="15">
        <v>5926000</v>
      </c>
      <c r="D21" s="15">
        <v>624114.37</v>
      </c>
      <c r="E21" s="19">
        <v>0.1053</v>
      </c>
    </row>
    <row r="22" spans="1:5" x14ac:dyDescent="0.3">
      <c r="A22" s="20">
        <v>45900</v>
      </c>
      <c r="B22" s="9" t="s">
        <v>192</v>
      </c>
      <c r="C22" s="15">
        <v>5852000</v>
      </c>
      <c r="D22" s="15">
        <v>631067.86</v>
      </c>
      <c r="E22" s="19">
        <v>0.10780000000000001</v>
      </c>
    </row>
    <row r="23" spans="1:5" x14ac:dyDescent="0.3">
      <c r="A23" s="20">
        <v>45930</v>
      </c>
      <c r="B23" s="9" t="s">
        <v>192</v>
      </c>
      <c r="C23" s="15">
        <v>6014000</v>
      </c>
      <c r="D23" s="15">
        <v>1076874.97</v>
      </c>
      <c r="E23" s="19">
        <v>0.17910000000000001</v>
      </c>
    </row>
    <row r="24" spans="1:5" x14ac:dyDescent="0.3">
      <c r="A24" s="20">
        <v>45961</v>
      </c>
      <c r="B24" s="9" t="s">
        <v>192</v>
      </c>
      <c r="C24" s="15">
        <v>6027000</v>
      </c>
      <c r="D24" s="15">
        <v>619414.47</v>
      </c>
      <c r="E24" s="19">
        <v>0.1028</v>
      </c>
    </row>
    <row r="25" spans="1:5" x14ac:dyDescent="0.3">
      <c r="A25" s="20">
        <v>45991</v>
      </c>
      <c r="B25" s="9" t="s">
        <v>192</v>
      </c>
      <c r="C25" s="15">
        <v>6030000</v>
      </c>
      <c r="D25" s="15">
        <v>923210.73</v>
      </c>
      <c r="E25" s="19">
        <v>0.15310000000000001</v>
      </c>
    </row>
    <row r="26" spans="1:5" x14ac:dyDescent="0.3">
      <c r="A26" s="20">
        <v>45657</v>
      </c>
      <c r="B26" s="9" t="s">
        <v>191</v>
      </c>
      <c r="C26" s="15">
        <v>3836000</v>
      </c>
      <c r="D26" s="15">
        <v>592426.93000000005</v>
      </c>
      <c r="E26" s="19">
        <v>0.15440000000000001</v>
      </c>
    </row>
    <row r="27" spans="1:5" x14ac:dyDescent="0.3">
      <c r="A27" s="20">
        <v>45688</v>
      </c>
      <c r="B27" s="9" t="s">
        <v>191</v>
      </c>
      <c r="C27" s="15">
        <v>3791000</v>
      </c>
      <c r="D27" s="15">
        <v>450281.98</v>
      </c>
      <c r="E27" s="19">
        <v>0.1188</v>
      </c>
    </row>
    <row r="28" spans="1:5" x14ac:dyDescent="0.3">
      <c r="A28" s="20">
        <v>45716</v>
      </c>
      <c r="B28" s="9" t="s">
        <v>191</v>
      </c>
      <c r="C28" s="15">
        <v>3831000</v>
      </c>
      <c r="D28" s="15">
        <v>488066.49</v>
      </c>
      <c r="E28" s="19">
        <v>0.12740000000000001</v>
      </c>
    </row>
    <row r="29" spans="1:5" x14ac:dyDescent="0.3">
      <c r="A29" s="20">
        <v>45747</v>
      </c>
      <c r="B29" s="9" t="s">
        <v>191</v>
      </c>
      <c r="C29" s="15">
        <v>3817000</v>
      </c>
      <c r="D29" s="15">
        <v>605923.64</v>
      </c>
      <c r="E29" s="19">
        <v>0.15870000000000001</v>
      </c>
    </row>
    <row r="30" spans="1:5" x14ac:dyDescent="0.3">
      <c r="A30" s="20">
        <v>45777</v>
      </c>
      <c r="B30" s="9" t="s">
        <v>191</v>
      </c>
      <c r="C30" s="15">
        <v>3862000</v>
      </c>
      <c r="D30" s="15">
        <v>706178.35</v>
      </c>
      <c r="E30" s="19">
        <v>0.18290000000000001</v>
      </c>
    </row>
    <row r="31" spans="1:5" x14ac:dyDescent="0.3">
      <c r="A31" s="20">
        <v>45808</v>
      </c>
      <c r="B31" s="9" t="s">
        <v>191</v>
      </c>
      <c r="C31" s="15">
        <v>3912000</v>
      </c>
      <c r="D31" s="15">
        <v>459012.57</v>
      </c>
      <c r="E31" s="19">
        <v>0.1173</v>
      </c>
    </row>
    <row r="32" spans="1:5" x14ac:dyDescent="0.3">
      <c r="A32" s="20">
        <v>45838</v>
      </c>
      <c r="B32" s="9" t="s">
        <v>191</v>
      </c>
      <c r="C32" s="15">
        <v>3881000</v>
      </c>
      <c r="D32" s="15">
        <v>681225.58</v>
      </c>
      <c r="E32" s="19">
        <v>0.17549999999999999</v>
      </c>
    </row>
    <row r="33" spans="1:5" x14ac:dyDescent="0.3">
      <c r="A33" s="20">
        <v>45869</v>
      </c>
      <c r="B33" s="9" t="s">
        <v>191</v>
      </c>
      <c r="C33" s="15">
        <v>3911000</v>
      </c>
      <c r="D33" s="15">
        <v>651977.03</v>
      </c>
      <c r="E33" s="19">
        <v>0.16669999999999999</v>
      </c>
    </row>
    <row r="34" spans="1:5" x14ac:dyDescent="0.3">
      <c r="A34" s="20">
        <v>45900</v>
      </c>
      <c r="B34" s="9" t="s">
        <v>191</v>
      </c>
      <c r="C34" s="15">
        <v>3918000</v>
      </c>
      <c r="D34" s="15">
        <v>404746.8</v>
      </c>
      <c r="E34" s="19">
        <v>0.1033</v>
      </c>
    </row>
    <row r="35" spans="1:5" x14ac:dyDescent="0.3">
      <c r="A35" s="20">
        <v>45930</v>
      </c>
      <c r="B35" s="9" t="s">
        <v>191</v>
      </c>
      <c r="C35" s="15">
        <v>3930000</v>
      </c>
      <c r="D35" s="15">
        <v>487710.23</v>
      </c>
      <c r="E35" s="19">
        <v>0.1241</v>
      </c>
    </row>
    <row r="36" spans="1:5" x14ac:dyDescent="0.3">
      <c r="A36" s="20">
        <v>45961</v>
      </c>
      <c r="B36" s="9" t="s">
        <v>191</v>
      </c>
      <c r="C36" s="15">
        <v>3955000</v>
      </c>
      <c r="D36" s="15">
        <v>554548.77</v>
      </c>
      <c r="E36" s="19">
        <v>0.14019999999999999</v>
      </c>
    </row>
    <row r="37" spans="1:5" x14ac:dyDescent="0.3">
      <c r="A37" s="20">
        <v>45991</v>
      </c>
      <c r="B37" s="9" t="s">
        <v>191</v>
      </c>
      <c r="C37" s="15">
        <v>3999000</v>
      </c>
      <c r="D37" s="15">
        <v>580606.12</v>
      </c>
      <c r="E37" s="19">
        <v>0.1452</v>
      </c>
    </row>
    <row r="38" spans="1:5" x14ac:dyDescent="0.3">
      <c r="A38" s="20">
        <v>45657</v>
      </c>
      <c r="B38" s="9" t="s">
        <v>186</v>
      </c>
      <c r="C38" s="15">
        <v>17247000</v>
      </c>
      <c r="D38" s="15">
        <v>2268138.9300000002</v>
      </c>
      <c r="E38" s="19">
        <v>0.13150000000000001</v>
      </c>
    </row>
    <row r="39" spans="1:5" x14ac:dyDescent="0.3">
      <c r="A39" s="20">
        <v>45688</v>
      </c>
      <c r="B39" s="9" t="s">
        <v>186</v>
      </c>
      <c r="C39" s="15">
        <v>17082000</v>
      </c>
      <c r="D39" s="15">
        <v>2944584.01</v>
      </c>
      <c r="E39" s="19">
        <v>0.1724</v>
      </c>
    </row>
    <row r="40" spans="1:5" x14ac:dyDescent="0.3">
      <c r="A40" s="20">
        <v>45716</v>
      </c>
      <c r="B40" s="9" t="s">
        <v>186</v>
      </c>
      <c r="C40" s="15">
        <v>17284000</v>
      </c>
      <c r="D40" s="15">
        <v>2335491.9</v>
      </c>
      <c r="E40" s="19">
        <v>0.1351</v>
      </c>
    </row>
    <row r="41" spans="1:5" x14ac:dyDescent="0.3">
      <c r="A41" s="20">
        <v>45747</v>
      </c>
      <c r="B41" s="9" t="s">
        <v>186</v>
      </c>
      <c r="C41" s="15">
        <v>17156000</v>
      </c>
      <c r="D41" s="15">
        <v>2576154.5699999998</v>
      </c>
      <c r="E41" s="19">
        <v>0.1502</v>
      </c>
    </row>
    <row r="42" spans="1:5" x14ac:dyDescent="0.3">
      <c r="A42" s="20">
        <v>45777</v>
      </c>
      <c r="B42" s="9" t="s">
        <v>186</v>
      </c>
      <c r="C42" s="15">
        <v>17476000</v>
      </c>
      <c r="D42" s="15">
        <v>3252110.76</v>
      </c>
      <c r="E42" s="19">
        <v>0.18609999999999999</v>
      </c>
    </row>
    <row r="43" spans="1:5" x14ac:dyDescent="0.3">
      <c r="A43" s="20">
        <v>45808</v>
      </c>
      <c r="B43" s="9" t="s">
        <v>186</v>
      </c>
      <c r="C43" s="15">
        <v>17294000</v>
      </c>
      <c r="D43" s="15">
        <v>2044286.23</v>
      </c>
      <c r="E43" s="19">
        <v>0.1182</v>
      </c>
    </row>
    <row r="44" spans="1:5" x14ac:dyDescent="0.3">
      <c r="A44" s="20">
        <v>45838</v>
      </c>
      <c r="B44" s="9" t="s">
        <v>186</v>
      </c>
      <c r="C44" s="15">
        <v>17705000</v>
      </c>
      <c r="D44" s="15">
        <v>3227002.99</v>
      </c>
      <c r="E44" s="19">
        <v>0.18229999999999999</v>
      </c>
    </row>
    <row r="45" spans="1:5" x14ac:dyDescent="0.3">
      <c r="A45" s="20">
        <v>45869</v>
      </c>
      <c r="B45" s="9" t="s">
        <v>186</v>
      </c>
      <c r="C45" s="15">
        <v>17631000</v>
      </c>
      <c r="D45" s="15">
        <v>2334857.92</v>
      </c>
      <c r="E45" s="19">
        <v>0.13239999999999999</v>
      </c>
    </row>
    <row r="46" spans="1:5" x14ac:dyDescent="0.3">
      <c r="A46" s="20">
        <v>45900</v>
      </c>
      <c r="B46" s="9" t="s">
        <v>186</v>
      </c>
      <c r="C46" s="15">
        <v>17686000</v>
      </c>
      <c r="D46" s="15">
        <v>2579302.7000000002</v>
      </c>
      <c r="E46" s="19">
        <v>0.14580000000000001</v>
      </c>
    </row>
    <row r="47" spans="1:5" x14ac:dyDescent="0.3">
      <c r="A47" s="20">
        <v>45930</v>
      </c>
      <c r="B47" s="9" t="s">
        <v>186</v>
      </c>
      <c r="C47" s="15">
        <v>17851000</v>
      </c>
      <c r="D47" s="15">
        <v>2847760.05</v>
      </c>
      <c r="E47" s="19">
        <v>0.1595</v>
      </c>
    </row>
    <row r="48" spans="1:5" x14ac:dyDescent="0.3">
      <c r="A48" s="20">
        <v>45961</v>
      </c>
      <c r="B48" s="9" t="s">
        <v>186</v>
      </c>
      <c r="C48" s="15">
        <v>18063000</v>
      </c>
      <c r="D48" s="15">
        <v>2505757.65</v>
      </c>
      <c r="E48" s="19">
        <v>0.13869999999999999</v>
      </c>
    </row>
    <row r="49" spans="1:5" x14ac:dyDescent="0.3">
      <c r="A49" s="20">
        <v>45991</v>
      </c>
      <c r="B49" s="9" t="s">
        <v>186</v>
      </c>
      <c r="C49" s="15">
        <v>17864000</v>
      </c>
      <c r="D49" s="15">
        <v>2738266.97</v>
      </c>
      <c r="E49" s="19">
        <v>0.15329999999999999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8775-3783-442C-9F10-85917FC518AD}">
  <sheetPr>
    <tabColor theme="6" tint="0.39997558519241921"/>
  </sheetPr>
  <dimension ref="A1:M49"/>
  <sheetViews>
    <sheetView topLeftCell="C1" workbookViewId="0">
      <selection activeCell="C1" sqref="C1:K1"/>
    </sheetView>
  </sheetViews>
  <sheetFormatPr defaultColWidth="9.109375" defaultRowHeight="14.4" x14ac:dyDescent="0.3"/>
  <cols>
    <col min="1" max="2" width="26.33203125" style="9" customWidth="1"/>
    <col min="3" max="12" width="18.88671875" style="15" customWidth="1"/>
    <col min="13" max="13" width="26.33203125" style="19" customWidth="1"/>
    <col min="14" max="16384" width="9.109375" style="9"/>
  </cols>
  <sheetData>
    <row r="1" spans="1:13" x14ac:dyDescent="0.3">
      <c r="A1" s="13" t="s">
        <v>267</v>
      </c>
      <c r="B1" s="13" t="s">
        <v>22</v>
      </c>
      <c r="C1" s="21" t="s">
        <v>276</v>
      </c>
      <c r="D1" s="21" t="s">
        <v>275</v>
      </c>
      <c r="E1" s="21" t="s">
        <v>274</v>
      </c>
      <c r="F1" s="21" t="s">
        <v>273</v>
      </c>
      <c r="G1" s="21" t="s">
        <v>272</v>
      </c>
      <c r="H1" s="21" t="s">
        <v>271</v>
      </c>
      <c r="I1" s="21" t="s">
        <v>270</v>
      </c>
      <c r="J1" s="21" t="s">
        <v>269</v>
      </c>
      <c r="K1" s="21" t="s">
        <v>268</v>
      </c>
      <c r="L1" s="21" t="s">
        <v>265</v>
      </c>
      <c r="M1" s="22" t="s">
        <v>264</v>
      </c>
    </row>
    <row r="2" spans="1:13" x14ac:dyDescent="0.3">
      <c r="A2" s="20">
        <v>45657</v>
      </c>
      <c r="B2" s="9" t="s">
        <v>193</v>
      </c>
      <c r="C2" s="15">
        <v>310605.46000000002</v>
      </c>
      <c r="D2" s="15">
        <v>1775.08</v>
      </c>
      <c r="E2" s="15">
        <v>56153.599999999999</v>
      </c>
      <c r="F2" s="15">
        <v>116496.44</v>
      </c>
      <c r="G2" s="15">
        <v>49196.19</v>
      </c>
      <c r="H2" s="15">
        <v>59967.23</v>
      </c>
      <c r="I2" s="15">
        <v>1160.97</v>
      </c>
      <c r="J2" s="15">
        <v>60308.94</v>
      </c>
      <c r="K2" s="15">
        <v>256684.56</v>
      </c>
      <c r="L2" s="15">
        <v>912348.47</v>
      </c>
      <c r="M2" s="19">
        <v>0.11799999999999999</v>
      </c>
    </row>
    <row r="3" spans="1:13" x14ac:dyDescent="0.3">
      <c r="A3" s="20">
        <v>45688</v>
      </c>
      <c r="B3" s="9" t="s">
        <v>193</v>
      </c>
      <c r="C3" s="15">
        <v>308997.81</v>
      </c>
      <c r="D3" s="15">
        <v>206618.18</v>
      </c>
      <c r="E3" s="15">
        <v>18167.400000000001</v>
      </c>
      <c r="F3" s="15">
        <v>354055.3</v>
      </c>
      <c r="G3" s="15">
        <v>307116.06</v>
      </c>
      <c r="H3" s="15">
        <v>28475.03</v>
      </c>
      <c r="I3" s="15">
        <v>157911.57</v>
      </c>
      <c r="J3" s="15">
        <v>3266.29</v>
      </c>
      <c r="K3" s="15">
        <v>19590.599999999999</v>
      </c>
      <c r="L3" s="15">
        <v>1404198.23</v>
      </c>
      <c r="M3" s="19">
        <v>0.18509999999999999</v>
      </c>
    </row>
    <row r="4" spans="1:13" x14ac:dyDescent="0.3">
      <c r="A4" s="20">
        <v>45716</v>
      </c>
      <c r="B4" s="9" t="s">
        <v>193</v>
      </c>
      <c r="C4" s="15">
        <v>312136.36</v>
      </c>
      <c r="D4" s="15">
        <v>21399.48</v>
      </c>
      <c r="E4" s="15">
        <v>177160.38</v>
      </c>
      <c r="F4" s="15">
        <v>212320.32</v>
      </c>
      <c r="G4" s="15">
        <v>52610.84</v>
      </c>
      <c r="H4" s="15">
        <v>47798.65</v>
      </c>
      <c r="I4" s="15">
        <v>14742.11</v>
      </c>
      <c r="J4" s="15">
        <v>10917.9</v>
      </c>
      <c r="K4" s="15">
        <v>155302.22</v>
      </c>
      <c r="L4" s="15">
        <v>1004388.26</v>
      </c>
      <c r="M4" s="19">
        <v>0.13159999999999999</v>
      </c>
    </row>
    <row r="5" spans="1:13" x14ac:dyDescent="0.3">
      <c r="A5" s="20">
        <v>45747</v>
      </c>
      <c r="B5" s="9" t="s">
        <v>193</v>
      </c>
      <c r="C5" s="15">
        <v>309078</v>
      </c>
      <c r="D5" s="15">
        <v>5744.65</v>
      </c>
      <c r="E5" s="15">
        <v>65539.600000000006</v>
      </c>
      <c r="F5" s="15">
        <v>51508.49</v>
      </c>
      <c r="G5" s="15">
        <v>188909.57</v>
      </c>
      <c r="H5" s="15">
        <v>126891.32</v>
      </c>
      <c r="I5" s="15">
        <v>92408.57</v>
      </c>
      <c r="J5" s="15">
        <v>80610.600000000006</v>
      </c>
      <c r="K5" s="15">
        <v>298641.14</v>
      </c>
      <c r="L5" s="15">
        <v>1219331.93</v>
      </c>
      <c r="M5" s="19">
        <v>0.16</v>
      </c>
    </row>
    <row r="6" spans="1:13" x14ac:dyDescent="0.3">
      <c r="A6" s="20">
        <v>45777</v>
      </c>
      <c r="B6" s="9" t="s">
        <v>193</v>
      </c>
      <c r="C6" s="15">
        <v>309758.19</v>
      </c>
      <c r="D6" s="15">
        <v>154061.04999999999</v>
      </c>
      <c r="E6" s="15">
        <v>102417.74</v>
      </c>
      <c r="F6" s="15">
        <v>594394.9</v>
      </c>
      <c r="G6" s="15">
        <v>24572.63</v>
      </c>
      <c r="H6" s="15">
        <v>169353.89</v>
      </c>
      <c r="I6" s="15">
        <v>27108.27</v>
      </c>
      <c r="J6" s="15">
        <v>143665.76999999999</v>
      </c>
      <c r="K6" s="15">
        <v>27252.76</v>
      </c>
      <c r="L6" s="15">
        <v>1552585.21</v>
      </c>
      <c r="M6" s="19">
        <v>0.19869999999999999</v>
      </c>
    </row>
    <row r="7" spans="1:13" x14ac:dyDescent="0.3">
      <c r="A7" s="20">
        <v>45808</v>
      </c>
      <c r="B7" s="9" t="s">
        <v>193</v>
      </c>
      <c r="C7" s="15">
        <v>298394.19</v>
      </c>
      <c r="D7" s="15">
        <v>125523.35</v>
      </c>
      <c r="E7" s="15">
        <v>189604.24</v>
      </c>
      <c r="F7" s="15">
        <v>126494.62</v>
      </c>
      <c r="G7" s="15">
        <v>66344.37</v>
      </c>
      <c r="H7" s="15">
        <v>76960.95</v>
      </c>
      <c r="I7" s="15">
        <v>36070.53</v>
      </c>
      <c r="J7" s="15">
        <v>14867.43</v>
      </c>
      <c r="K7" s="15">
        <v>46082.65</v>
      </c>
      <c r="L7" s="15">
        <v>980342.33</v>
      </c>
      <c r="M7" s="19">
        <v>0.129</v>
      </c>
    </row>
    <row r="8" spans="1:13" x14ac:dyDescent="0.3">
      <c r="A8" s="20">
        <v>45838</v>
      </c>
      <c r="B8" s="9" t="s">
        <v>193</v>
      </c>
      <c r="C8" s="15">
        <v>311085.46000000002</v>
      </c>
      <c r="D8" s="15">
        <v>9052.49</v>
      </c>
      <c r="E8" s="15">
        <v>2919.97</v>
      </c>
      <c r="F8" s="15">
        <v>205163.86</v>
      </c>
      <c r="G8" s="15">
        <v>49700.87</v>
      </c>
      <c r="H8" s="15">
        <v>168341.77</v>
      </c>
      <c r="I8" s="15">
        <v>184914.62</v>
      </c>
      <c r="J8" s="15">
        <v>376532.39</v>
      </c>
      <c r="K8" s="15">
        <v>71270.990000000005</v>
      </c>
      <c r="L8" s="15">
        <v>1378982.4</v>
      </c>
      <c r="M8" s="19">
        <v>0.17330000000000001</v>
      </c>
    </row>
    <row r="9" spans="1:13" x14ac:dyDescent="0.3">
      <c r="A9" s="20">
        <v>45869</v>
      </c>
      <c r="B9" s="9" t="s">
        <v>193</v>
      </c>
      <c r="C9" s="15">
        <v>308925.81</v>
      </c>
      <c r="D9" s="15">
        <v>104897.76</v>
      </c>
      <c r="E9" s="15">
        <v>92330.61</v>
      </c>
      <c r="F9" s="15">
        <v>67512.2</v>
      </c>
      <c r="G9" s="15">
        <v>106366.9</v>
      </c>
      <c r="H9" s="15">
        <v>65628.67</v>
      </c>
      <c r="I9" s="15">
        <v>201577.09</v>
      </c>
      <c r="J9" s="15">
        <v>25941.66</v>
      </c>
      <c r="K9" s="15">
        <v>85585.84</v>
      </c>
      <c r="L9" s="15">
        <v>1058766.52</v>
      </c>
      <c r="M9" s="19">
        <v>0.1358</v>
      </c>
    </row>
    <row r="10" spans="1:13" x14ac:dyDescent="0.3">
      <c r="A10" s="20">
        <v>45900</v>
      </c>
      <c r="B10" s="9" t="s">
        <v>193</v>
      </c>
      <c r="C10" s="15">
        <v>319518.53999999998</v>
      </c>
      <c r="D10" s="15">
        <v>109414.46</v>
      </c>
      <c r="E10" s="15">
        <v>254253.61</v>
      </c>
      <c r="F10" s="15">
        <v>122364.67</v>
      </c>
      <c r="G10" s="15">
        <v>166413.09</v>
      </c>
      <c r="H10" s="15">
        <v>20958.46</v>
      </c>
      <c r="I10" s="15">
        <v>5250.9</v>
      </c>
      <c r="J10" s="15">
        <v>383249.81</v>
      </c>
      <c r="K10" s="15">
        <v>162064.51999999999</v>
      </c>
      <c r="L10" s="15">
        <v>1543488.04</v>
      </c>
      <c r="M10" s="19">
        <v>0.19500000000000001</v>
      </c>
    </row>
    <row r="11" spans="1:13" x14ac:dyDescent="0.3">
      <c r="A11" s="20">
        <v>45930</v>
      </c>
      <c r="B11" s="9" t="s">
        <v>193</v>
      </c>
      <c r="C11" s="15">
        <v>326343.46000000002</v>
      </c>
      <c r="D11" s="15">
        <v>138443.01999999999</v>
      </c>
      <c r="E11" s="15">
        <v>55754.49</v>
      </c>
      <c r="F11" s="15">
        <v>47103.46</v>
      </c>
      <c r="G11" s="15">
        <v>19032.13</v>
      </c>
      <c r="H11" s="15">
        <v>162328.01</v>
      </c>
      <c r="I11" s="15">
        <v>183987.94</v>
      </c>
      <c r="J11" s="15">
        <v>136199.46</v>
      </c>
      <c r="K11" s="15">
        <v>213982.89</v>
      </c>
      <c r="L11" s="15">
        <v>1283174.8500000001</v>
      </c>
      <c r="M11" s="19">
        <v>0.1623</v>
      </c>
    </row>
    <row r="12" spans="1:13" x14ac:dyDescent="0.3">
      <c r="A12" s="20">
        <v>45961</v>
      </c>
      <c r="B12" s="9" t="s">
        <v>193</v>
      </c>
      <c r="C12" s="15">
        <v>334994.19</v>
      </c>
      <c r="D12" s="15">
        <v>193137.47</v>
      </c>
      <c r="E12" s="15">
        <v>34778.339999999997</v>
      </c>
      <c r="F12" s="15">
        <v>236678.7</v>
      </c>
      <c r="G12" s="15">
        <v>65937.350000000006</v>
      </c>
      <c r="H12" s="15">
        <v>93440.15</v>
      </c>
      <c r="I12" s="15">
        <v>62274.28</v>
      </c>
      <c r="J12" s="15">
        <v>136224.19</v>
      </c>
      <c r="K12" s="15">
        <v>174329.74</v>
      </c>
      <c r="L12" s="15">
        <v>1331794.4099999999</v>
      </c>
      <c r="M12" s="19">
        <v>0.1648</v>
      </c>
    </row>
    <row r="13" spans="1:13" x14ac:dyDescent="0.3">
      <c r="A13" s="20">
        <v>45991</v>
      </c>
      <c r="B13" s="9" t="s">
        <v>193</v>
      </c>
      <c r="C13" s="15">
        <v>313400</v>
      </c>
      <c r="D13" s="15">
        <v>88794.63</v>
      </c>
      <c r="E13" s="15">
        <v>57010.5</v>
      </c>
      <c r="F13" s="15">
        <v>432133.79</v>
      </c>
      <c r="G13" s="15">
        <v>83409.460000000006</v>
      </c>
      <c r="H13" s="15">
        <v>133689.46</v>
      </c>
      <c r="I13" s="15">
        <v>22225.63</v>
      </c>
      <c r="J13" s="15">
        <v>83015.929999999993</v>
      </c>
      <c r="K13" s="15">
        <v>20770.71</v>
      </c>
      <c r="L13" s="15">
        <v>1234450.1200000001</v>
      </c>
      <c r="M13" s="19">
        <v>0.15759999999999999</v>
      </c>
    </row>
    <row r="14" spans="1:13" x14ac:dyDescent="0.3">
      <c r="A14" s="20">
        <v>45657</v>
      </c>
      <c r="B14" s="9" t="s">
        <v>192</v>
      </c>
      <c r="C14" s="15">
        <v>114251.22</v>
      </c>
      <c r="D14" s="15">
        <v>74641.91</v>
      </c>
      <c r="E14" s="15">
        <v>220423.88</v>
      </c>
      <c r="F14" s="15">
        <v>59293.97</v>
      </c>
      <c r="G14" s="15">
        <v>18955.939999999999</v>
      </c>
      <c r="H14" s="15">
        <v>64595.3</v>
      </c>
      <c r="I14" s="15">
        <v>59580.46</v>
      </c>
      <c r="J14" s="15">
        <v>105528.74</v>
      </c>
      <c r="K14" s="15">
        <v>46092.12</v>
      </c>
      <c r="L14" s="15">
        <v>763363.53</v>
      </c>
      <c r="M14" s="19">
        <v>0.13439999999999999</v>
      </c>
    </row>
    <row r="15" spans="1:13" x14ac:dyDescent="0.3">
      <c r="A15" s="20">
        <v>45688</v>
      </c>
      <c r="B15" s="9" t="s">
        <v>192</v>
      </c>
      <c r="C15" s="15">
        <v>117248.89</v>
      </c>
      <c r="D15" s="15">
        <v>66423.62</v>
      </c>
      <c r="E15" s="15">
        <v>41676.42</v>
      </c>
      <c r="F15" s="15">
        <v>90531.27</v>
      </c>
      <c r="G15" s="15">
        <v>316262.14</v>
      </c>
      <c r="H15" s="15">
        <v>159196.71</v>
      </c>
      <c r="I15" s="15">
        <v>84240.57</v>
      </c>
      <c r="J15" s="15">
        <v>85119.5</v>
      </c>
      <c r="K15" s="15">
        <v>129404.68</v>
      </c>
      <c r="L15" s="15">
        <v>1090103.8</v>
      </c>
      <c r="M15" s="19">
        <v>0.19109999999999999</v>
      </c>
    </row>
    <row r="16" spans="1:13" x14ac:dyDescent="0.3">
      <c r="A16" s="20">
        <v>45716</v>
      </c>
      <c r="B16" s="9" t="s">
        <v>192</v>
      </c>
      <c r="C16" s="15">
        <v>120989</v>
      </c>
      <c r="D16" s="15">
        <v>45439.53</v>
      </c>
      <c r="E16" s="15">
        <v>201457.89</v>
      </c>
      <c r="F16" s="15">
        <v>153050.94</v>
      </c>
      <c r="G16" s="15">
        <v>104342.55</v>
      </c>
      <c r="H16" s="15">
        <v>7718.3</v>
      </c>
      <c r="I16" s="15">
        <v>46187.94</v>
      </c>
      <c r="J16" s="15">
        <v>25924.41</v>
      </c>
      <c r="K16" s="15">
        <v>137926.59</v>
      </c>
      <c r="L16" s="15">
        <v>843037.15</v>
      </c>
      <c r="M16" s="19">
        <v>0.14480000000000001</v>
      </c>
    </row>
    <row r="17" spans="1:13" x14ac:dyDescent="0.3">
      <c r="A17" s="20">
        <v>45747</v>
      </c>
      <c r="B17" s="9" t="s">
        <v>192</v>
      </c>
      <c r="C17" s="15">
        <v>112414.67</v>
      </c>
      <c r="D17" s="15">
        <v>150422.32</v>
      </c>
      <c r="E17" s="15">
        <v>15337.23</v>
      </c>
      <c r="F17" s="15">
        <v>30723.759999999998</v>
      </c>
      <c r="G17" s="15">
        <v>181274.47</v>
      </c>
      <c r="H17" s="15">
        <v>50984.82</v>
      </c>
      <c r="I17" s="15">
        <v>151558.74</v>
      </c>
      <c r="J17" s="15">
        <v>43603.12</v>
      </c>
      <c r="K17" s="15">
        <v>14579.87</v>
      </c>
      <c r="L17" s="15">
        <v>750899</v>
      </c>
      <c r="M17" s="19">
        <v>0.13139999999999999</v>
      </c>
    </row>
    <row r="18" spans="1:13" x14ac:dyDescent="0.3">
      <c r="A18" s="20">
        <v>45777</v>
      </c>
      <c r="B18" s="9" t="s">
        <v>192</v>
      </c>
      <c r="C18" s="15">
        <v>112758.33</v>
      </c>
      <c r="D18" s="15">
        <v>57222.69</v>
      </c>
      <c r="E18" s="15">
        <v>54653.69</v>
      </c>
      <c r="F18" s="15">
        <v>11389.66</v>
      </c>
      <c r="G18" s="15">
        <v>12151.55</v>
      </c>
      <c r="H18" s="15">
        <v>205964.82</v>
      </c>
      <c r="I18" s="15">
        <v>242541.89</v>
      </c>
      <c r="J18" s="15">
        <v>262293.15000000002</v>
      </c>
      <c r="K18" s="15">
        <v>34371.42</v>
      </c>
      <c r="L18" s="15">
        <v>993347.2</v>
      </c>
      <c r="M18" s="19">
        <v>0.17130000000000001</v>
      </c>
    </row>
    <row r="19" spans="1:13" x14ac:dyDescent="0.3">
      <c r="A19" s="20">
        <v>45808</v>
      </c>
      <c r="B19" s="9" t="s">
        <v>192</v>
      </c>
      <c r="C19" s="15">
        <v>115037.33</v>
      </c>
      <c r="D19" s="15">
        <v>59394.63</v>
      </c>
      <c r="E19" s="15">
        <v>98073.11</v>
      </c>
      <c r="F19" s="15">
        <v>76830.490000000005</v>
      </c>
      <c r="G19" s="15">
        <v>4001.36</v>
      </c>
      <c r="H19" s="15">
        <v>19505.72</v>
      </c>
      <c r="I19" s="15">
        <v>90038.99</v>
      </c>
      <c r="J19" s="15">
        <v>4168.7299999999996</v>
      </c>
      <c r="K19" s="15">
        <v>137880.95999999999</v>
      </c>
      <c r="L19" s="15">
        <v>604931.32999999996</v>
      </c>
      <c r="M19" s="19">
        <v>0.1046</v>
      </c>
    </row>
    <row r="20" spans="1:13" x14ac:dyDescent="0.3">
      <c r="A20" s="20">
        <v>45838</v>
      </c>
      <c r="B20" s="9" t="s">
        <v>192</v>
      </c>
      <c r="C20" s="15">
        <v>117320</v>
      </c>
      <c r="D20" s="15">
        <v>30303.02</v>
      </c>
      <c r="E20" s="15">
        <v>5920.57</v>
      </c>
      <c r="F20" s="15">
        <v>414693.16</v>
      </c>
      <c r="G20" s="15">
        <v>155120.84</v>
      </c>
      <c r="H20" s="15">
        <v>64436.42</v>
      </c>
      <c r="I20" s="15">
        <v>69233.86</v>
      </c>
      <c r="J20" s="15">
        <v>262964.95</v>
      </c>
      <c r="K20" s="15">
        <v>46802.2</v>
      </c>
      <c r="L20" s="15">
        <v>1166795.01</v>
      </c>
      <c r="M20" s="19">
        <v>0.19889999999999999</v>
      </c>
    </row>
    <row r="21" spans="1:13" x14ac:dyDescent="0.3">
      <c r="A21" s="20">
        <v>45869</v>
      </c>
      <c r="B21" s="9" t="s">
        <v>192</v>
      </c>
      <c r="C21" s="15">
        <v>121153.78</v>
      </c>
      <c r="D21" s="15">
        <v>59890.79</v>
      </c>
      <c r="E21" s="15">
        <v>23580.18</v>
      </c>
      <c r="F21" s="15">
        <v>72001.649999999994</v>
      </c>
      <c r="G21" s="15">
        <v>185966.24</v>
      </c>
      <c r="H21" s="15">
        <v>28137.87</v>
      </c>
      <c r="I21" s="15">
        <v>17849.91</v>
      </c>
      <c r="J21" s="15">
        <v>3423.24</v>
      </c>
      <c r="K21" s="15">
        <v>112110.7</v>
      </c>
      <c r="L21" s="15">
        <v>624114.37</v>
      </c>
      <c r="M21" s="19">
        <v>0.1053</v>
      </c>
    </row>
    <row r="22" spans="1:13" x14ac:dyDescent="0.3">
      <c r="A22" s="20">
        <v>45900</v>
      </c>
      <c r="B22" s="9" t="s">
        <v>192</v>
      </c>
      <c r="C22" s="15">
        <v>118990.67</v>
      </c>
      <c r="D22" s="15">
        <v>125777.47</v>
      </c>
      <c r="E22" s="15">
        <v>50666.41</v>
      </c>
      <c r="F22" s="15">
        <v>100330.33</v>
      </c>
      <c r="G22" s="15">
        <v>69684.92</v>
      </c>
      <c r="H22" s="15">
        <v>8754.66</v>
      </c>
      <c r="I22" s="15">
        <v>8003.99</v>
      </c>
      <c r="J22" s="15">
        <v>134629.65</v>
      </c>
      <c r="K22" s="15">
        <v>14229.77</v>
      </c>
      <c r="L22" s="15">
        <v>631067.86</v>
      </c>
      <c r="M22" s="19">
        <v>0.10780000000000001</v>
      </c>
    </row>
    <row r="23" spans="1:13" x14ac:dyDescent="0.3">
      <c r="A23" s="20">
        <v>45930</v>
      </c>
      <c r="B23" s="9" t="s">
        <v>192</v>
      </c>
      <c r="C23" s="15">
        <v>121616.44</v>
      </c>
      <c r="D23" s="15">
        <v>28871.83</v>
      </c>
      <c r="E23" s="15">
        <v>54785.61</v>
      </c>
      <c r="F23" s="15">
        <v>172553.15</v>
      </c>
      <c r="G23" s="15">
        <v>44025.25</v>
      </c>
      <c r="H23" s="15">
        <v>214870.08</v>
      </c>
      <c r="I23" s="15">
        <v>325911.99</v>
      </c>
      <c r="J23" s="15">
        <v>59539.09</v>
      </c>
      <c r="K23" s="15">
        <v>54701.54</v>
      </c>
      <c r="L23" s="15">
        <v>1076874.97</v>
      </c>
      <c r="M23" s="19">
        <v>0.17910000000000001</v>
      </c>
    </row>
    <row r="24" spans="1:13" x14ac:dyDescent="0.3">
      <c r="A24" s="20">
        <v>45961</v>
      </c>
      <c r="B24" s="9" t="s">
        <v>192</v>
      </c>
      <c r="C24" s="15">
        <v>122549</v>
      </c>
      <c r="D24" s="15">
        <v>35692.74</v>
      </c>
      <c r="E24" s="15">
        <v>4397.9799999999996</v>
      </c>
      <c r="F24" s="15">
        <v>55544.97</v>
      </c>
      <c r="G24" s="15">
        <v>75667.37</v>
      </c>
      <c r="H24" s="15">
        <v>54582.1</v>
      </c>
      <c r="I24" s="15">
        <v>60144.86</v>
      </c>
      <c r="J24" s="15">
        <v>59479.87</v>
      </c>
      <c r="K24" s="15">
        <v>151355.57999999999</v>
      </c>
      <c r="L24" s="15">
        <v>619414.47</v>
      </c>
      <c r="M24" s="19">
        <v>0.1028</v>
      </c>
    </row>
    <row r="25" spans="1:13" x14ac:dyDescent="0.3">
      <c r="A25" s="20">
        <v>45991</v>
      </c>
      <c r="B25" s="9" t="s">
        <v>192</v>
      </c>
      <c r="C25" s="15">
        <v>120600</v>
      </c>
      <c r="D25" s="15">
        <v>187435.26</v>
      </c>
      <c r="E25" s="15">
        <v>41148.160000000003</v>
      </c>
      <c r="F25" s="15">
        <v>14374.7</v>
      </c>
      <c r="G25" s="15">
        <v>23795.24</v>
      </c>
      <c r="H25" s="15">
        <v>149522.49</v>
      </c>
      <c r="I25" s="15">
        <v>24751.65</v>
      </c>
      <c r="J25" s="15">
        <v>140452.01</v>
      </c>
      <c r="K25" s="15">
        <v>221131.23</v>
      </c>
      <c r="L25" s="15">
        <v>923210.73</v>
      </c>
      <c r="M25" s="19">
        <v>0.15310000000000001</v>
      </c>
    </row>
    <row r="26" spans="1:13" x14ac:dyDescent="0.3">
      <c r="A26" s="20">
        <v>45657</v>
      </c>
      <c r="B26" s="9" t="s">
        <v>191</v>
      </c>
      <c r="C26" s="15">
        <v>75697.070000000007</v>
      </c>
      <c r="D26" s="15">
        <v>13634.26</v>
      </c>
      <c r="E26" s="15">
        <v>86159.7</v>
      </c>
      <c r="F26" s="15">
        <v>42092.94</v>
      </c>
      <c r="G26" s="15">
        <v>210881.2</v>
      </c>
      <c r="H26" s="15">
        <v>22327.58</v>
      </c>
      <c r="I26" s="15">
        <v>23545.919999999998</v>
      </c>
      <c r="J26" s="15">
        <v>58080.03</v>
      </c>
      <c r="K26" s="15">
        <v>60008.24</v>
      </c>
      <c r="L26" s="15">
        <v>592426.93000000005</v>
      </c>
      <c r="M26" s="19">
        <v>0.15440000000000001</v>
      </c>
    </row>
    <row r="27" spans="1:13" x14ac:dyDescent="0.3">
      <c r="A27" s="20">
        <v>45688</v>
      </c>
      <c r="B27" s="9" t="s">
        <v>191</v>
      </c>
      <c r="C27" s="15">
        <v>74809.070000000007</v>
      </c>
      <c r="D27" s="15">
        <v>44448.36</v>
      </c>
      <c r="E27" s="15">
        <v>104560.18</v>
      </c>
      <c r="F27" s="15">
        <v>60269.68</v>
      </c>
      <c r="G27" s="15">
        <v>5836.57</v>
      </c>
      <c r="H27" s="15">
        <v>50867.94</v>
      </c>
      <c r="I27" s="15">
        <v>50949.36</v>
      </c>
      <c r="J27" s="15">
        <v>56253.81</v>
      </c>
      <c r="K27" s="15">
        <v>2287.02</v>
      </c>
      <c r="L27" s="15">
        <v>450281.98</v>
      </c>
      <c r="M27" s="19">
        <v>0.1188</v>
      </c>
    </row>
    <row r="28" spans="1:13" x14ac:dyDescent="0.3">
      <c r="A28" s="20">
        <v>45716</v>
      </c>
      <c r="B28" s="9" t="s">
        <v>191</v>
      </c>
      <c r="C28" s="15">
        <v>74066</v>
      </c>
      <c r="D28" s="15">
        <v>88855.74</v>
      </c>
      <c r="E28" s="15">
        <v>63466.35</v>
      </c>
      <c r="F28" s="15">
        <v>83570.12</v>
      </c>
      <c r="G28" s="15">
        <v>42076.52</v>
      </c>
      <c r="H28" s="15">
        <v>16834.93</v>
      </c>
      <c r="I28" s="15">
        <v>82013.009999999995</v>
      </c>
      <c r="J28" s="15">
        <v>10578.12</v>
      </c>
      <c r="K28" s="15">
        <v>26605.7</v>
      </c>
      <c r="L28" s="15">
        <v>488066.49</v>
      </c>
      <c r="M28" s="19">
        <v>0.12740000000000001</v>
      </c>
    </row>
    <row r="29" spans="1:13" x14ac:dyDescent="0.3">
      <c r="A29" s="20">
        <v>45747</v>
      </c>
      <c r="B29" s="9" t="s">
        <v>191</v>
      </c>
      <c r="C29" s="15">
        <v>75831.070000000007</v>
      </c>
      <c r="D29" s="15">
        <v>79211.039999999994</v>
      </c>
      <c r="E29" s="15">
        <v>39277.08</v>
      </c>
      <c r="F29" s="15">
        <v>54681.919999999998</v>
      </c>
      <c r="G29" s="15">
        <v>140357.54</v>
      </c>
      <c r="H29" s="15">
        <v>45537.48</v>
      </c>
      <c r="I29" s="15">
        <v>57918.95</v>
      </c>
      <c r="J29" s="15">
        <v>59577.33</v>
      </c>
      <c r="K29" s="15">
        <v>53531.25</v>
      </c>
      <c r="L29" s="15">
        <v>605923.64</v>
      </c>
      <c r="M29" s="19">
        <v>0.15870000000000001</v>
      </c>
    </row>
    <row r="30" spans="1:13" x14ac:dyDescent="0.3">
      <c r="A30" s="20">
        <v>45777</v>
      </c>
      <c r="B30" s="9" t="s">
        <v>191</v>
      </c>
      <c r="C30" s="15">
        <v>75695.199999999997</v>
      </c>
      <c r="D30" s="15">
        <v>68627.7</v>
      </c>
      <c r="E30" s="15">
        <v>1612.3</v>
      </c>
      <c r="F30" s="15">
        <v>117671.37</v>
      </c>
      <c r="G30" s="15">
        <v>60654.39</v>
      </c>
      <c r="H30" s="15">
        <v>131232.44</v>
      </c>
      <c r="I30" s="15">
        <v>59335.81</v>
      </c>
      <c r="J30" s="15">
        <v>32373.41</v>
      </c>
      <c r="K30" s="15">
        <v>158975.72</v>
      </c>
      <c r="L30" s="15">
        <v>706178.35</v>
      </c>
      <c r="M30" s="19">
        <v>0.18290000000000001</v>
      </c>
    </row>
    <row r="31" spans="1:13" x14ac:dyDescent="0.3">
      <c r="A31" s="20">
        <v>45808</v>
      </c>
      <c r="B31" s="9" t="s">
        <v>191</v>
      </c>
      <c r="C31" s="15">
        <v>79804.800000000003</v>
      </c>
      <c r="D31" s="15">
        <v>22507.33</v>
      </c>
      <c r="E31" s="15">
        <v>45684.72</v>
      </c>
      <c r="F31" s="15">
        <v>135631.57</v>
      </c>
      <c r="G31" s="15">
        <v>8448.17</v>
      </c>
      <c r="H31" s="15">
        <v>28540.58</v>
      </c>
      <c r="I31" s="15">
        <v>52439.08</v>
      </c>
      <c r="J31" s="15">
        <v>78285.19</v>
      </c>
      <c r="K31" s="15">
        <v>7671.12</v>
      </c>
      <c r="L31" s="15">
        <v>459012.57</v>
      </c>
      <c r="M31" s="19">
        <v>0.1173</v>
      </c>
    </row>
    <row r="32" spans="1:13" x14ac:dyDescent="0.3">
      <c r="A32" s="20">
        <v>45838</v>
      </c>
      <c r="B32" s="9" t="s">
        <v>191</v>
      </c>
      <c r="C32" s="15">
        <v>80207.33</v>
      </c>
      <c r="D32" s="15">
        <v>48339.13</v>
      </c>
      <c r="E32" s="15">
        <v>43233.89</v>
      </c>
      <c r="F32" s="15">
        <v>28471.18</v>
      </c>
      <c r="G32" s="15">
        <v>22436.6</v>
      </c>
      <c r="H32" s="15">
        <v>131350.17000000001</v>
      </c>
      <c r="I32" s="15">
        <v>301636.86</v>
      </c>
      <c r="J32" s="15">
        <v>11439.31</v>
      </c>
      <c r="K32" s="15">
        <v>14111.12</v>
      </c>
      <c r="L32" s="15">
        <v>681225.58</v>
      </c>
      <c r="M32" s="19">
        <v>0.17549999999999999</v>
      </c>
    </row>
    <row r="33" spans="1:13" x14ac:dyDescent="0.3">
      <c r="A33" s="20">
        <v>45869</v>
      </c>
      <c r="B33" s="9" t="s">
        <v>191</v>
      </c>
      <c r="C33" s="15">
        <v>82391.73</v>
      </c>
      <c r="D33" s="15">
        <v>114310.89</v>
      </c>
      <c r="E33" s="15">
        <v>136844.17000000001</v>
      </c>
      <c r="F33" s="15">
        <v>28466.82</v>
      </c>
      <c r="G33" s="15">
        <v>18540.63</v>
      </c>
      <c r="H33" s="15">
        <v>5954.36</v>
      </c>
      <c r="I33" s="15">
        <v>37315.93</v>
      </c>
      <c r="J33" s="15">
        <v>65334.73</v>
      </c>
      <c r="K33" s="15">
        <v>162817.76999999999</v>
      </c>
      <c r="L33" s="15">
        <v>651977.03</v>
      </c>
      <c r="M33" s="19">
        <v>0.16669999999999999</v>
      </c>
    </row>
    <row r="34" spans="1:13" x14ac:dyDescent="0.3">
      <c r="A34" s="20">
        <v>45900</v>
      </c>
      <c r="B34" s="9" t="s">
        <v>191</v>
      </c>
      <c r="C34" s="15">
        <v>79404.800000000003</v>
      </c>
      <c r="D34" s="15">
        <v>7831.45</v>
      </c>
      <c r="E34" s="15">
        <v>88280.08</v>
      </c>
      <c r="F34" s="15">
        <v>92767.67</v>
      </c>
      <c r="G34" s="15">
        <v>11050.28</v>
      </c>
      <c r="H34" s="15">
        <v>8448.2999999999993</v>
      </c>
      <c r="I34" s="15">
        <v>2365.7399999999998</v>
      </c>
      <c r="J34" s="15">
        <v>87226.48</v>
      </c>
      <c r="K34" s="15">
        <v>27372</v>
      </c>
      <c r="L34" s="15">
        <v>404746.8</v>
      </c>
      <c r="M34" s="19">
        <v>0.1033</v>
      </c>
    </row>
    <row r="35" spans="1:13" x14ac:dyDescent="0.3">
      <c r="A35" s="20">
        <v>45930</v>
      </c>
      <c r="B35" s="9" t="s">
        <v>191</v>
      </c>
      <c r="C35" s="15">
        <v>80172</v>
      </c>
      <c r="D35" s="15">
        <v>81728.55</v>
      </c>
      <c r="E35" s="15">
        <v>9650.1</v>
      </c>
      <c r="F35" s="15">
        <v>57521.72</v>
      </c>
      <c r="G35" s="15">
        <v>7132.77</v>
      </c>
      <c r="H35" s="15">
        <v>5088.8100000000004</v>
      </c>
      <c r="I35" s="15">
        <v>82622.559999999998</v>
      </c>
      <c r="J35" s="15">
        <v>117351.14</v>
      </c>
      <c r="K35" s="15">
        <v>46442.58</v>
      </c>
      <c r="L35" s="15">
        <v>487710.23</v>
      </c>
      <c r="M35" s="19">
        <v>0.1241</v>
      </c>
    </row>
    <row r="36" spans="1:13" x14ac:dyDescent="0.3">
      <c r="A36" s="20">
        <v>45961</v>
      </c>
      <c r="B36" s="9" t="s">
        <v>191</v>
      </c>
      <c r="C36" s="15">
        <v>82791.33</v>
      </c>
      <c r="D36" s="15">
        <v>67515.02</v>
      </c>
      <c r="E36" s="15">
        <v>4416.0200000000004</v>
      </c>
      <c r="F36" s="15">
        <v>18209.62</v>
      </c>
      <c r="G36" s="15">
        <v>131590.47</v>
      </c>
      <c r="H36" s="15">
        <v>166118.07999999999</v>
      </c>
      <c r="I36" s="15">
        <v>2186.16</v>
      </c>
      <c r="J36" s="15">
        <v>171.35</v>
      </c>
      <c r="K36" s="15">
        <v>81550.710000000006</v>
      </c>
      <c r="L36" s="15">
        <v>554548.77</v>
      </c>
      <c r="M36" s="19">
        <v>0.14019999999999999</v>
      </c>
    </row>
    <row r="37" spans="1:13" x14ac:dyDescent="0.3">
      <c r="A37" s="20">
        <v>45991</v>
      </c>
      <c r="B37" s="9" t="s">
        <v>191</v>
      </c>
      <c r="C37" s="15">
        <v>79980</v>
      </c>
      <c r="D37" s="15">
        <v>89859.95</v>
      </c>
      <c r="E37" s="15">
        <v>64394.05</v>
      </c>
      <c r="F37" s="15">
        <v>37146.14</v>
      </c>
      <c r="G37" s="15">
        <v>77388.03</v>
      </c>
      <c r="H37" s="15">
        <v>57998.31</v>
      </c>
      <c r="I37" s="15">
        <v>990.37</v>
      </c>
      <c r="J37" s="15">
        <v>39236.74</v>
      </c>
      <c r="K37" s="15">
        <v>133612.51999999999</v>
      </c>
      <c r="L37" s="15">
        <v>580606.12</v>
      </c>
      <c r="M37" s="19">
        <v>0.1452</v>
      </c>
    </row>
    <row r="38" spans="1:13" x14ac:dyDescent="0.3">
      <c r="A38" s="20">
        <v>45657</v>
      </c>
      <c r="B38" s="9" t="s">
        <v>186</v>
      </c>
      <c r="C38" s="15">
        <v>500553.75</v>
      </c>
      <c r="D38" s="15">
        <v>90051.25</v>
      </c>
      <c r="E38" s="15">
        <v>362737.18</v>
      </c>
      <c r="F38" s="15">
        <v>217883.35</v>
      </c>
      <c r="G38" s="15">
        <v>279033.33</v>
      </c>
      <c r="H38" s="15">
        <v>146890.10999999999</v>
      </c>
      <c r="I38" s="15">
        <v>84287.35</v>
      </c>
      <c r="J38" s="15">
        <v>223917.71</v>
      </c>
      <c r="K38" s="15">
        <v>362784.92</v>
      </c>
      <c r="L38" s="15">
        <v>2268138.9300000002</v>
      </c>
      <c r="M38" s="19">
        <v>0.13150000000000001</v>
      </c>
    </row>
    <row r="39" spans="1:13" x14ac:dyDescent="0.3">
      <c r="A39" s="20">
        <v>45688</v>
      </c>
      <c r="B39" s="9" t="s">
        <v>186</v>
      </c>
      <c r="C39" s="15">
        <v>501055.77</v>
      </c>
      <c r="D39" s="15">
        <v>317490.15999999997</v>
      </c>
      <c r="E39" s="15">
        <v>164404</v>
      </c>
      <c r="F39" s="15">
        <v>504856.25</v>
      </c>
      <c r="G39" s="15">
        <v>629214.77</v>
      </c>
      <c r="H39" s="15">
        <v>238539.68</v>
      </c>
      <c r="I39" s="15">
        <v>293101.5</v>
      </c>
      <c r="J39" s="15">
        <v>144639.6</v>
      </c>
      <c r="K39" s="15">
        <v>151282.29999999999</v>
      </c>
      <c r="L39" s="15">
        <v>2944584.01</v>
      </c>
      <c r="M39" s="19">
        <v>0.1724</v>
      </c>
    </row>
    <row r="40" spans="1:13" x14ac:dyDescent="0.3">
      <c r="A40" s="20">
        <v>45716</v>
      </c>
      <c r="B40" s="9" t="s">
        <v>186</v>
      </c>
      <c r="C40" s="15">
        <v>507191.36</v>
      </c>
      <c r="D40" s="15">
        <v>155694.75</v>
      </c>
      <c r="E40" s="15">
        <v>442084.62</v>
      </c>
      <c r="F40" s="15">
        <v>448941.38</v>
      </c>
      <c r="G40" s="15">
        <v>199029.91</v>
      </c>
      <c r="H40" s="15">
        <v>72351.88</v>
      </c>
      <c r="I40" s="15">
        <v>142943.06</v>
      </c>
      <c r="J40" s="15">
        <v>47420.43</v>
      </c>
      <c r="K40" s="15">
        <v>319834.51</v>
      </c>
      <c r="L40" s="15">
        <v>2335491.9</v>
      </c>
      <c r="M40" s="19">
        <v>0.1351</v>
      </c>
    </row>
    <row r="41" spans="1:13" x14ac:dyDescent="0.3">
      <c r="A41" s="20">
        <v>45747</v>
      </c>
      <c r="B41" s="9" t="s">
        <v>186</v>
      </c>
      <c r="C41" s="15">
        <v>497323.74</v>
      </c>
      <c r="D41" s="15">
        <v>235378.01</v>
      </c>
      <c r="E41" s="15">
        <v>120153.91</v>
      </c>
      <c r="F41" s="15">
        <v>136914.17000000001</v>
      </c>
      <c r="G41" s="15">
        <v>510541.58</v>
      </c>
      <c r="H41" s="15">
        <v>223413.62</v>
      </c>
      <c r="I41" s="15">
        <v>301886.26</v>
      </c>
      <c r="J41" s="15">
        <v>183791.05</v>
      </c>
      <c r="K41" s="15">
        <v>366752.26</v>
      </c>
      <c r="L41" s="15">
        <v>2576154.5699999998</v>
      </c>
      <c r="M41" s="19">
        <v>0.1502</v>
      </c>
    </row>
    <row r="42" spans="1:13" x14ac:dyDescent="0.3">
      <c r="A42" s="20">
        <v>45777</v>
      </c>
      <c r="B42" s="9" t="s">
        <v>186</v>
      </c>
      <c r="C42" s="15">
        <v>498211.72</v>
      </c>
      <c r="D42" s="15">
        <v>279911.44</v>
      </c>
      <c r="E42" s="15">
        <v>158683.73000000001</v>
      </c>
      <c r="F42" s="15">
        <v>723455.93</v>
      </c>
      <c r="G42" s="15">
        <v>97378.57</v>
      </c>
      <c r="H42" s="15">
        <v>506551.15</v>
      </c>
      <c r="I42" s="15">
        <v>328985.96999999997</v>
      </c>
      <c r="J42" s="15">
        <v>438332.33</v>
      </c>
      <c r="K42" s="15">
        <v>220599.9</v>
      </c>
      <c r="L42" s="15">
        <v>3252110.76</v>
      </c>
      <c r="M42" s="19">
        <v>0.18609999999999999</v>
      </c>
    </row>
    <row r="43" spans="1:13" x14ac:dyDescent="0.3">
      <c r="A43" s="20">
        <v>45808</v>
      </c>
      <c r="B43" s="9" t="s">
        <v>186</v>
      </c>
      <c r="C43" s="15">
        <v>493236.32</v>
      </c>
      <c r="D43" s="15">
        <v>207425.31</v>
      </c>
      <c r="E43" s="15">
        <v>333362.07</v>
      </c>
      <c r="F43" s="15">
        <v>338956.68</v>
      </c>
      <c r="G43" s="15">
        <v>78793.899999999994</v>
      </c>
      <c r="H43" s="15">
        <v>125007.25</v>
      </c>
      <c r="I43" s="15">
        <v>178548.6</v>
      </c>
      <c r="J43" s="15">
        <v>97321.35</v>
      </c>
      <c r="K43" s="15">
        <v>191634.73</v>
      </c>
      <c r="L43" s="15">
        <v>2044286.23</v>
      </c>
      <c r="M43" s="19">
        <v>0.1182</v>
      </c>
    </row>
    <row r="44" spans="1:13" x14ac:dyDescent="0.3">
      <c r="A44" s="20">
        <v>45838</v>
      </c>
      <c r="B44" s="9" t="s">
        <v>186</v>
      </c>
      <c r="C44" s="15">
        <v>508612.79</v>
      </c>
      <c r="D44" s="15">
        <v>87694.64</v>
      </c>
      <c r="E44" s="15">
        <v>52074.43</v>
      </c>
      <c r="F44" s="15">
        <v>648328.19999999995</v>
      </c>
      <c r="G44" s="15">
        <v>227258.31</v>
      </c>
      <c r="H44" s="15">
        <v>364128.36</v>
      </c>
      <c r="I44" s="15">
        <v>555785.34</v>
      </c>
      <c r="J44" s="15">
        <v>650936.65</v>
      </c>
      <c r="K44" s="15">
        <v>132184.31</v>
      </c>
      <c r="L44" s="15">
        <v>3227002.99</v>
      </c>
      <c r="M44" s="19">
        <v>0.18229999999999999</v>
      </c>
    </row>
    <row r="45" spans="1:13" x14ac:dyDescent="0.3">
      <c r="A45" s="20">
        <v>45869</v>
      </c>
      <c r="B45" s="9" t="s">
        <v>186</v>
      </c>
      <c r="C45" s="15">
        <v>512471.32</v>
      </c>
      <c r="D45" s="15">
        <v>279099.44</v>
      </c>
      <c r="E45" s="15">
        <v>252754.96</v>
      </c>
      <c r="F45" s="15">
        <v>167980.67</v>
      </c>
      <c r="G45" s="15">
        <v>310873.77</v>
      </c>
      <c r="H45" s="15">
        <v>99720.9</v>
      </c>
      <c r="I45" s="15">
        <v>256742.93</v>
      </c>
      <c r="J45" s="15">
        <v>94699.63</v>
      </c>
      <c r="K45" s="15">
        <v>360514.31</v>
      </c>
      <c r="L45" s="15">
        <v>2334857.92</v>
      </c>
      <c r="M45" s="19">
        <v>0.13239999999999999</v>
      </c>
    </row>
    <row r="46" spans="1:13" x14ac:dyDescent="0.3">
      <c r="A46" s="20">
        <v>45900</v>
      </c>
      <c r="B46" s="9" t="s">
        <v>186</v>
      </c>
      <c r="C46" s="15">
        <v>517914.01</v>
      </c>
      <c r="D46" s="15">
        <v>243023.38</v>
      </c>
      <c r="E46" s="15">
        <v>393200.1</v>
      </c>
      <c r="F46" s="15">
        <v>315462.67</v>
      </c>
      <c r="G46" s="15">
        <v>247148.29</v>
      </c>
      <c r="H46" s="15">
        <v>38161.42</v>
      </c>
      <c r="I46" s="15">
        <v>15620.63</v>
      </c>
      <c r="J46" s="15">
        <v>605105.93999999994</v>
      </c>
      <c r="K46" s="15">
        <v>203666.29</v>
      </c>
      <c r="L46" s="15">
        <v>2579302.7000000002</v>
      </c>
      <c r="M46" s="19">
        <v>0.14580000000000001</v>
      </c>
    </row>
    <row r="47" spans="1:13" x14ac:dyDescent="0.3">
      <c r="A47" s="20">
        <v>45930</v>
      </c>
      <c r="B47" s="9" t="s">
        <v>186</v>
      </c>
      <c r="C47" s="15">
        <v>528131.9</v>
      </c>
      <c r="D47" s="15">
        <v>249043.4</v>
      </c>
      <c r="E47" s="15">
        <v>120190.2</v>
      </c>
      <c r="F47" s="15">
        <v>277178.33</v>
      </c>
      <c r="G47" s="15">
        <v>70190.149999999994</v>
      </c>
      <c r="H47" s="15">
        <v>382286.9</v>
      </c>
      <c r="I47" s="15">
        <v>592522.49</v>
      </c>
      <c r="J47" s="15">
        <v>313089.69</v>
      </c>
      <c r="K47" s="15">
        <v>315127.01</v>
      </c>
      <c r="L47" s="15">
        <v>2847760.05</v>
      </c>
      <c r="M47" s="19">
        <v>0.1595</v>
      </c>
    </row>
    <row r="48" spans="1:13" x14ac:dyDescent="0.3">
      <c r="A48" s="20">
        <v>45961</v>
      </c>
      <c r="B48" s="9" t="s">
        <v>186</v>
      </c>
      <c r="C48" s="15">
        <v>540334.52</v>
      </c>
      <c r="D48" s="15">
        <v>296345.23</v>
      </c>
      <c r="E48" s="15">
        <v>43592.34</v>
      </c>
      <c r="F48" s="15">
        <v>310433.28999999998</v>
      </c>
      <c r="G48" s="15">
        <v>273195.19</v>
      </c>
      <c r="H48" s="15">
        <v>314140.33</v>
      </c>
      <c r="I48" s="15">
        <v>124605.3</v>
      </c>
      <c r="J48" s="15">
        <v>195875.41</v>
      </c>
      <c r="K48" s="15">
        <v>407236.03</v>
      </c>
      <c r="L48" s="15">
        <v>2505757.65</v>
      </c>
      <c r="M48" s="19">
        <v>0.13869999999999999</v>
      </c>
    </row>
    <row r="49" spans="1:13" x14ac:dyDescent="0.3">
      <c r="A49" s="20">
        <v>45991</v>
      </c>
      <c r="B49" s="9" t="s">
        <v>186</v>
      </c>
      <c r="C49" s="15">
        <v>513980</v>
      </c>
      <c r="D49" s="15">
        <v>366089.84</v>
      </c>
      <c r="E49" s="15">
        <v>162552.71</v>
      </c>
      <c r="F49" s="15">
        <v>483654.63</v>
      </c>
      <c r="G49" s="15">
        <v>184592.73</v>
      </c>
      <c r="H49" s="15">
        <v>341210.26</v>
      </c>
      <c r="I49" s="15">
        <v>47967.65</v>
      </c>
      <c r="J49" s="15">
        <v>262704.68</v>
      </c>
      <c r="K49" s="15">
        <v>375514.46</v>
      </c>
      <c r="L49" s="15">
        <v>2738266.97</v>
      </c>
      <c r="M49" s="19">
        <v>0.15329999999999999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3E49-95C7-45EB-87D6-CFC03F6F49ED}">
  <sheetPr>
    <tabColor theme="6" tint="0.39997558519241921"/>
  </sheetPr>
  <dimension ref="A1:L81"/>
  <sheetViews>
    <sheetView workbookViewId="0">
      <selection activeCell="Q15" sqref="Q15"/>
    </sheetView>
  </sheetViews>
  <sheetFormatPr defaultRowHeight="14.4" x14ac:dyDescent="0.3"/>
  <cols>
    <col min="1" max="1" width="12.5546875" bestFit="1" customWidth="1"/>
    <col min="2" max="2" width="15.6640625" customWidth="1"/>
    <col min="3" max="3" width="26.44140625" bestFit="1" customWidth="1"/>
    <col min="4" max="4" width="23.109375" bestFit="1" customWidth="1"/>
    <col min="5" max="5" width="24" bestFit="1" customWidth="1"/>
    <col min="6" max="6" width="26.44140625" bestFit="1" customWidth="1"/>
    <col min="7" max="7" width="18.44140625" bestFit="1" customWidth="1"/>
    <col min="8" max="8" width="19.33203125" bestFit="1" customWidth="1"/>
    <col min="9" max="9" width="19.44140625" bestFit="1" customWidth="1"/>
    <col min="10" max="10" width="18.109375" bestFit="1" customWidth="1"/>
    <col min="11" max="11" width="19" bestFit="1" customWidth="1"/>
    <col min="12" max="12" width="19.109375" bestFit="1" customWidth="1"/>
  </cols>
  <sheetData>
    <row r="1" spans="1:12" x14ac:dyDescent="0.3">
      <c r="A1" s="13" t="s">
        <v>22</v>
      </c>
      <c r="B1" s="13" t="s">
        <v>197</v>
      </c>
      <c r="C1" s="13" t="s">
        <v>262</v>
      </c>
      <c r="D1" s="13" t="s">
        <v>285</v>
      </c>
      <c r="E1" s="13" t="s">
        <v>284</v>
      </c>
      <c r="F1" s="13" t="s">
        <v>283</v>
      </c>
      <c r="G1" s="13" t="s">
        <v>282</v>
      </c>
      <c r="H1" s="13" t="s">
        <v>281</v>
      </c>
      <c r="I1" s="13" t="s">
        <v>280</v>
      </c>
      <c r="J1" s="13" t="s">
        <v>279</v>
      </c>
      <c r="K1" s="13" t="s">
        <v>278</v>
      </c>
      <c r="L1" s="13" t="s">
        <v>277</v>
      </c>
    </row>
    <row r="2" spans="1:12" x14ac:dyDescent="0.3">
      <c r="A2" t="s">
        <v>186</v>
      </c>
      <c r="B2" s="25">
        <v>45991</v>
      </c>
      <c r="C2" t="s">
        <v>248</v>
      </c>
      <c r="D2" s="6">
        <v>5.5500000000000001E-2</v>
      </c>
      <c r="E2" s="6">
        <v>4.0800000000000003E-2</v>
      </c>
      <c r="F2">
        <v>1.47</v>
      </c>
      <c r="G2">
        <v>21.7</v>
      </c>
      <c r="H2">
        <v>21.7</v>
      </c>
      <c r="I2">
        <v>0</v>
      </c>
      <c r="J2">
        <v>45.4</v>
      </c>
      <c r="K2">
        <v>42.9</v>
      </c>
      <c r="L2">
        <v>2.5</v>
      </c>
    </row>
    <row r="3" spans="1:12" x14ac:dyDescent="0.3">
      <c r="A3" t="s">
        <v>186</v>
      </c>
      <c r="B3" s="25">
        <v>45991</v>
      </c>
      <c r="C3" t="s">
        <v>255</v>
      </c>
      <c r="D3" s="6">
        <v>5.3499999999999999E-2</v>
      </c>
      <c r="E3" s="6">
        <v>2.2700000000000001E-2</v>
      </c>
      <c r="F3">
        <v>3.08</v>
      </c>
      <c r="G3">
        <v>23.6</v>
      </c>
      <c r="H3">
        <v>20.6</v>
      </c>
      <c r="I3">
        <v>3</v>
      </c>
      <c r="J3">
        <v>45.6</v>
      </c>
      <c r="K3">
        <v>43.3</v>
      </c>
      <c r="L3">
        <v>2.2999999999999998</v>
      </c>
    </row>
    <row r="4" spans="1:12" x14ac:dyDescent="0.3">
      <c r="A4" t="s">
        <v>186</v>
      </c>
      <c r="B4" s="25">
        <v>45991</v>
      </c>
      <c r="C4" t="s">
        <v>237</v>
      </c>
      <c r="D4" s="6">
        <v>5.0599999999999999E-2</v>
      </c>
      <c r="E4" s="6">
        <v>3.5900000000000001E-2</v>
      </c>
      <c r="F4">
        <v>1.47</v>
      </c>
      <c r="G4">
        <v>21</v>
      </c>
      <c r="H4">
        <v>20.5</v>
      </c>
      <c r="I4">
        <v>0.4</v>
      </c>
      <c r="J4">
        <v>45.5</v>
      </c>
      <c r="K4">
        <v>43</v>
      </c>
      <c r="L4">
        <v>2.5</v>
      </c>
    </row>
    <row r="5" spans="1:12" x14ac:dyDescent="0.3">
      <c r="A5" t="s">
        <v>186</v>
      </c>
      <c r="B5" s="25">
        <v>45991</v>
      </c>
      <c r="C5" t="s">
        <v>228</v>
      </c>
      <c r="D5" s="6">
        <v>3.6600000000000001E-2</v>
      </c>
      <c r="E5" s="6">
        <v>3.1899999999999998E-2</v>
      </c>
      <c r="F5">
        <v>0.47</v>
      </c>
      <c r="G5">
        <v>21.4</v>
      </c>
      <c r="H5">
        <v>21.7</v>
      </c>
      <c r="I5">
        <v>-0.4</v>
      </c>
      <c r="J5">
        <v>45.9</v>
      </c>
      <c r="K5">
        <v>43.1</v>
      </c>
      <c r="L5">
        <v>2.8</v>
      </c>
    </row>
    <row r="6" spans="1:12" x14ac:dyDescent="0.3">
      <c r="A6" t="s">
        <v>186</v>
      </c>
      <c r="B6" s="25">
        <v>45991</v>
      </c>
      <c r="C6" t="s">
        <v>251</v>
      </c>
      <c r="D6" s="6">
        <v>3.5499999999999997E-2</v>
      </c>
      <c r="E6" s="6">
        <v>3.3099999999999997E-2</v>
      </c>
      <c r="F6">
        <v>0.23</v>
      </c>
      <c r="G6">
        <v>20.9</v>
      </c>
      <c r="H6">
        <v>21.7</v>
      </c>
      <c r="I6">
        <v>-0.7</v>
      </c>
      <c r="J6">
        <v>45.9</v>
      </c>
      <c r="K6">
        <v>43.1</v>
      </c>
      <c r="L6">
        <v>2.8</v>
      </c>
    </row>
    <row r="7" spans="1:12" x14ac:dyDescent="0.3">
      <c r="A7" t="s">
        <v>186</v>
      </c>
      <c r="B7" s="25">
        <v>45991</v>
      </c>
      <c r="C7" t="s">
        <v>224</v>
      </c>
      <c r="D7" s="6">
        <v>3.4799999999999998E-2</v>
      </c>
      <c r="E7" s="6">
        <v>1.8700000000000001E-2</v>
      </c>
      <c r="F7">
        <v>1.61</v>
      </c>
      <c r="G7">
        <v>25.8</v>
      </c>
      <c r="H7">
        <v>20.7</v>
      </c>
      <c r="I7">
        <v>5.0999999999999996</v>
      </c>
      <c r="J7">
        <v>46.1</v>
      </c>
      <c r="K7">
        <v>43.4</v>
      </c>
      <c r="L7">
        <v>2.7</v>
      </c>
    </row>
    <row r="8" spans="1:12" x14ac:dyDescent="0.3">
      <c r="A8" t="s">
        <v>186</v>
      </c>
      <c r="B8" s="25">
        <v>45991</v>
      </c>
      <c r="C8" t="s">
        <v>229</v>
      </c>
      <c r="D8" s="6">
        <v>3.4200000000000001E-2</v>
      </c>
      <c r="E8" s="6">
        <v>3.0800000000000001E-2</v>
      </c>
      <c r="F8">
        <v>0.34</v>
      </c>
      <c r="G8">
        <v>25.9</v>
      </c>
      <c r="H8">
        <v>21.3</v>
      </c>
      <c r="I8">
        <v>4.5999999999999996</v>
      </c>
      <c r="J8">
        <v>46.1</v>
      </c>
      <c r="K8">
        <v>43.1</v>
      </c>
      <c r="L8">
        <v>3</v>
      </c>
    </row>
    <row r="9" spans="1:12" x14ac:dyDescent="0.3">
      <c r="A9" t="s">
        <v>186</v>
      </c>
      <c r="B9" s="25">
        <v>45991</v>
      </c>
      <c r="C9" t="s">
        <v>206</v>
      </c>
      <c r="D9" s="6">
        <v>3.3399999999999999E-2</v>
      </c>
      <c r="E9" s="6">
        <v>2.8500000000000001E-2</v>
      </c>
      <c r="F9">
        <v>0.49</v>
      </c>
      <c r="G9">
        <v>18.600000000000001</v>
      </c>
      <c r="H9">
        <v>20.8</v>
      </c>
      <c r="I9">
        <v>-2.2999999999999998</v>
      </c>
      <c r="J9">
        <v>45.9</v>
      </c>
      <c r="K9">
        <v>43.1</v>
      </c>
      <c r="L9">
        <v>2.7</v>
      </c>
    </row>
    <row r="10" spans="1:12" x14ac:dyDescent="0.3">
      <c r="A10" t="s">
        <v>186</v>
      </c>
      <c r="B10" s="25">
        <v>45991</v>
      </c>
      <c r="C10" t="s">
        <v>223</v>
      </c>
      <c r="D10" s="6">
        <v>3.3399999999999999E-2</v>
      </c>
      <c r="E10" s="6">
        <v>2.3E-2</v>
      </c>
      <c r="F10">
        <v>1.04</v>
      </c>
      <c r="G10">
        <v>22.7</v>
      </c>
      <c r="H10">
        <v>22.4</v>
      </c>
      <c r="I10">
        <v>0.3</v>
      </c>
      <c r="J10">
        <v>46</v>
      </c>
      <c r="K10">
        <v>43.3</v>
      </c>
      <c r="L10">
        <v>2.7</v>
      </c>
    </row>
    <row r="11" spans="1:12" x14ac:dyDescent="0.3">
      <c r="A11" t="s">
        <v>186</v>
      </c>
      <c r="B11" s="25">
        <v>45991</v>
      </c>
      <c r="C11" t="s">
        <v>252</v>
      </c>
      <c r="D11" s="6">
        <v>3.3000000000000002E-2</v>
      </c>
      <c r="E11" s="6">
        <v>2.69E-2</v>
      </c>
      <c r="F11">
        <v>0.61</v>
      </c>
      <c r="G11">
        <v>24.6</v>
      </c>
      <c r="H11">
        <v>21</v>
      </c>
      <c r="I11">
        <v>3.6</v>
      </c>
      <c r="J11">
        <v>46.1</v>
      </c>
      <c r="K11">
        <v>43.2</v>
      </c>
      <c r="L11">
        <v>2.9</v>
      </c>
    </row>
    <row r="12" spans="1:12" x14ac:dyDescent="0.3">
      <c r="A12" t="s">
        <v>186</v>
      </c>
      <c r="B12" s="25">
        <v>45991</v>
      </c>
      <c r="C12" t="s">
        <v>243</v>
      </c>
      <c r="D12" s="6">
        <v>2.7400000000000001E-2</v>
      </c>
      <c r="E12" s="6">
        <v>3.4500000000000003E-2</v>
      </c>
      <c r="F12">
        <v>-0.71</v>
      </c>
      <c r="G12">
        <v>20.7</v>
      </c>
      <c r="H12">
        <v>22.3</v>
      </c>
      <c r="I12">
        <v>-1.5</v>
      </c>
      <c r="J12">
        <v>46.1</v>
      </c>
      <c r="K12">
        <v>43.1</v>
      </c>
      <c r="L12">
        <v>3</v>
      </c>
    </row>
    <row r="13" spans="1:12" x14ac:dyDescent="0.3">
      <c r="A13" t="s">
        <v>186</v>
      </c>
      <c r="B13" s="25">
        <v>45991</v>
      </c>
      <c r="C13" t="s">
        <v>256</v>
      </c>
      <c r="D13" s="6">
        <v>2.6699999999999998E-2</v>
      </c>
      <c r="E13" s="6">
        <v>3.56E-2</v>
      </c>
      <c r="F13">
        <v>-0.89</v>
      </c>
      <c r="G13">
        <v>18.899999999999999</v>
      </c>
      <c r="H13">
        <v>21</v>
      </c>
      <c r="I13">
        <v>-2.2000000000000002</v>
      </c>
      <c r="J13">
        <v>46.1</v>
      </c>
      <c r="K13">
        <v>43</v>
      </c>
      <c r="L13">
        <v>3.1</v>
      </c>
    </row>
    <row r="14" spans="1:12" x14ac:dyDescent="0.3">
      <c r="A14" t="s">
        <v>186</v>
      </c>
      <c r="B14" s="25">
        <v>45991</v>
      </c>
      <c r="C14" t="s">
        <v>245</v>
      </c>
      <c r="D14" s="6">
        <v>1.84E-2</v>
      </c>
      <c r="E14" s="6">
        <v>2.7900000000000001E-2</v>
      </c>
      <c r="F14">
        <v>-0.95</v>
      </c>
      <c r="G14">
        <v>21.1</v>
      </c>
      <c r="H14">
        <v>20.7</v>
      </c>
      <c r="I14">
        <v>0.4</v>
      </c>
      <c r="J14">
        <v>46.3</v>
      </c>
      <c r="K14">
        <v>43.1</v>
      </c>
      <c r="L14">
        <v>3.2</v>
      </c>
    </row>
    <row r="15" spans="1:12" x14ac:dyDescent="0.3">
      <c r="A15" t="s">
        <v>186</v>
      </c>
      <c r="B15" s="25">
        <v>45991</v>
      </c>
      <c r="C15" t="s">
        <v>212</v>
      </c>
      <c r="D15" s="6">
        <v>1.6200000000000003E-2</v>
      </c>
      <c r="E15" s="6">
        <v>2.6600000000000002E-2</v>
      </c>
      <c r="F15">
        <v>-1.03</v>
      </c>
      <c r="G15">
        <v>20.5</v>
      </c>
      <c r="H15">
        <v>21.6</v>
      </c>
      <c r="I15">
        <v>-1.1000000000000001</v>
      </c>
      <c r="J15">
        <v>46.4</v>
      </c>
      <c r="K15">
        <v>43.2</v>
      </c>
      <c r="L15">
        <v>3.2</v>
      </c>
    </row>
    <row r="16" spans="1:12" x14ac:dyDescent="0.3">
      <c r="A16" t="s">
        <v>186</v>
      </c>
      <c r="B16" s="25">
        <v>45991</v>
      </c>
      <c r="C16" t="s">
        <v>254</v>
      </c>
      <c r="D16" s="6">
        <v>1.1699999999999999E-2</v>
      </c>
      <c r="E16" s="6">
        <v>2.3199999999999998E-2</v>
      </c>
      <c r="F16">
        <v>-1.1499999999999999</v>
      </c>
      <c r="G16">
        <v>19.5</v>
      </c>
      <c r="H16">
        <v>21.6</v>
      </c>
      <c r="I16">
        <v>-2.1</v>
      </c>
      <c r="J16">
        <v>46.5</v>
      </c>
      <c r="K16">
        <v>43.3</v>
      </c>
      <c r="L16">
        <v>3.2</v>
      </c>
    </row>
    <row r="17" spans="1:12" x14ac:dyDescent="0.3">
      <c r="A17" t="s">
        <v>186</v>
      </c>
      <c r="B17" s="25">
        <v>45991</v>
      </c>
      <c r="C17" t="s">
        <v>250</v>
      </c>
      <c r="D17" s="6">
        <v>1.0200000000000001E-2</v>
      </c>
      <c r="E17" s="6">
        <v>2.5399999999999999E-2</v>
      </c>
      <c r="F17">
        <v>-1.52</v>
      </c>
      <c r="G17">
        <v>23.2</v>
      </c>
      <c r="H17">
        <v>21.7</v>
      </c>
      <c r="I17">
        <v>1.4</v>
      </c>
      <c r="J17">
        <v>46.6</v>
      </c>
      <c r="K17">
        <v>43.3</v>
      </c>
      <c r="L17">
        <v>3.3</v>
      </c>
    </row>
    <row r="18" spans="1:12" x14ac:dyDescent="0.3">
      <c r="A18" t="s">
        <v>186</v>
      </c>
      <c r="B18" s="25">
        <v>45991</v>
      </c>
      <c r="C18" t="s">
        <v>231</v>
      </c>
      <c r="D18" s="6">
        <v>7.1999999999999998E-3</v>
      </c>
      <c r="E18" s="6">
        <v>2.9900000000000003E-2</v>
      </c>
      <c r="F18">
        <v>-2.27</v>
      </c>
      <c r="G18">
        <v>17.399999999999999</v>
      </c>
      <c r="H18">
        <v>21.2</v>
      </c>
      <c r="I18">
        <v>-3.7</v>
      </c>
      <c r="J18">
        <v>46.6</v>
      </c>
      <c r="K18">
        <v>43.2</v>
      </c>
      <c r="L18">
        <v>3.4</v>
      </c>
    </row>
    <row r="19" spans="1:12" x14ac:dyDescent="0.3">
      <c r="A19" t="s">
        <v>186</v>
      </c>
      <c r="B19" s="25">
        <v>45991</v>
      </c>
      <c r="C19" t="s">
        <v>253</v>
      </c>
      <c r="D19" s="6">
        <v>1.5E-3</v>
      </c>
      <c r="E19" s="6">
        <v>3.4599999999999999E-2</v>
      </c>
      <c r="F19">
        <v>-3.31</v>
      </c>
      <c r="G19">
        <v>21.1</v>
      </c>
      <c r="H19">
        <v>21.4</v>
      </c>
      <c r="I19">
        <v>-0.4</v>
      </c>
      <c r="J19">
        <v>46.8</v>
      </c>
      <c r="K19">
        <v>43</v>
      </c>
      <c r="L19">
        <v>3.7</v>
      </c>
    </row>
    <row r="20" spans="1:12" x14ac:dyDescent="0.3">
      <c r="A20" t="s">
        <v>186</v>
      </c>
      <c r="B20" s="25">
        <v>45991</v>
      </c>
      <c r="C20" t="s">
        <v>249</v>
      </c>
      <c r="D20" s="6">
        <v>1.1999999999999999E-3</v>
      </c>
      <c r="E20" s="6">
        <v>2.7999999999999997E-2</v>
      </c>
      <c r="F20">
        <v>-2.68</v>
      </c>
      <c r="G20">
        <v>22</v>
      </c>
      <c r="H20">
        <v>20.399999999999999</v>
      </c>
      <c r="I20">
        <v>1.7</v>
      </c>
      <c r="J20">
        <v>46.8</v>
      </c>
      <c r="K20">
        <v>43.2</v>
      </c>
      <c r="L20">
        <v>3.6</v>
      </c>
    </row>
    <row r="21" spans="1:12" x14ac:dyDescent="0.3">
      <c r="A21" t="s">
        <v>186</v>
      </c>
      <c r="B21" s="25">
        <v>45991</v>
      </c>
      <c r="C21" t="s">
        <v>209</v>
      </c>
      <c r="D21" s="6">
        <v>2.9999999999999997E-4</v>
      </c>
      <c r="E21" s="6">
        <v>2.98E-2</v>
      </c>
      <c r="F21">
        <v>-2.96</v>
      </c>
      <c r="G21">
        <v>20.2</v>
      </c>
      <c r="H21">
        <v>20.6</v>
      </c>
      <c r="I21">
        <v>-0.4</v>
      </c>
      <c r="J21">
        <v>46.8</v>
      </c>
      <c r="K21">
        <v>43.1</v>
      </c>
      <c r="L21">
        <v>3.7</v>
      </c>
    </row>
    <row r="22" spans="1:12" x14ac:dyDescent="0.3">
      <c r="A22" t="s">
        <v>192</v>
      </c>
      <c r="B22" s="25">
        <v>45991</v>
      </c>
      <c r="C22" t="s">
        <v>240</v>
      </c>
      <c r="D22" s="6">
        <v>0.06</v>
      </c>
      <c r="E22" s="6">
        <v>2.7999999999999997E-2</v>
      </c>
      <c r="F22">
        <v>3.2</v>
      </c>
      <c r="G22">
        <v>20.9</v>
      </c>
      <c r="H22">
        <v>21.3</v>
      </c>
      <c r="I22">
        <v>-0.4</v>
      </c>
      <c r="J22">
        <v>41.7</v>
      </c>
      <c r="K22">
        <v>41.8</v>
      </c>
      <c r="L22">
        <v>-0.2</v>
      </c>
    </row>
    <row r="23" spans="1:12" x14ac:dyDescent="0.3">
      <c r="A23" t="s">
        <v>192</v>
      </c>
      <c r="B23" s="25">
        <v>45991</v>
      </c>
      <c r="C23" t="s">
        <v>209</v>
      </c>
      <c r="D23" s="6">
        <v>5.5800000000000002E-2</v>
      </c>
      <c r="E23" s="6">
        <v>2.6699999999999998E-2</v>
      </c>
      <c r="F23">
        <v>2.91</v>
      </c>
      <c r="G23">
        <v>18.899999999999999</v>
      </c>
      <c r="H23">
        <v>19.899999999999999</v>
      </c>
      <c r="I23">
        <v>-1.1000000000000001</v>
      </c>
      <c r="J23">
        <v>41.7</v>
      </c>
      <c r="K23">
        <v>41.8</v>
      </c>
      <c r="L23">
        <v>-0.2</v>
      </c>
    </row>
    <row r="24" spans="1:12" x14ac:dyDescent="0.3">
      <c r="A24" t="s">
        <v>192</v>
      </c>
      <c r="B24" s="25">
        <v>45991</v>
      </c>
      <c r="C24" t="s">
        <v>243</v>
      </c>
      <c r="D24" s="6">
        <v>5.5399999999999998E-2</v>
      </c>
      <c r="E24" s="6">
        <v>2.2400000000000003E-2</v>
      </c>
      <c r="F24">
        <v>3.29</v>
      </c>
      <c r="G24">
        <v>19.899999999999999</v>
      </c>
      <c r="H24">
        <v>21</v>
      </c>
      <c r="I24">
        <v>-1.1000000000000001</v>
      </c>
      <c r="J24">
        <v>41.7</v>
      </c>
      <c r="K24">
        <v>42</v>
      </c>
      <c r="L24">
        <v>-0.3</v>
      </c>
    </row>
    <row r="25" spans="1:12" x14ac:dyDescent="0.3">
      <c r="A25" t="s">
        <v>192</v>
      </c>
      <c r="B25" s="25">
        <v>45991</v>
      </c>
      <c r="C25" t="s">
        <v>234</v>
      </c>
      <c r="D25" s="6">
        <v>5.2600000000000001E-2</v>
      </c>
      <c r="E25" s="6">
        <v>2.8300000000000002E-2</v>
      </c>
      <c r="F25">
        <v>2.4300000000000002</v>
      </c>
      <c r="G25">
        <v>23.6</v>
      </c>
      <c r="H25">
        <v>20.5</v>
      </c>
      <c r="I25">
        <v>3.2</v>
      </c>
      <c r="J25">
        <v>42</v>
      </c>
      <c r="K25">
        <v>41.8</v>
      </c>
      <c r="L25">
        <v>0.1</v>
      </c>
    </row>
    <row r="26" spans="1:12" x14ac:dyDescent="0.3">
      <c r="A26" t="s">
        <v>192</v>
      </c>
      <c r="B26" s="25">
        <v>45991</v>
      </c>
      <c r="C26" t="s">
        <v>244</v>
      </c>
      <c r="D26" s="6">
        <v>5.1200000000000002E-2</v>
      </c>
      <c r="E26" s="6">
        <v>3.1300000000000001E-2</v>
      </c>
      <c r="F26">
        <v>1.99</v>
      </c>
      <c r="G26">
        <v>18.5</v>
      </c>
      <c r="H26">
        <v>20.5</v>
      </c>
      <c r="I26">
        <v>-1.9</v>
      </c>
      <c r="J26">
        <v>41.7</v>
      </c>
      <c r="K26">
        <v>41.7</v>
      </c>
      <c r="L26">
        <v>0</v>
      </c>
    </row>
    <row r="27" spans="1:12" x14ac:dyDescent="0.3">
      <c r="A27" t="s">
        <v>192</v>
      </c>
      <c r="B27" s="25">
        <v>45991</v>
      </c>
      <c r="C27" t="s">
        <v>219</v>
      </c>
      <c r="D27" s="6">
        <v>4.7699999999999992E-2</v>
      </c>
      <c r="E27" s="6">
        <v>3.2899999999999999E-2</v>
      </c>
      <c r="F27">
        <v>1.48</v>
      </c>
      <c r="G27">
        <v>24.1</v>
      </c>
      <c r="H27">
        <v>20.3</v>
      </c>
      <c r="I27">
        <v>3.8</v>
      </c>
      <c r="J27">
        <v>42.1</v>
      </c>
      <c r="K27">
        <v>41.7</v>
      </c>
      <c r="L27">
        <v>0.4</v>
      </c>
    </row>
    <row r="28" spans="1:12" x14ac:dyDescent="0.3">
      <c r="A28" t="s">
        <v>192</v>
      </c>
      <c r="B28" s="25">
        <v>45991</v>
      </c>
      <c r="C28" t="s">
        <v>247</v>
      </c>
      <c r="D28" s="6">
        <v>4.7500000000000001E-2</v>
      </c>
      <c r="E28" s="6">
        <v>3.6299999999999999E-2</v>
      </c>
      <c r="F28">
        <v>1.1200000000000001</v>
      </c>
      <c r="G28">
        <v>20.6</v>
      </c>
      <c r="H28">
        <v>19.899999999999999</v>
      </c>
      <c r="I28">
        <v>0.7</v>
      </c>
      <c r="J28">
        <v>41.9</v>
      </c>
      <c r="K28">
        <v>41.6</v>
      </c>
      <c r="L28">
        <v>0.3</v>
      </c>
    </row>
    <row r="29" spans="1:12" x14ac:dyDescent="0.3">
      <c r="A29" t="s">
        <v>192</v>
      </c>
      <c r="B29" s="25">
        <v>45991</v>
      </c>
      <c r="C29" t="s">
        <v>239</v>
      </c>
      <c r="D29" s="6">
        <v>2.9399999999999999E-2</v>
      </c>
      <c r="E29" s="6">
        <v>3.7900000000000003E-2</v>
      </c>
      <c r="F29">
        <v>-0.85</v>
      </c>
      <c r="G29">
        <v>20.9</v>
      </c>
      <c r="H29">
        <v>20.8</v>
      </c>
      <c r="I29">
        <v>0.1</v>
      </c>
      <c r="J29">
        <v>42.3</v>
      </c>
      <c r="K29">
        <v>41.6</v>
      </c>
      <c r="L29">
        <v>0.7</v>
      </c>
    </row>
    <row r="30" spans="1:12" x14ac:dyDescent="0.3">
      <c r="A30" t="s">
        <v>192</v>
      </c>
      <c r="B30" s="25">
        <v>45991</v>
      </c>
      <c r="C30" t="s">
        <v>237</v>
      </c>
      <c r="D30" s="6">
        <v>2.5099999999999997E-2</v>
      </c>
      <c r="E30" s="6">
        <v>2.9700000000000001E-2</v>
      </c>
      <c r="F30">
        <v>-0.46</v>
      </c>
      <c r="G30">
        <v>17.7</v>
      </c>
      <c r="H30">
        <v>20.6</v>
      </c>
      <c r="I30">
        <v>-2.9</v>
      </c>
      <c r="J30">
        <v>42.4</v>
      </c>
      <c r="K30">
        <v>41.8</v>
      </c>
      <c r="L30">
        <v>0.6</v>
      </c>
    </row>
    <row r="31" spans="1:12" x14ac:dyDescent="0.3">
      <c r="A31" t="s">
        <v>192</v>
      </c>
      <c r="B31" s="25">
        <v>45991</v>
      </c>
      <c r="C31" t="s">
        <v>242</v>
      </c>
      <c r="D31" s="6">
        <v>1.5700000000000002E-2</v>
      </c>
      <c r="E31" s="6">
        <v>3.6900000000000002E-2</v>
      </c>
      <c r="F31">
        <v>-2.12</v>
      </c>
      <c r="G31">
        <v>20.6</v>
      </c>
      <c r="H31">
        <v>20.8</v>
      </c>
      <c r="I31">
        <v>-0.2</v>
      </c>
      <c r="J31">
        <v>42.6</v>
      </c>
      <c r="K31">
        <v>41.7</v>
      </c>
      <c r="L31">
        <v>1</v>
      </c>
    </row>
    <row r="32" spans="1:12" x14ac:dyDescent="0.3">
      <c r="A32" t="s">
        <v>192</v>
      </c>
      <c r="B32" s="25">
        <v>45991</v>
      </c>
      <c r="C32" t="s">
        <v>245</v>
      </c>
      <c r="D32" s="6">
        <v>1.5600000000000001E-2</v>
      </c>
      <c r="E32" s="6">
        <v>2.98E-2</v>
      </c>
      <c r="F32">
        <v>-1.43</v>
      </c>
      <c r="G32">
        <v>22.8</v>
      </c>
      <c r="H32">
        <v>20.6</v>
      </c>
      <c r="I32">
        <v>2.2999999999999998</v>
      </c>
      <c r="J32">
        <v>42.7</v>
      </c>
      <c r="K32">
        <v>41.8</v>
      </c>
      <c r="L32">
        <v>0.9</v>
      </c>
    </row>
    <row r="33" spans="1:12" x14ac:dyDescent="0.3">
      <c r="A33" t="s">
        <v>192</v>
      </c>
      <c r="B33" s="25">
        <v>45991</v>
      </c>
      <c r="C33" t="s">
        <v>246</v>
      </c>
      <c r="D33" s="6">
        <v>1.3300000000000001E-2</v>
      </c>
      <c r="E33" s="6">
        <v>3.4300000000000004E-2</v>
      </c>
      <c r="F33">
        <v>-2.11</v>
      </c>
      <c r="G33">
        <v>19.5</v>
      </c>
      <c r="H33">
        <v>21.4</v>
      </c>
      <c r="I33">
        <v>-1.9</v>
      </c>
      <c r="J33">
        <v>42.7</v>
      </c>
      <c r="K33">
        <v>41.7</v>
      </c>
      <c r="L33">
        <v>1</v>
      </c>
    </row>
    <row r="34" spans="1:12" x14ac:dyDescent="0.3">
      <c r="A34" t="s">
        <v>192</v>
      </c>
      <c r="B34" s="25">
        <v>45991</v>
      </c>
      <c r="C34" t="s">
        <v>215</v>
      </c>
      <c r="D34" s="6">
        <v>1.1399999999999999E-2</v>
      </c>
      <c r="E34" s="6">
        <v>3.0299999999999997E-2</v>
      </c>
      <c r="F34">
        <v>-1.89</v>
      </c>
      <c r="G34">
        <v>21.9</v>
      </c>
      <c r="H34">
        <v>21</v>
      </c>
      <c r="I34">
        <v>0.9</v>
      </c>
      <c r="J34">
        <v>42.8</v>
      </c>
      <c r="K34">
        <v>41.8</v>
      </c>
      <c r="L34">
        <v>1</v>
      </c>
    </row>
    <row r="35" spans="1:12" x14ac:dyDescent="0.3">
      <c r="A35" t="s">
        <v>192</v>
      </c>
      <c r="B35" s="25">
        <v>45991</v>
      </c>
      <c r="C35" t="s">
        <v>223</v>
      </c>
      <c r="D35" s="6">
        <v>9.7999999999999997E-3</v>
      </c>
      <c r="E35" s="6">
        <v>0.03</v>
      </c>
      <c r="F35">
        <v>-2.0299999999999998</v>
      </c>
      <c r="G35">
        <v>20.2</v>
      </c>
      <c r="H35">
        <v>21.3</v>
      </c>
      <c r="I35">
        <v>-1.1000000000000001</v>
      </c>
      <c r="J35">
        <v>42.8</v>
      </c>
      <c r="K35">
        <v>41.8</v>
      </c>
      <c r="L35">
        <v>0.9</v>
      </c>
    </row>
    <row r="36" spans="1:12" x14ac:dyDescent="0.3">
      <c r="A36" t="s">
        <v>192</v>
      </c>
      <c r="B36" s="25">
        <v>45991</v>
      </c>
      <c r="C36" t="s">
        <v>211</v>
      </c>
      <c r="D36" s="6">
        <v>5.5000000000000005E-3</v>
      </c>
      <c r="E36" s="6">
        <v>2.1000000000000001E-2</v>
      </c>
      <c r="F36">
        <v>-1.55</v>
      </c>
      <c r="G36">
        <v>16.899999999999999</v>
      </c>
      <c r="H36">
        <v>21.1</v>
      </c>
      <c r="I36">
        <v>-4.3</v>
      </c>
      <c r="J36">
        <v>42.9</v>
      </c>
      <c r="K36">
        <v>42</v>
      </c>
      <c r="L36">
        <v>0.9</v>
      </c>
    </row>
    <row r="37" spans="1:12" x14ac:dyDescent="0.3">
      <c r="A37" t="s">
        <v>192</v>
      </c>
      <c r="B37" s="25">
        <v>45991</v>
      </c>
      <c r="C37" t="s">
        <v>236</v>
      </c>
      <c r="D37" s="6">
        <v>4.5000000000000005E-3</v>
      </c>
      <c r="E37" s="6">
        <v>3.0299999999999997E-2</v>
      </c>
      <c r="F37">
        <v>-2.59</v>
      </c>
      <c r="G37">
        <v>23.2</v>
      </c>
      <c r="H37">
        <v>20.399999999999999</v>
      </c>
      <c r="I37">
        <v>2.8</v>
      </c>
      <c r="J37">
        <v>42.9</v>
      </c>
      <c r="K37">
        <v>41.8</v>
      </c>
      <c r="L37">
        <v>1.1000000000000001</v>
      </c>
    </row>
    <row r="38" spans="1:12" x14ac:dyDescent="0.3">
      <c r="A38" t="s">
        <v>192</v>
      </c>
      <c r="B38" s="25">
        <v>45991</v>
      </c>
      <c r="C38" t="s">
        <v>228</v>
      </c>
      <c r="D38" s="6">
        <v>4.3E-3</v>
      </c>
      <c r="E38" s="6">
        <v>2.5699999999999997E-2</v>
      </c>
      <c r="F38">
        <v>-2.14</v>
      </c>
      <c r="G38">
        <v>20</v>
      </c>
      <c r="H38">
        <v>20.7</v>
      </c>
      <c r="I38">
        <v>-0.7</v>
      </c>
      <c r="J38">
        <v>42.9</v>
      </c>
      <c r="K38">
        <v>41.9</v>
      </c>
      <c r="L38">
        <v>1</v>
      </c>
    </row>
    <row r="39" spans="1:12" x14ac:dyDescent="0.3">
      <c r="A39" t="s">
        <v>192</v>
      </c>
      <c r="B39" s="25">
        <v>45991</v>
      </c>
      <c r="C39" t="s">
        <v>241</v>
      </c>
      <c r="D39" s="6">
        <v>2.3E-3</v>
      </c>
      <c r="E39" s="6">
        <v>4.2300000000000004E-2</v>
      </c>
      <c r="F39">
        <v>-3.99</v>
      </c>
      <c r="G39">
        <v>21.3</v>
      </c>
      <c r="H39">
        <v>20.6</v>
      </c>
      <c r="I39">
        <v>0.7</v>
      </c>
      <c r="J39">
        <v>42.9</v>
      </c>
      <c r="K39">
        <v>41.5</v>
      </c>
      <c r="L39">
        <v>1.4</v>
      </c>
    </row>
    <row r="40" spans="1:12" x14ac:dyDescent="0.3">
      <c r="A40" t="s">
        <v>192</v>
      </c>
      <c r="B40" s="25">
        <v>45991</v>
      </c>
      <c r="C40" t="s">
        <v>238</v>
      </c>
      <c r="D40" s="6">
        <v>1.6000000000000001E-3</v>
      </c>
      <c r="E40" s="6">
        <v>3.7599999999999995E-2</v>
      </c>
      <c r="F40">
        <v>-3.59</v>
      </c>
      <c r="G40">
        <v>17.8</v>
      </c>
      <c r="H40">
        <v>20.2</v>
      </c>
      <c r="I40">
        <v>-2.5</v>
      </c>
      <c r="J40">
        <v>43</v>
      </c>
      <c r="K40">
        <v>41.6</v>
      </c>
      <c r="L40">
        <v>1.3</v>
      </c>
    </row>
    <row r="41" spans="1:12" x14ac:dyDescent="0.3">
      <c r="A41" t="s">
        <v>192</v>
      </c>
      <c r="B41" s="25">
        <v>45991</v>
      </c>
      <c r="C41" t="s">
        <v>207</v>
      </c>
      <c r="D41" s="6">
        <v>8.9999999999999998E-4</v>
      </c>
      <c r="E41" s="6">
        <v>3.1200000000000002E-2</v>
      </c>
      <c r="F41">
        <v>-3.03</v>
      </c>
      <c r="G41">
        <v>23.8</v>
      </c>
      <c r="H41">
        <v>21.3</v>
      </c>
      <c r="I41">
        <v>2.4</v>
      </c>
      <c r="J41">
        <v>43</v>
      </c>
      <c r="K41">
        <v>41.8</v>
      </c>
      <c r="L41">
        <v>1.2</v>
      </c>
    </row>
    <row r="42" spans="1:12" x14ac:dyDescent="0.3">
      <c r="A42" t="s">
        <v>191</v>
      </c>
      <c r="B42" s="25">
        <v>45991</v>
      </c>
      <c r="C42" t="s">
        <v>222</v>
      </c>
      <c r="D42" s="6">
        <v>5.33E-2</v>
      </c>
      <c r="E42" s="6">
        <v>3.2199999999999999E-2</v>
      </c>
      <c r="F42">
        <v>2.11</v>
      </c>
      <c r="G42">
        <v>18.600000000000001</v>
      </c>
      <c r="H42">
        <v>19.600000000000001</v>
      </c>
      <c r="I42">
        <v>-1</v>
      </c>
      <c r="J42">
        <v>37.200000000000003</v>
      </c>
      <c r="K42">
        <v>35.799999999999997</v>
      </c>
      <c r="L42">
        <v>1.3</v>
      </c>
    </row>
    <row r="43" spans="1:12" x14ac:dyDescent="0.3">
      <c r="A43" t="s">
        <v>191</v>
      </c>
      <c r="B43" s="25">
        <v>45991</v>
      </c>
      <c r="C43" t="s">
        <v>229</v>
      </c>
      <c r="D43" s="6">
        <v>5.0499999999999996E-2</v>
      </c>
      <c r="E43" s="6">
        <v>3.2899999999999999E-2</v>
      </c>
      <c r="F43">
        <v>1.76</v>
      </c>
      <c r="G43">
        <v>18.399999999999999</v>
      </c>
      <c r="H43">
        <v>19.899999999999999</v>
      </c>
      <c r="I43">
        <v>-1.5</v>
      </c>
      <c r="J43">
        <v>37.200000000000003</v>
      </c>
      <c r="K43">
        <v>35.799999999999997</v>
      </c>
      <c r="L43">
        <v>1.4</v>
      </c>
    </row>
    <row r="44" spans="1:12" x14ac:dyDescent="0.3">
      <c r="A44" t="s">
        <v>191</v>
      </c>
      <c r="B44" s="25">
        <v>45991</v>
      </c>
      <c r="C44" t="s">
        <v>203</v>
      </c>
      <c r="D44" s="6">
        <v>4.8600000000000004E-2</v>
      </c>
      <c r="E44" s="6">
        <v>2.8500000000000001E-2</v>
      </c>
      <c r="F44">
        <v>2</v>
      </c>
      <c r="G44">
        <v>18.100000000000001</v>
      </c>
      <c r="H44">
        <v>19.600000000000001</v>
      </c>
      <c r="I44">
        <v>-1.5</v>
      </c>
      <c r="J44">
        <v>37.200000000000003</v>
      </c>
      <c r="K44">
        <v>35.9</v>
      </c>
      <c r="L44">
        <v>1.3</v>
      </c>
    </row>
    <row r="45" spans="1:12" x14ac:dyDescent="0.3">
      <c r="A45" t="s">
        <v>191</v>
      </c>
      <c r="B45" s="25">
        <v>45991</v>
      </c>
      <c r="C45" t="s">
        <v>232</v>
      </c>
      <c r="D45" s="6">
        <v>4.7800000000000002E-2</v>
      </c>
      <c r="E45" s="6">
        <v>3.2500000000000001E-2</v>
      </c>
      <c r="F45">
        <v>1.53</v>
      </c>
      <c r="G45">
        <v>21.2</v>
      </c>
      <c r="H45">
        <v>20.100000000000001</v>
      </c>
      <c r="I45">
        <v>1.1000000000000001</v>
      </c>
      <c r="J45">
        <v>37.4</v>
      </c>
      <c r="K45">
        <v>35.799999999999997</v>
      </c>
      <c r="L45">
        <v>1.5</v>
      </c>
    </row>
    <row r="46" spans="1:12" x14ac:dyDescent="0.3">
      <c r="A46" t="s">
        <v>191</v>
      </c>
      <c r="B46" s="25">
        <v>45991</v>
      </c>
      <c r="C46" t="s">
        <v>227</v>
      </c>
      <c r="D46" s="6">
        <v>4.7199999999999999E-2</v>
      </c>
      <c r="E46" s="6">
        <v>3.8300000000000001E-2</v>
      </c>
      <c r="F46">
        <v>0.89</v>
      </c>
      <c r="G46">
        <v>17.399999999999999</v>
      </c>
      <c r="H46">
        <v>19.600000000000001</v>
      </c>
      <c r="I46">
        <v>-2.2000000000000002</v>
      </c>
      <c r="J46">
        <v>37.200000000000003</v>
      </c>
      <c r="K46">
        <v>35.700000000000003</v>
      </c>
      <c r="L46">
        <v>1.5</v>
      </c>
    </row>
    <row r="47" spans="1:12" x14ac:dyDescent="0.3">
      <c r="A47" t="s">
        <v>191</v>
      </c>
      <c r="B47" s="25">
        <v>45991</v>
      </c>
      <c r="C47" t="s">
        <v>205</v>
      </c>
      <c r="D47" s="6">
        <v>4.4900000000000002E-2</v>
      </c>
      <c r="E47" s="6">
        <v>2.9100000000000001E-2</v>
      </c>
      <c r="F47">
        <v>1.58</v>
      </c>
      <c r="G47">
        <v>19.399999999999999</v>
      </c>
      <c r="H47">
        <v>19.8</v>
      </c>
      <c r="I47">
        <v>-0.4</v>
      </c>
      <c r="J47">
        <v>37.4</v>
      </c>
      <c r="K47">
        <v>35.9</v>
      </c>
      <c r="L47">
        <v>1.5</v>
      </c>
    </row>
    <row r="48" spans="1:12" x14ac:dyDescent="0.3">
      <c r="A48" t="s">
        <v>191</v>
      </c>
      <c r="B48" s="25">
        <v>45991</v>
      </c>
      <c r="C48" t="s">
        <v>228</v>
      </c>
      <c r="D48" s="6">
        <v>4.2300000000000004E-2</v>
      </c>
      <c r="E48" s="6">
        <v>3.2300000000000002E-2</v>
      </c>
      <c r="F48">
        <v>1.01</v>
      </c>
      <c r="G48">
        <v>23.1</v>
      </c>
      <c r="H48">
        <v>20.100000000000001</v>
      </c>
      <c r="I48">
        <v>3</v>
      </c>
      <c r="J48">
        <v>37.6</v>
      </c>
      <c r="K48">
        <v>35.799999999999997</v>
      </c>
      <c r="L48">
        <v>1.7</v>
      </c>
    </row>
    <row r="49" spans="1:12" x14ac:dyDescent="0.3">
      <c r="A49" t="s">
        <v>191</v>
      </c>
      <c r="B49" s="25">
        <v>45991</v>
      </c>
      <c r="C49" t="s">
        <v>230</v>
      </c>
      <c r="D49" s="6">
        <v>3.7000000000000005E-2</v>
      </c>
      <c r="E49" s="6">
        <v>3.0299999999999997E-2</v>
      </c>
      <c r="F49">
        <v>0.67</v>
      </c>
      <c r="G49">
        <v>18.8</v>
      </c>
      <c r="H49">
        <v>19.399999999999999</v>
      </c>
      <c r="I49">
        <v>-0.6</v>
      </c>
      <c r="J49">
        <v>37.5</v>
      </c>
      <c r="K49">
        <v>35.9</v>
      </c>
      <c r="L49">
        <v>1.6</v>
      </c>
    </row>
    <row r="50" spans="1:12" x14ac:dyDescent="0.3">
      <c r="A50" t="s">
        <v>191</v>
      </c>
      <c r="B50" s="25">
        <v>45991</v>
      </c>
      <c r="C50" t="s">
        <v>223</v>
      </c>
      <c r="D50" s="6">
        <v>3.4099999999999998E-2</v>
      </c>
      <c r="E50" s="6">
        <v>2.9600000000000001E-2</v>
      </c>
      <c r="F50">
        <v>0.45</v>
      </c>
      <c r="G50">
        <v>24</v>
      </c>
      <c r="H50">
        <v>19.8</v>
      </c>
      <c r="I50">
        <v>4.2</v>
      </c>
      <c r="J50">
        <v>37.700000000000003</v>
      </c>
      <c r="K50">
        <v>35.9</v>
      </c>
      <c r="L50">
        <v>1.8</v>
      </c>
    </row>
    <row r="51" spans="1:12" x14ac:dyDescent="0.3">
      <c r="A51" t="s">
        <v>191</v>
      </c>
      <c r="B51" s="25">
        <v>45991</v>
      </c>
      <c r="C51" t="s">
        <v>231</v>
      </c>
      <c r="D51" s="6">
        <v>3.1400000000000004E-2</v>
      </c>
      <c r="E51" s="6">
        <v>3.1E-2</v>
      </c>
      <c r="F51">
        <v>0.03</v>
      </c>
      <c r="G51">
        <v>18.8</v>
      </c>
      <c r="H51">
        <v>20.399999999999999</v>
      </c>
      <c r="I51">
        <v>-1.6</v>
      </c>
      <c r="J51">
        <v>37.6</v>
      </c>
      <c r="K51">
        <v>35.9</v>
      </c>
      <c r="L51">
        <v>1.7</v>
      </c>
    </row>
    <row r="52" spans="1:12" x14ac:dyDescent="0.3">
      <c r="A52" t="s">
        <v>191</v>
      </c>
      <c r="B52" s="25">
        <v>45991</v>
      </c>
      <c r="C52" t="s">
        <v>216</v>
      </c>
      <c r="D52" s="6">
        <v>2.6499999999999999E-2</v>
      </c>
      <c r="E52" s="6">
        <v>2.4500000000000001E-2</v>
      </c>
      <c r="F52">
        <v>0.2</v>
      </c>
      <c r="G52">
        <v>21.5</v>
      </c>
      <c r="H52">
        <v>19.600000000000001</v>
      </c>
      <c r="I52">
        <v>1.9</v>
      </c>
      <c r="J52">
        <v>37.799999999999997</v>
      </c>
      <c r="K52">
        <v>36</v>
      </c>
      <c r="L52">
        <v>1.8</v>
      </c>
    </row>
    <row r="53" spans="1:12" x14ac:dyDescent="0.3">
      <c r="A53" t="s">
        <v>191</v>
      </c>
      <c r="B53" s="25">
        <v>45991</v>
      </c>
      <c r="C53" t="s">
        <v>224</v>
      </c>
      <c r="D53" s="6">
        <v>2.2599999999999999E-2</v>
      </c>
      <c r="E53" s="6">
        <v>3.4000000000000002E-2</v>
      </c>
      <c r="F53">
        <v>-1.1399999999999999</v>
      </c>
      <c r="G53">
        <v>17.2</v>
      </c>
      <c r="H53">
        <v>20.2</v>
      </c>
      <c r="I53">
        <v>-3</v>
      </c>
      <c r="J53">
        <v>37.700000000000003</v>
      </c>
      <c r="K53">
        <v>35.799999999999997</v>
      </c>
      <c r="L53">
        <v>1.9</v>
      </c>
    </row>
    <row r="54" spans="1:12" x14ac:dyDescent="0.3">
      <c r="A54" t="s">
        <v>191</v>
      </c>
      <c r="B54" s="25">
        <v>45991</v>
      </c>
      <c r="C54" t="s">
        <v>234</v>
      </c>
      <c r="D54" s="6">
        <v>1.6399999999999998E-2</v>
      </c>
      <c r="E54" s="6">
        <v>3.2500000000000001E-2</v>
      </c>
      <c r="F54">
        <v>-1.61</v>
      </c>
      <c r="G54">
        <v>20</v>
      </c>
      <c r="H54">
        <v>18.8</v>
      </c>
      <c r="I54">
        <v>1.2</v>
      </c>
      <c r="J54">
        <v>37.9</v>
      </c>
      <c r="K54">
        <v>35.799999999999997</v>
      </c>
      <c r="L54">
        <v>2.1</v>
      </c>
    </row>
    <row r="55" spans="1:12" x14ac:dyDescent="0.3">
      <c r="A55" t="s">
        <v>191</v>
      </c>
      <c r="B55" s="25">
        <v>45991</v>
      </c>
      <c r="C55" t="s">
        <v>211</v>
      </c>
      <c r="D55" s="6">
        <v>1.55E-2</v>
      </c>
      <c r="E55" s="6">
        <v>3.5299999999999998E-2</v>
      </c>
      <c r="F55">
        <v>-1.99</v>
      </c>
      <c r="G55">
        <v>19</v>
      </c>
      <c r="H55">
        <v>20.3</v>
      </c>
      <c r="I55">
        <v>-1.2</v>
      </c>
      <c r="J55">
        <v>37.9</v>
      </c>
      <c r="K55">
        <v>35.799999999999997</v>
      </c>
      <c r="L55">
        <v>2.1</v>
      </c>
    </row>
    <row r="56" spans="1:12" x14ac:dyDescent="0.3">
      <c r="A56" t="s">
        <v>191</v>
      </c>
      <c r="B56" s="25">
        <v>45991</v>
      </c>
      <c r="C56" t="s">
        <v>226</v>
      </c>
      <c r="D56" s="6">
        <v>1.3500000000000002E-2</v>
      </c>
      <c r="E56" s="6">
        <v>2.9600000000000001E-2</v>
      </c>
      <c r="F56">
        <v>-1.61</v>
      </c>
      <c r="G56">
        <v>19</v>
      </c>
      <c r="H56">
        <v>19</v>
      </c>
      <c r="I56">
        <v>0</v>
      </c>
      <c r="J56">
        <v>37.9</v>
      </c>
      <c r="K56">
        <v>35.9</v>
      </c>
      <c r="L56">
        <v>2.1</v>
      </c>
    </row>
    <row r="57" spans="1:12" x14ac:dyDescent="0.3">
      <c r="A57" t="s">
        <v>191</v>
      </c>
      <c r="B57" s="25">
        <v>45991</v>
      </c>
      <c r="C57" t="s">
        <v>235</v>
      </c>
      <c r="D57" s="6">
        <v>1.1599999999999999E-2</v>
      </c>
      <c r="E57" s="6">
        <v>1.8000000000000002E-2</v>
      </c>
      <c r="F57">
        <v>-0.65</v>
      </c>
      <c r="G57">
        <v>18.8</v>
      </c>
      <c r="H57">
        <v>20.100000000000001</v>
      </c>
      <c r="I57">
        <v>-1.2</v>
      </c>
      <c r="J57">
        <v>38</v>
      </c>
      <c r="K57">
        <v>36.1</v>
      </c>
      <c r="L57">
        <v>1.9</v>
      </c>
    </row>
    <row r="58" spans="1:12" x14ac:dyDescent="0.3">
      <c r="A58" t="s">
        <v>191</v>
      </c>
      <c r="B58" s="25">
        <v>45991</v>
      </c>
      <c r="C58" t="s">
        <v>206</v>
      </c>
      <c r="D58" s="6">
        <v>5.0000000000000001E-3</v>
      </c>
      <c r="E58" s="6">
        <v>2.6800000000000001E-2</v>
      </c>
      <c r="F58">
        <v>-2.1800000000000002</v>
      </c>
      <c r="G58">
        <v>21.8</v>
      </c>
      <c r="H58">
        <v>20.7</v>
      </c>
      <c r="I58">
        <v>1.2</v>
      </c>
      <c r="J58">
        <v>38.1</v>
      </c>
      <c r="K58">
        <v>35.9</v>
      </c>
      <c r="L58">
        <v>2.2000000000000002</v>
      </c>
    </row>
    <row r="59" spans="1:12" x14ac:dyDescent="0.3">
      <c r="A59" t="s">
        <v>191</v>
      </c>
      <c r="B59" s="25">
        <v>45991</v>
      </c>
      <c r="C59" t="s">
        <v>233</v>
      </c>
      <c r="D59" s="6">
        <v>4.7999999999999996E-3</v>
      </c>
      <c r="E59" s="6">
        <v>3.3399999999999999E-2</v>
      </c>
      <c r="F59">
        <v>-2.86</v>
      </c>
      <c r="G59">
        <v>17.899999999999999</v>
      </c>
      <c r="H59">
        <v>19</v>
      </c>
      <c r="I59">
        <v>-1.2</v>
      </c>
      <c r="J59">
        <v>38.1</v>
      </c>
      <c r="K59">
        <v>35.799999999999997</v>
      </c>
      <c r="L59">
        <v>2.2999999999999998</v>
      </c>
    </row>
    <row r="60" spans="1:12" x14ac:dyDescent="0.3">
      <c r="A60" t="s">
        <v>191</v>
      </c>
      <c r="B60" s="25">
        <v>45991</v>
      </c>
      <c r="C60" t="s">
        <v>219</v>
      </c>
      <c r="D60" s="6">
        <v>4.3E-3</v>
      </c>
      <c r="E60" s="6">
        <v>2.7799999999999998E-2</v>
      </c>
      <c r="F60">
        <v>-2.35</v>
      </c>
      <c r="G60">
        <v>19</v>
      </c>
      <c r="H60">
        <v>20.100000000000001</v>
      </c>
      <c r="I60">
        <v>-1</v>
      </c>
      <c r="J60">
        <v>38.1</v>
      </c>
      <c r="K60">
        <v>35.9</v>
      </c>
      <c r="L60">
        <v>2.2000000000000002</v>
      </c>
    </row>
    <row r="61" spans="1:12" x14ac:dyDescent="0.3">
      <c r="A61" t="s">
        <v>191</v>
      </c>
      <c r="B61" s="25">
        <v>45991</v>
      </c>
      <c r="C61" t="s">
        <v>225</v>
      </c>
      <c r="D61" s="6">
        <v>4.0000000000000001E-3</v>
      </c>
      <c r="E61" s="6">
        <v>1.8799999999999997E-2</v>
      </c>
      <c r="F61">
        <v>-1.48</v>
      </c>
      <c r="G61">
        <v>18.600000000000001</v>
      </c>
      <c r="H61">
        <v>20.5</v>
      </c>
      <c r="I61">
        <v>-1.9</v>
      </c>
      <c r="J61">
        <v>38.1</v>
      </c>
      <c r="K61">
        <v>36.1</v>
      </c>
      <c r="L61">
        <v>2.1</v>
      </c>
    </row>
    <row r="62" spans="1:12" x14ac:dyDescent="0.3">
      <c r="A62" t="s">
        <v>193</v>
      </c>
      <c r="B62" s="25">
        <v>45991</v>
      </c>
      <c r="C62" t="s">
        <v>215</v>
      </c>
      <c r="D62" s="6">
        <v>7.2499999999999995E-2</v>
      </c>
      <c r="E62" s="6">
        <v>3.8900000000000004E-2</v>
      </c>
      <c r="F62">
        <v>3.36</v>
      </c>
      <c r="G62">
        <v>17.399999999999999</v>
      </c>
      <c r="H62">
        <v>22.1</v>
      </c>
      <c r="I62">
        <v>-4.7</v>
      </c>
      <c r="J62">
        <v>51.5</v>
      </c>
      <c r="K62">
        <v>47.5</v>
      </c>
      <c r="L62">
        <v>4.0999999999999996</v>
      </c>
    </row>
    <row r="63" spans="1:12" x14ac:dyDescent="0.3">
      <c r="A63" t="s">
        <v>193</v>
      </c>
      <c r="B63" s="25">
        <v>45991</v>
      </c>
      <c r="C63" t="s">
        <v>206</v>
      </c>
      <c r="D63" s="6">
        <v>6.7699999999999996E-2</v>
      </c>
      <c r="E63" s="6">
        <v>2.69E-2</v>
      </c>
      <c r="F63">
        <v>4.08</v>
      </c>
      <c r="G63">
        <v>20.2</v>
      </c>
      <c r="H63">
        <v>21.8</v>
      </c>
      <c r="I63">
        <v>-1.6</v>
      </c>
      <c r="J63">
        <v>51.9</v>
      </c>
      <c r="K63">
        <v>47.8</v>
      </c>
      <c r="L63">
        <v>4.0999999999999996</v>
      </c>
    </row>
    <row r="64" spans="1:12" x14ac:dyDescent="0.3">
      <c r="A64" t="s">
        <v>193</v>
      </c>
      <c r="B64" s="25">
        <v>45991</v>
      </c>
      <c r="C64" t="s">
        <v>205</v>
      </c>
      <c r="D64" s="6">
        <v>6.5799999999999997E-2</v>
      </c>
      <c r="E64" s="6">
        <v>3.7900000000000003E-2</v>
      </c>
      <c r="F64">
        <v>2.78</v>
      </c>
      <c r="G64">
        <v>22</v>
      </c>
      <c r="H64">
        <v>21.1</v>
      </c>
      <c r="I64">
        <v>0.9</v>
      </c>
      <c r="J64">
        <v>52.1</v>
      </c>
      <c r="K64">
        <v>47.5</v>
      </c>
      <c r="L64">
        <v>4.5999999999999996</v>
      </c>
    </row>
    <row r="65" spans="1:12" x14ac:dyDescent="0.3">
      <c r="A65" t="s">
        <v>193</v>
      </c>
      <c r="B65" s="25">
        <v>45991</v>
      </c>
      <c r="C65" t="s">
        <v>219</v>
      </c>
      <c r="D65" s="6">
        <v>6.3700000000000007E-2</v>
      </c>
      <c r="E65" s="6">
        <v>3.2799999999999996E-2</v>
      </c>
      <c r="F65">
        <v>3.09</v>
      </c>
      <c r="G65">
        <v>19.3</v>
      </c>
      <c r="H65">
        <v>21.2</v>
      </c>
      <c r="I65">
        <v>-2</v>
      </c>
      <c r="J65">
        <v>52</v>
      </c>
      <c r="K65">
        <v>47.6</v>
      </c>
      <c r="L65">
        <v>4.4000000000000004</v>
      </c>
    </row>
    <row r="66" spans="1:12" x14ac:dyDescent="0.3">
      <c r="A66" t="s">
        <v>193</v>
      </c>
      <c r="B66" s="25">
        <v>45991</v>
      </c>
      <c r="C66" t="s">
        <v>210</v>
      </c>
      <c r="D66" s="6">
        <v>5.21E-2</v>
      </c>
      <c r="E66" s="6">
        <v>2.8500000000000001E-2</v>
      </c>
      <c r="F66">
        <v>2.36</v>
      </c>
      <c r="G66">
        <v>18.5</v>
      </c>
      <c r="H66">
        <v>22.3</v>
      </c>
      <c r="I66">
        <v>-3.8</v>
      </c>
      <c r="J66">
        <v>52.3</v>
      </c>
      <c r="K66">
        <v>47.7</v>
      </c>
      <c r="L66">
        <v>4.5999999999999996</v>
      </c>
    </row>
    <row r="67" spans="1:12" x14ac:dyDescent="0.3">
      <c r="A67" t="s">
        <v>193</v>
      </c>
      <c r="B67" s="25">
        <v>45991</v>
      </c>
      <c r="C67" t="s">
        <v>212</v>
      </c>
      <c r="D67" s="6">
        <v>4.5599999999999995E-2</v>
      </c>
      <c r="E67" s="6">
        <v>3.2000000000000001E-2</v>
      </c>
      <c r="F67">
        <v>1.36</v>
      </c>
      <c r="G67">
        <v>23.3</v>
      </c>
      <c r="H67">
        <v>22.9</v>
      </c>
      <c r="I67">
        <v>0.4</v>
      </c>
      <c r="J67">
        <v>52.8</v>
      </c>
      <c r="K67">
        <v>47.7</v>
      </c>
      <c r="L67">
        <v>5.0999999999999996</v>
      </c>
    </row>
    <row r="68" spans="1:12" x14ac:dyDescent="0.3">
      <c r="A68" t="s">
        <v>193</v>
      </c>
      <c r="B68" s="25">
        <v>45991</v>
      </c>
      <c r="C68" t="s">
        <v>221</v>
      </c>
      <c r="D68" s="6">
        <v>3.8199999999999998E-2</v>
      </c>
      <c r="E68" s="6">
        <v>4.1799999999999997E-2</v>
      </c>
      <c r="F68">
        <v>-0.36</v>
      </c>
      <c r="G68">
        <v>19.7</v>
      </c>
      <c r="H68">
        <v>21.1</v>
      </c>
      <c r="I68">
        <v>-1.4</v>
      </c>
      <c r="J68">
        <v>52.9</v>
      </c>
      <c r="K68">
        <v>47.4</v>
      </c>
      <c r="L68">
        <v>5.5</v>
      </c>
    </row>
    <row r="69" spans="1:12" x14ac:dyDescent="0.3">
      <c r="A69" t="s">
        <v>193</v>
      </c>
      <c r="B69" s="25">
        <v>45991</v>
      </c>
      <c r="C69" t="s">
        <v>207</v>
      </c>
      <c r="D69" s="6">
        <v>3.3099999999999997E-2</v>
      </c>
      <c r="E69" s="6">
        <v>3.39E-2</v>
      </c>
      <c r="F69">
        <v>-0.08</v>
      </c>
      <c r="G69">
        <v>22.5</v>
      </c>
      <c r="H69">
        <v>21.6</v>
      </c>
      <c r="I69">
        <v>0.9</v>
      </c>
      <c r="J69">
        <v>53.2</v>
      </c>
      <c r="K69">
        <v>47.6</v>
      </c>
      <c r="L69">
        <v>5.6</v>
      </c>
    </row>
    <row r="70" spans="1:12" x14ac:dyDescent="0.3">
      <c r="A70" t="s">
        <v>193</v>
      </c>
      <c r="B70" s="25">
        <v>45991</v>
      </c>
      <c r="C70" t="s">
        <v>222</v>
      </c>
      <c r="D70" s="6">
        <v>3.3000000000000002E-2</v>
      </c>
      <c r="E70" s="6">
        <v>2.7000000000000003E-2</v>
      </c>
      <c r="F70">
        <v>0.6</v>
      </c>
      <c r="G70">
        <v>20</v>
      </c>
      <c r="H70">
        <v>21.6</v>
      </c>
      <c r="I70">
        <v>-1.6</v>
      </c>
      <c r="J70">
        <v>53.1</v>
      </c>
      <c r="K70">
        <v>47.8</v>
      </c>
      <c r="L70">
        <v>5.3</v>
      </c>
    </row>
    <row r="71" spans="1:12" x14ac:dyDescent="0.3">
      <c r="A71" t="s">
        <v>193</v>
      </c>
      <c r="B71" s="25">
        <v>45991</v>
      </c>
      <c r="C71" t="s">
        <v>218</v>
      </c>
      <c r="D71" s="6">
        <v>3.1400000000000004E-2</v>
      </c>
      <c r="E71" s="6">
        <v>3.3500000000000002E-2</v>
      </c>
      <c r="F71">
        <v>-0.21</v>
      </c>
      <c r="G71">
        <v>18.600000000000001</v>
      </c>
      <c r="H71">
        <v>22.6</v>
      </c>
      <c r="I71">
        <v>-4.0999999999999996</v>
      </c>
      <c r="J71">
        <v>53.1</v>
      </c>
      <c r="K71">
        <v>47.6</v>
      </c>
      <c r="L71">
        <v>5.4</v>
      </c>
    </row>
    <row r="72" spans="1:12" x14ac:dyDescent="0.3">
      <c r="A72" t="s">
        <v>193</v>
      </c>
      <c r="B72" s="25">
        <v>45991</v>
      </c>
      <c r="C72" t="s">
        <v>217</v>
      </c>
      <c r="D72" s="6">
        <v>2.4199999999999999E-2</v>
      </c>
      <c r="E72" s="6">
        <v>3.1099999999999999E-2</v>
      </c>
      <c r="F72">
        <v>-0.7</v>
      </c>
      <c r="G72">
        <v>19.100000000000001</v>
      </c>
      <c r="H72">
        <v>22.3</v>
      </c>
      <c r="I72">
        <v>-3.3</v>
      </c>
      <c r="J72">
        <v>53.4</v>
      </c>
      <c r="K72">
        <v>47.7</v>
      </c>
      <c r="L72">
        <v>5.7</v>
      </c>
    </row>
    <row r="73" spans="1:12" x14ac:dyDescent="0.3">
      <c r="A73" t="s">
        <v>193</v>
      </c>
      <c r="B73" s="25">
        <v>45991</v>
      </c>
      <c r="C73" t="s">
        <v>213</v>
      </c>
      <c r="D73" s="6">
        <v>2.4199999999999999E-2</v>
      </c>
      <c r="E73" s="6">
        <v>3.1899999999999998E-2</v>
      </c>
      <c r="F73">
        <v>-0.78</v>
      </c>
      <c r="G73">
        <v>21.1</v>
      </c>
      <c r="H73">
        <v>22.6</v>
      </c>
      <c r="I73">
        <v>-1.4</v>
      </c>
      <c r="J73">
        <v>53.4</v>
      </c>
      <c r="K73">
        <v>47.7</v>
      </c>
      <c r="L73">
        <v>5.7</v>
      </c>
    </row>
    <row r="74" spans="1:12" x14ac:dyDescent="0.3">
      <c r="A74" t="s">
        <v>193</v>
      </c>
      <c r="B74" s="25">
        <v>45991</v>
      </c>
      <c r="C74" t="s">
        <v>204</v>
      </c>
      <c r="D74" s="6">
        <v>2.3199999999999998E-2</v>
      </c>
      <c r="E74" s="6">
        <v>2.4700000000000003E-2</v>
      </c>
      <c r="F74">
        <v>-0.16</v>
      </c>
      <c r="G74">
        <v>18.7</v>
      </c>
      <c r="H74">
        <v>21.7</v>
      </c>
      <c r="I74">
        <v>-3</v>
      </c>
      <c r="J74">
        <v>53.4</v>
      </c>
      <c r="K74">
        <v>47.8</v>
      </c>
      <c r="L74">
        <v>5.6</v>
      </c>
    </row>
    <row r="75" spans="1:12" x14ac:dyDescent="0.3">
      <c r="A75" t="s">
        <v>193</v>
      </c>
      <c r="B75" s="25">
        <v>45991</v>
      </c>
      <c r="C75" t="s">
        <v>203</v>
      </c>
      <c r="D75" s="6">
        <v>2.0299999999999999E-2</v>
      </c>
      <c r="E75" s="6">
        <v>3.2099999999999997E-2</v>
      </c>
      <c r="F75">
        <v>-1.17</v>
      </c>
      <c r="G75">
        <v>21.7</v>
      </c>
      <c r="H75">
        <v>21.7</v>
      </c>
      <c r="I75">
        <v>-0.1</v>
      </c>
      <c r="J75">
        <v>53.5</v>
      </c>
      <c r="K75">
        <v>47.7</v>
      </c>
      <c r="L75">
        <v>5.9</v>
      </c>
    </row>
    <row r="76" spans="1:12" x14ac:dyDescent="0.3">
      <c r="A76" t="s">
        <v>193</v>
      </c>
      <c r="B76" s="25">
        <v>45991</v>
      </c>
      <c r="C76" t="s">
        <v>208</v>
      </c>
      <c r="D76" s="6">
        <v>1.8000000000000002E-2</v>
      </c>
      <c r="E76" s="6">
        <v>2.0299999999999999E-2</v>
      </c>
      <c r="F76">
        <v>-0.23</v>
      </c>
      <c r="G76">
        <v>23.3</v>
      </c>
      <c r="H76">
        <v>22.6</v>
      </c>
      <c r="I76">
        <v>0.7</v>
      </c>
      <c r="J76">
        <v>53.6</v>
      </c>
      <c r="K76">
        <v>48</v>
      </c>
      <c r="L76">
        <v>5.7</v>
      </c>
    </row>
    <row r="77" spans="1:12" x14ac:dyDescent="0.3">
      <c r="A77" t="s">
        <v>193</v>
      </c>
      <c r="B77" s="25">
        <v>45991</v>
      </c>
      <c r="C77" t="s">
        <v>209</v>
      </c>
      <c r="D77" s="6">
        <v>1.4999999999999999E-2</v>
      </c>
      <c r="E77" s="6">
        <v>2.7400000000000001E-2</v>
      </c>
      <c r="F77">
        <v>-1.25</v>
      </c>
      <c r="G77">
        <v>22.6</v>
      </c>
      <c r="H77">
        <v>21.4</v>
      </c>
      <c r="I77">
        <v>1.2</v>
      </c>
      <c r="J77">
        <v>53.7</v>
      </c>
      <c r="K77">
        <v>47.8</v>
      </c>
      <c r="L77">
        <v>6</v>
      </c>
    </row>
    <row r="78" spans="1:12" x14ac:dyDescent="0.3">
      <c r="A78" t="s">
        <v>193</v>
      </c>
      <c r="B78" s="25">
        <v>45991</v>
      </c>
      <c r="C78" t="s">
        <v>220</v>
      </c>
      <c r="D78" s="6">
        <v>1.2699999999999999E-2</v>
      </c>
      <c r="E78" s="6">
        <v>2.7699999999999999E-2</v>
      </c>
      <c r="F78">
        <v>-1.49</v>
      </c>
      <c r="G78">
        <v>25</v>
      </c>
      <c r="H78">
        <v>23.3</v>
      </c>
      <c r="I78">
        <v>1.7</v>
      </c>
      <c r="J78">
        <v>53.8</v>
      </c>
      <c r="K78">
        <v>47.8</v>
      </c>
      <c r="L78">
        <v>6</v>
      </c>
    </row>
    <row r="79" spans="1:12" x14ac:dyDescent="0.3">
      <c r="A79" t="s">
        <v>193</v>
      </c>
      <c r="B79" s="25">
        <v>45991</v>
      </c>
      <c r="C79" t="s">
        <v>216</v>
      </c>
      <c r="D79" s="6">
        <v>6.8000000000000005E-3</v>
      </c>
      <c r="E79" s="6">
        <v>2.53E-2</v>
      </c>
      <c r="F79">
        <v>-1.84</v>
      </c>
      <c r="G79">
        <v>18.7</v>
      </c>
      <c r="H79">
        <v>21.2</v>
      </c>
      <c r="I79">
        <v>-2.6</v>
      </c>
      <c r="J79">
        <v>54</v>
      </c>
      <c r="K79">
        <v>47.8</v>
      </c>
      <c r="L79">
        <v>6.1</v>
      </c>
    </row>
    <row r="80" spans="1:12" x14ac:dyDescent="0.3">
      <c r="A80" t="s">
        <v>193</v>
      </c>
      <c r="B80" s="25">
        <v>45991</v>
      </c>
      <c r="C80" t="s">
        <v>214</v>
      </c>
      <c r="D80" s="6">
        <v>6.0000000000000001E-3</v>
      </c>
      <c r="E80" s="6">
        <v>2.4500000000000001E-2</v>
      </c>
      <c r="F80">
        <v>-1.85</v>
      </c>
      <c r="G80">
        <v>24.7</v>
      </c>
      <c r="H80">
        <v>21.9</v>
      </c>
      <c r="I80">
        <v>2.8</v>
      </c>
      <c r="J80">
        <v>54</v>
      </c>
      <c r="K80">
        <v>47.9</v>
      </c>
      <c r="L80">
        <v>6.2</v>
      </c>
    </row>
    <row r="81" spans="1:12" x14ac:dyDescent="0.3">
      <c r="A81" t="s">
        <v>193</v>
      </c>
      <c r="B81" s="25">
        <v>45991</v>
      </c>
      <c r="C81" t="s">
        <v>211</v>
      </c>
      <c r="D81" s="6">
        <v>1.2999999999999999E-3</v>
      </c>
      <c r="E81" s="6">
        <v>3.1400000000000004E-2</v>
      </c>
      <c r="F81">
        <v>-3.01</v>
      </c>
      <c r="G81">
        <v>18.3</v>
      </c>
      <c r="H81">
        <v>21.6</v>
      </c>
      <c r="I81">
        <v>-3.3</v>
      </c>
      <c r="J81">
        <v>54.2</v>
      </c>
      <c r="K81">
        <v>47.7</v>
      </c>
      <c r="L81">
        <v>6.5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3AAA-AD90-4D13-9AEF-48E079195C36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D249-5570-4E05-9E49-E07572163E05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7B8A-D502-4F08-B89C-B9E50F801953}">
  <sheetPr>
    <tabColor theme="4" tint="0.39997558519241921"/>
  </sheetPr>
  <dimension ref="A1:G49"/>
  <sheetViews>
    <sheetView zoomScale="57" workbookViewId="0">
      <selection activeCell="A2" sqref="A2:K49"/>
    </sheetView>
  </sheetViews>
  <sheetFormatPr defaultRowHeight="14.4" outlineLevelRow="1" x14ac:dyDescent="0.3"/>
  <cols>
    <col min="1" max="3" width="19.5546875" customWidth="1"/>
    <col min="4" max="6" width="19.5546875" style="4" customWidth="1"/>
    <col min="7" max="7" width="23.33203125" style="6" bestFit="1" customWidth="1"/>
  </cols>
  <sheetData>
    <row r="1" spans="1:7" x14ac:dyDescent="0.3">
      <c r="A1" s="13" t="s">
        <v>290</v>
      </c>
      <c r="B1" s="13" t="s">
        <v>22</v>
      </c>
      <c r="C1" s="13" t="s">
        <v>197</v>
      </c>
      <c r="D1" s="21" t="s">
        <v>289</v>
      </c>
      <c r="E1" s="21" t="s">
        <v>288</v>
      </c>
      <c r="F1" s="21" t="s">
        <v>287</v>
      </c>
      <c r="G1" s="22" t="s">
        <v>286</v>
      </c>
    </row>
    <row r="2" spans="1:7" outlineLevel="1" x14ac:dyDescent="0.3">
      <c r="A2" t="s">
        <v>49</v>
      </c>
      <c r="B2" t="s">
        <v>192</v>
      </c>
      <c r="C2" s="31">
        <v>45657</v>
      </c>
      <c r="D2" s="10">
        <v>4940184.01</v>
      </c>
      <c r="E2" s="10">
        <v>395214.72</v>
      </c>
      <c r="F2" s="10">
        <v>4544969.3</v>
      </c>
      <c r="G2" s="29">
        <v>7.9999999838062705E-2</v>
      </c>
    </row>
    <row r="3" spans="1:7" outlineLevel="1" x14ac:dyDescent="0.3">
      <c r="A3" t="s">
        <v>49</v>
      </c>
      <c r="B3" t="s">
        <v>192</v>
      </c>
      <c r="C3" s="31">
        <v>45688</v>
      </c>
      <c r="D3" s="10">
        <v>4945476.58</v>
      </c>
      <c r="E3" s="10">
        <v>395638.15</v>
      </c>
      <c r="F3" s="10">
        <v>4549838.4300000006</v>
      </c>
      <c r="G3" s="29">
        <v>8.0000004772037558E-2</v>
      </c>
    </row>
    <row r="4" spans="1:7" outlineLevel="1" x14ac:dyDescent="0.3">
      <c r="A4" t="s">
        <v>49</v>
      </c>
      <c r="B4" t="s">
        <v>192</v>
      </c>
      <c r="C4" s="31">
        <v>45716</v>
      </c>
      <c r="D4" s="10">
        <v>5097956.58</v>
      </c>
      <c r="E4" s="10">
        <v>407836.52</v>
      </c>
      <c r="F4" s="10">
        <v>4690120.04</v>
      </c>
      <c r="G4" s="29">
        <v>7.9999998744595041E-2</v>
      </c>
    </row>
    <row r="5" spans="1:7" outlineLevel="1" x14ac:dyDescent="0.3">
      <c r="A5" t="s">
        <v>49</v>
      </c>
      <c r="B5" t="s">
        <v>192</v>
      </c>
      <c r="C5" s="31">
        <v>45747</v>
      </c>
      <c r="D5" s="10">
        <v>4798627.17</v>
      </c>
      <c r="E5" s="10">
        <v>383890.18</v>
      </c>
      <c r="F5" s="10">
        <v>4414736.99</v>
      </c>
      <c r="G5" s="29">
        <v>8.0000001333714779E-2</v>
      </c>
    </row>
    <row r="6" spans="1:7" outlineLevel="1" x14ac:dyDescent="0.3">
      <c r="A6" t="s">
        <v>49</v>
      </c>
      <c r="B6" t="s">
        <v>192</v>
      </c>
      <c r="C6" s="31">
        <v>45777</v>
      </c>
      <c r="D6" s="10">
        <v>5130043.51</v>
      </c>
      <c r="E6" s="10">
        <v>410403.46</v>
      </c>
      <c r="F6" s="10">
        <v>4719640</v>
      </c>
      <c r="G6" s="29">
        <v>7.9999995945453484E-2</v>
      </c>
    </row>
    <row r="7" spans="1:7" outlineLevel="1" x14ac:dyDescent="0.3">
      <c r="A7" t="s">
        <v>49</v>
      </c>
      <c r="B7" t="s">
        <v>192</v>
      </c>
      <c r="C7" s="31">
        <v>45808</v>
      </c>
      <c r="D7" s="10">
        <v>5118072.24</v>
      </c>
      <c r="E7" s="10">
        <v>409445.78</v>
      </c>
      <c r="F7" s="10">
        <v>4708626.47</v>
      </c>
      <c r="G7" s="29">
        <v>8.0000000156308843E-2</v>
      </c>
    </row>
    <row r="8" spans="1:7" outlineLevel="1" x14ac:dyDescent="0.3">
      <c r="A8" t="s">
        <v>49</v>
      </c>
      <c r="B8" t="s">
        <v>192</v>
      </c>
      <c r="C8" s="31">
        <v>45838</v>
      </c>
      <c r="D8" s="10">
        <v>5078523.72</v>
      </c>
      <c r="E8" s="10">
        <v>406281.89</v>
      </c>
      <c r="F8" s="10">
        <v>4672241.82</v>
      </c>
      <c r="G8" s="29">
        <v>7.9999998503502118E-2</v>
      </c>
    </row>
    <row r="9" spans="1:7" outlineLevel="1" x14ac:dyDescent="0.3">
      <c r="A9" t="s">
        <v>49</v>
      </c>
      <c r="B9" t="s">
        <v>192</v>
      </c>
      <c r="C9" s="31">
        <v>45869</v>
      </c>
      <c r="D9" s="10">
        <v>4960085</v>
      </c>
      <c r="E9" s="10">
        <v>396806.8</v>
      </c>
      <c r="F9" s="10">
        <v>4563278.1899999985</v>
      </c>
      <c r="G9" s="29">
        <v>0.08</v>
      </c>
    </row>
    <row r="10" spans="1:7" outlineLevel="1" x14ac:dyDescent="0.3">
      <c r="A10" t="s">
        <v>49</v>
      </c>
      <c r="B10" t="s">
        <v>192</v>
      </c>
      <c r="C10" s="31">
        <v>45900</v>
      </c>
      <c r="D10" s="10">
        <v>4714838.26</v>
      </c>
      <c r="E10" s="10">
        <v>377187.07</v>
      </c>
      <c r="F10" s="10">
        <v>4337651.2</v>
      </c>
      <c r="G10" s="29">
        <v>8.0000001951286454E-2</v>
      </c>
    </row>
    <row r="11" spans="1:7" outlineLevel="1" x14ac:dyDescent="0.3">
      <c r="A11" t="s">
        <v>49</v>
      </c>
      <c r="B11" t="s">
        <v>192</v>
      </c>
      <c r="C11" s="31">
        <v>45930</v>
      </c>
      <c r="D11" s="10">
        <v>4964355.0599999996</v>
      </c>
      <c r="E11" s="10">
        <v>397148.41</v>
      </c>
      <c r="F11" s="10">
        <v>4567206.66</v>
      </c>
      <c r="G11" s="29">
        <v>8.0000001047467378E-2</v>
      </c>
    </row>
    <row r="12" spans="1:7" outlineLevel="1" x14ac:dyDescent="0.3">
      <c r="A12" t="s">
        <v>49</v>
      </c>
      <c r="B12" t="s">
        <v>192</v>
      </c>
      <c r="C12" s="31">
        <v>45961</v>
      </c>
      <c r="D12" s="10">
        <v>4775615.8100000015</v>
      </c>
      <c r="E12" s="10">
        <v>382049.26</v>
      </c>
      <c r="F12" s="10">
        <v>4393566.55</v>
      </c>
      <c r="G12" s="29">
        <v>7.9999998994894017E-2</v>
      </c>
    </row>
    <row r="13" spans="1:7" outlineLevel="1" x14ac:dyDescent="0.3">
      <c r="A13" t="s">
        <v>49</v>
      </c>
      <c r="B13" t="s">
        <v>192</v>
      </c>
      <c r="C13" s="31">
        <v>45991</v>
      </c>
      <c r="D13" s="10">
        <v>4730839.96</v>
      </c>
      <c r="E13" s="10">
        <v>378467.21</v>
      </c>
      <c r="F13" s="10">
        <v>4352372.76</v>
      </c>
      <c r="G13" s="29">
        <v>8.0000002790202182E-2</v>
      </c>
    </row>
    <row r="14" spans="1:7" outlineLevel="1" x14ac:dyDescent="0.3">
      <c r="A14" t="s">
        <v>49</v>
      </c>
      <c r="B14" t="s">
        <v>191</v>
      </c>
      <c r="C14" s="31">
        <v>45657</v>
      </c>
      <c r="D14" s="10">
        <v>3747082.77</v>
      </c>
      <c r="E14" s="10">
        <v>299766.61</v>
      </c>
      <c r="F14" s="10">
        <v>3447316.14</v>
      </c>
      <c r="G14" s="29">
        <v>7.9999996904258394E-2</v>
      </c>
    </row>
    <row r="15" spans="1:7" outlineLevel="1" x14ac:dyDescent="0.3">
      <c r="A15" t="s">
        <v>49</v>
      </c>
      <c r="B15" t="s">
        <v>191</v>
      </c>
      <c r="C15" s="31">
        <v>45688</v>
      </c>
      <c r="D15" s="10">
        <v>3500846.47</v>
      </c>
      <c r="E15" s="10">
        <v>280067.73</v>
      </c>
      <c r="F15" s="10">
        <v>3220778.74</v>
      </c>
      <c r="G15" s="29">
        <v>8.00000035420005E-2</v>
      </c>
    </row>
    <row r="16" spans="1:7" outlineLevel="1" x14ac:dyDescent="0.3">
      <c r="A16" t="s">
        <v>49</v>
      </c>
      <c r="B16" t="s">
        <v>191</v>
      </c>
      <c r="C16" s="31">
        <v>45716</v>
      </c>
      <c r="D16" s="10">
        <v>3748702.2</v>
      </c>
      <c r="E16" s="10">
        <v>299896.17</v>
      </c>
      <c r="F16" s="10">
        <v>3448806.03</v>
      </c>
      <c r="G16" s="29">
        <v>7.9999998399446076E-2</v>
      </c>
    </row>
    <row r="17" spans="1:7" outlineLevel="1" x14ac:dyDescent="0.3">
      <c r="A17" t="s">
        <v>49</v>
      </c>
      <c r="B17" t="s">
        <v>191</v>
      </c>
      <c r="C17" s="31">
        <v>45747</v>
      </c>
      <c r="D17" s="10">
        <v>3445137.06</v>
      </c>
      <c r="E17" s="10">
        <v>275610.96999999997</v>
      </c>
      <c r="F17" s="10">
        <v>3169526.11</v>
      </c>
      <c r="G17" s="29">
        <v>8.0000001509373919E-2</v>
      </c>
    </row>
    <row r="18" spans="1:7" outlineLevel="1" x14ac:dyDescent="0.3">
      <c r="A18" t="s">
        <v>49</v>
      </c>
      <c r="B18" t="s">
        <v>191</v>
      </c>
      <c r="C18" s="31">
        <v>45777</v>
      </c>
      <c r="D18" s="10">
        <v>3588184.95</v>
      </c>
      <c r="E18" s="10">
        <v>287054.8</v>
      </c>
      <c r="F18" s="10">
        <v>3301130.13</v>
      </c>
      <c r="G18" s="29">
        <v>8.0000001114769737E-2</v>
      </c>
    </row>
    <row r="19" spans="1:7" outlineLevel="1" x14ac:dyDescent="0.3">
      <c r="A19" t="s">
        <v>49</v>
      </c>
      <c r="B19" t="s">
        <v>191</v>
      </c>
      <c r="C19" s="31">
        <v>45808</v>
      </c>
      <c r="D19" s="10">
        <v>3758677.53</v>
      </c>
      <c r="E19" s="10">
        <v>300694.2</v>
      </c>
      <c r="F19" s="10">
        <v>3457983.33</v>
      </c>
      <c r="G19" s="29">
        <v>7.9999999361477545E-2</v>
      </c>
    </row>
    <row r="20" spans="1:7" outlineLevel="1" x14ac:dyDescent="0.3">
      <c r="A20" t="s">
        <v>49</v>
      </c>
      <c r="B20" t="s">
        <v>191</v>
      </c>
      <c r="C20" s="31">
        <v>45838</v>
      </c>
      <c r="D20" s="10">
        <v>3232425.67</v>
      </c>
      <c r="E20" s="10">
        <v>258594.05</v>
      </c>
      <c r="F20" s="10">
        <v>2973831.64</v>
      </c>
      <c r="G20" s="29">
        <v>7.9999998886285298E-2</v>
      </c>
    </row>
    <row r="21" spans="1:7" outlineLevel="1" x14ac:dyDescent="0.3">
      <c r="A21" t="s">
        <v>49</v>
      </c>
      <c r="B21" t="s">
        <v>191</v>
      </c>
      <c r="C21" s="31">
        <v>45869</v>
      </c>
      <c r="D21" s="10">
        <v>3263726.62</v>
      </c>
      <c r="E21" s="10">
        <v>261098.15</v>
      </c>
      <c r="F21" s="10">
        <v>3002628.5</v>
      </c>
      <c r="G21" s="29">
        <v>8.0000006250523517E-2</v>
      </c>
    </row>
    <row r="22" spans="1:7" outlineLevel="1" x14ac:dyDescent="0.3">
      <c r="A22" t="s">
        <v>49</v>
      </c>
      <c r="B22" t="s">
        <v>191</v>
      </c>
      <c r="C22" s="31">
        <v>45900</v>
      </c>
      <c r="D22" s="10">
        <v>3743861.71</v>
      </c>
      <c r="E22" s="10">
        <v>299508.94</v>
      </c>
      <c r="F22" s="10">
        <v>3444352.79</v>
      </c>
      <c r="G22" s="29">
        <v>8.0000000854732425E-2</v>
      </c>
    </row>
    <row r="23" spans="1:7" outlineLevel="1" x14ac:dyDescent="0.3">
      <c r="A23" t="s">
        <v>49</v>
      </c>
      <c r="B23" t="s">
        <v>191</v>
      </c>
      <c r="C23" s="31">
        <v>45930</v>
      </c>
      <c r="D23" s="10">
        <v>3480749.5</v>
      </c>
      <c r="E23" s="10">
        <v>278459.96000000002</v>
      </c>
      <c r="F23" s="10">
        <v>3202289.55</v>
      </c>
      <c r="G23" s="29">
        <v>0.08</v>
      </c>
    </row>
    <row r="24" spans="1:7" outlineLevel="1" x14ac:dyDescent="0.3">
      <c r="A24" t="s">
        <v>49</v>
      </c>
      <c r="B24" t="s">
        <v>191</v>
      </c>
      <c r="C24" s="31">
        <v>45961</v>
      </c>
      <c r="D24" s="10">
        <v>3354508.76</v>
      </c>
      <c r="E24" s="10">
        <v>268360.71999999997</v>
      </c>
      <c r="F24" s="10">
        <v>3086148.04</v>
      </c>
      <c r="G24" s="29">
        <v>8.0000005723639855E-2</v>
      </c>
    </row>
    <row r="25" spans="1:7" outlineLevel="1" x14ac:dyDescent="0.3">
      <c r="A25" t="s">
        <v>49</v>
      </c>
      <c r="B25" t="s">
        <v>191</v>
      </c>
      <c r="C25" s="31">
        <v>45991</v>
      </c>
      <c r="D25" s="10">
        <v>3312396.49</v>
      </c>
      <c r="E25" s="10">
        <v>264991.73</v>
      </c>
      <c r="F25" s="10">
        <v>3047404.75</v>
      </c>
      <c r="G25" s="29">
        <v>8.0000003260479235E-2</v>
      </c>
    </row>
    <row r="26" spans="1:7" outlineLevel="1" x14ac:dyDescent="0.3">
      <c r="A26" t="s">
        <v>49</v>
      </c>
      <c r="B26" t="s">
        <v>193</v>
      </c>
      <c r="C26" s="31">
        <v>45657</v>
      </c>
      <c r="D26" s="10">
        <v>8834520.3200000003</v>
      </c>
      <c r="E26" s="10">
        <v>706761.63</v>
      </c>
      <c r="F26" s="10">
        <v>8127758.7000000002</v>
      </c>
      <c r="G26" s="29">
        <v>8.0000000498046286E-2</v>
      </c>
    </row>
    <row r="27" spans="1:7" outlineLevel="1" x14ac:dyDescent="0.3">
      <c r="A27" t="s">
        <v>49</v>
      </c>
      <c r="B27" t="s">
        <v>193</v>
      </c>
      <c r="C27" s="31">
        <v>45688</v>
      </c>
      <c r="D27" s="10">
        <v>8338226.6900000004</v>
      </c>
      <c r="E27" s="10">
        <v>667058.13</v>
      </c>
      <c r="F27" s="10">
        <v>7671168.5600000015</v>
      </c>
      <c r="G27" s="29">
        <v>7.999999937636619E-2</v>
      </c>
    </row>
    <row r="28" spans="1:7" outlineLevel="1" x14ac:dyDescent="0.3">
      <c r="A28" t="s">
        <v>49</v>
      </c>
      <c r="B28" t="s">
        <v>193</v>
      </c>
      <c r="C28" s="31">
        <v>45716</v>
      </c>
      <c r="D28" s="10">
        <v>7923387.6900000004</v>
      </c>
      <c r="E28" s="10">
        <v>633871.02</v>
      </c>
      <c r="F28" s="10">
        <v>7289516.6899999985</v>
      </c>
      <c r="G28" s="29">
        <v>8.000000060580148E-2</v>
      </c>
    </row>
    <row r="29" spans="1:7" outlineLevel="1" x14ac:dyDescent="0.3">
      <c r="A29" t="s">
        <v>49</v>
      </c>
      <c r="B29" t="s">
        <v>193</v>
      </c>
      <c r="C29" s="31">
        <v>45747</v>
      </c>
      <c r="D29" s="10">
        <v>8130355.0099999998</v>
      </c>
      <c r="E29" s="10">
        <v>650428.4</v>
      </c>
      <c r="F29" s="10">
        <v>7479926.6100000003</v>
      </c>
      <c r="G29" s="29">
        <v>7.9999999901603322E-2</v>
      </c>
    </row>
    <row r="30" spans="1:7" outlineLevel="1" x14ac:dyDescent="0.3">
      <c r="A30" t="s">
        <v>49</v>
      </c>
      <c r="B30" t="s">
        <v>193</v>
      </c>
      <c r="C30" s="31">
        <v>45777</v>
      </c>
      <c r="D30" s="10">
        <v>8425323.4299999997</v>
      </c>
      <c r="E30" s="10">
        <v>674025.87</v>
      </c>
      <c r="F30" s="10">
        <v>7751297.5700000003</v>
      </c>
      <c r="G30" s="29">
        <v>7.9999999477764858E-2</v>
      </c>
    </row>
    <row r="31" spans="1:7" outlineLevel="1" x14ac:dyDescent="0.3">
      <c r="A31" t="s">
        <v>49</v>
      </c>
      <c r="B31" t="s">
        <v>193</v>
      </c>
      <c r="C31" s="31">
        <v>45808</v>
      </c>
      <c r="D31" s="10">
        <v>8020998.6199999992</v>
      </c>
      <c r="E31" s="10">
        <v>641679.89</v>
      </c>
      <c r="F31" s="10">
        <v>7379318.7300000004</v>
      </c>
      <c r="G31" s="29">
        <v>8.0000000049869111E-2</v>
      </c>
    </row>
    <row r="32" spans="1:7" outlineLevel="1" x14ac:dyDescent="0.3">
      <c r="A32" t="s">
        <v>49</v>
      </c>
      <c r="B32" t="s">
        <v>193</v>
      </c>
      <c r="C32" s="31">
        <v>45838</v>
      </c>
      <c r="D32" s="10">
        <v>8832351.1699999999</v>
      </c>
      <c r="E32" s="10">
        <v>706588.08000000007</v>
      </c>
      <c r="F32" s="10">
        <v>8125763.0700000003</v>
      </c>
      <c r="G32" s="29">
        <v>7.9999998460206154E-2</v>
      </c>
    </row>
    <row r="33" spans="1:7" outlineLevel="1" x14ac:dyDescent="0.3">
      <c r="A33" t="s">
        <v>49</v>
      </c>
      <c r="B33" t="s">
        <v>193</v>
      </c>
      <c r="C33" s="31">
        <v>45869</v>
      </c>
      <c r="D33" s="10">
        <v>8085534.5299999993</v>
      </c>
      <c r="E33" s="10">
        <v>646842.76</v>
      </c>
      <c r="F33" s="10">
        <v>7438691.7699999996</v>
      </c>
      <c r="G33" s="29">
        <v>7.9999999703173619E-2</v>
      </c>
    </row>
    <row r="34" spans="1:7" outlineLevel="1" x14ac:dyDescent="0.3">
      <c r="A34" t="s">
        <v>49</v>
      </c>
      <c r="B34" t="s">
        <v>193</v>
      </c>
      <c r="C34" s="31">
        <v>45900</v>
      </c>
      <c r="D34" s="10">
        <v>7929744.21</v>
      </c>
      <c r="E34" s="10">
        <v>634379.53</v>
      </c>
      <c r="F34" s="10">
        <v>7295364.6600000001</v>
      </c>
      <c r="G34" s="29">
        <v>7.9999999142469191E-2</v>
      </c>
    </row>
    <row r="35" spans="1:7" outlineLevel="1" x14ac:dyDescent="0.3">
      <c r="A35" t="s">
        <v>49</v>
      </c>
      <c r="B35" t="s">
        <v>193</v>
      </c>
      <c r="C35" s="31">
        <v>45930</v>
      </c>
      <c r="D35" s="10">
        <v>7858675.9399999985</v>
      </c>
      <c r="E35" s="10">
        <v>628694.07000000007</v>
      </c>
      <c r="F35" s="10">
        <v>7229981.8600000003</v>
      </c>
      <c r="G35" s="29">
        <v>7.9999999338310937E-2</v>
      </c>
    </row>
    <row r="36" spans="1:7" outlineLevel="1" x14ac:dyDescent="0.3">
      <c r="A36" t="s">
        <v>49</v>
      </c>
      <c r="B36" t="s">
        <v>193</v>
      </c>
      <c r="C36" s="31">
        <v>45961</v>
      </c>
      <c r="D36" s="10">
        <v>8078538.2300000004</v>
      </c>
      <c r="E36" s="10">
        <v>646283.07999999996</v>
      </c>
      <c r="F36" s="10">
        <v>7432255.1699999999</v>
      </c>
      <c r="G36" s="29">
        <v>8.0000002673751042E-2</v>
      </c>
    </row>
    <row r="37" spans="1:7" outlineLevel="1" x14ac:dyDescent="0.3">
      <c r="A37" t="s">
        <v>49</v>
      </c>
      <c r="B37" t="s">
        <v>193</v>
      </c>
      <c r="C37" s="31">
        <v>45991</v>
      </c>
      <c r="D37" s="10">
        <v>9201355.1899999995</v>
      </c>
      <c r="E37" s="10">
        <v>736108.42</v>
      </c>
      <c r="F37" s="10">
        <v>8465246.7699999996</v>
      </c>
      <c r="G37" s="29">
        <v>8.0000000521662298E-2</v>
      </c>
    </row>
    <row r="38" spans="1:7" x14ac:dyDescent="0.3">
      <c r="A38" t="s">
        <v>49</v>
      </c>
      <c r="B38" t="s">
        <v>186</v>
      </c>
      <c r="C38" s="31">
        <v>45657</v>
      </c>
      <c r="D38" s="10">
        <v>17521787.100000001</v>
      </c>
      <c r="E38" s="10">
        <v>1401742.96</v>
      </c>
      <c r="F38" s="10">
        <v>16120044.140000001</v>
      </c>
      <c r="G38" s="29">
        <v>7.9999999543425557E-2</v>
      </c>
    </row>
    <row r="39" spans="1:7" x14ac:dyDescent="0.3">
      <c r="A39" t="s">
        <v>49</v>
      </c>
      <c r="B39" t="s">
        <v>186</v>
      </c>
      <c r="C39" s="31">
        <v>45688</v>
      </c>
      <c r="D39" s="10">
        <v>16784549.739999998</v>
      </c>
      <c r="E39" s="10">
        <v>1342764.01</v>
      </c>
      <c r="F39" s="10">
        <v>15441785.73</v>
      </c>
      <c r="G39" s="29">
        <v>8.0000001835020915E-2</v>
      </c>
    </row>
    <row r="40" spans="1:7" x14ac:dyDescent="0.3">
      <c r="A40" t="s">
        <v>49</v>
      </c>
      <c r="B40" t="s">
        <v>186</v>
      </c>
      <c r="C40" s="31">
        <v>45716</v>
      </c>
      <c r="D40" s="10">
        <v>16770046.470000001</v>
      </c>
      <c r="E40" s="10">
        <v>1341603.71</v>
      </c>
      <c r="F40" s="10">
        <v>15428442.76</v>
      </c>
      <c r="G40" s="29">
        <v>7.9999999546811029E-2</v>
      </c>
    </row>
    <row r="41" spans="1:7" x14ac:dyDescent="0.3">
      <c r="A41" t="s">
        <v>49</v>
      </c>
      <c r="B41" t="s">
        <v>186</v>
      </c>
      <c r="C41" s="31">
        <v>45747</v>
      </c>
      <c r="D41" s="10">
        <v>16374119.24</v>
      </c>
      <c r="E41" s="10">
        <v>1309929.55</v>
      </c>
      <c r="F41" s="10">
        <v>15064189.710000001</v>
      </c>
      <c r="G41" s="29">
        <v>8.0000000659577464E-2</v>
      </c>
    </row>
    <row r="42" spans="1:7" x14ac:dyDescent="0.3">
      <c r="A42" t="s">
        <v>49</v>
      </c>
      <c r="B42" t="s">
        <v>186</v>
      </c>
      <c r="C42" s="31">
        <v>45777</v>
      </c>
      <c r="D42" s="10">
        <v>17143551.890000001</v>
      </c>
      <c r="E42" s="10">
        <v>1371484.13</v>
      </c>
      <c r="F42" s="10">
        <v>15772067.699999999</v>
      </c>
      <c r="G42" s="29">
        <v>7.9999998763383443E-2</v>
      </c>
    </row>
    <row r="43" spans="1:7" x14ac:dyDescent="0.3">
      <c r="A43" t="s">
        <v>49</v>
      </c>
      <c r="B43" t="s">
        <v>186</v>
      </c>
      <c r="C43" s="31">
        <v>45808</v>
      </c>
      <c r="D43" s="10">
        <v>16897748.390000001</v>
      </c>
      <c r="E43" s="10">
        <v>1351819.87</v>
      </c>
      <c r="F43" s="10">
        <v>15545928.529999999</v>
      </c>
      <c r="G43" s="29">
        <v>7.9999999928984628E-2</v>
      </c>
    </row>
    <row r="44" spans="1:7" x14ac:dyDescent="0.3">
      <c r="A44" t="s">
        <v>49</v>
      </c>
      <c r="B44" t="s">
        <v>186</v>
      </c>
      <c r="C44" s="31">
        <v>45838</v>
      </c>
      <c r="D44" s="10">
        <v>17143300.559999999</v>
      </c>
      <c r="E44" s="10">
        <v>1371464.02</v>
      </c>
      <c r="F44" s="10">
        <v>15771836.529999999</v>
      </c>
      <c r="G44" s="29">
        <v>7.9999998553370755E-2</v>
      </c>
    </row>
    <row r="45" spans="1:7" x14ac:dyDescent="0.3">
      <c r="A45" t="s">
        <v>49</v>
      </c>
      <c r="B45" t="s">
        <v>186</v>
      </c>
      <c r="C45" s="31">
        <v>45869</v>
      </c>
      <c r="D45" s="10">
        <v>16309346.15</v>
      </c>
      <c r="E45" s="10">
        <v>1304747.71</v>
      </c>
      <c r="F45" s="10">
        <v>15004598.460000001</v>
      </c>
      <c r="G45" s="29">
        <v>8.000000110366165E-2</v>
      </c>
    </row>
    <row r="46" spans="1:7" x14ac:dyDescent="0.3">
      <c r="A46" t="s">
        <v>49</v>
      </c>
      <c r="B46" t="s">
        <v>186</v>
      </c>
      <c r="C46" s="31">
        <v>45900</v>
      </c>
      <c r="D46" s="10">
        <v>16388444.18</v>
      </c>
      <c r="E46" s="10">
        <v>1311075.54</v>
      </c>
      <c r="F46" s="10">
        <v>15077368.65</v>
      </c>
      <c r="G46" s="29">
        <v>8.0000000341704194E-2</v>
      </c>
    </row>
    <row r="47" spans="1:7" x14ac:dyDescent="0.3">
      <c r="A47" t="s">
        <v>49</v>
      </c>
      <c r="B47" t="s">
        <v>186</v>
      </c>
      <c r="C47" s="31">
        <v>45930</v>
      </c>
      <c r="D47" s="10">
        <v>16303780.5</v>
      </c>
      <c r="E47" s="10">
        <v>1304302.44</v>
      </c>
      <c r="F47" s="10">
        <v>14999478.07</v>
      </c>
      <c r="G47" s="29">
        <v>0.08</v>
      </c>
    </row>
    <row r="48" spans="1:7" x14ac:dyDescent="0.3">
      <c r="A48" t="s">
        <v>49</v>
      </c>
      <c r="B48" t="s">
        <v>186</v>
      </c>
      <c r="C48" s="31">
        <v>45961</v>
      </c>
      <c r="D48" s="10">
        <v>16208662.800000001</v>
      </c>
      <c r="E48" s="10">
        <v>1296693.06</v>
      </c>
      <c r="F48" s="10">
        <v>14911969.76</v>
      </c>
      <c r="G48" s="29">
        <v>8.0000002221034539E-2</v>
      </c>
    </row>
    <row r="49" spans="1:7" x14ac:dyDescent="0.3">
      <c r="A49" t="s">
        <v>49</v>
      </c>
      <c r="B49" t="s">
        <v>186</v>
      </c>
      <c r="C49" s="31">
        <v>45991</v>
      </c>
      <c r="D49" s="10">
        <v>17244591.640000001</v>
      </c>
      <c r="E49" s="10">
        <v>1379567.36</v>
      </c>
      <c r="F49" s="10">
        <v>15865024.279999999</v>
      </c>
      <c r="G49" s="29">
        <v>8.0000001670088833E-2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17D0-E13C-4DE1-9C48-04040EF22417}">
  <sheetPr>
    <tabColor theme="4" tint="0.39997558519241921"/>
  </sheetPr>
  <dimension ref="A1:K49"/>
  <sheetViews>
    <sheetView zoomScale="45" workbookViewId="0">
      <selection activeCell="L68" sqref="L68"/>
    </sheetView>
  </sheetViews>
  <sheetFormatPr defaultRowHeight="14.4" x14ac:dyDescent="0.3"/>
  <cols>
    <col min="1" max="1" width="10.44140625" bestFit="1" customWidth="1"/>
    <col min="2" max="2" width="14.6640625" bestFit="1" customWidth="1"/>
    <col min="3" max="3" width="12.5546875" bestFit="1" customWidth="1"/>
    <col min="4" max="4" width="22.33203125" bestFit="1" customWidth="1"/>
    <col min="5" max="5" width="11.5546875" bestFit="1" customWidth="1"/>
    <col min="6" max="6" width="16" bestFit="1" customWidth="1"/>
    <col min="7" max="7" width="13.33203125" bestFit="1" customWidth="1"/>
    <col min="8" max="8" width="11.5546875" bestFit="1" customWidth="1"/>
    <col min="9" max="9" width="22.6640625" bestFit="1" customWidth="1"/>
    <col min="10" max="10" width="14.5546875" bestFit="1" customWidth="1"/>
    <col min="11" max="11" width="23.109375" bestFit="1" customWidth="1"/>
  </cols>
  <sheetData>
    <row r="1" spans="1:11" x14ac:dyDescent="0.3">
      <c r="A1" s="13" t="s">
        <v>267</v>
      </c>
      <c r="B1" s="13" t="s">
        <v>290</v>
      </c>
      <c r="C1" s="13" t="s">
        <v>22</v>
      </c>
      <c r="D1" s="13" t="s">
        <v>297</v>
      </c>
      <c r="E1" s="13" t="s">
        <v>296</v>
      </c>
      <c r="F1" s="13" t="s">
        <v>295</v>
      </c>
      <c r="G1" s="13" t="s">
        <v>294</v>
      </c>
      <c r="H1" s="13" t="s">
        <v>293</v>
      </c>
      <c r="I1" s="13" t="s">
        <v>292</v>
      </c>
      <c r="J1" s="13" t="s">
        <v>265</v>
      </c>
      <c r="K1" s="13" t="s">
        <v>291</v>
      </c>
    </row>
    <row r="2" spans="1:11" x14ac:dyDescent="0.3">
      <c r="A2" s="31">
        <v>45657</v>
      </c>
      <c r="B2" t="s">
        <v>49</v>
      </c>
      <c r="C2" t="s">
        <v>192</v>
      </c>
      <c r="D2" s="10">
        <v>64795.154431374052</v>
      </c>
      <c r="E2" s="10">
        <v>20518.619935496859</v>
      </c>
      <c r="F2" s="10">
        <v>20616.133891228459</v>
      </c>
      <c r="G2" s="10">
        <v>225376.53243867081</v>
      </c>
      <c r="H2" s="10">
        <v>32655.735782440152</v>
      </c>
      <c r="I2" s="10">
        <v>31252.543520789612</v>
      </c>
      <c r="J2" s="10">
        <v>395214.72</v>
      </c>
      <c r="K2" s="29">
        <v>7.9999999838062705E-2</v>
      </c>
    </row>
    <row r="3" spans="1:11" x14ac:dyDescent="0.3">
      <c r="A3" s="31">
        <v>45688</v>
      </c>
      <c r="B3" t="s">
        <v>49</v>
      </c>
      <c r="C3" t="s">
        <v>192</v>
      </c>
      <c r="D3" s="10">
        <v>83343.769827712327</v>
      </c>
      <c r="E3" s="10">
        <v>121729.1759138269</v>
      </c>
      <c r="F3" s="10">
        <v>78814.716130032437</v>
      </c>
      <c r="G3" s="10">
        <v>46409.246715122397</v>
      </c>
      <c r="H3" s="10">
        <v>24319.44102046435</v>
      </c>
      <c r="I3" s="10">
        <v>41021.800392841527</v>
      </c>
      <c r="J3" s="10">
        <v>395638.15</v>
      </c>
      <c r="K3" s="29">
        <v>8.0000004772037558E-2</v>
      </c>
    </row>
    <row r="4" spans="1:11" x14ac:dyDescent="0.3">
      <c r="A4" s="31">
        <v>45716</v>
      </c>
      <c r="B4" t="s">
        <v>49</v>
      </c>
      <c r="C4" t="s">
        <v>192</v>
      </c>
      <c r="D4" s="10">
        <v>74609.748705341262</v>
      </c>
      <c r="E4" s="10">
        <v>17891.19066767181</v>
      </c>
      <c r="F4" s="10">
        <v>9401.0042145947555</v>
      </c>
      <c r="G4" s="10">
        <v>14721.566825959941</v>
      </c>
      <c r="H4" s="10">
        <v>101994.3415044804</v>
      </c>
      <c r="I4" s="10">
        <v>189218.66808195179</v>
      </c>
      <c r="J4" s="10">
        <v>407836.5199999999</v>
      </c>
      <c r="K4" s="29">
        <v>7.9999998744595041E-2</v>
      </c>
    </row>
    <row r="5" spans="1:11" x14ac:dyDescent="0.3">
      <c r="A5" s="31">
        <v>45747</v>
      </c>
      <c r="B5" t="s">
        <v>49</v>
      </c>
      <c r="C5" t="s">
        <v>192</v>
      </c>
      <c r="D5" s="10">
        <v>34776.922691126689</v>
      </c>
      <c r="E5" s="10">
        <v>71565.987924264002</v>
      </c>
      <c r="F5" s="10">
        <v>163055.35000130819</v>
      </c>
      <c r="G5" s="10">
        <v>57266.418958197959</v>
      </c>
      <c r="H5" s="10">
        <v>5639.7381204080802</v>
      </c>
      <c r="I5" s="10">
        <v>51585.762304695098</v>
      </c>
      <c r="J5" s="10">
        <v>383890.18</v>
      </c>
      <c r="K5" s="29">
        <v>8.0000001333714779E-2</v>
      </c>
    </row>
    <row r="6" spans="1:11" x14ac:dyDescent="0.3">
      <c r="A6" s="31">
        <v>45777</v>
      </c>
      <c r="B6" t="s">
        <v>49</v>
      </c>
      <c r="C6" t="s">
        <v>192</v>
      </c>
      <c r="D6" s="10">
        <v>92624.705533534769</v>
      </c>
      <c r="E6" s="10">
        <v>75985.733013006247</v>
      </c>
      <c r="F6" s="10">
        <v>23035.94703817524</v>
      </c>
      <c r="G6" s="10">
        <v>30670.5891430384</v>
      </c>
      <c r="H6" s="10">
        <v>107903.16206428671</v>
      </c>
      <c r="I6" s="10">
        <v>80183.323207958572</v>
      </c>
      <c r="J6" s="10">
        <v>410403.46</v>
      </c>
      <c r="K6" s="29">
        <v>7.9999995945453484E-2</v>
      </c>
    </row>
    <row r="7" spans="1:11" x14ac:dyDescent="0.3">
      <c r="A7" s="31">
        <v>45808</v>
      </c>
      <c r="B7" t="s">
        <v>49</v>
      </c>
      <c r="C7" t="s">
        <v>192</v>
      </c>
      <c r="D7" s="10">
        <v>5730.7233380988428</v>
      </c>
      <c r="E7" s="10">
        <v>109872.7520565106</v>
      </c>
      <c r="F7" s="10">
        <v>6144.2595180296712</v>
      </c>
      <c r="G7" s="10">
        <v>143325.4226156848</v>
      </c>
      <c r="H7" s="10">
        <v>82116.363667479556</v>
      </c>
      <c r="I7" s="10">
        <v>62256.258804196441</v>
      </c>
      <c r="J7" s="10">
        <v>409445.78</v>
      </c>
      <c r="K7" s="29">
        <v>8.0000000156308843E-2</v>
      </c>
    </row>
    <row r="8" spans="1:11" x14ac:dyDescent="0.3">
      <c r="A8" s="31">
        <v>45838</v>
      </c>
      <c r="B8" t="s">
        <v>49</v>
      </c>
      <c r="C8" t="s">
        <v>192</v>
      </c>
      <c r="D8" s="10">
        <v>51006.586903469957</v>
      </c>
      <c r="E8" s="10">
        <v>124875.41018082629</v>
      </c>
      <c r="F8" s="10">
        <v>66020.749511987262</v>
      </c>
      <c r="G8" s="10">
        <v>52075.855248612534</v>
      </c>
      <c r="H8" s="10">
        <v>14478.12822095306</v>
      </c>
      <c r="I8" s="10">
        <v>97825.159934150899</v>
      </c>
      <c r="J8" s="10">
        <v>406281.89</v>
      </c>
      <c r="K8" s="29">
        <v>7.9999998503502118E-2</v>
      </c>
    </row>
    <row r="9" spans="1:11" x14ac:dyDescent="0.3">
      <c r="A9" s="31">
        <v>45869</v>
      </c>
      <c r="B9" t="s">
        <v>49</v>
      </c>
      <c r="C9" t="s">
        <v>192</v>
      </c>
      <c r="D9" s="10">
        <v>199112.0062414539</v>
      </c>
      <c r="E9" s="10">
        <v>9363.6280894218617</v>
      </c>
      <c r="F9" s="10">
        <v>84534.714246243864</v>
      </c>
      <c r="G9" s="10">
        <v>4545.6127753948203</v>
      </c>
      <c r="H9" s="10">
        <v>53558.278128493017</v>
      </c>
      <c r="I9" s="10">
        <v>45692.560518992483</v>
      </c>
      <c r="J9" s="10">
        <v>396806.79999999987</v>
      </c>
      <c r="K9" s="29">
        <v>0.08</v>
      </c>
    </row>
    <row r="10" spans="1:11" x14ac:dyDescent="0.3">
      <c r="A10" s="31">
        <v>45900</v>
      </c>
      <c r="B10" t="s">
        <v>49</v>
      </c>
      <c r="C10" t="s">
        <v>192</v>
      </c>
      <c r="D10" s="10">
        <v>19847.126301264521</v>
      </c>
      <c r="E10" s="10">
        <v>282210.56156593119</v>
      </c>
      <c r="F10" s="10">
        <v>11654.82961492096</v>
      </c>
      <c r="G10" s="10">
        <v>30805.449588780641</v>
      </c>
      <c r="H10" s="10">
        <v>13165.884601200931</v>
      </c>
      <c r="I10" s="10">
        <v>19503.21832790173</v>
      </c>
      <c r="J10" s="10">
        <v>377187.06999999989</v>
      </c>
      <c r="K10" s="29">
        <v>8.0000001951286454E-2</v>
      </c>
    </row>
    <row r="11" spans="1:11" x14ac:dyDescent="0.3">
      <c r="A11" s="31">
        <v>45930</v>
      </c>
      <c r="B11" t="s">
        <v>49</v>
      </c>
      <c r="C11" t="s">
        <v>192</v>
      </c>
      <c r="D11" s="10">
        <v>60605.393486312867</v>
      </c>
      <c r="E11" s="10">
        <v>137783.5750877001</v>
      </c>
      <c r="F11" s="10">
        <v>101910.6039757082</v>
      </c>
      <c r="G11" s="10">
        <v>1357.659656586007</v>
      </c>
      <c r="H11" s="10">
        <v>27733.265944413299</v>
      </c>
      <c r="I11" s="10">
        <v>67757.91184927951</v>
      </c>
      <c r="J11" s="10">
        <v>397148.41</v>
      </c>
      <c r="K11" s="29">
        <v>8.0000001047467378E-2</v>
      </c>
    </row>
    <row r="12" spans="1:11" x14ac:dyDescent="0.3">
      <c r="A12" s="31">
        <v>45961</v>
      </c>
      <c r="B12" t="s">
        <v>49</v>
      </c>
      <c r="C12" t="s">
        <v>192</v>
      </c>
      <c r="D12" s="10">
        <v>28651.65027475082</v>
      </c>
      <c r="E12" s="10">
        <v>29876.91708977535</v>
      </c>
      <c r="F12" s="10">
        <v>157541.63015506731</v>
      </c>
      <c r="G12" s="10">
        <v>68896.807555781852</v>
      </c>
      <c r="H12" s="10">
        <v>44912.015437958908</v>
      </c>
      <c r="I12" s="10">
        <v>52170.239486665771</v>
      </c>
      <c r="J12" s="10">
        <v>382049.26</v>
      </c>
      <c r="K12" s="29">
        <v>7.9999998994894017E-2</v>
      </c>
    </row>
    <row r="13" spans="1:11" x14ac:dyDescent="0.3">
      <c r="A13" s="31">
        <v>45991</v>
      </c>
      <c r="B13" t="s">
        <v>49</v>
      </c>
      <c r="C13" t="s">
        <v>192</v>
      </c>
      <c r="D13" s="10">
        <v>62600.776152590683</v>
      </c>
      <c r="E13" s="10">
        <v>40959.837891106377</v>
      </c>
      <c r="F13" s="10">
        <v>143670.6799690543</v>
      </c>
      <c r="G13" s="10">
        <v>8819.1548694766516</v>
      </c>
      <c r="H13" s="10">
        <v>70390.76240652964</v>
      </c>
      <c r="I13" s="10">
        <v>52025.998711242282</v>
      </c>
      <c r="J13" s="10">
        <v>378467.21</v>
      </c>
      <c r="K13" s="29">
        <v>8.0000002790202182E-2</v>
      </c>
    </row>
    <row r="14" spans="1:11" x14ac:dyDescent="0.3">
      <c r="A14" s="31">
        <v>45657</v>
      </c>
      <c r="B14" t="s">
        <v>49</v>
      </c>
      <c r="C14" t="s">
        <v>191</v>
      </c>
      <c r="D14" s="10">
        <v>10812.095957309601</v>
      </c>
      <c r="E14" s="10">
        <v>17087.458223417922</v>
      </c>
      <c r="F14" s="10">
        <v>51704.906280473813</v>
      </c>
      <c r="G14" s="10">
        <v>93478.710495374529</v>
      </c>
      <c r="H14" s="10">
        <v>37986.528885499371</v>
      </c>
      <c r="I14" s="10">
        <v>88696.910157924736</v>
      </c>
      <c r="J14" s="10">
        <v>299766.60999999993</v>
      </c>
      <c r="K14" s="29">
        <v>7.9999996904258394E-2</v>
      </c>
    </row>
    <row r="15" spans="1:11" x14ac:dyDescent="0.3">
      <c r="A15" s="31">
        <v>45688</v>
      </c>
      <c r="B15" t="s">
        <v>49</v>
      </c>
      <c r="C15" t="s">
        <v>191</v>
      </c>
      <c r="D15" s="10">
        <v>72033.424144345699</v>
      </c>
      <c r="E15" s="10">
        <v>25548.173547527771</v>
      </c>
      <c r="F15" s="10">
        <v>30476.693603036831</v>
      </c>
      <c r="G15" s="10">
        <v>88127.161700022552</v>
      </c>
      <c r="H15" s="10">
        <v>51269.840132945821</v>
      </c>
      <c r="I15" s="10">
        <v>12612.43687212133</v>
      </c>
      <c r="J15" s="10">
        <v>280067.73</v>
      </c>
      <c r="K15" s="29">
        <v>8.00000035420005E-2</v>
      </c>
    </row>
    <row r="16" spans="1:11" x14ac:dyDescent="0.3">
      <c r="A16" s="31">
        <v>45716</v>
      </c>
      <c r="B16" t="s">
        <v>49</v>
      </c>
      <c r="C16" t="s">
        <v>191</v>
      </c>
      <c r="D16" s="10">
        <v>60080.054501040257</v>
      </c>
      <c r="E16" s="10">
        <v>6388.4749772548921</v>
      </c>
      <c r="F16" s="10">
        <v>42524.31742801427</v>
      </c>
      <c r="G16" s="10">
        <v>17119.712681011599</v>
      </c>
      <c r="H16" s="10">
        <v>30892.886378695901</v>
      </c>
      <c r="I16" s="10">
        <v>142890.72403398299</v>
      </c>
      <c r="J16" s="10">
        <v>299896.16999999993</v>
      </c>
      <c r="K16" s="29">
        <v>7.9999998399446076E-2</v>
      </c>
    </row>
    <row r="17" spans="1:11" x14ac:dyDescent="0.3">
      <c r="A17" s="31">
        <v>45747</v>
      </c>
      <c r="B17" t="s">
        <v>49</v>
      </c>
      <c r="C17" t="s">
        <v>191</v>
      </c>
      <c r="D17" s="10">
        <v>62590.221626337407</v>
      </c>
      <c r="E17" s="10">
        <v>124755.37927332619</v>
      </c>
      <c r="F17" s="10">
        <v>14624.003026307029</v>
      </c>
      <c r="G17" s="10">
        <v>71932.195587028298</v>
      </c>
      <c r="H17" s="10">
        <v>436.82352211255801</v>
      </c>
      <c r="I17" s="10">
        <v>1272.346964888573</v>
      </c>
      <c r="J17" s="10">
        <v>275610.96999999997</v>
      </c>
      <c r="K17" s="29">
        <v>8.0000001509373919E-2</v>
      </c>
    </row>
    <row r="18" spans="1:11" x14ac:dyDescent="0.3">
      <c r="A18" s="31">
        <v>45777</v>
      </c>
      <c r="B18" t="s">
        <v>49</v>
      </c>
      <c r="C18" t="s">
        <v>191</v>
      </c>
      <c r="D18" s="10">
        <v>117779.9506615009</v>
      </c>
      <c r="E18" s="10">
        <v>25086.781650599729</v>
      </c>
      <c r="F18" s="10">
        <v>19503.470880304889</v>
      </c>
      <c r="G18" s="10">
        <v>66799.504127128399</v>
      </c>
      <c r="H18" s="10">
        <v>48416.320189579463</v>
      </c>
      <c r="I18" s="10">
        <v>9468.7724908866403</v>
      </c>
      <c r="J18" s="10">
        <v>287054.8</v>
      </c>
      <c r="K18" s="29">
        <v>8.0000001114769737E-2</v>
      </c>
    </row>
    <row r="19" spans="1:11" x14ac:dyDescent="0.3">
      <c r="A19" s="31">
        <v>45808</v>
      </c>
      <c r="B19" t="s">
        <v>49</v>
      </c>
      <c r="C19" t="s">
        <v>191</v>
      </c>
      <c r="D19" s="10">
        <v>118958.1145334749</v>
      </c>
      <c r="E19" s="10">
        <v>65415.378623136508</v>
      </c>
      <c r="F19" s="10">
        <v>31913.98449028494</v>
      </c>
      <c r="G19" s="10">
        <v>52099.692252542263</v>
      </c>
      <c r="H19" s="10">
        <v>12727.16756680298</v>
      </c>
      <c r="I19" s="10">
        <v>19579.862533758369</v>
      </c>
      <c r="J19" s="10">
        <v>300694.2</v>
      </c>
      <c r="K19" s="29">
        <v>7.9999999361477545E-2</v>
      </c>
    </row>
    <row r="20" spans="1:11" x14ac:dyDescent="0.3">
      <c r="A20" s="31">
        <v>45838</v>
      </c>
      <c r="B20" t="s">
        <v>49</v>
      </c>
      <c r="C20" t="s">
        <v>191</v>
      </c>
      <c r="D20" s="10">
        <v>11618.291769257719</v>
      </c>
      <c r="E20" s="10">
        <v>16325.260042409591</v>
      </c>
      <c r="F20" s="10">
        <v>98358.598148533536</v>
      </c>
      <c r="G20" s="10">
        <v>73448.361712651706</v>
      </c>
      <c r="H20" s="10">
        <v>4392.1296271807978</v>
      </c>
      <c r="I20" s="10">
        <v>54451.408699966618</v>
      </c>
      <c r="J20" s="10">
        <v>258594.05</v>
      </c>
      <c r="K20" s="29">
        <v>7.9999998886285298E-2</v>
      </c>
    </row>
    <row r="21" spans="1:11" x14ac:dyDescent="0.3">
      <c r="A21" s="31">
        <v>45869</v>
      </c>
      <c r="B21" t="s">
        <v>49</v>
      </c>
      <c r="C21" t="s">
        <v>191</v>
      </c>
      <c r="D21" s="10">
        <v>59784.925063575021</v>
      </c>
      <c r="E21" s="10">
        <v>13699.61285206872</v>
      </c>
      <c r="F21" s="10">
        <v>49491.870471014758</v>
      </c>
      <c r="G21" s="10">
        <v>642.61140778152264</v>
      </c>
      <c r="H21" s="10">
        <v>48603.708056627613</v>
      </c>
      <c r="I21" s="10">
        <v>88875.422148932354</v>
      </c>
      <c r="J21" s="10">
        <v>261098.15</v>
      </c>
      <c r="K21" s="29">
        <v>8.0000006250523517E-2</v>
      </c>
    </row>
    <row r="22" spans="1:11" x14ac:dyDescent="0.3">
      <c r="A22" s="31">
        <v>45900</v>
      </c>
      <c r="B22" t="s">
        <v>49</v>
      </c>
      <c r="C22" t="s">
        <v>191</v>
      </c>
      <c r="D22" s="10">
        <v>11712.27430846005</v>
      </c>
      <c r="E22" s="10">
        <v>34697.573197416677</v>
      </c>
      <c r="F22" s="10">
        <v>46369.44738032201</v>
      </c>
      <c r="G22" s="10">
        <v>45389.765573294862</v>
      </c>
      <c r="H22" s="10">
        <v>54767.018206275658</v>
      </c>
      <c r="I22" s="10">
        <v>106572.86133423079</v>
      </c>
      <c r="J22" s="10">
        <v>299508.94</v>
      </c>
      <c r="K22" s="29">
        <v>8.0000000854732425E-2</v>
      </c>
    </row>
    <row r="23" spans="1:11" x14ac:dyDescent="0.3">
      <c r="A23" s="31">
        <v>45930</v>
      </c>
      <c r="B23" t="s">
        <v>49</v>
      </c>
      <c r="C23" t="s">
        <v>191</v>
      </c>
      <c r="D23" s="10">
        <v>96796.972875435444</v>
      </c>
      <c r="E23" s="10">
        <v>28369.4164567888</v>
      </c>
      <c r="F23" s="10">
        <v>17950.675317361151</v>
      </c>
      <c r="G23" s="10">
        <v>18715.918191994981</v>
      </c>
      <c r="H23" s="10">
        <v>31368.575084740511</v>
      </c>
      <c r="I23" s="10">
        <v>85258.402073679172</v>
      </c>
      <c r="J23" s="10">
        <v>278459.96000000002</v>
      </c>
      <c r="K23" s="29">
        <v>0.08</v>
      </c>
    </row>
    <row r="24" spans="1:11" x14ac:dyDescent="0.3">
      <c r="A24" s="31">
        <v>45961</v>
      </c>
      <c r="B24" t="s">
        <v>49</v>
      </c>
      <c r="C24" t="s">
        <v>191</v>
      </c>
      <c r="D24" s="10">
        <v>26677.246277902701</v>
      </c>
      <c r="E24" s="10">
        <v>31113.97786934266</v>
      </c>
      <c r="F24" s="10">
        <v>15094.0678033195</v>
      </c>
      <c r="G24" s="10">
        <v>61962.790079493243</v>
      </c>
      <c r="H24" s="10">
        <v>58764.894657068951</v>
      </c>
      <c r="I24" s="10">
        <v>74747.743312872975</v>
      </c>
      <c r="J24" s="10">
        <v>268360.71999999997</v>
      </c>
      <c r="K24" s="29">
        <v>8.0000005723639855E-2</v>
      </c>
    </row>
    <row r="25" spans="1:11" x14ac:dyDescent="0.3">
      <c r="A25" s="31">
        <v>45991</v>
      </c>
      <c r="B25" t="s">
        <v>49</v>
      </c>
      <c r="C25" t="s">
        <v>191</v>
      </c>
      <c r="D25" s="10">
        <v>73879.177357873632</v>
      </c>
      <c r="E25" s="10">
        <v>6234.4887847187319</v>
      </c>
      <c r="F25" s="10">
        <v>31167.174629659999</v>
      </c>
      <c r="G25" s="10">
        <v>159.4902360279078</v>
      </c>
      <c r="H25" s="10">
        <v>75449.467276334995</v>
      </c>
      <c r="I25" s="10">
        <v>78101.931715384722</v>
      </c>
      <c r="J25" s="10">
        <v>264991.73</v>
      </c>
      <c r="K25" s="29">
        <v>8.0000003260479235E-2</v>
      </c>
    </row>
    <row r="26" spans="1:11" x14ac:dyDescent="0.3">
      <c r="A26" s="31">
        <v>45657</v>
      </c>
      <c r="B26" t="s">
        <v>49</v>
      </c>
      <c r="C26" t="s">
        <v>193</v>
      </c>
      <c r="D26" s="10">
        <v>46130.112879767134</v>
      </c>
      <c r="E26" s="10">
        <v>142722.63598643121</v>
      </c>
      <c r="F26" s="10">
        <v>128585.87533949999</v>
      </c>
      <c r="G26" s="10">
        <v>66977.921271817075</v>
      </c>
      <c r="H26" s="10">
        <v>205298.83205262839</v>
      </c>
      <c r="I26" s="10">
        <v>117046.2524698562</v>
      </c>
      <c r="J26" s="10">
        <v>706761.63</v>
      </c>
      <c r="K26" s="29">
        <v>8.0000000498046286E-2</v>
      </c>
    </row>
    <row r="27" spans="1:11" x14ac:dyDescent="0.3">
      <c r="A27" s="31">
        <v>45688</v>
      </c>
      <c r="B27" t="s">
        <v>49</v>
      </c>
      <c r="C27" t="s">
        <v>193</v>
      </c>
      <c r="D27" s="10">
        <v>61310.940247070357</v>
      </c>
      <c r="E27" s="10">
        <v>15706.26048340855</v>
      </c>
      <c r="F27" s="10">
        <v>161137.40928663229</v>
      </c>
      <c r="G27" s="10">
        <v>13183.06667071097</v>
      </c>
      <c r="H27" s="10">
        <v>261098.5740932691</v>
      </c>
      <c r="I27" s="10">
        <v>154621.8792189087</v>
      </c>
      <c r="J27" s="10">
        <v>667058.13</v>
      </c>
      <c r="K27" s="29">
        <v>7.999999937636619E-2</v>
      </c>
    </row>
    <row r="28" spans="1:11" x14ac:dyDescent="0.3">
      <c r="A28" s="31">
        <v>45716</v>
      </c>
      <c r="B28" t="s">
        <v>49</v>
      </c>
      <c r="C28" t="s">
        <v>193</v>
      </c>
      <c r="D28" s="10">
        <v>47967.942222631398</v>
      </c>
      <c r="E28" s="10">
        <v>51377.294699147969</v>
      </c>
      <c r="F28" s="10">
        <v>20806.47584875505</v>
      </c>
      <c r="G28" s="10">
        <v>1687.94996688024</v>
      </c>
      <c r="H28" s="10">
        <v>421297.4779726509</v>
      </c>
      <c r="I28" s="10">
        <v>90733.879289934528</v>
      </c>
      <c r="J28" s="10">
        <v>633871.02000000014</v>
      </c>
      <c r="K28" s="29">
        <v>8.000000060580148E-2</v>
      </c>
    </row>
    <row r="29" spans="1:11" x14ac:dyDescent="0.3">
      <c r="A29" s="31">
        <v>45747</v>
      </c>
      <c r="B29" t="s">
        <v>49</v>
      </c>
      <c r="C29" t="s">
        <v>193</v>
      </c>
      <c r="D29" s="10">
        <v>86541.902991421186</v>
      </c>
      <c r="E29" s="10">
        <v>82422.342793110249</v>
      </c>
      <c r="F29" s="10">
        <v>214460.5199111104</v>
      </c>
      <c r="G29" s="10">
        <v>4294.6511489012628</v>
      </c>
      <c r="H29" s="10">
        <v>128031.8801840618</v>
      </c>
      <c r="I29" s="10">
        <v>134677.10297139519</v>
      </c>
      <c r="J29" s="10">
        <v>650428.4</v>
      </c>
      <c r="K29" s="29">
        <v>7.9999999901603322E-2</v>
      </c>
    </row>
    <row r="30" spans="1:11" x14ac:dyDescent="0.3">
      <c r="A30" s="31">
        <v>45777</v>
      </c>
      <c r="B30" t="s">
        <v>49</v>
      </c>
      <c r="C30" t="s">
        <v>193</v>
      </c>
      <c r="D30" s="10">
        <v>21256.86985603167</v>
      </c>
      <c r="E30" s="10">
        <v>157487.62683422389</v>
      </c>
      <c r="F30" s="10">
        <v>380188.09238028497</v>
      </c>
      <c r="G30" s="10">
        <v>12230.19629404907</v>
      </c>
      <c r="H30" s="10">
        <v>19712.586831011398</v>
      </c>
      <c r="I30" s="10">
        <v>83150.497804398998</v>
      </c>
      <c r="J30" s="10">
        <v>674025.87</v>
      </c>
      <c r="K30" s="29">
        <v>7.9999999477764858E-2</v>
      </c>
    </row>
    <row r="31" spans="1:11" x14ac:dyDescent="0.3">
      <c r="A31" s="31">
        <v>45808</v>
      </c>
      <c r="B31" t="s">
        <v>49</v>
      </c>
      <c r="C31" t="s">
        <v>193</v>
      </c>
      <c r="D31" s="10">
        <v>95823.944277324583</v>
      </c>
      <c r="E31" s="10">
        <v>115065.221375551</v>
      </c>
      <c r="F31" s="10">
        <v>153207.36587347419</v>
      </c>
      <c r="G31" s="10">
        <v>81881.688853616681</v>
      </c>
      <c r="H31" s="10">
        <v>106847.3672093394</v>
      </c>
      <c r="I31" s="10">
        <v>88854.302410694261</v>
      </c>
      <c r="J31" s="10">
        <v>641679.89000000013</v>
      </c>
      <c r="K31" s="29">
        <v>8.0000000049869111E-2</v>
      </c>
    </row>
    <row r="32" spans="1:11" x14ac:dyDescent="0.3">
      <c r="A32" s="31">
        <v>45838</v>
      </c>
      <c r="B32" t="s">
        <v>49</v>
      </c>
      <c r="C32" t="s">
        <v>193</v>
      </c>
      <c r="D32" s="10">
        <v>142181.32177615899</v>
      </c>
      <c r="E32" s="10">
        <v>77871.177278904128</v>
      </c>
      <c r="F32" s="10">
        <v>409666.77956911467</v>
      </c>
      <c r="G32" s="10">
        <v>27201.728256912029</v>
      </c>
      <c r="H32" s="10">
        <v>37410.027512673652</v>
      </c>
      <c r="I32" s="10">
        <v>12257.04560623659</v>
      </c>
      <c r="J32" s="10">
        <v>706588.08000000019</v>
      </c>
      <c r="K32" s="29">
        <v>7.9999998460206154E-2</v>
      </c>
    </row>
    <row r="33" spans="1:11" x14ac:dyDescent="0.3">
      <c r="A33" s="31">
        <v>45869</v>
      </c>
      <c r="B33" t="s">
        <v>49</v>
      </c>
      <c r="C33" t="s">
        <v>193</v>
      </c>
      <c r="D33" s="10">
        <v>136695.39275391211</v>
      </c>
      <c r="E33" s="10">
        <v>1506.1172017742381</v>
      </c>
      <c r="F33" s="10">
        <v>294791.67802879651</v>
      </c>
      <c r="G33" s="10">
        <v>136752.97585884589</v>
      </c>
      <c r="H33" s="10">
        <v>57792.330653795267</v>
      </c>
      <c r="I33" s="10">
        <v>19304.265502876031</v>
      </c>
      <c r="J33" s="10">
        <v>646842.76</v>
      </c>
      <c r="K33" s="29">
        <v>7.9999999703173619E-2</v>
      </c>
    </row>
    <row r="34" spans="1:11" x14ac:dyDescent="0.3">
      <c r="A34" s="31">
        <v>45900</v>
      </c>
      <c r="B34" t="s">
        <v>49</v>
      </c>
      <c r="C34" t="s">
        <v>193</v>
      </c>
      <c r="D34" s="10">
        <v>14040.31115907138</v>
      </c>
      <c r="E34" s="10">
        <v>274743.3637267467</v>
      </c>
      <c r="F34" s="10">
        <v>34694.636113082903</v>
      </c>
      <c r="G34" s="10">
        <v>6153.6808604897406</v>
      </c>
      <c r="H34" s="10">
        <v>99991.451929166942</v>
      </c>
      <c r="I34" s="10">
        <v>204756.08621144251</v>
      </c>
      <c r="J34" s="10">
        <v>634379.53000000026</v>
      </c>
      <c r="K34" s="29">
        <v>7.9999999142469191E-2</v>
      </c>
    </row>
    <row r="35" spans="1:11" x14ac:dyDescent="0.3">
      <c r="A35" s="31">
        <v>45930</v>
      </c>
      <c r="B35" t="s">
        <v>49</v>
      </c>
      <c r="C35" t="s">
        <v>193</v>
      </c>
      <c r="D35" s="10">
        <v>278168.52552611969</v>
      </c>
      <c r="E35" s="10">
        <v>155670.3331906691</v>
      </c>
      <c r="F35" s="10">
        <v>13837.273422196909</v>
      </c>
      <c r="G35" s="10">
        <v>15190.36715087845</v>
      </c>
      <c r="H35" s="10">
        <v>27694.013807605799</v>
      </c>
      <c r="I35" s="10">
        <v>138133.5569025302</v>
      </c>
      <c r="J35" s="10">
        <v>628694.07000000018</v>
      </c>
      <c r="K35" s="29">
        <v>7.9999999338310937E-2</v>
      </c>
    </row>
    <row r="36" spans="1:11" x14ac:dyDescent="0.3">
      <c r="A36" s="31">
        <v>45961</v>
      </c>
      <c r="B36" t="s">
        <v>49</v>
      </c>
      <c r="C36" t="s">
        <v>193</v>
      </c>
      <c r="D36" s="10">
        <v>137830.921836658</v>
      </c>
      <c r="E36" s="10">
        <v>116983.6079785629</v>
      </c>
      <c r="F36" s="10">
        <v>160750.5300609695</v>
      </c>
      <c r="G36" s="10">
        <v>45617.234755368409</v>
      </c>
      <c r="H36" s="10">
        <v>57910.014054089559</v>
      </c>
      <c r="I36" s="10">
        <v>127190.7713143515</v>
      </c>
      <c r="J36" s="10">
        <v>646283.07999999996</v>
      </c>
      <c r="K36" s="29">
        <v>8.0000002673751042E-2</v>
      </c>
    </row>
    <row r="37" spans="1:11" x14ac:dyDescent="0.3">
      <c r="A37" s="31">
        <v>45991</v>
      </c>
      <c r="B37" t="s">
        <v>49</v>
      </c>
      <c r="C37" t="s">
        <v>193</v>
      </c>
      <c r="D37" s="10">
        <v>7760.3041267996778</v>
      </c>
      <c r="E37" s="10">
        <v>112838.95694269441</v>
      </c>
      <c r="F37" s="10">
        <v>34232.778376735121</v>
      </c>
      <c r="G37" s="10">
        <v>130334.74739086779</v>
      </c>
      <c r="H37" s="10">
        <v>299583.80114132882</v>
      </c>
      <c r="I37" s="10">
        <v>151357.83202157429</v>
      </c>
      <c r="J37" s="10">
        <v>736108.42000000016</v>
      </c>
      <c r="K37" s="29">
        <v>8.0000000521662298E-2</v>
      </c>
    </row>
    <row r="38" spans="1:11" x14ac:dyDescent="0.3">
      <c r="A38" s="31">
        <v>45657</v>
      </c>
      <c r="B38" t="s">
        <v>49</v>
      </c>
      <c r="C38" t="s">
        <v>186</v>
      </c>
      <c r="D38" s="10">
        <v>140432.3238619304</v>
      </c>
      <c r="E38" s="10">
        <v>198513.20245925561</v>
      </c>
      <c r="F38" s="10">
        <v>140051.1472016552</v>
      </c>
      <c r="G38" s="10">
        <v>796442.08826120535</v>
      </c>
      <c r="H38" s="10">
        <v>85905.203284212577</v>
      </c>
      <c r="I38" s="10">
        <v>40398.994931740817</v>
      </c>
      <c r="J38" s="10">
        <v>1401742.96</v>
      </c>
      <c r="K38" s="29">
        <v>7.9999999543425557E-2</v>
      </c>
    </row>
    <row r="39" spans="1:11" x14ac:dyDescent="0.3">
      <c r="A39" s="31">
        <v>45688</v>
      </c>
      <c r="B39" t="s">
        <v>49</v>
      </c>
      <c r="C39" t="s">
        <v>186</v>
      </c>
      <c r="D39" s="10">
        <v>212005.29724944039</v>
      </c>
      <c r="E39" s="10">
        <v>43878.586171435498</v>
      </c>
      <c r="F39" s="10">
        <v>56656.280257881233</v>
      </c>
      <c r="G39" s="10">
        <v>587927.14627345686</v>
      </c>
      <c r="H39" s="10">
        <v>362921.07064084412</v>
      </c>
      <c r="I39" s="10">
        <v>79375.629406941851</v>
      </c>
      <c r="J39" s="10">
        <v>1342764.01</v>
      </c>
      <c r="K39" s="29">
        <v>8.0000001835020915E-2</v>
      </c>
    </row>
    <row r="40" spans="1:11" x14ac:dyDescent="0.3">
      <c r="A40" s="31">
        <v>45716</v>
      </c>
      <c r="B40" t="s">
        <v>49</v>
      </c>
      <c r="C40" t="s">
        <v>186</v>
      </c>
      <c r="D40" s="10">
        <v>286795.63411230029</v>
      </c>
      <c r="E40" s="10">
        <v>88521.943264091024</v>
      </c>
      <c r="F40" s="10">
        <v>65171.99304377869</v>
      </c>
      <c r="G40" s="10">
        <v>569263.23052927491</v>
      </c>
      <c r="H40" s="10">
        <v>67593.333057711279</v>
      </c>
      <c r="I40" s="10">
        <v>264257.57599284378</v>
      </c>
      <c r="J40" s="10">
        <v>1341603.71</v>
      </c>
      <c r="K40" s="29">
        <v>7.9999999546811029E-2</v>
      </c>
    </row>
    <row r="41" spans="1:11" x14ac:dyDescent="0.3">
      <c r="A41" s="31">
        <v>45747</v>
      </c>
      <c r="B41" t="s">
        <v>49</v>
      </c>
      <c r="C41" t="s">
        <v>186</v>
      </c>
      <c r="D41" s="10">
        <v>108632.9059246236</v>
      </c>
      <c r="E41" s="10">
        <v>203772.3776536271</v>
      </c>
      <c r="F41" s="10">
        <v>644349.721356711</v>
      </c>
      <c r="G41" s="10">
        <v>245913.74233228539</v>
      </c>
      <c r="H41" s="10">
        <v>15778.735123729301</v>
      </c>
      <c r="I41" s="10">
        <v>91482.067609023594</v>
      </c>
      <c r="J41" s="10">
        <v>1309929.55</v>
      </c>
      <c r="K41" s="29">
        <v>8.0000000659577464E-2</v>
      </c>
    </row>
    <row r="42" spans="1:11" x14ac:dyDescent="0.3">
      <c r="A42" s="31">
        <v>45777</v>
      </c>
      <c r="B42" t="s">
        <v>49</v>
      </c>
      <c r="C42" t="s">
        <v>186</v>
      </c>
      <c r="D42" s="10">
        <v>284726.3367534983</v>
      </c>
      <c r="E42" s="10">
        <v>346115.95404971222</v>
      </c>
      <c r="F42" s="10">
        <v>137186.73035301219</v>
      </c>
      <c r="G42" s="10">
        <v>124754.14941490231</v>
      </c>
      <c r="H42" s="10">
        <v>72133.835585616107</v>
      </c>
      <c r="I42" s="10">
        <v>406567.12384325871</v>
      </c>
      <c r="J42" s="10">
        <v>1371484.13</v>
      </c>
      <c r="K42" s="29">
        <v>7.9999998763383443E-2</v>
      </c>
    </row>
    <row r="43" spans="1:11" x14ac:dyDescent="0.3">
      <c r="A43" s="31">
        <v>45808</v>
      </c>
      <c r="B43" t="s">
        <v>49</v>
      </c>
      <c r="C43" t="s">
        <v>186</v>
      </c>
      <c r="D43" s="10">
        <v>33542.721635280192</v>
      </c>
      <c r="E43" s="10">
        <v>497817.27961630741</v>
      </c>
      <c r="F43" s="10">
        <v>9947.6240425260676</v>
      </c>
      <c r="G43" s="10">
        <v>90471.345616477629</v>
      </c>
      <c r="H43" s="10">
        <v>170218.4589786198</v>
      </c>
      <c r="I43" s="10">
        <v>549822.44011078915</v>
      </c>
      <c r="J43" s="10">
        <v>1351819.87</v>
      </c>
      <c r="K43" s="29">
        <v>7.9999999928984628E-2</v>
      </c>
    </row>
    <row r="44" spans="1:11" x14ac:dyDescent="0.3">
      <c r="A44" s="31">
        <v>45838</v>
      </c>
      <c r="B44" t="s">
        <v>49</v>
      </c>
      <c r="C44" t="s">
        <v>186</v>
      </c>
      <c r="D44" s="10">
        <v>384568.80099729652</v>
      </c>
      <c r="E44" s="10">
        <v>96242.147289327128</v>
      </c>
      <c r="F44" s="10">
        <v>511485.60124526027</v>
      </c>
      <c r="G44" s="10">
        <v>27561.864288391251</v>
      </c>
      <c r="H44" s="10">
        <v>37977.632986133671</v>
      </c>
      <c r="I44" s="10">
        <v>313627.97319359123</v>
      </c>
      <c r="J44" s="10">
        <v>1371464.02</v>
      </c>
      <c r="K44" s="29">
        <v>7.9999998553370755E-2</v>
      </c>
    </row>
    <row r="45" spans="1:11" x14ac:dyDescent="0.3">
      <c r="A45" s="31">
        <v>45869</v>
      </c>
      <c r="B45" t="s">
        <v>49</v>
      </c>
      <c r="C45" t="s">
        <v>186</v>
      </c>
      <c r="D45" s="10">
        <v>198085.14347654031</v>
      </c>
      <c r="E45" s="10">
        <v>316424.44072211487</v>
      </c>
      <c r="F45" s="10">
        <v>16904.232281431901</v>
      </c>
      <c r="G45" s="10">
        <v>77769.227762890951</v>
      </c>
      <c r="H45" s="10">
        <v>341839.78392512532</v>
      </c>
      <c r="I45" s="10">
        <v>353724.88183189649</v>
      </c>
      <c r="J45" s="10">
        <v>1304747.71</v>
      </c>
      <c r="K45" s="29">
        <v>8.000000110366165E-2</v>
      </c>
    </row>
    <row r="46" spans="1:11" x14ac:dyDescent="0.3">
      <c r="A46" s="31">
        <v>45900</v>
      </c>
      <c r="B46" t="s">
        <v>49</v>
      </c>
      <c r="C46" t="s">
        <v>186</v>
      </c>
      <c r="D46" s="10">
        <v>70408.896332467833</v>
      </c>
      <c r="E46" s="10">
        <v>160249.391447723</v>
      </c>
      <c r="F46" s="10">
        <v>330490.36418659752</v>
      </c>
      <c r="G46" s="10">
        <v>55464.107330784173</v>
      </c>
      <c r="H46" s="10">
        <v>120206.92914316599</v>
      </c>
      <c r="I46" s="10">
        <v>574255.85155926144</v>
      </c>
      <c r="J46" s="10">
        <v>1311075.54</v>
      </c>
      <c r="K46" s="29">
        <v>8.0000000341704194E-2</v>
      </c>
    </row>
    <row r="47" spans="1:11" x14ac:dyDescent="0.3">
      <c r="A47" s="31">
        <v>45930</v>
      </c>
      <c r="B47" t="s">
        <v>49</v>
      </c>
      <c r="C47" t="s">
        <v>186</v>
      </c>
      <c r="D47" s="10">
        <v>223513.774104312</v>
      </c>
      <c r="E47" s="10">
        <v>225515.7684856464</v>
      </c>
      <c r="F47" s="10">
        <v>12421.36683983086</v>
      </c>
      <c r="G47" s="10">
        <v>187018.0319547797</v>
      </c>
      <c r="H47" s="10">
        <v>236472.59874285251</v>
      </c>
      <c r="I47" s="10">
        <v>419360.89987257839</v>
      </c>
      <c r="J47" s="10">
        <v>1304302.44</v>
      </c>
      <c r="K47" s="29">
        <v>0.08</v>
      </c>
    </row>
    <row r="48" spans="1:11" x14ac:dyDescent="0.3">
      <c r="A48" s="31">
        <v>45961</v>
      </c>
      <c r="B48" t="s">
        <v>49</v>
      </c>
      <c r="C48" t="s">
        <v>186</v>
      </c>
      <c r="D48" s="10">
        <v>363501.47738109273</v>
      </c>
      <c r="E48" s="10">
        <v>242791.40540867989</v>
      </c>
      <c r="F48" s="10">
        <v>29349.928137273109</v>
      </c>
      <c r="G48" s="10">
        <v>57726.144265357667</v>
      </c>
      <c r="H48" s="10">
        <v>83187.329901704245</v>
      </c>
      <c r="I48" s="10">
        <v>520136.7749058925</v>
      </c>
      <c r="J48" s="10">
        <v>1296693.06</v>
      </c>
      <c r="K48" s="29">
        <v>8.0000002221034539E-2</v>
      </c>
    </row>
    <row r="49" spans="1:11" x14ac:dyDescent="0.3">
      <c r="A49" s="31">
        <v>45991</v>
      </c>
      <c r="B49" t="s">
        <v>49</v>
      </c>
      <c r="C49" t="s">
        <v>186</v>
      </c>
      <c r="D49" s="10">
        <v>33378.738772299177</v>
      </c>
      <c r="E49" s="10">
        <v>37981.554157279963</v>
      </c>
      <c r="F49" s="10">
        <v>8610.6304425664439</v>
      </c>
      <c r="G49" s="10">
        <v>570872.34343113063</v>
      </c>
      <c r="H49" s="10">
        <v>361817.67372144852</v>
      </c>
      <c r="I49" s="10">
        <v>366906.41947527498</v>
      </c>
      <c r="J49" s="10">
        <v>1379567.36</v>
      </c>
      <c r="K49" s="29">
        <v>8.0000001670088833E-2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2B1E-5629-4DB3-BDC7-667981991DD3}">
  <sheetPr>
    <tabColor theme="6" tint="0.39997558519241921"/>
  </sheetPr>
  <dimension ref="A1:K49"/>
  <sheetViews>
    <sheetView workbookViewId="0">
      <selection activeCell="C13" sqref="C13"/>
    </sheetView>
  </sheetViews>
  <sheetFormatPr defaultRowHeight="14.4" x14ac:dyDescent="0.3"/>
  <cols>
    <col min="1" max="2" width="17" customWidth="1"/>
    <col min="3" max="3" width="14.33203125" bestFit="1" customWidth="1"/>
    <col min="4" max="7" width="13.33203125" bestFit="1" customWidth="1"/>
    <col min="8" max="9" width="11.5546875" bestFit="1" customWidth="1"/>
  </cols>
  <sheetData>
    <row r="1" spans="1:11" x14ac:dyDescent="0.3">
      <c r="A1" s="13" t="s">
        <v>22</v>
      </c>
      <c r="B1" s="13" t="s">
        <v>197</v>
      </c>
      <c r="C1" s="13" t="s">
        <v>315</v>
      </c>
      <c r="D1" s="13" t="s">
        <v>314</v>
      </c>
      <c r="E1" s="13" t="s">
        <v>313</v>
      </c>
      <c r="F1" s="13" t="s">
        <v>312</v>
      </c>
      <c r="G1" s="13" t="s">
        <v>311</v>
      </c>
      <c r="H1" s="13" t="s">
        <v>310</v>
      </c>
      <c r="I1" s="13" t="s">
        <v>309</v>
      </c>
      <c r="J1" s="13" t="s">
        <v>308</v>
      </c>
      <c r="K1" s="13" t="s">
        <v>307</v>
      </c>
    </row>
    <row r="2" spans="1:11" x14ac:dyDescent="0.3">
      <c r="A2" t="s">
        <v>186</v>
      </c>
      <c r="B2" s="25">
        <v>45657</v>
      </c>
      <c r="C2" s="4">
        <v>16120044.140000001</v>
      </c>
      <c r="D2" s="4">
        <v>7445436.5499999998</v>
      </c>
      <c r="E2" s="4">
        <v>5028628.4000000004</v>
      </c>
      <c r="F2" s="4">
        <v>1579218.66</v>
      </c>
      <c r="G2" s="4">
        <v>1084271.46</v>
      </c>
      <c r="H2" s="4">
        <v>504133.84</v>
      </c>
      <c r="I2" s="4">
        <v>478355.22</v>
      </c>
      <c r="J2" s="6">
        <v>0.77380000000000004</v>
      </c>
      <c r="K2" s="6">
        <v>0.22620000000000001</v>
      </c>
    </row>
    <row r="3" spans="1:11" x14ac:dyDescent="0.3">
      <c r="A3" t="s">
        <v>186</v>
      </c>
      <c r="B3" s="25">
        <v>45688</v>
      </c>
      <c r="C3" s="4">
        <v>15441785.76</v>
      </c>
      <c r="D3" s="4">
        <v>7619961.5099999998</v>
      </c>
      <c r="E3" s="4">
        <v>5396514.3600000003</v>
      </c>
      <c r="F3" s="4">
        <v>1131758.77</v>
      </c>
      <c r="G3" s="4">
        <v>720398.52</v>
      </c>
      <c r="H3" s="4">
        <v>309135.24</v>
      </c>
      <c r="I3" s="4">
        <v>264017.37</v>
      </c>
      <c r="J3" s="6">
        <v>0.84289999999999998</v>
      </c>
      <c r="K3" s="6">
        <v>0.15709999999999999</v>
      </c>
    </row>
    <row r="4" spans="1:11" x14ac:dyDescent="0.3">
      <c r="A4" t="s">
        <v>186</v>
      </c>
      <c r="B4" s="25">
        <v>45716</v>
      </c>
      <c r="C4" s="4">
        <v>15428442.77</v>
      </c>
      <c r="D4" s="4">
        <v>7440460.7999999998</v>
      </c>
      <c r="E4" s="4">
        <v>4984796.13</v>
      </c>
      <c r="F4" s="4">
        <v>1431912.86</v>
      </c>
      <c r="G4" s="4">
        <v>858939.58</v>
      </c>
      <c r="H4" s="4">
        <v>534031.29</v>
      </c>
      <c r="I4" s="4">
        <v>178302.1</v>
      </c>
      <c r="J4" s="6">
        <v>0.80530000000000002</v>
      </c>
      <c r="K4" s="6">
        <v>0.19470000000000001</v>
      </c>
    </row>
    <row r="5" spans="1:11" x14ac:dyDescent="0.3">
      <c r="A5" t="s">
        <v>186</v>
      </c>
      <c r="B5" s="25">
        <v>45747</v>
      </c>
      <c r="C5" s="4">
        <v>15064189.699999999</v>
      </c>
      <c r="D5" s="4">
        <v>7419375.6600000001</v>
      </c>
      <c r="E5" s="4">
        <v>4822729.8</v>
      </c>
      <c r="F5" s="4">
        <v>1332672.1399999999</v>
      </c>
      <c r="G5" s="4">
        <v>880379.28</v>
      </c>
      <c r="H5" s="4">
        <v>465750.52</v>
      </c>
      <c r="I5" s="4">
        <v>143282.31</v>
      </c>
      <c r="J5" s="6">
        <v>0.81269999999999998</v>
      </c>
      <c r="K5" s="6">
        <v>0.18729999999999999</v>
      </c>
    </row>
    <row r="6" spans="1:11" x14ac:dyDescent="0.3">
      <c r="A6" t="s">
        <v>186</v>
      </c>
      <c r="B6" s="25">
        <v>45777</v>
      </c>
      <c r="C6" s="4">
        <v>15772067.720000001</v>
      </c>
      <c r="D6" s="4">
        <v>7617677.9000000004</v>
      </c>
      <c r="E6" s="4">
        <v>5127327.79</v>
      </c>
      <c r="F6" s="4">
        <v>1412684.57</v>
      </c>
      <c r="G6" s="4">
        <v>1016260.25</v>
      </c>
      <c r="H6" s="4">
        <v>455386.92</v>
      </c>
      <c r="I6" s="4">
        <v>142730.29999999999</v>
      </c>
      <c r="J6" s="6">
        <v>0.80810000000000004</v>
      </c>
      <c r="K6" s="6">
        <v>0.19189999999999999</v>
      </c>
    </row>
    <row r="7" spans="1:11" x14ac:dyDescent="0.3">
      <c r="A7" t="s">
        <v>186</v>
      </c>
      <c r="B7" s="25">
        <v>45808</v>
      </c>
      <c r="C7" s="4">
        <v>15545928.529999999</v>
      </c>
      <c r="D7" s="4">
        <v>8329851.7400000002</v>
      </c>
      <c r="E7" s="4">
        <v>5229786.93</v>
      </c>
      <c r="F7" s="4">
        <v>1035236.5</v>
      </c>
      <c r="G7" s="4">
        <v>597367.37</v>
      </c>
      <c r="H7" s="4">
        <v>262510.57</v>
      </c>
      <c r="I7" s="4">
        <v>91175.41</v>
      </c>
      <c r="J7" s="6">
        <v>0.87219999999999998</v>
      </c>
      <c r="K7" s="6">
        <v>0.1278</v>
      </c>
    </row>
    <row r="8" spans="1:11" x14ac:dyDescent="0.3">
      <c r="A8" t="s">
        <v>186</v>
      </c>
      <c r="B8" s="25">
        <v>45838</v>
      </c>
      <c r="C8" s="4">
        <v>15771836.52</v>
      </c>
      <c r="D8" s="4">
        <v>8294492.6100000003</v>
      </c>
      <c r="E8" s="4">
        <v>5454196.2800000003</v>
      </c>
      <c r="F8" s="4">
        <v>859694.89</v>
      </c>
      <c r="G8" s="4">
        <v>607878.55000000005</v>
      </c>
      <c r="H8" s="4">
        <v>357005.75</v>
      </c>
      <c r="I8" s="4">
        <v>198568.46</v>
      </c>
      <c r="J8" s="6">
        <v>0.87170000000000003</v>
      </c>
      <c r="K8" s="6">
        <v>0.1283</v>
      </c>
    </row>
    <row r="9" spans="1:11" x14ac:dyDescent="0.3">
      <c r="A9" t="s">
        <v>186</v>
      </c>
      <c r="B9" s="25">
        <v>45869</v>
      </c>
      <c r="C9" s="4">
        <v>15004598.449999999</v>
      </c>
      <c r="D9" s="4">
        <v>7369544.5800000001</v>
      </c>
      <c r="E9" s="4">
        <v>4710083.34</v>
      </c>
      <c r="F9" s="4">
        <v>1422883.03</v>
      </c>
      <c r="G9" s="4">
        <v>892364.13</v>
      </c>
      <c r="H9" s="4">
        <v>510413.01</v>
      </c>
      <c r="I9" s="4">
        <v>99310.34</v>
      </c>
      <c r="J9" s="6">
        <v>0.80510000000000004</v>
      </c>
      <c r="K9" s="6">
        <v>0.19489999999999999</v>
      </c>
    </row>
    <row r="10" spans="1:11" x14ac:dyDescent="0.3">
      <c r="A10" t="s">
        <v>186</v>
      </c>
      <c r="B10" s="25">
        <v>45900</v>
      </c>
      <c r="C10" s="4">
        <v>15077368.65</v>
      </c>
      <c r="D10" s="4">
        <v>7665690.3499999996</v>
      </c>
      <c r="E10" s="4">
        <v>5567647.1500000004</v>
      </c>
      <c r="F10" s="4">
        <v>915384.22</v>
      </c>
      <c r="G10" s="4">
        <v>549286.23</v>
      </c>
      <c r="H10" s="4">
        <v>228669.46</v>
      </c>
      <c r="I10" s="4">
        <v>150691.23000000001</v>
      </c>
      <c r="J10" s="6">
        <v>0.87770000000000004</v>
      </c>
      <c r="K10" s="6">
        <v>0.12230000000000001</v>
      </c>
    </row>
    <row r="11" spans="1:11" x14ac:dyDescent="0.3">
      <c r="A11" t="s">
        <v>186</v>
      </c>
      <c r="B11" s="25">
        <v>45930</v>
      </c>
      <c r="C11" s="4">
        <v>14999478.050000001</v>
      </c>
      <c r="D11" s="4">
        <v>7955670.8099999996</v>
      </c>
      <c r="E11" s="4">
        <v>5035562.5</v>
      </c>
      <c r="F11" s="4">
        <v>874644.36</v>
      </c>
      <c r="G11" s="4">
        <v>627015.18000000005</v>
      </c>
      <c r="H11" s="4">
        <v>337835.62</v>
      </c>
      <c r="I11" s="4">
        <v>168749.58</v>
      </c>
      <c r="J11" s="6">
        <v>0.86609999999999998</v>
      </c>
      <c r="K11" s="6">
        <v>0.13389999999999999</v>
      </c>
    </row>
    <row r="12" spans="1:11" x14ac:dyDescent="0.3">
      <c r="A12" t="s">
        <v>186</v>
      </c>
      <c r="B12" s="25">
        <v>45961</v>
      </c>
      <c r="C12" s="4">
        <v>14911969.76</v>
      </c>
      <c r="D12" s="4">
        <v>7506980.5099999998</v>
      </c>
      <c r="E12" s="4">
        <v>4800138.91</v>
      </c>
      <c r="F12" s="4">
        <v>1138181.31</v>
      </c>
      <c r="G12" s="4">
        <v>758040.51</v>
      </c>
      <c r="H12" s="4">
        <v>379046.45</v>
      </c>
      <c r="I12" s="4">
        <v>329582.06</v>
      </c>
      <c r="J12" s="6">
        <v>0.82530000000000003</v>
      </c>
      <c r="K12" s="6">
        <v>0.17469999999999999</v>
      </c>
    </row>
    <row r="13" spans="1:11" x14ac:dyDescent="0.3">
      <c r="A13" t="s">
        <v>186</v>
      </c>
      <c r="B13" s="25">
        <v>45991</v>
      </c>
      <c r="C13" s="4">
        <v>15865024.289999999</v>
      </c>
      <c r="D13" s="4">
        <v>8214046.7699999996</v>
      </c>
      <c r="E13" s="4">
        <v>5472991.2199999997</v>
      </c>
      <c r="F13" s="4">
        <v>1080555.21</v>
      </c>
      <c r="G13" s="4">
        <v>650050.19999999995</v>
      </c>
      <c r="H13" s="4">
        <v>320045.96999999997</v>
      </c>
      <c r="I13" s="4">
        <v>127334.9</v>
      </c>
      <c r="J13" s="6">
        <v>0.86270000000000002</v>
      </c>
      <c r="K13" s="6">
        <v>0.13730000000000001</v>
      </c>
    </row>
    <row r="14" spans="1:11" x14ac:dyDescent="0.3">
      <c r="A14" t="s">
        <v>192</v>
      </c>
      <c r="B14" s="25">
        <v>45657</v>
      </c>
      <c r="C14" s="4">
        <v>4544969.3</v>
      </c>
      <c r="D14" s="4">
        <v>1957025.59</v>
      </c>
      <c r="E14" s="4">
        <v>1461127.57</v>
      </c>
      <c r="F14" s="4">
        <v>483538.71</v>
      </c>
      <c r="G14" s="4">
        <v>294190.75</v>
      </c>
      <c r="H14" s="4">
        <v>140505.41</v>
      </c>
      <c r="I14" s="4">
        <v>208581.26</v>
      </c>
      <c r="J14" s="6">
        <v>0.75209999999999999</v>
      </c>
      <c r="K14" s="6">
        <v>0.24790000000000001</v>
      </c>
    </row>
    <row r="15" spans="1:11" x14ac:dyDescent="0.3">
      <c r="A15" t="s">
        <v>192</v>
      </c>
      <c r="B15" s="25">
        <v>45688</v>
      </c>
      <c r="C15" s="4">
        <v>4549838.45</v>
      </c>
      <c r="D15" s="4">
        <v>2361672.4500000002</v>
      </c>
      <c r="E15" s="4">
        <v>1648954.69</v>
      </c>
      <c r="F15" s="4">
        <v>240933.07</v>
      </c>
      <c r="G15" s="4">
        <v>163325.22</v>
      </c>
      <c r="H15" s="4">
        <v>70448.160000000003</v>
      </c>
      <c r="I15" s="4">
        <v>64504.86</v>
      </c>
      <c r="J15" s="6">
        <v>0.88149999999999995</v>
      </c>
      <c r="K15" s="6">
        <v>0.11849999999999999</v>
      </c>
    </row>
    <row r="16" spans="1:11" x14ac:dyDescent="0.3">
      <c r="A16" t="s">
        <v>192</v>
      </c>
      <c r="B16" s="25">
        <v>45716</v>
      </c>
      <c r="C16" s="4">
        <v>4690120.05</v>
      </c>
      <c r="D16" s="4">
        <v>2103676.02</v>
      </c>
      <c r="E16" s="4">
        <v>1604409.32</v>
      </c>
      <c r="F16" s="4">
        <v>414934.33</v>
      </c>
      <c r="G16" s="4">
        <v>281891.51</v>
      </c>
      <c r="H16" s="4">
        <v>188288.77</v>
      </c>
      <c r="I16" s="4">
        <v>96920.09</v>
      </c>
      <c r="J16" s="6">
        <v>0.79059999999999997</v>
      </c>
      <c r="K16" s="6">
        <v>0.2094</v>
      </c>
    </row>
    <row r="17" spans="1:11" x14ac:dyDescent="0.3">
      <c r="A17" t="s">
        <v>192</v>
      </c>
      <c r="B17" s="25">
        <v>45747</v>
      </c>
      <c r="C17" s="4">
        <v>4414736.99</v>
      </c>
      <c r="D17" s="4">
        <v>1892586.64</v>
      </c>
      <c r="E17" s="4">
        <v>1545906.14</v>
      </c>
      <c r="F17" s="4">
        <v>424321.89</v>
      </c>
      <c r="G17" s="4">
        <v>302626.11</v>
      </c>
      <c r="H17" s="4">
        <v>141377.01999999999</v>
      </c>
      <c r="I17" s="4">
        <v>107919.19</v>
      </c>
      <c r="J17" s="6">
        <v>0.77890000000000004</v>
      </c>
      <c r="K17" s="6">
        <v>0.22109999999999999</v>
      </c>
    </row>
    <row r="18" spans="1:11" x14ac:dyDescent="0.3">
      <c r="A18" t="s">
        <v>192</v>
      </c>
      <c r="B18" s="25">
        <v>45777</v>
      </c>
      <c r="C18" s="4">
        <v>4719640.0199999996</v>
      </c>
      <c r="D18" s="4">
        <v>2432150.6800000002</v>
      </c>
      <c r="E18" s="4">
        <v>1730447.4</v>
      </c>
      <c r="F18" s="4">
        <v>250724.12</v>
      </c>
      <c r="G18" s="4">
        <v>189607.66</v>
      </c>
      <c r="H18" s="4">
        <v>63031.7</v>
      </c>
      <c r="I18" s="4">
        <v>53678.46</v>
      </c>
      <c r="J18" s="6">
        <v>0.88200000000000001</v>
      </c>
      <c r="K18" s="6">
        <v>0.11799999999999999</v>
      </c>
    </row>
    <row r="19" spans="1:11" x14ac:dyDescent="0.3">
      <c r="A19" t="s">
        <v>192</v>
      </c>
      <c r="B19" s="25">
        <v>45808</v>
      </c>
      <c r="C19" s="4">
        <v>4708626.47</v>
      </c>
      <c r="D19" s="4">
        <v>2651170.52</v>
      </c>
      <c r="E19" s="4">
        <v>1515146.93</v>
      </c>
      <c r="F19" s="4">
        <v>285647.23</v>
      </c>
      <c r="G19" s="4">
        <v>141495.06</v>
      </c>
      <c r="H19" s="4">
        <v>82495.259999999995</v>
      </c>
      <c r="I19" s="4">
        <v>32671.47</v>
      </c>
      <c r="J19" s="6">
        <v>0.88480000000000003</v>
      </c>
      <c r="K19" s="6">
        <v>0.1152</v>
      </c>
    </row>
    <row r="20" spans="1:11" x14ac:dyDescent="0.3">
      <c r="A20" t="s">
        <v>192</v>
      </c>
      <c r="B20" s="25">
        <v>45838</v>
      </c>
      <c r="C20" s="4">
        <v>4672241.83</v>
      </c>
      <c r="D20" s="4">
        <v>2209396.3199999998</v>
      </c>
      <c r="E20" s="4">
        <v>1671542.18</v>
      </c>
      <c r="F20" s="4">
        <v>329877.36</v>
      </c>
      <c r="G20" s="4">
        <v>233108.62</v>
      </c>
      <c r="H20" s="4">
        <v>153226.99</v>
      </c>
      <c r="I20" s="4">
        <v>75090.36</v>
      </c>
      <c r="J20" s="6">
        <v>0.8306</v>
      </c>
      <c r="K20" s="6">
        <v>0.1694</v>
      </c>
    </row>
    <row r="21" spans="1:11" x14ac:dyDescent="0.3">
      <c r="A21" t="s">
        <v>192</v>
      </c>
      <c r="B21" s="25">
        <v>45869</v>
      </c>
      <c r="C21" s="4">
        <v>4563278.1900000004</v>
      </c>
      <c r="D21" s="4">
        <v>2185882.48</v>
      </c>
      <c r="E21" s="4">
        <v>1751743.87</v>
      </c>
      <c r="F21" s="4">
        <v>253482.71</v>
      </c>
      <c r="G21" s="4">
        <v>173360.77</v>
      </c>
      <c r="H21" s="4">
        <v>122667.39</v>
      </c>
      <c r="I21" s="4">
        <v>76140.960000000006</v>
      </c>
      <c r="J21" s="6">
        <v>0.8629</v>
      </c>
      <c r="K21" s="6">
        <v>0.1371</v>
      </c>
    </row>
    <row r="22" spans="1:11" x14ac:dyDescent="0.3">
      <c r="A22" t="s">
        <v>192</v>
      </c>
      <c r="B22" s="25">
        <v>45900</v>
      </c>
      <c r="C22" s="4">
        <v>4337651.2</v>
      </c>
      <c r="D22" s="4">
        <v>2156654.9500000002</v>
      </c>
      <c r="E22" s="4">
        <v>1737819.2</v>
      </c>
      <c r="F22" s="4">
        <v>178781.46</v>
      </c>
      <c r="G22" s="4">
        <v>129686.99</v>
      </c>
      <c r="H22" s="4">
        <v>78036.95</v>
      </c>
      <c r="I22" s="4">
        <v>56671.65</v>
      </c>
      <c r="J22" s="6">
        <v>0.89780000000000004</v>
      </c>
      <c r="K22" s="6">
        <v>0.1022</v>
      </c>
    </row>
    <row r="23" spans="1:11" x14ac:dyDescent="0.3">
      <c r="A23" t="s">
        <v>192</v>
      </c>
      <c r="B23" s="25">
        <v>45930</v>
      </c>
      <c r="C23" s="4">
        <v>4567206.66</v>
      </c>
      <c r="D23" s="4">
        <v>2262272.6800000002</v>
      </c>
      <c r="E23" s="4">
        <v>1466168.34</v>
      </c>
      <c r="F23" s="4">
        <v>382946.1</v>
      </c>
      <c r="G23" s="4">
        <v>250234.49</v>
      </c>
      <c r="H23" s="4">
        <v>164286.57</v>
      </c>
      <c r="I23" s="4">
        <v>41298.49</v>
      </c>
      <c r="J23" s="6">
        <v>0.81640000000000001</v>
      </c>
      <c r="K23" s="6">
        <v>0.18360000000000001</v>
      </c>
    </row>
    <row r="24" spans="1:11" x14ac:dyDescent="0.3">
      <c r="A24" t="s">
        <v>192</v>
      </c>
      <c r="B24" s="25">
        <v>45961</v>
      </c>
      <c r="C24" s="4">
        <v>4393566.54</v>
      </c>
      <c r="D24" s="4">
        <v>2117444.2999999998</v>
      </c>
      <c r="E24" s="4">
        <v>1521151.1</v>
      </c>
      <c r="F24" s="4">
        <v>348112.43</v>
      </c>
      <c r="G24" s="4">
        <v>210250.5</v>
      </c>
      <c r="H24" s="4">
        <v>81256.039999999994</v>
      </c>
      <c r="I24" s="4">
        <v>115352.16</v>
      </c>
      <c r="J24" s="6">
        <v>0.82820000000000005</v>
      </c>
      <c r="K24" s="6">
        <v>0.17180000000000001</v>
      </c>
    </row>
    <row r="25" spans="1:11" x14ac:dyDescent="0.3">
      <c r="A25" t="s">
        <v>192</v>
      </c>
      <c r="B25" s="25">
        <v>45991</v>
      </c>
      <c r="C25" s="4">
        <v>4352372.76</v>
      </c>
      <c r="D25" s="4">
        <v>2351808.41</v>
      </c>
      <c r="E25" s="4">
        <v>1270782.7</v>
      </c>
      <c r="F25" s="4">
        <v>344114.55</v>
      </c>
      <c r="G25" s="4">
        <v>220417.69</v>
      </c>
      <c r="H25" s="4">
        <v>141044.57999999999</v>
      </c>
      <c r="I25" s="4">
        <v>24204.82</v>
      </c>
      <c r="J25" s="6">
        <v>0.83230000000000004</v>
      </c>
      <c r="K25" s="6">
        <v>0.16769999999999999</v>
      </c>
    </row>
    <row r="26" spans="1:11" x14ac:dyDescent="0.3">
      <c r="A26" t="s">
        <v>191</v>
      </c>
      <c r="B26" s="25">
        <v>45657</v>
      </c>
      <c r="C26" s="4">
        <v>3447316.14</v>
      </c>
      <c r="D26" s="4">
        <v>1758503.69</v>
      </c>
      <c r="E26" s="4">
        <v>1201408.54</v>
      </c>
      <c r="F26" s="4">
        <v>238822.03</v>
      </c>
      <c r="G26" s="4">
        <v>158862.48000000001</v>
      </c>
      <c r="H26" s="4">
        <v>51681.440000000002</v>
      </c>
      <c r="I26" s="4">
        <v>38037.96</v>
      </c>
      <c r="J26" s="6">
        <v>0.85860000000000003</v>
      </c>
      <c r="K26" s="6">
        <v>0.1414</v>
      </c>
    </row>
    <row r="27" spans="1:11" x14ac:dyDescent="0.3">
      <c r="A27" t="s">
        <v>191</v>
      </c>
      <c r="B27" s="25">
        <v>45688</v>
      </c>
      <c r="C27" s="4">
        <v>3220778.75</v>
      </c>
      <c r="D27" s="4">
        <v>1619957.91</v>
      </c>
      <c r="E27" s="4">
        <v>1044296.41</v>
      </c>
      <c r="F27" s="4">
        <v>231072.87</v>
      </c>
      <c r="G27" s="4">
        <v>175169.97</v>
      </c>
      <c r="H27" s="4">
        <v>105466.49</v>
      </c>
      <c r="I27" s="4">
        <v>44815.11</v>
      </c>
      <c r="J27" s="6">
        <v>0.82720000000000005</v>
      </c>
      <c r="K27" s="6">
        <v>0.17280000000000001</v>
      </c>
    </row>
    <row r="28" spans="1:11" x14ac:dyDescent="0.3">
      <c r="A28" t="s">
        <v>191</v>
      </c>
      <c r="B28" s="25">
        <v>45716</v>
      </c>
      <c r="C28" s="4">
        <v>3448806.03</v>
      </c>
      <c r="D28" s="4">
        <v>1631431.15</v>
      </c>
      <c r="E28" s="4">
        <v>992293.09</v>
      </c>
      <c r="F28" s="4">
        <v>364046.02</v>
      </c>
      <c r="G28" s="4">
        <v>249645.81</v>
      </c>
      <c r="H28" s="4">
        <v>142710.65</v>
      </c>
      <c r="I28" s="4">
        <v>68679.320000000007</v>
      </c>
      <c r="J28" s="6">
        <v>0.76080000000000003</v>
      </c>
      <c r="K28" s="6">
        <v>0.2392</v>
      </c>
    </row>
    <row r="29" spans="1:11" x14ac:dyDescent="0.3">
      <c r="A29" t="s">
        <v>191</v>
      </c>
      <c r="B29" s="25">
        <v>45747</v>
      </c>
      <c r="C29" s="4">
        <v>3169526.1</v>
      </c>
      <c r="D29" s="4">
        <v>1558808.23</v>
      </c>
      <c r="E29" s="4">
        <v>886989.84</v>
      </c>
      <c r="F29" s="4">
        <v>335784.23</v>
      </c>
      <c r="G29" s="4">
        <v>228236.16</v>
      </c>
      <c r="H29" s="4">
        <v>105159.8</v>
      </c>
      <c r="I29" s="4">
        <v>54547.83</v>
      </c>
      <c r="J29" s="6">
        <v>0.77170000000000005</v>
      </c>
      <c r="K29" s="6">
        <v>0.2283</v>
      </c>
    </row>
    <row r="30" spans="1:11" x14ac:dyDescent="0.3">
      <c r="A30" t="s">
        <v>191</v>
      </c>
      <c r="B30" s="25">
        <v>45777</v>
      </c>
      <c r="C30" s="4">
        <v>3301130.14</v>
      </c>
      <c r="D30" s="4">
        <v>1669309.41</v>
      </c>
      <c r="E30" s="4">
        <v>1021240.72</v>
      </c>
      <c r="F30" s="4">
        <v>261501.83</v>
      </c>
      <c r="G30" s="4">
        <v>187331.45</v>
      </c>
      <c r="H30" s="4">
        <v>93600.12</v>
      </c>
      <c r="I30" s="4">
        <v>68146.61</v>
      </c>
      <c r="J30" s="6">
        <v>0.81499999999999995</v>
      </c>
      <c r="K30" s="6">
        <v>0.185</v>
      </c>
    </row>
    <row r="31" spans="1:11" x14ac:dyDescent="0.3">
      <c r="A31" t="s">
        <v>191</v>
      </c>
      <c r="B31" s="25">
        <v>45808</v>
      </c>
      <c r="C31" s="4">
        <v>3457983.33</v>
      </c>
      <c r="D31" s="4">
        <v>1806865.85</v>
      </c>
      <c r="E31" s="4">
        <v>1268264.82</v>
      </c>
      <c r="F31" s="4">
        <v>200903.99</v>
      </c>
      <c r="G31" s="4">
        <v>99403.45</v>
      </c>
      <c r="H31" s="4">
        <v>59312.49</v>
      </c>
      <c r="I31" s="4">
        <v>23232.73</v>
      </c>
      <c r="J31" s="6">
        <v>0.88929999999999998</v>
      </c>
      <c r="K31" s="6">
        <v>0.11070000000000001</v>
      </c>
    </row>
    <row r="32" spans="1:11" x14ac:dyDescent="0.3">
      <c r="A32" t="s">
        <v>191</v>
      </c>
      <c r="B32" s="25">
        <v>45838</v>
      </c>
      <c r="C32" s="4">
        <v>2973831.62</v>
      </c>
      <c r="D32" s="4">
        <v>1585113.11</v>
      </c>
      <c r="E32" s="4">
        <v>1051018.21</v>
      </c>
      <c r="F32" s="4">
        <v>137003.68</v>
      </c>
      <c r="G32" s="4">
        <v>115929.32</v>
      </c>
      <c r="H32" s="4">
        <v>56830.45</v>
      </c>
      <c r="I32" s="4">
        <v>27936.86</v>
      </c>
      <c r="J32" s="6">
        <v>0.88639999999999997</v>
      </c>
      <c r="K32" s="6">
        <v>0.11360000000000001</v>
      </c>
    </row>
    <row r="33" spans="1:11" x14ac:dyDescent="0.3">
      <c r="A33" t="s">
        <v>191</v>
      </c>
      <c r="B33" s="25">
        <v>45869</v>
      </c>
      <c r="C33" s="4">
        <v>3002628.49</v>
      </c>
      <c r="D33" s="4">
        <v>1432897.18</v>
      </c>
      <c r="E33" s="4">
        <v>891404.63</v>
      </c>
      <c r="F33" s="4">
        <v>312890.93</v>
      </c>
      <c r="G33" s="4">
        <v>172392.98</v>
      </c>
      <c r="H33" s="4">
        <v>72909.81</v>
      </c>
      <c r="I33" s="4">
        <v>120132.96</v>
      </c>
      <c r="J33" s="6">
        <v>0.77410000000000001</v>
      </c>
      <c r="K33" s="6">
        <v>0.22589999999999999</v>
      </c>
    </row>
    <row r="34" spans="1:11" x14ac:dyDescent="0.3">
      <c r="A34" t="s">
        <v>191</v>
      </c>
      <c r="B34" s="25">
        <v>45900</v>
      </c>
      <c r="C34" s="4">
        <v>3444352.79</v>
      </c>
      <c r="D34" s="4">
        <v>1803412.63</v>
      </c>
      <c r="E34" s="4">
        <v>1108915.23</v>
      </c>
      <c r="F34" s="4">
        <v>292256.71000000002</v>
      </c>
      <c r="G34" s="4">
        <v>139267.91</v>
      </c>
      <c r="H34" s="4">
        <v>60310.47</v>
      </c>
      <c r="I34" s="4">
        <v>40189.839999999997</v>
      </c>
      <c r="J34" s="6">
        <v>0.84550000000000003</v>
      </c>
      <c r="K34" s="6">
        <v>0.1545</v>
      </c>
    </row>
    <row r="35" spans="1:11" x14ac:dyDescent="0.3">
      <c r="A35" t="s">
        <v>191</v>
      </c>
      <c r="B35" s="25">
        <v>45930</v>
      </c>
      <c r="C35" s="4">
        <v>3202289.53</v>
      </c>
      <c r="D35" s="4">
        <v>1749019.64</v>
      </c>
      <c r="E35" s="4">
        <v>1041529.11</v>
      </c>
      <c r="F35" s="4">
        <v>186063.32</v>
      </c>
      <c r="G35" s="4">
        <v>132831.07999999999</v>
      </c>
      <c r="H35" s="4">
        <v>65254.12</v>
      </c>
      <c r="I35" s="4">
        <v>27592.26</v>
      </c>
      <c r="J35" s="6">
        <v>0.87139999999999995</v>
      </c>
      <c r="K35" s="6">
        <v>0.12859999999999999</v>
      </c>
    </row>
    <row r="36" spans="1:11" x14ac:dyDescent="0.3">
      <c r="A36" t="s">
        <v>191</v>
      </c>
      <c r="B36" s="25">
        <v>45961</v>
      </c>
      <c r="C36" s="4">
        <v>3086148.05</v>
      </c>
      <c r="D36" s="4">
        <v>1620941.24</v>
      </c>
      <c r="E36" s="4">
        <v>954828.1</v>
      </c>
      <c r="F36" s="4">
        <v>223328.26</v>
      </c>
      <c r="G36" s="4">
        <v>161143.75</v>
      </c>
      <c r="H36" s="4">
        <v>70582.399999999994</v>
      </c>
      <c r="I36" s="4">
        <v>55324.3</v>
      </c>
      <c r="J36" s="6">
        <v>0.83460000000000001</v>
      </c>
      <c r="K36" s="6">
        <v>0.16539999999999999</v>
      </c>
    </row>
    <row r="37" spans="1:11" x14ac:dyDescent="0.3">
      <c r="A37" t="s">
        <v>191</v>
      </c>
      <c r="B37" s="25">
        <v>45991</v>
      </c>
      <c r="C37" s="4">
        <v>3047404.76</v>
      </c>
      <c r="D37" s="4">
        <v>1664451.07</v>
      </c>
      <c r="E37" s="4">
        <v>976298.37</v>
      </c>
      <c r="F37" s="4">
        <v>169791.31</v>
      </c>
      <c r="G37" s="4">
        <v>115529.39</v>
      </c>
      <c r="H37" s="4">
        <v>53221</v>
      </c>
      <c r="I37" s="4">
        <v>68113.62</v>
      </c>
      <c r="J37" s="6">
        <v>0.86660000000000004</v>
      </c>
      <c r="K37" s="6">
        <v>0.13339999999999999</v>
      </c>
    </row>
    <row r="38" spans="1:11" x14ac:dyDescent="0.3">
      <c r="A38" t="s">
        <v>193</v>
      </c>
      <c r="B38" s="25">
        <v>45657</v>
      </c>
      <c r="C38" s="4">
        <v>8127758.7000000002</v>
      </c>
      <c r="D38" s="4">
        <v>3729907.27</v>
      </c>
      <c r="E38" s="4">
        <v>2366092.29</v>
      </c>
      <c r="F38" s="4">
        <v>856857.92</v>
      </c>
      <c r="G38" s="4">
        <v>631218.23</v>
      </c>
      <c r="H38" s="4">
        <v>311946.99</v>
      </c>
      <c r="I38" s="4">
        <v>231736</v>
      </c>
      <c r="J38" s="6">
        <v>0.75</v>
      </c>
      <c r="K38" s="6">
        <v>0.25</v>
      </c>
    </row>
    <row r="39" spans="1:11" x14ac:dyDescent="0.3">
      <c r="A39" t="s">
        <v>193</v>
      </c>
      <c r="B39" s="25">
        <v>45688</v>
      </c>
      <c r="C39" s="4">
        <v>7671168.5599999996</v>
      </c>
      <c r="D39" s="4">
        <v>3638331.15</v>
      </c>
      <c r="E39" s="4">
        <v>2703263.26</v>
      </c>
      <c r="F39" s="4">
        <v>659752.82999999996</v>
      </c>
      <c r="G39" s="4">
        <v>381903.33</v>
      </c>
      <c r="H39" s="4">
        <v>133220.59</v>
      </c>
      <c r="I39" s="4">
        <v>154697.4</v>
      </c>
      <c r="J39" s="6">
        <v>0.82669999999999999</v>
      </c>
      <c r="K39" s="6">
        <v>0.17330000000000001</v>
      </c>
    </row>
    <row r="40" spans="1:11" x14ac:dyDescent="0.3">
      <c r="A40" t="s">
        <v>193</v>
      </c>
      <c r="B40" s="25">
        <v>45716</v>
      </c>
      <c r="C40" s="4">
        <v>7289516.6900000004</v>
      </c>
      <c r="D40" s="4">
        <v>3705353.63</v>
      </c>
      <c r="E40" s="4">
        <v>2388093.7200000002</v>
      </c>
      <c r="F40" s="4">
        <v>652932.51</v>
      </c>
      <c r="G40" s="4">
        <v>327402.26</v>
      </c>
      <c r="H40" s="4">
        <v>203031.87</v>
      </c>
      <c r="I40" s="4">
        <v>12702.69</v>
      </c>
      <c r="J40" s="6">
        <v>0.83589999999999998</v>
      </c>
      <c r="K40" s="6">
        <v>0.1641</v>
      </c>
    </row>
    <row r="41" spans="1:11" x14ac:dyDescent="0.3">
      <c r="A41" t="s">
        <v>193</v>
      </c>
      <c r="B41" s="25">
        <v>45747</v>
      </c>
      <c r="C41" s="4">
        <v>7479926.6100000003</v>
      </c>
      <c r="D41" s="4">
        <v>3967980.79</v>
      </c>
      <c r="E41" s="4">
        <v>2389833.8199999998</v>
      </c>
      <c r="F41" s="4">
        <v>572566.02</v>
      </c>
      <c r="G41" s="4">
        <v>349517.01</v>
      </c>
      <c r="H41" s="4">
        <v>219213.7</v>
      </c>
      <c r="I41" s="4">
        <v>-19184.71</v>
      </c>
      <c r="J41" s="6">
        <v>0.85</v>
      </c>
      <c r="K41" s="6">
        <v>0.15</v>
      </c>
    </row>
    <row r="42" spans="1:11" x14ac:dyDescent="0.3">
      <c r="A42" t="s">
        <v>193</v>
      </c>
      <c r="B42" s="25">
        <v>45777</v>
      </c>
      <c r="C42" s="4">
        <v>7751297.5599999996</v>
      </c>
      <c r="D42" s="4">
        <v>3516217.81</v>
      </c>
      <c r="E42" s="4">
        <v>2375639.67</v>
      </c>
      <c r="F42" s="4">
        <v>900458.62</v>
      </c>
      <c r="G42" s="4">
        <v>639321.14</v>
      </c>
      <c r="H42" s="4">
        <v>298755.09999999998</v>
      </c>
      <c r="I42" s="4">
        <v>20905.23</v>
      </c>
      <c r="J42" s="6">
        <v>0.7601</v>
      </c>
      <c r="K42" s="6">
        <v>0.2399</v>
      </c>
    </row>
    <row r="43" spans="1:11" x14ac:dyDescent="0.3">
      <c r="A43" t="s">
        <v>193</v>
      </c>
      <c r="B43" s="25">
        <v>45808</v>
      </c>
      <c r="C43" s="4">
        <v>7379318.7300000004</v>
      </c>
      <c r="D43" s="4">
        <v>3871815.37</v>
      </c>
      <c r="E43" s="4">
        <v>2446375.1800000002</v>
      </c>
      <c r="F43" s="4">
        <v>548685.28</v>
      </c>
      <c r="G43" s="4">
        <v>356468.86</v>
      </c>
      <c r="H43" s="4">
        <v>120702.82</v>
      </c>
      <c r="I43" s="4">
        <v>35271.21</v>
      </c>
      <c r="J43" s="6">
        <v>0.85619999999999996</v>
      </c>
      <c r="K43" s="6">
        <v>0.14380000000000001</v>
      </c>
    </row>
    <row r="44" spans="1:11" x14ac:dyDescent="0.3">
      <c r="A44" t="s">
        <v>193</v>
      </c>
      <c r="B44" s="25">
        <v>45838</v>
      </c>
      <c r="C44" s="4">
        <v>8125763.0700000003</v>
      </c>
      <c r="D44" s="4">
        <v>4499983.18</v>
      </c>
      <c r="E44" s="4">
        <v>2731635.89</v>
      </c>
      <c r="F44" s="4">
        <v>392813.85</v>
      </c>
      <c r="G44" s="4">
        <v>258840.61</v>
      </c>
      <c r="H44" s="4">
        <v>146948.31</v>
      </c>
      <c r="I44" s="4">
        <v>95541.24</v>
      </c>
      <c r="J44" s="6">
        <v>0.89</v>
      </c>
      <c r="K44" s="6">
        <v>0.11</v>
      </c>
    </row>
    <row r="45" spans="1:11" x14ac:dyDescent="0.3">
      <c r="A45" t="s">
        <v>193</v>
      </c>
      <c r="B45" s="25">
        <v>45869</v>
      </c>
      <c r="C45" s="4">
        <v>7438691.7699999996</v>
      </c>
      <c r="D45" s="4">
        <v>3750764.92</v>
      </c>
      <c r="E45" s="4">
        <v>2066934.84</v>
      </c>
      <c r="F45" s="4">
        <v>856509.39</v>
      </c>
      <c r="G45" s="4">
        <v>546610.38</v>
      </c>
      <c r="H45" s="4">
        <v>314835.81</v>
      </c>
      <c r="I45" s="4">
        <v>-96963.58</v>
      </c>
      <c r="J45" s="6">
        <v>0.78210000000000002</v>
      </c>
      <c r="K45" s="6">
        <v>0.21790000000000001</v>
      </c>
    </row>
    <row r="46" spans="1:11" x14ac:dyDescent="0.3">
      <c r="A46" t="s">
        <v>193</v>
      </c>
      <c r="B46" s="25">
        <v>45900</v>
      </c>
      <c r="C46" s="4">
        <v>7295364.6600000001</v>
      </c>
      <c r="D46" s="4">
        <v>3705622.77</v>
      </c>
      <c r="E46" s="4">
        <v>2720912.72</v>
      </c>
      <c r="F46" s="4">
        <v>444346.05</v>
      </c>
      <c r="G46" s="4">
        <v>280331.33</v>
      </c>
      <c r="H46" s="4">
        <v>90322.04</v>
      </c>
      <c r="I46" s="4">
        <v>53829.74</v>
      </c>
      <c r="J46" s="6">
        <v>0.88090000000000002</v>
      </c>
      <c r="K46" s="6">
        <v>0.1191</v>
      </c>
    </row>
    <row r="47" spans="1:11" x14ac:dyDescent="0.3">
      <c r="A47" t="s">
        <v>193</v>
      </c>
      <c r="B47" s="25">
        <v>45930</v>
      </c>
      <c r="C47" s="4">
        <v>7229981.8600000003</v>
      </c>
      <c r="D47" s="4">
        <v>3944378.49</v>
      </c>
      <c r="E47" s="4">
        <v>2527865.0499999998</v>
      </c>
      <c r="F47" s="4">
        <v>305634.94</v>
      </c>
      <c r="G47" s="4">
        <v>243949.61</v>
      </c>
      <c r="H47" s="4">
        <v>108294.93</v>
      </c>
      <c r="I47" s="4">
        <v>99858.83</v>
      </c>
      <c r="J47" s="6">
        <v>0.8952</v>
      </c>
      <c r="K47" s="6">
        <v>0.1048</v>
      </c>
    </row>
    <row r="48" spans="1:11" x14ac:dyDescent="0.3">
      <c r="A48" t="s">
        <v>193</v>
      </c>
      <c r="B48" s="25">
        <v>45961</v>
      </c>
      <c r="C48" s="4">
        <v>7432255.1699999999</v>
      </c>
      <c r="D48" s="4">
        <v>3768594.97</v>
      </c>
      <c r="E48" s="4">
        <v>2324159.71</v>
      </c>
      <c r="F48" s="4">
        <v>566740.62</v>
      </c>
      <c r="G48" s="4">
        <v>386646.26</v>
      </c>
      <c r="H48" s="4">
        <v>227208.01</v>
      </c>
      <c r="I48" s="4">
        <v>158905.60000000001</v>
      </c>
      <c r="J48" s="6">
        <v>0.81979999999999997</v>
      </c>
      <c r="K48" s="6">
        <v>0.1802</v>
      </c>
    </row>
    <row r="49" spans="1:11" x14ac:dyDescent="0.3">
      <c r="A49" t="s">
        <v>193</v>
      </c>
      <c r="B49" s="25">
        <v>45991</v>
      </c>
      <c r="C49" s="4">
        <v>8465246.7699999996</v>
      </c>
      <c r="D49" s="4">
        <v>4197787.29</v>
      </c>
      <c r="E49" s="4">
        <v>3225910.15</v>
      </c>
      <c r="F49" s="4">
        <v>566649.35</v>
      </c>
      <c r="G49" s="4">
        <v>314103.12</v>
      </c>
      <c r="H49" s="4">
        <v>125780.39</v>
      </c>
      <c r="I49" s="4">
        <v>35016.46</v>
      </c>
      <c r="J49" s="6">
        <v>0.877</v>
      </c>
      <c r="K49" s="6">
        <v>0.123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B686-24A7-419D-84B7-A21627396640}">
  <sheetPr>
    <tabColor theme="6" tint="0.39997558519241921"/>
  </sheetPr>
  <dimension ref="A1:Q481"/>
  <sheetViews>
    <sheetView zoomScale="58" workbookViewId="0">
      <selection activeCell="O27" sqref="O27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23.109375" bestFit="1" customWidth="1"/>
    <col min="4" max="4" width="14.33203125" style="4" bestFit="1" customWidth="1"/>
    <col min="5" max="5" width="19.6640625" style="4" bestFit="1" customWidth="1"/>
    <col min="6" max="6" width="13.33203125" style="4" bestFit="1" customWidth="1"/>
    <col min="7" max="7" width="13.6640625" style="6" bestFit="1" customWidth="1"/>
    <col min="8" max="9" width="13.33203125" style="4" bestFit="1" customWidth="1"/>
    <col min="10" max="10" width="11.5546875" style="4" bestFit="1" customWidth="1"/>
    <col min="11" max="11" width="7" style="6" bestFit="1" customWidth="1"/>
    <col min="12" max="12" width="17.33203125" bestFit="1" customWidth="1"/>
    <col min="15" max="15" width="12.77734375" bestFit="1" customWidth="1"/>
    <col min="16" max="16" width="11.5546875" bestFit="1" customWidth="1"/>
    <col min="17" max="17" width="12.77734375" bestFit="1" customWidth="1"/>
  </cols>
  <sheetData>
    <row r="1" spans="1:12" x14ac:dyDescent="0.3">
      <c r="A1" s="13" t="s">
        <v>22</v>
      </c>
      <c r="B1" s="13" t="s">
        <v>197</v>
      </c>
      <c r="C1" s="13" t="s">
        <v>333</v>
      </c>
      <c r="D1" s="21" t="s">
        <v>332</v>
      </c>
      <c r="E1" s="21" t="s">
        <v>331</v>
      </c>
      <c r="F1" s="21" t="s">
        <v>315</v>
      </c>
      <c r="G1" s="22" t="s">
        <v>330</v>
      </c>
      <c r="H1" s="21" t="s">
        <v>329</v>
      </c>
      <c r="I1" s="21" t="s">
        <v>328</v>
      </c>
      <c r="J1" s="21" t="s">
        <v>327</v>
      </c>
      <c r="K1" s="22" t="s">
        <v>326</v>
      </c>
      <c r="L1" s="13" t="s">
        <v>325</v>
      </c>
    </row>
    <row r="2" spans="1:12" x14ac:dyDescent="0.3">
      <c r="A2" t="s">
        <v>186</v>
      </c>
      <c r="B2" s="25">
        <v>45657</v>
      </c>
      <c r="C2" t="s">
        <v>324</v>
      </c>
      <c r="D2" s="4">
        <v>1514328.75</v>
      </c>
      <c r="E2" s="4">
        <v>121146.29</v>
      </c>
      <c r="F2" s="4">
        <v>1393182.45</v>
      </c>
      <c r="G2" s="6">
        <v>8.6400000000000005E-2</v>
      </c>
      <c r="H2" s="4">
        <v>1086727.6399999999</v>
      </c>
      <c r="I2" s="4">
        <v>812703.92</v>
      </c>
      <c r="J2" s="4">
        <v>274023.71000000002</v>
      </c>
      <c r="K2" s="6">
        <v>0.25219999999999998</v>
      </c>
      <c r="L2" s="28">
        <v>5.51</v>
      </c>
    </row>
    <row r="3" spans="1:12" x14ac:dyDescent="0.3">
      <c r="A3" t="s">
        <v>186</v>
      </c>
      <c r="B3" s="25">
        <v>45657</v>
      </c>
      <c r="C3" t="s">
        <v>323</v>
      </c>
      <c r="D3" s="4">
        <v>3154593.46</v>
      </c>
      <c r="E3" s="4">
        <v>252367.47</v>
      </c>
      <c r="F3" s="4">
        <v>2902225.99</v>
      </c>
      <c r="G3" s="6">
        <v>0.18</v>
      </c>
      <c r="H3" s="4">
        <v>2281144.87</v>
      </c>
      <c r="I3" s="4">
        <v>1716533.78</v>
      </c>
      <c r="J3" s="4">
        <v>564611.1</v>
      </c>
      <c r="K3" s="6">
        <v>0.2475</v>
      </c>
      <c r="L3" s="28">
        <v>5.47</v>
      </c>
    </row>
    <row r="4" spans="1:12" x14ac:dyDescent="0.3">
      <c r="A4" t="s">
        <v>186</v>
      </c>
      <c r="B4" s="25">
        <v>45657</v>
      </c>
      <c r="C4" t="s">
        <v>322</v>
      </c>
      <c r="D4" s="4">
        <v>1523444.26</v>
      </c>
      <c r="E4" s="4">
        <v>121875.55</v>
      </c>
      <c r="F4" s="4">
        <v>1401568.72</v>
      </c>
      <c r="G4" s="6">
        <v>8.6900000000000005E-2</v>
      </c>
      <c r="H4" s="4">
        <v>1266479</v>
      </c>
      <c r="I4" s="4">
        <v>998986.16</v>
      </c>
      <c r="J4" s="4">
        <v>267492.84000000003</v>
      </c>
      <c r="K4" s="6">
        <v>0.2112</v>
      </c>
      <c r="L4" s="28">
        <v>4.76</v>
      </c>
    </row>
    <row r="5" spans="1:12" x14ac:dyDescent="0.3">
      <c r="A5" t="s">
        <v>186</v>
      </c>
      <c r="B5" s="25">
        <v>45657</v>
      </c>
      <c r="C5" t="s">
        <v>321</v>
      </c>
      <c r="D5" s="4">
        <v>2141592.83</v>
      </c>
      <c r="E5" s="4">
        <v>171327.42</v>
      </c>
      <c r="F5" s="4">
        <v>1970265.4</v>
      </c>
      <c r="G5" s="6">
        <v>0.1222</v>
      </c>
      <c r="H5" s="4">
        <v>1510431.65</v>
      </c>
      <c r="I5" s="4">
        <v>1125359.3899999999</v>
      </c>
      <c r="J5" s="4">
        <v>385072.26</v>
      </c>
      <c r="K5" s="6">
        <v>0.25490000000000002</v>
      </c>
      <c r="L5" s="28">
        <v>5.61</v>
      </c>
    </row>
    <row r="6" spans="1:12" x14ac:dyDescent="0.3">
      <c r="A6" t="s">
        <v>186</v>
      </c>
      <c r="B6" s="25">
        <v>45657</v>
      </c>
      <c r="C6" t="s">
        <v>320</v>
      </c>
      <c r="D6" s="4">
        <v>1379533.79</v>
      </c>
      <c r="E6" s="4">
        <v>110362.71</v>
      </c>
      <c r="F6" s="4">
        <v>1269171.0900000001</v>
      </c>
      <c r="G6" s="6">
        <v>7.8700000000000006E-2</v>
      </c>
      <c r="H6" s="4">
        <v>1011651.27</v>
      </c>
      <c r="I6" s="4">
        <v>765378.19</v>
      </c>
      <c r="J6" s="4">
        <v>246273.08</v>
      </c>
      <c r="K6" s="6">
        <v>0.24340000000000001</v>
      </c>
      <c r="L6" s="28">
        <v>5.39</v>
      </c>
    </row>
    <row r="7" spans="1:12" x14ac:dyDescent="0.3">
      <c r="A7" t="s">
        <v>186</v>
      </c>
      <c r="B7" s="25">
        <v>45657</v>
      </c>
      <c r="C7" t="s">
        <v>319</v>
      </c>
      <c r="D7" s="4">
        <v>409342</v>
      </c>
      <c r="E7" s="4">
        <v>32747.360000000001</v>
      </c>
      <c r="F7" s="4">
        <v>376594.63</v>
      </c>
      <c r="G7" s="6">
        <v>2.3400000000000001E-2</v>
      </c>
      <c r="H7" s="4">
        <v>332513.06</v>
      </c>
      <c r="I7" s="4">
        <v>264113.81</v>
      </c>
      <c r="J7" s="4">
        <v>68399.27</v>
      </c>
      <c r="K7" s="6">
        <v>0.20569999999999999</v>
      </c>
      <c r="L7" s="28">
        <v>4.87</v>
      </c>
    </row>
    <row r="8" spans="1:12" x14ac:dyDescent="0.3">
      <c r="A8" t="s">
        <v>186</v>
      </c>
      <c r="B8" s="25">
        <v>45657</v>
      </c>
      <c r="C8" t="s">
        <v>268</v>
      </c>
      <c r="D8" s="4">
        <v>1611623.46</v>
      </c>
      <c r="E8" s="4">
        <v>128929.88</v>
      </c>
      <c r="F8" s="4">
        <v>1482693.59</v>
      </c>
      <c r="G8" s="6">
        <v>9.1999999999999998E-2</v>
      </c>
      <c r="H8" s="4">
        <v>1150629.18</v>
      </c>
      <c r="I8" s="4">
        <v>859924.08</v>
      </c>
      <c r="J8" s="4">
        <v>290705.09999999998</v>
      </c>
      <c r="K8" s="6">
        <v>0.25259999999999999</v>
      </c>
      <c r="L8" s="28">
        <v>5.54</v>
      </c>
    </row>
    <row r="9" spans="1:12" x14ac:dyDescent="0.3">
      <c r="A9" t="s">
        <v>186</v>
      </c>
      <c r="B9" s="25">
        <v>45657</v>
      </c>
      <c r="C9" t="s">
        <v>318</v>
      </c>
      <c r="D9" s="4">
        <v>1176527</v>
      </c>
      <c r="E9" s="4">
        <v>94122.16</v>
      </c>
      <c r="F9" s="4">
        <v>1082404.8400000001</v>
      </c>
      <c r="G9" s="6">
        <v>6.7100000000000007E-2</v>
      </c>
      <c r="H9" s="4">
        <v>880074.74</v>
      </c>
      <c r="I9" s="4">
        <v>675185.15</v>
      </c>
      <c r="J9" s="4">
        <v>204889.60000000001</v>
      </c>
      <c r="K9" s="6">
        <v>0.23280000000000001</v>
      </c>
      <c r="L9" s="28">
        <v>5.29</v>
      </c>
    </row>
    <row r="10" spans="1:12" x14ac:dyDescent="0.3">
      <c r="A10" t="s">
        <v>186</v>
      </c>
      <c r="B10" s="25">
        <v>45657</v>
      </c>
      <c r="C10" t="s">
        <v>317</v>
      </c>
      <c r="D10" s="4">
        <v>1681201.93</v>
      </c>
      <c r="E10" s="4">
        <v>134496.15</v>
      </c>
      <c r="F10" s="4">
        <v>1546705.78</v>
      </c>
      <c r="G10" s="6">
        <v>9.5899999999999999E-2</v>
      </c>
      <c r="H10" s="4">
        <v>1260438.98</v>
      </c>
      <c r="I10" s="4">
        <v>970562.72</v>
      </c>
      <c r="J10" s="4">
        <v>289876.25</v>
      </c>
      <c r="K10" s="6">
        <v>0.23</v>
      </c>
      <c r="L10" s="28">
        <v>5.28</v>
      </c>
    </row>
    <row r="11" spans="1:12" x14ac:dyDescent="0.3">
      <c r="A11" t="s">
        <v>186</v>
      </c>
      <c r="B11" s="25">
        <v>45657</v>
      </c>
      <c r="C11" t="s">
        <v>316</v>
      </c>
      <c r="D11" s="4">
        <v>2929599.62</v>
      </c>
      <c r="E11" s="4">
        <v>234367.97</v>
      </c>
      <c r="F11" s="4">
        <v>2695231.65</v>
      </c>
      <c r="G11" s="6">
        <v>0.16719999999999999</v>
      </c>
      <c r="H11" s="4">
        <v>2083328.96</v>
      </c>
      <c r="I11" s="4">
        <v>1554335.71</v>
      </c>
      <c r="J11" s="4">
        <v>528993.26</v>
      </c>
      <c r="K11" s="6">
        <v>0.25390000000000001</v>
      </c>
      <c r="L11" s="28">
        <v>5.56</v>
      </c>
    </row>
    <row r="12" spans="1:12" x14ac:dyDescent="0.3">
      <c r="A12" t="s">
        <v>186</v>
      </c>
      <c r="B12" s="25">
        <v>45688</v>
      </c>
      <c r="C12" t="s">
        <v>324</v>
      </c>
      <c r="D12" s="4">
        <v>2332640.23</v>
      </c>
      <c r="E12" s="4">
        <v>186611.23</v>
      </c>
      <c r="F12" s="4">
        <v>2146029</v>
      </c>
      <c r="G12" s="6">
        <v>0.13900000000000001</v>
      </c>
      <c r="H12" s="4">
        <v>1661556.94</v>
      </c>
      <c r="I12" s="4">
        <v>1239515.1000000001</v>
      </c>
      <c r="J12" s="4">
        <v>422041.84</v>
      </c>
      <c r="K12" s="6">
        <v>0.254</v>
      </c>
      <c r="L12" s="28">
        <v>5.55</v>
      </c>
    </row>
    <row r="13" spans="1:12" x14ac:dyDescent="0.3">
      <c r="A13" t="s">
        <v>186</v>
      </c>
      <c r="B13" s="25">
        <v>45688</v>
      </c>
      <c r="C13" t="s">
        <v>323</v>
      </c>
      <c r="D13" s="4">
        <v>2829148.18</v>
      </c>
      <c r="E13" s="4">
        <v>226331.86</v>
      </c>
      <c r="F13" s="4">
        <v>2602816.33</v>
      </c>
      <c r="G13" s="6">
        <v>0.1686</v>
      </c>
      <c r="H13" s="4">
        <v>1972557.45</v>
      </c>
      <c r="I13" s="4">
        <v>1468434.01</v>
      </c>
      <c r="J13" s="4">
        <v>504123.44</v>
      </c>
      <c r="K13" s="6">
        <v>0.25559999999999999</v>
      </c>
      <c r="L13" s="28">
        <v>5.67</v>
      </c>
    </row>
    <row r="14" spans="1:12" x14ac:dyDescent="0.3">
      <c r="A14" t="s">
        <v>186</v>
      </c>
      <c r="B14" s="25">
        <v>45688</v>
      </c>
      <c r="C14" t="s">
        <v>322</v>
      </c>
      <c r="D14" s="4">
        <v>1957675.29</v>
      </c>
      <c r="E14" s="4">
        <v>156614.01999999999</v>
      </c>
      <c r="F14" s="4">
        <v>1801061.27</v>
      </c>
      <c r="G14" s="6">
        <v>0.1166</v>
      </c>
      <c r="H14" s="4">
        <v>1460260.49</v>
      </c>
      <c r="I14" s="4">
        <v>1108406.45</v>
      </c>
      <c r="J14" s="4">
        <v>351854.04</v>
      </c>
      <c r="K14" s="6">
        <v>0.24099999999999999</v>
      </c>
      <c r="L14" s="28">
        <v>5.3</v>
      </c>
    </row>
    <row r="15" spans="1:12" x14ac:dyDescent="0.3">
      <c r="A15" t="s">
        <v>186</v>
      </c>
      <c r="B15" s="25">
        <v>45688</v>
      </c>
      <c r="C15" t="s">
        <v>321</v>
      </c>
      <c r="D15" s="4">
        <v>1565409.34</v>
      </c>
      <c r="E15" s="4">
        <v>125232.75</v>
      </c>
      <c r="F15" s="4">
        <v>1440176.59</v>
      </c>
      <c r="G15" s="6">
        <v>9.3299999999999994E-2</v>
      </c>
      <c r="H15" s="4">
        <v>1096870.43</v>
      </c>
      <c r="I15" s="4">
        <v>806164.38</v>
      </c>
      <c r="J15" s="4">
        <v>290706.05</v>
      </c>
      <c r="K15" s="6">
        <v>0.26500000000000001</v>
      </c>
      <c r="L15" s="28">
        <v>5.65</v>
      </c>
    </row>
    <row r="16" spans="1:12" x14ac:dyDescent="0.3">
      <c r="A16" t="s">
        <v>186</v>
      </c>
      <c r="B16" s="25">
        <v>45688</v>
      </c>
      <c r="C16" t="s">
        <v>320</v>
      </c>
      <c r="D16" s="4">
        <v>1477007.72</v>
      </c>
      <c r="E16" s="4">
        <v>118160.62</v>
      </c>
      <c r="F16" s="4">
        <v>1358847.1</v>
      </c>
      <c r="G16" s="6">
        <v>8.7999999999999995E-2</v>
      </c>
      <c r="H16" s="4">
        <v>1097097.81</v>
      </c>
      <c r="I16" s="4">
        <v>833864.97</v>
      </c>
      <c r="J16" s="4">
        <v>263232.83</v>
      </c>
      <c r="K16" s="6">
        <v>0.2399</v>
      </c>
      <c r="L16" s="28">
        <v>5.33</v>
      </c>
    </row>
    <row r="17" spans="1:12" x14ac:dyDescent="0.3">
      <c r="A17" t="s">
        <v>186</v>
      </c>
      <c r="B17" s="25">
        <v>45688</v>
      </c>
      <c r="C17" t="s">
        <v>319</v>
      </c>
      <c r="D17" s="4">
        <v>590878.01</v>
      </c>
      <c r="E17" s="4">
        <v>47270.25</v>
      </c>
      <c r="F17" s="4">
        <v>543607.77</v>
      </c>
      <c r="G17" s="6">
        <v>3.5200000000000002E-2</v>
      </c>
      <c r="H17" s="4">
        <v>408684.92</v>
      </c>
      <c r="I17" s="4">
        <v>300992.74</v>
      </c>
      <c r="J17" s="4">
        <v>107692.18</v>
      </c>
      <c r="K17" s="6">
        <v>0.26350000000000001</v>
      </c>
      <c r="L17" s="28">
        <v>5.72</v>
      </c>
    </row>
    <row r="18" spans="1:12" x14ac:dyDescent="0.3">
      <c r="A18" t="s">
        <v>186</v>
      </c>
      <c r="B18" s="25">
        <v>45688</v>
      </c>
      <c r="C18" t="s">
        <v>268</v>
      </c>
      <c r="D18" s="4">
        <v>519318.65</v>
      </c>
      <c r="E18" s="4">
        <v>41545.49</v>
      </c>
      <c r="F18" s="4">
        <v>477773.15</v>
      </c>
      <c r="G18" s="6">
        <v>3.09E-2</v>
      </c>
      <c r="H18" s="4">
        <v>405746.41</v>
      </c>
      <c r="I18" s="4">
        <v>310993.74</v>
      </c>
      <c r="J18" s="4">
        <v>94752.67</v>
      </c>
      <c r="K18" s="6">
        <v>0.23350000000000001</v>
      </c>
      <c r="L18" s="28">
        <v>5.0599999999999996</v>
      </c>
    </row>
    <row r="19" spans="1:12" x14ac:dyDescent="0.3">
      <c r="A19" t="s">
        <v>186</v>
      </c>
      <c r="B19" s="25">
        <v>45688</v>
      </c>
      <c r="C19" t="s">
        <v>318</v>
      </c>
      <c r="D19" s="4">
        <v>1583738.35</v>
      </c>
      <c r="E19" s="4">
        <v>126699.07</v>
      </c>
      <c r="F19" s="4">
        <v>1457039.27</v>
      </c>
      <c r="G19" s="6">
        <v>9.4399999999999998E-2</v>
      </c>
      <c r="H19" s="4">
        <v>1190904.98</v>
      </c>
      <c r="I19" s="4">
        <v>901856.1</v>
      </c>
      <c r="J19" s="4">
        <v>289048.88</v>
      </c>
      <c r="K19" s="6">
        <v>0.2427</v>
      </c>
      <c r="L19" s="28">
        <v>5.26</v>
      </c>
    </row>
    <row r="20" spans="1:12" x14ac:dyDescent="0.3">
      <c r="A20" t="s">
        <v>186</v>
      </c>
      <c r="B20" s="25">
        <v>45688</v>
      </c>
      <c r="C20" t="s">
        <v>317</v>
      </c>
      <c r="D20" s="4">
        <v>1169435.51</v>
      </c>
      <c r="E20" s="4">
        <v>93554.84</v>
      </c>
      <c r="F20" s="4">
        <v>1075880.67</v>
      </c>
      <c r="G20" s="6">
        <v>6.9699999999999998E-2</v>
      </c>
      <c r="H20" s="4">
        <v>871530.63</v>
      </c>
      <c r="I20" s="4">
        <v>672472.79</v>
      </c>
      <c r="J20" s="4">
        <v>199057.85</v>
      </c>
      <c r="K20" s="6">
        <v>0.22839999999999999</v>
      </c>
      <c r="L20" s="28">
        <v>5.31</v>
      </c>
    </row>
    <row r="21" spans="1:12" x14ac:dyDescent="0.3">
      <c r="A21" t="s">
        <v>186</v>
      </c>
      <c r="B21" s="25">
        <v>45688</v>
      </c>
      <c r="C21" t="s">
        <v>316</v>
      </c>
      <c r="D21" s="4">
        <v>2759298.46</v>
      </c>
      <c r="E21" s="4">
        <v>220743.88</v>
      </c>
      <c r="F21" s="4">
        <v>2538554.58</v>
      </c>
      <c r="G21" s="6">
        <v>0.16439999999999999</v>
      </c>
      <c r="H21" s="4">
        <v>1785275.25</v>
      </c>
      <c r="I21" s="4">
        <v>1282389.4099999999</v>
      </c>
      <c r="J21" s="4">
        <v>502885.84</v>
      </c>
      <c r="K21" s="6">
        <v>0.28170000000000001</v>
      </c>
      <c r="L21" s="28">
        <v>6.11</v>
      </c>
    </row>
    <row r="22" spans="1:12" x14ac:dyDescent="0.3">
      <c r="A22" t="s">
        <v>186</v>
      </c>
      <c r="B22" s="25">
        <v>45716</v>
      </c>
      <c r="C22" t="s">
        <v>324</v>
      </c>
      <c r="D22" s="4">
        <v>2518770.14</v>
      </c>
      <c r="E22" s="4">
        <v>201501.61</v>
      </c>
      <c r="F22" s="4">
        <v>2317268.5299999998</v>
      </c>
      <c r="G22" s="6">
        <v>0.1502</v>
      </c>
      <c r="H22" s="4">
        <v>1761162.53</v>
      </c>
      <c r="I22" s="4">
        <v>1332606.0900000001</v>
      </c>
      <c r="J22" s="4">
        <v>428556.43</v>
      </c>
      <c r="K22" s="6">
        <v>0.24329999999999999</v>
      </c>
      <c r="L22" s="28">
        <v>5.66</v>
      </c>
    </row>
    <row r="23" spans="1:12" x14ac:dyDescent="0.3">
      <c r="A23" t="s">
        <v>186</v>
      </c>
      <c r="B23" s="25">
        <v>45716</v>
      </c>
      <c r="C23" t="s">
        <v>323</v>
      </c>
      <c r="D23" s="4">
        <v>2316266.29</v>
      </c>
      <c r="E23" s="4">
        <v>185301.3</v>
      </c>
      <c r="F23" s="4">
        <v>2130964.98</v>
      </c>
      <c r="G23" s="6">
        <v>0.1381</v>
      </c>
      <c r="H23" s="4">
        <v>1727425.27</v>
      </c>
      <c r="I23" s="4">
        <v>1340761.99</v>
      </c>
      <c r="J23" s="4">
        <v>386663.29</v>
      </c>
      <c r="K23" s="6">
        <v>0.2238</v>
      </c>
      <c r="L23" s="28">
        <v>5.3</v>
      </c>
    </row>
    <row r="24" spans="1:12" x14ac:dyDescent="0.3">
      <c r="A24" t="s">
        <v>186</v>
      </c>
      <c r="B24" s="25">
        <v>45716</v>
      </c>
      <c r="C24" t="s">
        <v>322</v>
      </c>
      <c r="D24" s="4">
        <v>1832915.79</v>
      </c>
      <c r="E24" s="4">
        <v>146633.26999999999</v>
      </c>
      <c r="F24" s="4">
        <v>1686282.53</v>
      </c>
      <c r="G24" s="6">
        <v>0.10929999999999999</v>
      </c>
      <c r="H24" s="4">
        <v>1426032.2</v>
      </c>
      <c r="I24" s="4">
        <v>1119916.55</v>
      </c>
      <c r="J24" s="4">
        <v>306115.65999999997</v>
      </c>
      <c r="K24" s="6">
        <v>0.2147</v>
      </c>
      <c r="L24" s="28">
        <v>5.08</v>
      </c>
    </row>
    <row r="25" spans="1:12" x14ac:dyDescent="0.3">
      <c r="A25" t="s">
        <v>186</v>
      </c>
      <c r="B25" s="25">
        <v>45716</v>
      </c>
      <c r="C25" t="s">
        <v>321</v>
      </c>
      <c r="D25" s="4">
        <v>1615598.06</v>
      </c>
      <c r="E25" s="4">
        <v>129247.84</v>
      </c>
      <c r="F25" s="4">
        <v>1486350.21</v>
      </c>
      <c r="G25" s="6">
        <v>9.6299999999999997E-2</v>
      </c>
      <c r="H25" s="4">
        <v>1048865.79</v>
      </c>
      <c r="I25" s="4">
        <v>767673.88</v>
      </c>
      <c r="J25" s="4">
        <v>281191.92</v>
      </c>
      <c r="K25" s="6">
        <v>0.2681</v>
      </c>
      <c r="L25" s="28">
        <v>6.09</v>
      </c>
    </row>
    <row r="26" spans="1:12" x14ac:dyDescent="0.3">
      <c r="A26" t="s">
        <v>186</v>
      </c>
      <c r="B26" s="25">
        <v>45716</v>
      </c>
      <c r="C26" t="s">
        <v>320</v>
      </c>
      <c r="D26" s="4">
        <v>1545789.6</v>
      </c>
      <c r="E26" s="4">
        <v>123663.16</v>
      </c>
      <c r="F26" s="4">
        <v>1422126.43</v>
      </c>
      <c r="G26" s="6">
        <v>9.2200000000000004E-2</v>
      </c>
      <c r="H26" s="4">
        <v>1056016.6000000001</v>
      </c>
      <c r="I26" s="4">
        <v>792633.83</v>
      </c>
      <c r="J26" s="4">
        <v>263382.77</v>
      </c>
      <c r="K26" s="6">
        <v>0.24940000000000001</v>
      </c>
      <c r="L26" s="28">
        <v>5.79</v>
      </c>
    </row>
    <row r="27" spans="1:12" x14ac:dyDescent="0.3">
      <c r="A27" t="s">
        <v>186</v>
      </c>
      <c r="B27" s="25">
        <v>45716</v>
      </c>
      <c r="C27" t="s">
        <v>319</v>
      </c>
      <c r="D27" s="4">
        <v>394458.3</v>
      </c>
      <c r="E27" s="4">
        <v>31556.66</v>
      </c>
      <c r="F27" s="4">
        <v>362901.65</v>
      </c>
      <c r="G27" s="6">
        <v>2.35E-2</v>
      </c>
      <c r="H27" s="4">
        <v>318748.13</v>
      </c>
      <c r="I27" s="4">
        <v>255843.15</v>
      </c>
      <c r="J27" s="4">
        <v>62904.99</v>
      </c>
      <c r="K27" s="6">
        <v>0.19739999999999999</v>
      </c>
      <c r="L27" s="28">
        <v>4.9000000000000004</v>
      </c>
    </row>
    <row r="28" spans="1:12" x14ac:dyDescent="0.3">
      <c r="A28" t="s">
        <v>186</v>
      </c>
      <c r="B28" s="25">
        <v>45716</v>
      </c>
      <c r="C28" t="s">
        <v>268</v>
      </c>
      <c r="D28" s="4">
        <v>919957.85</v>
      </c>
      <c r="E28" s="4">
        <v>73596.63</v>
      </c>
      <c r="F28" s="4">
        <v>846361.22</v>
      </c>
      <c r="G28" s="6">
        <v>5.4899999999999997E-2</v>
      </c>
      <c r="H28" s="4">
        <v>667143.31000000006</v>
      </c>
      <c r="I28" s="4">
        <v>512564.45</v>
      </c>
      <c r="J28" s="4">
        <v>154578.87</v>
      </c>
      <c r="K28" s="6">
        <v>0.23169999999999999</v>
      </c>
      <c r="L28" s="28">
        <v>5.46</v>
      </c>
    </row>
    <row r="29" spans="1:12" x14ac:dyDescent="0.3">
      <c r="A29" t="s">
        <v>186</v>
      </c>
      <c r="B29" s="25">
        <v>45716</v>
      </c>
      <c r="C29" t="s">
        <v>318</v>
      </c>
      <c r="D29" s="4">
        <v>1613059</v>
      </c>
      <c r="E29" s="4">
        <v>129044.72</v>
      </c>
      <c r="F29" s="4">
        <v>1484014.28</v>
      </c>
      <c r="G29" s="6">
        <v>9.6199999999999994E-2</v>
      </c>
      <c r="H29" s="4">
        <v>1229115.8700000001</v>
      </c>
      <c r="I29" s="4">
        <v>958846.44</v>
      </c>
      <c r="J29" s="4">
        <v>270269.42</v>
      </c>
      <c r="K29" s="6">
        <v>0.21990000000000001</v>
      </c>
      <c r="L29" s="28">
        <v>5.19</v>
      </c>
    </row>
    <row r="30" spans="1:12" x14ac:dyDescent="0.3">
      <c r="A30" t="s">
        <v>186</v>
      </c>
      <c r="B30" s="25">
        <v>45716</v>
      </c>
      <c r="C30" t="s">
        <v>317</v>
      </c>
      <c r="D30" s="4">
        <v>1466053.32</v>
      </c>
      <c r="E30" s="4">
        <v>117284.27</v>
      </c>
      <c r="F30" s="4">
        <v>1348769.06</v>
      </c>
      <c r="G30" s="6">
        <v>8.7400000000000005E-2</v>
      </c>
      <c r="H30" s="4">
        <v>1081706.75</v>
      </c>
      <c r="I30" s="4">
        <v>838328.81</v>
      </c>
      <c r="J30" s="4">
        <v>243377.95</v>
      </c>
      <c r="K30" s="6">
        <v>0.22500000000000001</v>
      </c>
      <c r="L30" s="28">
        <v>5.36</v>
      </c>
    </row>
    <row r="31" spans="1:12" x14ac:dyDescent="0.3">
      <c r="A31" t="s">
        <v>186</v>
      </c>
      <c r="B31" s="25">
        <v>45716</v>
      </c>
      <c r="C31" t="s">
        <v>316</v>
      </c>
      <c r="D31" s="4">
        <v>2547178.12</v>
      </c>
      <c r="E31" s="4">
        <v>203774.25</v>
      </c>
      <c r="F31" s="4">
        <v>2343403.87</v>
      </c>
      <c r="G31" s="6">
        <v>0.15190000000000001</v>
      </c>
      <c r="H31" s="4">
        <v>1692289.89</v>
      </c>
      <c r="I31" s="4">
        <v>1255989.81</v>
      </c>
      <c r="J31" s="4">
        <v>436300.09</v>
      </c>
      <c r="K31" s="6">
        <v>0.25779999999999997</v>
      </c>
      <c r="L31" s="28">
        <v>5.95</v>
      </c>
    </row>
    <row r="32" spans="1:12" x14ac:dyDescent="0.3">
      <c r="A32" t="s">
        <v>186</v>
      </c>
      <c r="B32" s="25">
        <v>45747</v>
      </c>
      <c r="C32" t="s">
        <v>324</v>
      </c>
      <c r="D32" s="4">
        <v>1921114.9</v>
      </c>
      <c r="E32" s="4">
        <v>153689.19</v>
      </c>
      <c r="F32" s="4">
        <v>1767425.7</v>
      </c>
      <c r="G32" s="6">
        <v>0.1173</v>
      </c>
      <c r="H32" s="4">
        <v>1249603.68</v>
      </c>
      <c r="I32" s="4">
        <v>893604.22</v>
      </c>
      <c r="J32" s="4">
        <v>355999.45</v>
      </c>
      <c r="K32" s="6">
        <v>0.28489999999999999</v>
      </c>
      <c r="L32" s="28">
        <v>6.08</v>
      </c>
    </row>
    <row r="33" spans="1:12" x14ac:dyDescent="0.3">
      <c r="A33" t="s">
        <v>186</v>
      </c>
      <c r="B33" s="25">
        <v>45747</v>
      </c>
      <c r="C33" t="s">
        <v>323</v>
      </c>
      <c r="D33" s="4">
        <v>2453884.06</v>
      </c>
      <c r="E33" s="4">
        <v>196310.72</v>
      </c>
      <c r="F33" s="4">
        <v>2257573.33</v>
      </c>
      <c r="G33" s="6">
        <v>0.14990000000000001</v>
      </c>
      <c r="H33" s="4">
        <v>1809362.1</v>
      </c>
      <c r="I33" s="4">
        <v>1378948.91</v>
      </c>
      <c r="J33" s="4">
        <v>430413.19</v>
      </c>
      <c r="K33" s="6">
        <v>0.2379</v>
      </c>
      <c r="L33" s="28">
        <v>5.37</v>
      </c>
    </row>
    <row r="34" spans="1:12" x14ac:dyDescent="0.3">
      <c r="A34" t="s">
        <v>186</v>
      </c>
      <c r="B34" s="25">
        <v>45747</v>
      </c>
      <c r="C34" t="s">
        <v>322</v>
      </c>
      <c r="D34" s="4">
        <v>1851006.86</v>
      </c>
      <c r="E34" s="4">
        <v>148080.54999999999</v>
      </c>
      <c r="F34" s="4">
        <v>1702926.31</v>
      </c>
      <c r="G34" s="6">
        <v>0.113</v>
      </c>
      <c r="H34" s="4">
        <v>1571134</v>
      </c>
      <c r="I34" s="4">
        <v>1255363.31</v>
      </c>
      <c r="J34" s="4">
        <v>315770.69</v>
      </c>
      <c r="K34" s="6">
        <v>0.20100000000000001</v>
      </c>
      <c r="L34" s="28">
        <v>4.66</v>
      </c>
    </row>
    <row r="35" spans="1:12" x14ac:dyDescent="0.3">
      <c r="A35" t="s">
        <v>186</v>
      </c>
      <c r="B35" s="25">
        <v>45747</v>
      </c>
      <c r="C35" t="s">
        <v>321</v>
      </c>
      <c r="D35" s="4">
        <v>875675.83</v>
      </c>
      <c r="E35" s="4">
        <v>70054.070000000007</v>
      </c>
      <c r="F35" s="4">
        <v>805621.77</v>
      </c>
      <c r="G35" s="6">
        <v>5.3499999999999999E-2</v>
      </c>
      <c r="H35" s="4">
        <v>675322.06</v>
      </c>
      <c r="I35" s="4">
        <v>521675.38</v>
      </c>
      <c r="J35" s="4">
        <v>153646.68</v>
      </c>
      <c r="K35" s="6">
        <v>0.22750000000000001</v>
      </c>
      <c r="L35" s="28">
        <v>5.13</v>
      </c>
    </row>
    <row r="36" spans="1:12" x14ac:dyDescent="0.3">
      <c r="A36" t="s">
        <v>186</v>
      </c>
      <c r="B36" s="25">
        <v>45747</v>
      </c>
      <c r="C36" t="s">
        <v>320</v>
      </c>
      <c r="D36" s="4">
        <v>2321594.86</v>
      </c>
      <c r="E36" s="4">
        <v>185727.59</v>
      </c>
      <c r="F36" s="4">
        <v>2135867.27</v>
      </c>
      <c r="G36" s="6">
        <v>0.14180000000000001</v>
      </c>
      <c r="H36" s="4">
        <v>1573484.61</v>
      </c>
      <c r="I36" s="4">
        <v>1153058.51</v>
      </c>
      <c r="J36" s="4">
        <v>420426.11</v>
      </c>
      <c r="K36" s="6">
        <v>0.26719999999999999</v>
      </c>
      <c r="L36" s="28">
        <v>5.84</v>
      </c>
    </row>
    <row r="37" spans="1:12" x14ac:dyDescent="0.3">
      <c r="A37" t="s">
        <v>186</v>
      </c>
      <c r="B37" s="25">
        <v>45747</v>
      </c>
      <c r="C37" t="s">
        <v>319</v>
      </c>
      <c r="D37" s="4">
        <v>783487.81</v>
      </c>
      <c r="E37" s="4">
        <v>62679.03</v>
      </c>
      <c r="F37" s="4">
        <v>720808.79</v>
      </c>
      <c r="G37" s="6">
        <v>4.7800000000000002E-2</v>
      </c>
      <c r="H37" s="4">
        <v>622559.29</v>
      </c>
      <c r="I37" s="4">
        <v>487197.59</v>
      </c>
      <c r="J37" s="4">
        <v>135361.70000000001</v>
      </c>
      <c r="K37" s="6">
        <v>0.21740000000000001</v>
      </c>
      <c r="L37" s="28">
        <v>4.9800000000000004</v>
      </c>
    </row>
    <row r="38" spans="1:12" x14ac:dyDescent="0.3">
      <c r="A38" t="s">
        <v>186</v>
      </c>
      <c r="B38" s="25">
        <v>45747</v>
      </c>
      <c r="C38" t="s">
        <v>268</v>
      </c>
      <c r="D38" s="4">
        <v>674420.01</v>
      </c>
      <c r="E38" s="4">
        <v>53953.61</v>
      </c>
      <c r="F38" s="4">
        <v>620466.43000000005</v>
      </c>
      <c r="G38" s="6">
        <v>4.1200000000000001E-2</v>
      </c>
      <c r="H38" s="4">
        <v>508025.02</v>
      </c>
      <c r="I38" s="4">
        <v>387258.53</v>
      </c>
      <c r="J38" s="4">
        <v>120766.48</v>
      </c>
      <c r="K38" s="6">
        <v>0.23769999999999999</v>
      </c>
      <c r="L38" s="28">
        <v>5.25</v>
      </c>
    </row>
    <row r="39" spans="1:12" x14ac:dyDescent="0.3">
      <c r="A39" t="s">
        <v>186</v>
      </c>
      <c r="B39" s="25">
        <v>45747</v>
      </c>
      <c r="C39" t="s">
        <v>318</v>
      </c>
      <c r="D39" s="4">
        <v>1523941.24</v>
      </c>
      <c r="E39" s="4">
        <v>121915.3</v>
      </c>
      <c r="F39" s="4">
        <v>1402025.93</v>
      </c>
      <c r="G39" s="6">
        <v>9.3100000000000002E-2</v>
      </c>
      <c r="H39" s="4">
        <v>1193222.3</v>
      </c>
      <c r="I39" s="4">
        <v>925146.49</v>
      </c>
      <c r="J39" s="4">
        <v>268075.8</v>
      </c>
      <c r="K39" s="6">
        <v>0.22470000000000001</v>
      </c>
      <c r="L39" s="28">
        <v>5.05</v>
      </c>
    </row>
    <row r="40" spans="1:12" x14ac:dyDescent="0.3">
      <c r="A40" t="s">
        <v>186</v>
      </c>
      <c r="B40" s="25">
        <v>45747</v>
      </c>
      <c r="C40" t="s">
        <v>317</v>
      </c>
      <c r="D40" s="4">
        <v>1532143.95</v>
      </c>
      <c r="E40" s="4">
        <v>122571.51</v>
      </c>
      <c r="F40" s="4">
        <v>1409572.43</v>
      </c>
      <c r="G40" s="6">
        <v>9.3600000000000003E-2</v>
      </c>
      <c r="H40" s="4">
        <v>1080206.52</v>
      </c>
      <c r="I40" s="4">
        <v>806134.44</v>
      </c>
      <c r="J40" s="4">
        <v>274072.07</v>
      </c>
      <c r="K40" s="6">
        <v>0.25369999999999998</v>
      </c>
      <c r="L40" s="28">
        <v>5.61</v>
      </c>
    </row>
    <row r="41" spans="1:12" x14ac:dyDescent="0.3">
      <c r="A41" t="s">
        <v>186</v>
      </c>
      <c r="B41" s="25">
        <v>45747</v>
      </c>
      <c r="C41" t="s">
        <v>316</v>
      </c>
      <c r="D41" s="4">
        <v>2436849.7200000002</v>
      </c>
      <c r="E41" s="4">
        <v>194947.98</v>
      </c>
      <c r="F41" s="4">
        <v>2241901.75</v>
      </c>
      <c r="G41" s="6">
        <v>0.14879999999999999</v>
      </c>
      <c r="H41" s="4">
        <v>1666547.85</v>
      </c>
      <c r="I41" s="4">
        <v>1220083.26</v>
      </c>
      <c r="J41" s="4">
        <v>446464.6</v>
      </c>
      <c r="K41" s="6">
        <v>0.26790000000000003</v>
      </c>
      <c r="L41" s="28">
        <v>5.78</v>
      </c>
    </row>
    <row r="42" spans="1:12" x14ac:dyDescent="0.3">
      <c r="A42" t="s">
        <v>186</v>
      </c>
      <c r="B42" s="25">
        <v>45777</v>
      </c>
      <c r="C42" t="s">
        <v>324</v>
      </c>
      <c r="D42" s="4">
        <v>2340135.94</v>
      </c>
      <c r="E42" s="4">
        <v>187210.87</v>
      </c>
      <c r="F42" s="4">
        <v>2152925.0699999998</v>
      </c>
      <c r="G42" s="6">
        <v>0.13650000000000001</v>
      </c>
      <c r="H42" s="4">
        <v>1521516.44</v>
      </c>
      <c r="I42" s="4">
        <v>1073529.8400000001</v>
      </c>
      <c r="J42" s="4">
        <v>447986.6</v>
      </c>
      <c r="K42" s="6">
        <v>0.2944</v>
      </c>
      <c r="L42" s="28">
        <v>6.08</v>
      </c>
    </row>
    <row r="43" spans="1:12" x14ac:dyDescent="0.3">
      <c r="A43" t="s">
        <v>186</v>
      </c>
      <c r="B43" s="25">
        <v>45777</v>
      </c>
      <c r="C43" t="s">
        <v>323</v>
      </c>
      <c r="D43" s="4">
        <v>2845472.88</v>
      </c>
      <c r="E43" s="4">
        <v>227637.83</v>
      </c>
      <c r="F43" s="4">
        <v>2617835.0499999998</v>
      </c>
      <c r="G43" s="6">
        <v>0.16600000000000001</v>
      </c>
      <c r="H43" s="4">
        <v>2025136.97</v>
      </c>
      <c r="I43" s="4">
        <v>1513345.82</v>
      </c>
      <c r="J43" s="4">
        <v>511791.15</v>
      </c>
      <c r="K43" s="6">
        <v>0.25269999999999998</v>
      </c>
      <c r="L43" s="28">
        <v>5.56</v>
      </c>
    </row>
    <row r="44" spans="1:12" x14ac:dyDescent="0.3">
      <c r="A44" t="s">
        <v>186</v>
      </c>
      <c r="B44" s="25">
        <v>45777</v>
      </c>
      <c r="C44" t="s">
        <v>322</v>
      </c>
      <c r="D44" s="4">
        <v>1553171.05</v>
      </c>
      <c r="E44" s="4">
        <v>124253.68</v>
      </c>
      <c r="F44" s="4">
        <v>1428917.36</v>
      </c>
      <c r="G44" s="6">
        <v>9.06E-2</v>
      </c>
      <c r="H44" s="4">
        <v>1187148.18</v>
      </c>
      <c r="I44" s="4">
        <v>914203.28</v>
      </c>
      <c r="J44" s="4">
        <v>272944.89</v>
      </c>
      <c r="K44" s="6">
        <v>0.22989999999999999</v>
      </c>
      <c r="L44" s="28">
        <v>5.18</v>
      </c>
    </row>
    <row r="45" spans="1:12" x14ac:dyDescent="0.3">
      <c r="A45" t="s">
        <v>186</v>
      </c>
      <c r="B45" s="25">
        <v>45777</v>
      </c>
      <c r="C45" t="s">
        <v>321</v>
      </c>
      <c r="D45" s="4">
        <v>998901.41</v>
      </c>
      <c r="E45" s="4">
        <v>79912.12</v>
      </c>
      <c r="F45" s="4">
        <v>918989.3</v>
      </c>
      <c r="G45" s="6">
        <v>5.8299999999999998E-2</v>
      </c>
      <c r="H45" s="4">
        <v>735593.55</v>
      </c>
      <c r="I45" s="4">
        <v>559493.52</v>
      </c>
      <c r="J45" s="4">
        <v>176100.02</v>
      </c>
      <c r="K45" s="6">
        <v>0.2394</v>
      </c>
      <c r="L45" s="28">
        <v>5.37</v>
      </c>
    </row>
    <row r="46" spans="1:12" x14ac:dyDescent="0.3">
      <c r="A46" t="s">
        <v>186</v>
      </c>
      <c r="B46" s="25">
        <v>45777</v>
      </c>
      <c r="C46" t="s">
        <v>320</v>
      </c>
      <c r="D46" s="4">
        <v>1692401.13</v>
      </c>
      <c r="E46" s="4">
        <v>135392.09</v>
      </c>
      <c r="F46" s="4">
        <v>1557009.04</v>
      </c>
      <c r="G46" s="6">
        <v>9.8699999999999996E-2</v>
      </c>
      <c r="H46" s="4">
        <v>1173710.58</v>
      </c>
      <c r="I46" s="4">
        <v>856210.85</v>
      </c>
      <c r="J46" s="4">
        <v>317499.75</v>
      </c>
      <c r="K46" s="6">
        <v>0.27050000000000002</v>
      </c>
      <c r="L46" s="28">
        <v>5.7</v>
      </c>
    </row>
    <row r="47" spans="1:12" x14ac:dyDescent="0.3">
      <c r="A47" t="s">
        <v>186</v>
      </c>
      <c r="B47" s="25">
        <v>45777</v>
      </c>
      <c r="C47" t="s">
        <v>319</v>
      </c>
      <c r="D47" s="4">
        <v>1309315.6299999999</v>
      </c>
      <c r="E47" s="4">
        <v>104745.25</v>
      </c>
      <c r="F47" s="4">
        <v>1204570.3700000001</v>
      </c>
      <c r="G47" s="6">
        <v>7.6399999999999996E-2</v>
      </c>
      <c r="H47" s="4">
        <v>887300.14</v>
      </c>
      <c r="I47" s="4">
        <v>646166.49</v>
      </c>
      <c r="J47" s="4">
        <v>241133.65</v>
      </c>
      <c r="K47" s="6">
        <v>0.27179999999999999</v>
      </c>
      <c r="L47" s="28">
        <v>5.84</v>
      </c>
    </row>
    <row r="48" spans="1:12" x14ac:dyDescent="0.3">
      <c r="A48" t="s">
        <v>186</v>
      </c>
      <c r="B48" s="25">
        <v>45777</v>
      </c>
      <c r="C48" t="s">
        <v>268</v>
      </c>
      <c r="D48" s="4">
        <v>813659.35</v>
      </c>
      <c r="E48" s="4">
        <v>65092.74</v>
      </c>
      <c r="F48" s="4">
        <v>748566.59</v>
      </c>
      <c r="G48" s="6">
        <v>4.7500000000000001E-2</v>
      </c>
      <c r="H48" s="4">
        <v>600776.72</v>
      </c>
      <c r="I48" s="4">
        <v>455868.59</v>
      </c>
      <c r="J48" s="4">
        <v>144908.13</v>
      </c>
      <c r="K48" s="6">
        <v>0.2412</v>
      </c>
      <c r="L48" s="28">
        <v>5.36</v>
      </c>
    </row>
    <row r="49" spans="1:12" x14ac:dyDescent="0.3">
      <c r="A49" t="s">
        <v>186</v>
      </c>
      <c r="B49" s="25">
        <v>45777</v>
      </c>
      <c r="C49" t="s">
        <v>318</v>
      </c>
      <c r="D49" s="4">
        <v>1768922.69</v>
      </c>
      <c r="E49" s="4">
        <v>141513.81</v>
      </c>
      <c r="F49" s="4">
        <v>1627408.87</v>
      </c>
      <c r="G49" s="6">
        <v>0.1032</v>
      </c>
      <c r="H49" s="4">
        <v>1313574.74</v>
      </c>
      <c r="I49" s="4">
        <v>1000831.18</v>
      </c>
      <c r="J49" s="4">
        <v>312743.56</v>
      </c>
      <c r="K49" s="6">
        <v>0.23810000000000001</v>
      </c>
      <c r="L49" s="28">
        <v>5.33</v>
      </c>
    </row>
    <row r="50" spans="1:12" x14ac:dyDescent="0.3">
      <c r="A50" t="s">
        <v>186</v>
      </c>
      <c r="B50" s="25">
        <v>45777</v>
      </c>
      <c r="C50" t="s">
        <v>317</v>
      </c>
      <c r="D50" s="4">
        <v>1251955.76</v>
      </c>
      <c r="E50" s="4">
        <v>100156.45</v>
      </c>
      <c r="F50" s="4">
        <v>1151799.29</v>
      </c>
      <c r="G50" s="6">
        <v>7.2999999999999995E-2</v>
      </c>
      <c r="H50" s="4">
        <v>970385.69</v>
      </c>
      <c r="I50" s="4">
        <v>757282.43</v>
      </c>
      <c r="J50" s="4">
        <v>213103.26</v>
      </c>
      <c r="K50" s="6">
        <v>0.21959999999999999</v>
      </c>
      <c r="L50" s="28">
        <v>5.0999999999999996</v>
      </c>
    </row>
    <row r="51" spans="1:12" x14ac:dyDescent="0.3">
      <c r="A51" t="s">
        <v>186</v>
      </c>
      <c r="B51" s="25">
        <v>45777</v>
      </c>
      <c r="C51" t="s">
        <v>316</v>
      </c>
      <c r="D51" s="4">
        <v>2569616.0499999998</v>
      </c>
      <c r="E51" s="4">
        <v>205569.29</v>
      </c>
      <c r="F51" s="4">
        <v>2364046.7599999998</v>
      </c>
      <c r="G51" s="6">
        <v>0.14990000000000001</v>
      </c>
      <c r="H51" s="4">
        <v>1719320.24</v>
      </c>
      <c r="I51" s="4">
        <v>1235683</v>
      </c>
      <c r="J51" s="4">
        <v>483637.25</v>
      </c>
      <c r="K51" s="6">
        <v>0.28129999999999999</v>
      </c>
      <c r="L51" s="28">
        <v>5.91</v>
      </c>
    </row>
    <row r="52" spans="1:12" x14ac:dyDescent="0.3">
      <c r="A52" t="s">
        <v>186</v>
      </c>
      <c r="B52" s="25">
        <v>45808</v>
      </c>
      <c r="C52" t="s">
        <v>324</v>
      </c>
      <c r="D52" s="4">
        <v>2295659.35</v>
      </c>
      <c r="E52" s="4">
        <v>183652.74</v>
      </c>
      <c r="F52" s="4">
        <v>2112006.61</v>
      </c>
      <c r="G52" s="6">
        <v>0.13589999999999999</v>
      </c>
      <c r="H52" s="4">
        <v>1552173.74</v>
      </c>
      <c r="I52" s="4">
        <v>1117398.25</v>
      </c>
      <c r="J52" s="4">
        <v>434775.49</v>
      </c>
      <c r="K52" s="6">
        <v>0.28010000000000002</v>
      </c>
      <c r="L52" s="28">
        <v>5.85</v>
      </c>
    </row>
    <row r="53" spans="1:12" x14ac:dyDescent="0.3">
      <c r="A53" t="s">
        <v>186</v>
      </c>
      <c r="B53" s="25">
        <v>45808</v>
      </c>
      <c r="C53" t="s">
        <v>323</v>
      </c>
      <c r="D53" s="4">
        <v>2647218.7999999998</v>
      </c>
      <c r="E53" s="4">
        <v>211777.5</v>
      </c>
      <c r="F53" s="4">
        <v>2435441.2999999998</v>
      </c>
      <c r="G53" s="6">
        <v>0.15670000000000001</v>
      </c>
      <c r="H53" s="4">
        <v>1885184.99</v>
      </c>
      <c r="I53" s="4">
        <v>1417301.46</v>
      </c>
      <c r="J53" s="4">
        <v>467883.53</v>
      </c>
      <c r="K53" s="6">
        <v>0.2482</v>
      </c>
      <c r="L53" s="28">
        <v>5.56</v>
      </c>
    </row>
    <row r="54" spans="1:12" x14ac:dyDescent="0.3">
      <c r="A54" t="s">
        <v>186</v>
      </c>
      <c r="B54" s="25">
        <v>45808</v>
      </c>
      <c r="C54" t="s">
        <v>322</v>
      </c>
      <c r="D54" s="4">
        <v>1720244.5</v>
      </c>
      <c r="E54" s="4">
        <v>137619.56</v>
      </c>
      <c r="F54" s="4">
        <v>1582624.93</v>
      </c>
      <c r="G54" s="6">
        <v>0.1018</v>
      </c>
      <c r="H54" s="4">
        <v>1342998.76</v>
      </c>
      <c r="I54" s="4">
        <v>1062406.76</v>
      </c>
      <c r="J54" s="4">
        <v>280592</v>
      </c>
      <c r="K54" s="6">
        <v>0.2089</v>
      </c>
      <c r="L54" s="28">
        <v>5.07</v>
      </c>
    </row>
    <row r="55" spans="1:12" x14ac:dyDescent="0.3">
      <c r="A55" t="s">
        <v>186</v>
      </c>
      <c r="B55" s="25">
        <v>45808</v>
      </c>
      <c r="C55" t="s">
        <v>321</v>
      </c>
      <c r="D55" s="4">
        <v>1618102.37</v>
      </c>
      <c r="E55" s="4">
        <v>129448.19</v>
      </c>
      <c r="F55" s="4">
        <v>1488654.18</v>
      </c>
      <c r="G55" s="6">
        <v>9.5799999999999996E-2</v>
      </c>
      <c r="H55" s="4">
        <v>1100038.24</v>
      </c>
      <c r="I55" s="4">
        <v>799020.13</v>
      </c>
      <c r="J55" s="4">
        <v>301018.09999999998</v>
      </c>
      <c r="K55" s="6">
        <v>0.27360000000000001</v>
      </c>
      <c r="L55" s="28">
        <v>5.82</v>
      </c>
    </row>
    <row r="56" spans="1:12" x14ac:dyDescent="0.3">
      <c r="A56" t="s">
        <v>186</v>
      </c>
      <c r="B56" s="25">
        <v>45808</v>
      </c>
      <c r="C56" t="s">
        <v>320</v>
      </c>
      <c r="D56" s="4">
        <v>2465042.5299999998</v>
      </c>
      <c r="E56" s="4">
        <v>197203.41</v>
      </c>
      <c r="F56" s="4">
        <v>2267839.12</v>
      </c>
      <c r="G56" s="6">
        <v>0.1459</v>
      </c>
      <c r="H56" s="4">
        <v>1681062.06</v>
      </c>
      <c r="I56" s="4">
        <v>1226956.05</v>
      </c>
      <c r="J56" s="4">
        <v>454106.01</v>
      </c>
      <c r="K56" s="6">
        <v>0.27010000000000001</v>
      </c>
      <c r="L56" s="28">
        <v>5.8</v>
      </c>
    </row>
    <row r="57" spans="1:12" x14ac:dyDescent="0.3">
      <c r="A57" t="s">
        <v>186</v>
      </c>
      <c r="B57" s="25">
        <v>45808</v>
      </c>
      <c r="C57" t="s">
        <v>319</v>
      </c>
      <c r="D57" s="4">
        <v>462799.05</v>
      </c>
      <c r="E57" s="4">
        <v>37023.93</v>
      </c>
      <c r="F57" s="4">
        <v>425775.13</v>
      </c>
      <c r="G57" s="6">
        <v>2.7400000000000001E-2</v>
      </c>
      <c r="H57" s="4">
        <v>356266.65</v>
      </c>
      <c r="I57" s="4">
        <v>286101.49</v>
      </c>
      <c r="J57" s="4">
        <v>70165.16</v>
      </c>
      <c r="K57" s="6">
        <v>0.19689999999999999</v>
      </c>
      <c r="L57" s="28">
        <v>5.14</v>
      </c>
    </row>
    <row r="58" spans="1:12" x14ac:dyDescent="0.3">
      <c r="A58" t="s">
        <v>186</v>
      </c>
      <c r="B58" s="25">
        <v>45808</v>
      </c>
      <c r="C58" t="s">
        <v>268</v>
      </c>
      <c r="D58" s="4">
        <v>485763.13</v>
      </c>
      <c r="E58" s="4">
        <v>38861.050000000003</v>
      </c>
      <c r="F58" s="4">
        <v>446902.08</v>
      </c>
      <c r="G58" s="6">
        <v>2.87E-2</v>
      </c>
      <c r="H58" s="4">
        <v>373881.66</v>
      </c>
      <c r="I58" s="4">
        <v>293248.95</v>
      </c>
      <c r="J58" s="4">
        <v>80632.710000000006</v>
      </c>
      <c r="K58" s="6">
        <v>0.2157</v>
      </c>
      <c r="L58" s="28">
        <v>5.14</v>
      </c>
    </row>
    <row r="59" spans="1:12" x14ac:dyDescent="0.3">
      <c r="A59" t="s">
        <v>186</v>
      </c>
      <c r="B59" s="25">
        <v>45808</v>
      </c>
      <c r="C59" t="s">
        <v>318</v>
      </c>
      <c r="D59" s="4">
        <v>1273827.19</v>
      </c>
      <c r="E59" s="4">
        <v>101906.17</v>
      </c>
      <c r="F59" s="4">
        <v>1171921.02</v>
      </c>
      <c r="G59" s="6">
        <v>7.5399999999999995E-2</v>
      </c>
      <c r="H59" s="4">
        <v>999473.08</v>
      </c>
      <c r="I59" s="4">
        <v>780998.71</v>
      </c>
      <c r="J59" s="4">
        <v>218474.36</v>
      </c>
      <c r="K59" s="6">
        <v>0.21859999999999999</v>
      </c>
      <c r="L59" s="28">
        <v>5.04</v>
      </c>
    </row>
    <row r="60" spans="1:12" x14ac:dyDescent="0.3">
      <c r="A60" t="s">
        <v>186</v>
      </c>
      <c r="B60" s="25">
        <v>45808</v>
      </c>
      <c r="C60" t="s">
        <v>317</v>
      </c>
      <c r="D60" s="4">
        <v>1358158.99</v>
      </c>
      <c r="E60" s="4">
        <v>108652.72</v>
      </c>
      <c r="F60" s="4">
        <v>1249506.28</v>
      </c>
      <c r="G60" s="6">
        <v>8.0399999999999999E-2</v>
      </c>
      <c r="H60" s="4">
        <v>993980.45</v>
      </c>
      <c r="I60" s="4">
        <v>766298.11</v>
      </c>
      <c r="J60" s="4">
        <v>227682.35</v>
      </c>
      <c r="K60" s="6">
        <v>0.2291</v>
      </c>
      <c r="L60" s="28">
        <v>5.41</v>
      </c>
    </row>
    <row r="61" spans="1:12" x14ac:dyDescent="0.3">
      <c r="A61" t="s">
        <v>186</v>
      </c>
      <c r="B61" s="25">
        <v>45808</v>
      </c>
      <c r="C61" t="s">
        <v>316</v>
      </c>
      <c r="D61" s="4">
        <v>2570932.48</v>
      </c>
      <c r="E61" s="4">
        <v>205674.6</v>
      </c>
      <c r="F61" s="4">
        <v>2365257.88</v>
      </c>
      <c r="G61" s="6">
        <v>0.15210000000000001</v>
      </c>
      <c r="H61" s="4">
        <v>1721949.26</v>
      </c>
      <c r="I61" s="4">
        <v>1238726.3999999999</v>
      </c>
      <c r="J61" s="4">
        <v>483222.86</v>
      </c>
      <c r="K61" s="6">
        <v>0.28060000000000002</v>
      </c>
      <c r="L61" s="28">
        <v>5.91</v>
      </c>
    </row>
    <row r="62" spans="1:12" x14ac:dyDescent="0.3">
      <c r="A62" t="s">
        <v>186</v>
      </c>
      <c r="B62" s="25">
        <v>45838</v>
      </c>
      <c r="C62" t="s">
        <v>324</v>
      </c>
      <c r="D62" s="4">
        <v>1853823.13</v>
      </c>
      <c r="E62" s="4">
        <v>148305.85</v>
      </c>
      <c r="F62" s="4">
        <v>1705517.28</v>
      </c>
      <c r="G62" s="6">
        <v>0.1081</v>
      </c>
      <c r="H62" s="4">
        <v>1142411.67</v>
      </c>
      <c r="I62" s="4">
        <v>813846.46</v>
      </c>
      <c r="J62" s="4">
        <v>328565.21000000002</v>
      </c>
      <c r="K62" s="6">
        <v>0.28760000000000002</v>
      </c>
      <c r="L62" s="28">
        <v>6.42</v>
      </c>
    </row>
    <row r="63" spans="1:12" x14ac:dyDescent="0.3">
      <c r="A63" t="s">
        <v>186</v>
      </c>
      <c r="B63" s="25">
        <v>45838</v>
      </c>
      <c r="C63" t="s">
        <v>323</v>
      </c>
      <c r="D63" s="4">
        <v>2596030.2599999998</v>
      </c>
      <c r="E63" s="4">
        <v>207682.42</v>
      </c>
      <c r="F63" s="4">
        <v>2388347.85</v>
      </c>
      <c r="G63" s="6">
        <v>0.15140000000000001</v>
      </c>
      <c r="H63" s="4">
        <v>1840223.32</v>
      </c>
      <c r="I63" s="4">
        <v>1401505.94</v>
      </c>
      <c r="J63" s="4">
        <v>438717.39</v>
      </c>
      <c r="K63" s="6">
        <v>0.2384</v>
      </c>
      <c r="L63" s="28">
        <v>5.58</v>
      </c>
    </row>
    <row r="64" spans="1:12" x14ac:dyDescent="0.3">
      <c r="A64" t="s">
        <v>186</v>
      </c>
      <c r="B64" s="25">
        <v>45838</v>
      </c>
      <c r="C64" t="s">
        <v>322</v>
      </c>
      <c r="D64" s="4">
        <v>1944413.54</v>
      </c>
      <c r="E64" s="4">
        <v>155553.09</v>
      </c>
      <c r="F64" s="4">
        <v>1788860.46</v>
      </c>
      <c r="G64" s="6">
        <v>0.1134</v>
      </c>
      <c r="H64" s="4">
        <v>1514851.41</v>
      </c>
      <c r="I64" s="4">
        <v>1186463.1599999999</v>
      </c>
      <c r="J64" s="4">
        <v>328388.25</v>
      </c>
      <c r="K64" s="6">
        <v>0.21679999999999999</v>
      </c>
      <c r="L64" s="28">
        <v>5.08</v>
      </c>
    </row>
    <row r="65" spans="1:12" x14ac:dyDescent="0.3">
      <c r="A65" t="s">
        <v>186</v>
      </c>
      <c r="B65" s="25">
        <v>45838</v>
      </c>
      <c r="C65" t="s">
        <v>321</v>
      </c>
      <c r="D65" s="4">
        <v>1597124.92</v>
      </c>
      <c r="E65" s="4">
        <v>127769.99</v>
      </c>
      <c r="F65" s="4">
        <v>1469354.92</v>
      </c>
      <c r="G65" s="6">
        <v>9.3200000000000005E-2</v>
      </c>
      <c r="H65" s="4">
        <v>1127031.1599999999</v>
      </c>
      <c r="I65" s="4">
        <v>855349.86</v>
      </c>
      <c r="J65" s="4">
        <v>271681.28999999998</v>
      </c>
      <c r="K65" s="6">
        <v>0.24110000000000001</v>
      </c>
      <c r="L65" s="28">
        <v>5.61</v>
      </c>
    </row>
    <row r="66" spans="1:12" x14ac:dyDescent="0.3">
      <c r="A66" t="s">
        <v>186</v>
      </c>
      <c r="B66" s="25">
        <v>45838</v>
      </c>
      <c r="C66" t="s">
        <v>320</v>
      </c>
      <c r="D66" s="4">
        <v>2013540.23</v>
      </c>
      <c r="E66" s="4">
        <v>161083.21</v>
      </c>
      <c r="F66" s="4">
        <v>1852457.02</v>
      </c>
      <c r="G66" s="6">
        <v>0.11749999999999999</v>
      </c>
      <c r="H66" s="4">
        <v>1352306.44</v>
      </c>
      <c r="I66" s="4">
        <v>1008204.27</v>
      </c>
      <c r="J66" s="4">
        <v>344102.17</v>
      </c>
      <c r="K66" s="6">
        <v>0.2545</v>
      </c>
      <c r="L66" s="28">
        <v>5.89</v>
      </c>
    </row>
    <row r="67" spans="1:12" x14ac:dyDescent="0.3">
      <c r="A67" t="s">
        <v>186</v>
      </c>
      <c r="B67" s="25">
        <v>45838</v>
      </c>
      <c r="C67" t="s">
        <v>319</v>
      </c>
      <c r="D67" s="4">
        <v>535421.18999999994</v>
      </c>
      <c r="E67" s="4">
        <v>42833.69</v>
      </c>
      <c r="F67" s="4">
        <v>492587.5</v>
      </c>
      <c r="G67" s="6">
        <v>3.1199999999999999E-2</v>
      </c>
      <c r="H67" s="4">
        <v>372294.67</v>
      </c>
      <c r="I67" s="4">
        <v>282615.93</v>
      </c>
      <c r="J67" s="4">
        <v>89678.75</v>
      </c>
      <c r="K67" s="6">
        <v>0.2409</v>
      </c>
      <c r="L67" s="28">
        <v>5.69</v>
      </c>
    </row>
    <row r="68" spans="1:12" x14ac:dyDescent="0.3">
      <c r="A68" t="s">
        <v>186</v>
      </c>
      <c r="B68" s="25">
        <v>45838</v>
      </c>
      <c r="C68" t="s">
        <v>268</v>
      </c>
      <c r="D68" s="4">
        <v>1395363.77</v>
      </c>
      <c r="E68" s="4">
        <v>111629.1</v>
      </c>
      <c r="F68" s="4">
        <v>1283734.67</v>
      </c>
      <c r="G68" s="6">
        <v>8.14E-2</v>
      </c>
      <c r="H68" s="4">
        <v>1033853.92</v>
      </c>
      <c r="I68" s="4">
        <v>795702.91</v>
      </c>
      <c r="J68" s="4">
        <v>238151</v>
      </c>
      <c r="K68" s="6">
        <v>0.23039999999999999</v>
      </c>
      <c r="L68" s="28">
        <v>5.34</v>
      </c>
    </row>
    <row r="69" spans="1:12" x14ac:dyDescent="0.3">
      <c r="A69" t="s">
        <v>186</v>
      </c>
      <c r="B69" s="25">
        <v>45838</v>
      </c>
      <c r="C69" t="s">
        <v>318</v>
      </c>
      <c r="D69" s="4">
        <v>1264366.96</v>
      </c>
      <c r="E69" s="4">
        <v>101149.35</v>
      </c>
      <c r="F69" s="4">
        <v>1163217.6000000001</v>
      </c>
      <c r="G69" s="6">
        <v>7.3800000000000004E-2</v>
      </c>
      <c r="H69" s="4">
        <v>900774.39</v>
      </c>
      <c r="I69" s="4">
        <v>685098.53</v>
      </c>
      <c r="J69" s="4">
        <v>215675.87</v>
      </c>
      <c r="K69" s="6">
        <v>0.2394</v>
      </c>
      <c r="L69" s="28">
        <v>5.55</v>
      </c>
    </row>
    <row r="70" spans="1:12" x14ac:dyDescent="0.3">
      <c r="A70" t="s">
        <v>186</v>
      </c>
      <c r="B70" s="25">
        <v>45838</v>
      </c>
      <c r="C70" t="s">
        <v>317</v>
      </c>
      <c r="D70" s="4">
        <v>1475253.32</v>
      </c>
      <c r="E70" s="4">
        <v>118020.26</v>
      </c>
      <c r="F70" s="4">
        <v>1357233.05</v>
      </c>
      <c r="G70" s="6">
        <v>8.6099999999999996E-2</v>
      </c>
      <c r="H70" s="4">
        <v>1019720.91</v>
      </c>
      <c r="I70" s="4">
        <v>769805.66</v>
      </c>
      <c r="J70" s="4">
        <v>249915.26</v>
      </c>
      <c r="K70" s="6">
        <v>0.24510000000000001</v>
      </c>
      <c r="L70" s="28">
        <v>5.72</v>
      </c>
    </row>
    <row r="71" spans="1:12" x14ac:dyDescent="0.3">
      <c r="A71" t="s">
        <v>186</v>
      </c>
      <c r="B71" s="25">
        <v>45838</v>
      </c>
      <c r="C71" t="s">
        <v>316</v>
      </c>
      <c r="D71" s="4">
        <v>2467963.2400000002</v>
      </c>
      <c r="E71" s="4">
        <v>197437.06</v>
      </c>
      <c r="F71" s="4">
        <v>2270526.1800000002</v>
      </c>
      <c r="G71" s="6">
        <v>0.14399999999999999</v>
      </c>
      <c r="H71" s="4">
        <v>1600525.22</v>
      </c>
      <c r="I71" s="4">
        <v>1169337.71</v>
      </c>
      <c r="J71" s="4">
        <v>431187.51</v>
      </c>
      <c r="K71" s="6">
        <v>0.26939999999999997</v>
      </c>
      <c r="L71" s="28">
        <v>6.1</v>
      </c>
    </row>
    <row r="72" spans="1:12" x14ac:dyDescent="0.3">
      <c r="A72" t="s">
        <v>186</v>
      </c>
      <c r="B72" s="25">
        <v>45869</v>
      </c>
      <c r="C72" t="s">
        <v>324</v>
      </c>
      <c r="D72" s="4">
        <v>2002926.24</v>
      </c>
      <c r="E72" s="4">
        <v>160234.1</v>
      </c>
      <c r="F72" s="4">
        <v>1842692.14</v>
      </c>
      <c r="G72" s="6">
        <v>0.12280000000000001</v>
      </c>
      <c r="H72" s="4">
        <v>1345435.89</v>
      </c>
      <c r="I72" s="4">
        <v>1021493.11</v>
      </c>
      <c r="J72" s="4">
        <v>323942.78999999998</v>
      </c>
      <c r="K72" s="6">
        <v>0.24079999999999999</v>
      </c>
      <c r="L72" s="28">
        <v>5.89</v>
      </c>
    </row>
    <row r="73" spans="1:12" x14ac:dyDescent="0.3">
      <c r="A73" t="s">
        <v>186</v>
      </c>
      <c r="B73" s="25">
        <v>45869</v>
      </c>
      <c r="C73" t="s">
        <v>323</v>
      </c>
      <c r="D73" s="4">
        <v>2264775.7799999998</v>
      </c>
      <c r="E73" s="4">
        <v>181182.07</v>
      </c>
      <c r="F73" s="4">
        <v>2083593.72</v>
      </c>
      <c r="G73" s="6">
        <v>0.1389</v>
      </c>
      <c r="H73" s="4">
        <v>1521732.4</v>
      </c>
      <c r="I73" s="4">
        <v>1148049.6299999999</v>
      </c>
      <c r="J73" s="4">
        <v>373682.76</v>
      </c>
      <c r="K73" s="6">
        <v>0.24560000000000001</v>
      </c>
      <c r="L73" s="28">
        <v>5.89</v>
      </c>
    </row>
    <row r="74" spans="1:12" x14ac:dyDescent="0.3">
      <c r="A74" t="s">
        <v>186</v>
      </c>
      <c r="B74" s="25">
        <v>45869</v>
      </c>
      <c r="C74" t="s">
        <v>322</v>
      </c>
      <c r="D74" s="4">
        <v>2429691.2999999998</v>
      </c>
      <c r="E74" s="4">
        <v>194375.31</v>
      </c>
      <c r="F74" s="4">
        <v>2235315.9900000002</v>
      </c>
      <c r="G74" s="6">
        <v>0.14899999999999999</v>
      </c>
      <c r="H74" s="4">
        <v>1802983.34</v>
      </c>
      <c r="I74" s="4">
        <v>1396856.4</v>
      </c>
      <c r="J74" s="4">
        <v>406126.94</v>
      </c>
      <c r="K74" s="6">
        <v>0.2253</v>
      </c>
      <c r="L74" s="28">
        <v>5.33</v>
      </c>
    </row>
    <row r="75" spans="1:12" x14ac:dyDescent="0.3">
      <c r="A75" t="s">
        <v>186</v>
      </c>
      <c r="B75" s="25">
        <v>45869</v>
      </c>
      <c r="C75" t="s">
        <v>321</v>
      </c>
      <c r="D75" s="4">
        <v>1412556.4</v>
      </c>
      <c r="E75" s="4">
        <v>113004.52</v>
      </c>
      <c r="F75" s="4">
        <v>1299551.8899999999</v>
      </c>
      <c r="G75" s="6">
        <v>8.6599999999999996E-2</v>
      </c>
      <c r="H75" s="4">
        <v>973783.95</v>
      </c>
      <c r="I75" s="4">
        <v>742495.5</v>
      </c>
      <c r="J75" s="4">
        <v>231288.46</v>
      </c>
      <c r="K75" s="6">
        <v>0.23749999999999999</v>
      </c>
      <c r="L75" s="28">
        <v>5.74</v>
      </c>
    </row>
    <row r="76" spans="1:12" x14ac:dyDescent="0.3">
      <c r="A76" t="s">
        <v>186</v>
      </c>
      <c r="B76" s="25">
        <v>45869</v>
      </c>
      <c r="C76" t="s">
        <v>320</v>
      </c>
      <c r="D76" s="4">
        <v>1502073.37</v>
      </c>
      <c r="E76" s="4">
        <v>120165.87</v>
      </c>
      <c r="F76" s="4">
        <v>1381907.5</v>
      </c>
      <c r="G76" s="6">
        <v>9.2100000000000001E-2</v>
      </c>
      <c r="H76" s="4">
        <v>1047676.14</v>
      </c>
      <c r="I76" s="4">
        <v>797963.1</v>
      </c>
      <c r="J76" s="4">
        <v>249713.05</v>
      </c>
      <c r="K76" s="6">
        <v>0.23830000000000001</v>
      </c>
      <c r="L76" s="28">
        <v>5.67</v>
      </c>
    </row>
    <row r="77" spans="1:12" x14ac:dyDescent="0.3">
      <c r="A77" t="s">
        <v>186</v>
      </c>
      <c r="B77" s="25">
        <v>45869</v>
      </c>
      <c r="C77" t="s">
        <v>319</v>
      </c>
      <c r="D77" s="4">
        <v>1269091.57</v>
      </c>
      <c r="E77" s="4">
        <v>101527.32</v>
      </c>
      <c r="F77" s="4">
        <v>1167564.26</v>
      </c>
      <c r="G77" s="6">
        <v>7.7799999999999994E-2</v>
      </c>
      <c r="H77" s="4">
        <v>920378.64</v>
      </c>
      <c r="I77" s="4">
        <v>709410.64</v>
      </c>
      <c r="J77" s="4">
        <v>210968.01</v>
      </c>
      <c r="K77" s="6">
        <v>0.22919999999999999</v>
      </c>
      <c r="L77" s="28">
        <v>5.45</v>
      </c>
    </row>
    <row r="78" spans="1:12" x14ac:dyDescent="0.3">
      <c r="A78" t="s">
        <v>186</v>
      </c>
      <c r="B78" s="25">
        <v>45869</v>
      </c>
      <c r="C78" t="s">
        <v>268</v>
      </c>
      <c r="D78" s="4">
        <v>889679.06</v>
      </c>
      <c r="E78" s="4">
        <v>71174.33</v>
      </c>
      <c r="F78" s="4">
        <v>818504.73</v>
      </c>
      <c r="G78" s="6">
        <v>5.4600000000000003E-2</v>
      </c>
      <c r="H78" s="4">
        <v>608669.98</v>
      </c>
      <c r="I78" s="4">
        <v>457354.04</v>
      </c>
      <c r="J78" s="4">
        <v>151315.94</v>
      </c>
      <c r="K78" s="6">
        <v>0.24859999999999999</v>
      </c>
      <c r="L78" s="28">
        <v>5.78</v>
      </c>
    </row>
    <row r="79" spans="1:12" x14ac:dyDescent="0.3">
      <c r="A79" t="s">
        <v>186</v>
      </c>
      <c r="B79" s="25">
        <v>45869</v>
      </c>
      <c r="C79" t="s">
        <v>318</v>
      </c>
      <c r="D79" s="4">
        <v>1155231.1599999999</v>
      </c>
      <c r="E79" s="4">
        <v>92418.49</v>
      </c>
      <c r="F79" s="4">
        <v>1062812.67</v>
      </c>
      <c r="G79" s="6">
        <v>7.0800000000000002E-2</v>
      </c>
      <c r="H79" s="4">
        <v>944693.42</v>
      </c>
      <c r="I79" s="4">
        <v>754095.16</v>
      </c>
      <c r="J79" s="4">
        <v>190598.26</v>
      </c>
      <c r="K79" s="6">
        <v>0.20180000000000001</v>
      </c>
      <c r="L79" s="28">
        <v>4.84</v>
      </c>
    </row>
    <row r="80" spans="1:12" x14ac:dyDescent="0.3">
      <c r="A80" t="s">
        <v>186</v>
      </c>
      <c r="B80" s="25">
        <v>45869</v>
      </c>
      <c r="C80" t="s">
        <v>317</v>
      </c>
      <c r="D80" s="4">
        <v>1105488.05</v>
      </c>
      <c r="E80" s="4">
        <v>88439.039999999994</v>
      </c>
      <c r="F80" s="4">
        <v>1017049</v>
      </c>
      <c r="G80" s="6">
        <v>6.7799999999999999E-2</v>
      </c>
      <c r="H80" s="4">
        <v>804095.19</v>
      </c>
      <c r="I80" s="4">
        <v>626694.81999999995</v>
      </c>
      <c r="J80" s="4">
        <v>177400.37</v>
      </c>
      <c r="K80" s="6">
        <v>0.22059999999999999</v>
      </c>
      <c r="L80" s="28">
        <v>5.44</v>
      </c>
    </row>
    <row r="81" spans="1:12" x14ac:dyDescent="0.3">
      <c r="A81" t="s">
        <v>186</v>
      </c>
      <c r="B81" s="25">
        <v>45869</v>
      </c>
      <c r="C81" t="s">
        <v>316</v>
      </c>
      <c r="D81" s="4">
        <v>2277833.2200000002</v>
      </c>
      <c r="E81" s="4">
        <v>182226.66</v>
      </c>
      <c r="F81" s="4">
        <v>2095606.56</v>
      </c>
      <c r="G81" s="6">
        <v>0.13969999999999999</v>
      </c>
      <c r="H81" s="4">
        <v>1433972.66</v>
      </c>
      <c r="I81" s="4">
        <v>1060209</v>
      </c>
      <c r="J81" s="4">
        <v>373763.67</v>
      </c>
      <c r="K81" s="6">
        <v>0.2606</v>
      </c>
      <c r="L81" s="28">
        <v>6.28</v>
      </c>
    </row>
    <row r="82" spans="1:12" x14ac:dyDescent="0.3">
      <c r="A82" t="s">
        <v>186</v>
      </c>
      <c r="B82" s="25">
        <v>45900</v>
      </c>
      <c r="C82" t="s">
        <v>324</v>
      </c>
      <c r="D82" s="4">
        <v>1951025.57</v>
      </c>
      <c r="E82" s="4">
        <v>156082.04</v>
      </c>
      <c r="F82" s="4">
        <v>1794943.51</v>
      </c>
      <c r="G82" s="6">
        <v>0.11899999999999999</v>
      </c>
      <c r="H82" s="4">
        <v>1305505.3500000001</v>
      </c>
      <c r="I82" s="4">
        <v>955150.93</v>
      </c>
      <c r="J82" s="4">
        <v>350354.42</v>
      </c>
      <c r="K82" s="6">
        <v>0.26840000000000003</v>
      </c>
      <c r="L82" s="28">
        <v>5.91</v>
      </c>
    </row>
    <row r="83" spans="1:12" x14ac:dyDescent="0.3">
      <c r="A83" t="s">
        <v>186</v>
      </c>
      <c r="B83" s="25">
        <v>45900</v>
      </c>
      <c r="C83" t="s">
        <v>323</v>
      </c>
      <c r="D83" s="4">
        <v>2427453.08</v>
      </c>
      <c r="E83" s="4">
        <v>194196.26</v>
      </c>
      <c r="F83" s="4">
        <v>2233256.84</v>
      </c>
      <c r="G83" s="6">
        <v>0.14810000000000001</v>
      </c>
      <c r="H83" s="4">
        <v>1715991.06</v>
      </c>
      <c r="I83" s="4">
        <v>1304849.3</v>
      </c>
      <c r="J83" s="4">
        <v>411141.77</v>
      </c>
      <c r="K83" s="6">
        <v>0.23960000000000001</v>
      </c>
      <c r="L83" s="28">
        <v>5.6</v>
      </c>
    </row>
    <row r="84" spans="1:12" x14ac:dyDescent="0.3">
      <c r="A84" t="s">
        <v>186</v>
      </c>
      <c r="B84" s="25">
        <v>45900</v>
      </c>
      <c r="C84" t="s">
        <v>322</v>
      </c>
      <c r="D84" s="4">
        <v>1827026.73</v>
      </c>
      <c r="E84" s="4">
        <v>146162.14000000001</v>
      </c>
      <c r="F84" s="4">
        <v>1680864.59</v>
      </c>
      <c r="G84" s="6">
        <v>0.1115</v>
      </c>
      <c r="H84" s="4">
        <v>1384321.28</v>
      </c>
      <c r="I84" s="4">
        <v>1085081.75</v>
      </c>
      <c r="J84" s="4">
        <v>299239.52</v>
      </c>
      <c r="K84" s="6">
        <v>0.2162</v>
      </c>
      <c r="L84" s="28">
        <v>5.22</v>
      </c>
    </row>
    <row r="85" spans="1:12" x14ac:dyDescent="0.3">
      <c r="A85" t="s">
        <v>186</v>
      </c>
      <c r="B85" s="25">
        <v>45900</v>
      </c>
      <c r="C85" t="s">
        <v>321</v>
      </c>
      <c r="D85" s="4">
        <v>1530519.57</v>
      </c>
      <c r="E85" s="4">
        <v>122441.56</v>
      </c>
      <c r="F85" s="4">
        <v>1408078.01</v>
      </c>
      <c r="G85" s="6">
        <v>9.3399999999999997E-2</v>
      </c>
      <c r="H85" s="4">
        <v>1048039.38</v>
      </c>
      <c r="I85" s="4">
        <v>784193.45</v>
      </c>
      <c r="J85" s="4">
        <v>263845.94</v>
      </c>
      <c r="K85" s="6">
        <v>0.25180000000000002</v>
      </c>
      <c r="L85" s="28">
        <v>5.78</v>
      </c>
    </row>
    <row r="86" spans="1:12" x14ac:dyDescent="0.3">
      <c r="A86" t="s">
        <v>186</v>
      </c>
      <c r="B86" s="25">
        <v>45900</v>
      </c>
      <c r="C86" t="s">
        <v>320</v>
      </c>
      <c r="D86" s="4">
        <v>1867107.77</v>
      </c>
      <c r="E86" s="4">
        <v>149368.62</v>
      </c>
      <c r="F86" s="4">
        <v>1717739.15</v>
      </c>
      <c r="G86" s="6">
        <v>0.1139</v>
      </c>
      <c r="H86" s="4">
        <v>1348419.76</v>
      </c>
      <c r="I86" s="4">
        <v>1038688.91</v>
      </c>
      <c r="J86" s="4">
        <v>309730.84000000003</v>
      </c>
      <c r="K86" s="6">
        <v>0.22969999999999999</v>
      </c>
      <c r="L86" s="28">
        <v>5.48</v>
      </c>
    </row>
    <row r="87" spans="1:12" x14ac:dyDescent="0.3">
      <c r="A87" t="s">
        <v>186</v>
      </c>
      <c r="B87" s="25">
        <v>45900</v>
      </c>
      <c r="C87" t="s">
        <v>319</v>
      </c>
      <c r="D87" s="4">
        <v>880016.22</v>
      </c>
      <c r="E87" s="4">
        <v>70401.3</v>
      </c>
      <c r="F87" s="4">
        <v>809614.92</v>
      </c>
      <c r="G87" s="6">
        <v>5.3699999999999998E-2</v>
      </c>
      <c r="H87" s="4">
        <v>599609.84</v>
      </c>
      <c r="I87" s="4">
        <v>438407.66</v>
      </c>
      <c r="J87" s="4">
        <v>161202.18</v>
      </c>
      <c r="K87" s="6">
        <v>0.26879999999999998</v>
      </c>
      <c r="L87" s="28">
        <v>5.81</v>
      </c>
    </row>
    <row r="88" spans="1:12" x14ac:dyDescent="0.3">
      <c r="A88" t="s">
        <v>186</v>
      </c>
      <c r="B88" s="25">
        <v>45900</v>
      </c>
      <c r="C88" t="s">
        <v>268</v>
      </c>
      <c r="D88" s="4">
        <v>804383.69</v>
      </c>
      <c r="E88" s="4">
        <v>64350.7</v>
      </c>
      <c r="F88" s="4">
        <v>740033</v>
      </c>
      <c r="G88" s="6">
        <v>4.9099999999999998E-2</v>
      </c>
      <c r="H88" s="4">
        <v>633783.22</v>
      </c>
      <c r="I88" s="4">
        <v>509895.61</v>
      </c>
      <c r="J88" s="4">
        <v>123887.61</v>
      </c>
      <c r="K88" s="6">
        <v>0.19550000000000001</v>
      </c>
      <c r="L88" s="28">
        <v>5.0199999999999996</v>
      </c>
    </row>
    <row r="89" spans="1:12" x14ac:dyDescent="0.3">
      <c r="A89" t="s">
        <v>186</v>
      </c>
      <c r="B89" s="25">
        <v>45900</v>
      </c>
      <c r="C89" t="s">
        <v>318</v>
      </c>
      <c r="D89" s="4">
        <v>1466300.29</v>
      </c>
      <c r="E89" s="4">
        <v>117304.02</v>
      </c>
      <c r="F89" s="4">
        <v>1348996.27</v>
      </c>
      <c r="G89" s="6">
        <v>8.9499999999999996E-2</v>
      </c>
      <c r="H89" s="4">
        <v>1081325.52</v>
      </c>
      <c r="I89" s="4">
        <v>845217.34</v>
      </c>
      <c r="J89" s="4">
        <v>236108.17</v>
      </c>
      <c r="K89" s="6">
        <v>0.21840000000000001</v>
      </c>
      <c r="L89" s="28">
        <v>5.36</v>
      </c>
    </row>
    <row r="90" spans="1:12" x14ac:dyDescent="0.3">
      <c r="A90" t="s">
        <v>186</v>
      </c>
      <c r="B90" s="25">
        <v>45900</v>
      </c>
      <c r="C90" t="s">
        <v>317</v>
      </c>
      <c r="D90" s="4">
        <v>1432513.8</v>
      </c>
      <c r="E90" s="4">
        <v>114601.11</v>
      </c>
      <c r="F90" s="4">
        <v>1317912.7</v>
      </c>
      <c r="G90" s="6">
        <v>8.7400000000000005E-2</v>
      </c>
      <c r="H90" s="4">
        <v>1022440.75</v>
      </c>
      <c r="I90" s="4">
        <v>776280.32</v>
      </c>
      <c r="J90" s="4">
        <v>246160.43</v>
      </c>
      <c r="K90" s="6">
        <v>0.24079999999999999</v>
      </c>
      <c r="L90" s="28">
        <v>5.54</v>
      </c>
    </row>
    <row r="91" spans="1:12" x14ac:dyDescent="0.3">
      <c r="A91" t="s">
        <v>186</v>
      </c>
      <c r="B91" s="25">
        <v>45900</v>
      </c>
      <c r="C91" t="s">
        <v>316</v>
      </c>
      <c r="D91" s="4">
        <v>2202097.46</v>
      </c>
      <c r="E91" s="4">
        <v>176167.79</v>
      </c>
      <c r="F91" s="4">
        <v>2025929.66</v>
      </c>
      <c r="G91" s="6">
        <v>0.13439999999999999</v>
      </c>
      <c r="H91" s="4">
        <v>1482098.46</v>
      </c>
      <c r="I91" s="4">
        <v>1084684.26</v>
      </c>
      <c r="J91" s="4">
        <v>397414.21</v>
      </c>
      <c r="K91" s="6">
        <v>0.2681</v>
      </c>
      <c r="L91" s="28">
        <v>5.88</v>
      </c>
    </row>
    <row r="92" spans="1:12" x14ac:dyDescent="0.3">
      <c r="A92" t="s">
        <v>186</v>
      </c>
      <c r="B92" s="25">
        <v>45930</v>
      </c>
      <c r="C92" t="s">
        <v>324</v>
      </c>
      <c r="D92" s="4">
        <v>1619442.08</v>
      </c>
      <c r="E92" s="4">
        <v>129555.37</v>
      </c>
      <c r="F92" s="4">
        <v>1489886.71</v>
      </c>
      <c r="G92" s="6">
        <v>9.9299999999999999E-2</v>
      </c>
      <c r="H92" s="4">
        <v>1135658.1599999999</v>
      </c>
      <c r="I92" s="4">
        <v>836263.36</v>
      </c>
      <c r="J92" s="4">
        <v>299394.8</v>
      </c>
      <c r="K92" s="6">
        <v>0.2636</v>
      </c>
      <c r="L92" s="28">
        <v>5.64</v>
      </c>
    </row>
    <row r="93" spans="1:12" x14ac:dyDescent="0.3">
      <c r="A93" t="s">
        <v>186</v>
      </c>
      <c r="B93" s="25">
        <v>45930</v>
      </c>
      <c r="C93" t="s">
        <v>323</v>
      </c>
      <c r="D93" s="4">
        <v>2743284.2</v>
      </c>
      <c r="E93" s="4">
        <v>219462.73</v>
      </c>
      <c r="F93" s="4">
        <v>2523821.46</v>
      </c>
      <c r="G93" s="6">
        <v>0.16830000000000001</v>
      </c>
      <c r="H93" s="4">
        <v>2067762.99</v>
      </c>
      <c r="I93" s="4">
        <v>1563995.87</v>
      </c>
      <c r="J93" s="4">
        <v>503767.13</v>
      </c>
      <c r="K93" s="6">
        <v>0.24360000000000001</v>
      </c>
      <c r="L93" s="28">
        <v>5.25</v>
      </c>
    </row>
    <row r="94" spans="1:12" x14ac:dyDescent="0.3">
      <c r="A94" t="s">
        <v>186</v>
      </c>
      <c r="B94" s="25">
        <v>45930</v>
      </c>
      <c r="C94" t="s">
        <v>322</v>
      </c>
      <c r="D94" s="4">
        <v>2221328.83</v>
      </c>
      <c r="E94" s="4">
        <v>177706.31</v>
      </c>
      <c r="F94" s="4">
        <v>2043622.53</v>
      </c>
      <c r="G94" s="6">
        <v>0.13619999999999999</v>
      </c>
      <c r="H94" s="4">
        <v>1877474.43</v>
      </c>
      <c r="I94" s="4">
        <v>1455899.47</v>
      </c>
      <c r="J94" s="4">
        <v>421574.96</v>
      </c>
      <c r="K94" s="6">
        <v>0.22450000000000001</v>
      </c>
      <c r="L94" s="28">
        <v>4.68</v>
      </c>
    </row>
    <row r="95" spans="1:12" x14ac:dyDescent="0.3">
      <c r="A95" t="s">
        <v>186</v>
      </c>
      <c r="B95" s="25">
        <v>45930</v>
      </c>
      <c r="C95" t="s">
        <v>321</v>
      </c>
      <c r="D95" s="4">
        <v>1634953.2</v>
      </c>
      <c r="E95" s="4">
        <v>130796.25</v>
      </c>
      <c r="F95" s="4">
        <v>1504156.95</v>
      </c>
      <c r="G95" s="6">
        <v>0.1003</v>
      </c>
      <c r="H95" s="4">
        <v>1181112.1000000001</v>
      </c>
      <c r="I95" s="4">
        <v>884788.21</v>
      </c>
      <c r="J95" s="4">
        <v>296323.88</v>
      </c>
      <c r="K95" s="6">
        <v>0.25090000000000001</v>
      </c>
      <c r="L95" s="28">
        <v>5.48</v>
      </c>
    </row>
    <row r="96" spans="1:12" x14ac:dyDescent="0.3">
      <c r="A96" t="s">
        <v>186</v>
      </c>
      <c r="B96" s="25">
        <v>45930</v>
      </c>
      <c r="C96" t="s">
        <v>320</v>
      </c>
      <c r="D96" s="4">
        <v>1172109.6200000001</v>
      </c>
      <c r="E96" s="4">
        <v>93768.77</v>
      </c>
      <c r="F96" s="4">
        <v>1078340.8500000001</v>
      </c>
      <c r="G96" s="6">
        <v>7.1900000000000006E-2</v>
      </c>
      <c r="H96" s="4">
        <v>934080.81</v>
      </c>
      <c r="I96" s="4">
        <v>718944.83</v>
      </c>
      <c r="J96" s="4">
        <v>215135.99</v>
      </c>
      <c r="K96" s="6">
        <v>0.2303</v>
      </c>
      <c r="L96" s="28">
        <v>4.96</v>
      </c>
    </row>
    <row r="97" spans="1:12" x14ac:dyDescent="0.3">
      <c r="A97" t="s">
        <v>186</v>
      </c>
      <c r="B97" s="25">
        <v>45930</v>
      </c>
      <c r="C97" t="s">
        <v>319</v>
      </c>
      <c r="D97" s="4">
        <v>682661.98</v>
      </c>
      <c r="E97" s="4">
        <v>54612.95</v>
      </c>
      <c r="F97" s="4">
        <v>628049.03</v>
      </c>
      <c r="G97" s="6">
        <v>4.19E-2</v>
      </c>
      <c r="H97" s="4">
        <v>553985.37</v>
      </c>
      <c r="I97" s="4">
        <v>416096.98</v>
      </c>
      <c r="J97" s="4">
        <v>137888.4</v>
      </c>
      <c r="K97" s="6">
        <v>0.24890000000000001</v>
      </c>
      <c r="L97" s="28">
        <v>4.87</v>
      </c>
    </row>
    <row r="98" spans="1:12" x14ac:dyDescent="0.3">
      <c r="A98" t="s">
        <v>186</v>
      </c>
      <c r="B98" s="25">
        <v>45930</v>
      </c>
      <c r="C98" t="s">
        <v>268</v>
      </c>
      <c r="D98" s="4">
        <v>1302663.3999999999</v>
      </c>
      <c r="E98" s="4">
        <v>104213.08</v>
      </c>
      <c r="F98" s="4">
        <v>1198450.33</v>
      </c>
      <c r="G98" s="6">
        <v>7.9899999999999999E-2</v>
      </c>
      <c r="H98" s="4">
        <v>1063782.8799999999</v>
      </c>
      <c r="I98" s="4">
        <v>818461.26</v>
      </c>
      <c r="J98" s="4">
        <v>245321.63</v>
      </c>
      <c r="K98" s="6">
        <v>0.2306</v>
      </c>
      <c r="L98" s="28">
        <v>4.84</v>
      </c>
    </row>
    <row r="99" spans="1:12" x14ac:dyDescent="0.3">
      <c r="A99" t="s">
        <v>186</v>
      </c>
      <c r="B99" s="25">
        <v>45930</v>
      </c>
      <c r="C99" t="s">
        <v>318</v>
      </c>
      <c r="D99" s="4">
        <v>1656711.55</v>
      </c>
      <c r="E99" s="4">
        <v>132536.93</v>
      </c>
      <c r="F99" s="4">
        <v>1524174.62</v>
      </c>
      <c r="G99" s="6">
        <v>0.1016</v>
      </c>
      <c r="H99" s="4">
        <v>1279300.1599999999</v>
      </c>
      <c r="I99" s="4">
        <v>976761.51</v>
      </c>
      <c r="J99" s="4">
        <v>302538.65999999997</v>
      </c>
      <c r="K99" s="6">
        <v>0.23649999999999999</v>
      </c>
      <c r="L99" s="28">
        <v>5.12</v>
      </c>
    </row>
    <row r="100" spans="1:12" x14ac:dyDescent="0.3">
      <c r="A100" t="s">
        <v>186</v>
      </c>
      <c r="B100" s="25">
        <v>45930</v>
      </c>
      <c r="C100" t="s">
        <v>317</v>
      </c>
      <c r="D100" s="4">
        <v>1346406.92</v>
      </c>
      <c r="E100" s="4">
        <v>107712.56</v>
      </c>
      <c r="F100" s="4">
        <v>1238694.3600000001</v>
      </c>
      <c r="G100" s="6">
        <v>8.2600000000000007E-2</v>
      </c>
      <c r="H100" s="4">
        <v>1057265.97</v>
      </c>
      <c r="I100" s="4">
        <v>807576.78</v>
      </c>
      <c r="J100" s="4">
        <v>249689.19</v>
      </c>
      <c r="K100" s="6">
        <v>0.23619999999999999</v>
      </c>
      <c r="L100" s="28">
        <v>5.04</v>
      </c>
    </row>
    <row r="101" spans="1:12" x14ac:dyDescent="0.3">
      <c r="A101" t="s">
        <v>186</v>
      </c>
      <c r="B101" s="25">
        <v>45930</v>
      </c>
      <c r="C101" t="s">
        <v>316</v>
      </c>
      <c r="D101" s="4">
        <v>1924218.72</v>
      </c>
      <c r="E101" s="4">
        <v>153937.49</v>
      </c>
      <c r="F101" s="4">
        <v>1770281.23</v>
      </c>
      <c r="G101" s="6">
        <v>0.11799999999999999</v>
      </c>
      <c r="H101" s="4">
        <v>1324205.3899999999</v>
      </c>
      <c r="I101" s="4">
        <v>962057.7</v>
      </c>
      <c r="J101" s="4">
        <v>362147.69</v>
      </c>
      <c r="K101" s="6">
        <v>0.27350000000000002</v>
      </c>
      <c r="L101" s="28">
        <v>5.75</v>
      </c>
    </row>
    <row r="102" spans="1:12" x14ac:dyDescent="0.3">
      <c r="A102" t="s">
        <v>186</v>
      </c>
      <c r="B102" s="25">
        <v>45961</v>
      </c>
      <c r="C102" t="s">
        <v>324</v>
      </c>
      <c r="D102" s="4">
        <v>1758238.29</v>
      </c>
      <c r="E102" s="4">
        <v>140659.06</v>
      </c>
      <c r="F102" s="4">
        <v>1617579.23</v>
      </c>
      <c r="G102" s="6">
        <v>0.1085</v>
      </c>
      <c r="H102" s="4">
        <v>1330675.77</v>
      </c>
      <c r="I102" s="4">
        <v>1012204.85</v>
      </c>
      <c r="J102" s="4">
        <v>318470.93</v>
      </c>
      <c r="K102" s="6">
        <v>0.23930000000000001</v>
      </c>
      <c r="L102" s="28">
        <v>5.23</v>
      </c>
    </row>
    <row r="103" spans="1:12" x14ac:dyDescent="0.3">
      <c r="A103" t="s">
        <v>186</v>
      </c>
      <c r="B103" s="25">
        <v>45961</v>
      </c>
      <c r="C103" t="s">
        <v>323</v>
      </c>
      <c r="D103" s="4">
        <v>2223014.58</v>
      </c>
      <c r="E103" s="4">
        <v>177841.17</v>
      </c>
      <c r="F103" s="4">
        <v>2045173.41</v>
      </c>
      <c r="G103" s="6">
        <v>0.1371</v>
      </c>
      <c r="H103" s="4">
        <v>1691535.1</v>
      </c>
      <c r="I103" s="4">
        <v>1289144.26</v>
      </c>
      <c r="J103" s="4">
        <v>402390.84</v>
      </c>
      <c r="K103" s="6">
        <v>0.2379</v>
      </c>
      <c r="L103" s="28">
        <v>5.2</v>
      </c>
    </row>
    <row r="104" spans="1:12" x14ac:dyDescent="0.3">
      <c r="A104" t="s">
        <v>186</v>
      </c>
      <c r="B104" s="25">
        <v>45961</v>
      </c>
      <c r="C104" t="s">
        <v>322</v>
      </c>
      <c r="D104" s="4">
        <v>1156713</v>
      </c>
      <c r="E104" s="4">
        <v>92537.05</v>
      </c>
      <c r="F104" s="4">
        <v>1064175.95</v>
      </c>
      <c r="G104" s="6">
        <v>7.1400000000000005E-2</v>
      </c>
      <c r="H104" s="4">
        <v>1029522.4</v>
      </c>
      <c r="I104" s="4">
        <v>818934.91</v>
      </c>
      <c r="J104" s="4">
        <v>210587.49</v>
      </c>
      <c r="K104" s="6">
        <v>0.20449999999999999</v>
      </c>
      <c r="L104" s="28">
        <v>4.4400000000000004</v>
      </c>
    </row>
    <row r="105" spans="1:12" x14ac:dyDescent="0.3">
      <c r="A105" t="s">
        <v>186</v>
      </c>
      <c r="B105" s="25">
        <v>45961</v>
      </c>
      <c r="C105" t="s">
        <v>321</v>
      </c>
      <c r="D105" s="4">
        <v>1383784.59</v>
      </c>
      <c r="E105" s="4">
        <v>110702.77</v>
      </c>
      <c r="F105" s="4">
        <v>1273081.82</v>
      </c>
      <c r="G105" s="6">
        <v>8.5400000000000004E-2</v>
      </c>
      <c r="H105" s="4">
        <v>972940.69</v>
      </c>
      <c r="I105" s="4">
        <v>716344.66</v>
      </c>
      <c r="J105" s="4">
        <v>256596.03</v>
      </c>
      <c r="K105" s="6">
        <v>0.26369999999999999</v>
      </c>
      <c r="L105" s="28">
        <v>5.63</v>
      </c>
    </row>
    <row r="106" spans="1:12" x14ac:dyDescent="0.3">
      <c r="A106" t="s">
        <v>186</v>
      </c>
      <c r="B106" s="25">
        <v>45961</v>
      </c>
      <c r="C106" t="s">
        <v>320</v>
      </c>
      <c r="D106" s="4">
        <v>2010696.16</v>
      </c>
      <c r="E106" s="4">
        <v>160855.70000000001</v>
      </c>
      <c r="F106" s="4">
        <v>1849840.46</v>
      </c>
      <c r="G106" s="6">
        <v>0.1241</v>
      </c>
      <c r="H106" s="4">
        <v>1482108.44</v>
      </c>
      <c r="I106" s="4">
        <v>1110881.96</v>
      </c>
      <c r="J106" s="4">
        <v>371226.47</v>
      </c>
      <c r="K106" s="6">
        <v>0.2505</v>
      </c>
      <c r="L106" s="28">
        <v>5.37</v>
      </c>
    </row>
    <row r="107" spans="1:12" x14ac:dyDescent="0.3">
      <c r="A107" t="s">
        <v>186</v>
      </c>
      <c r="B107" s="25">
        <v>45961</v>
      </c>
      <c r="C107" t="s">
        <v>319</v>
      </c>
      <c r="D107" s="4">
        <v>657917.82999999996</v>
      </c>
      <c r="E107" s="4">
        <v>52633.42</v>
      </c>
      <c r="F107" s="4">
        <v>605284.41</v>
      </c>
      <c r="G107" s="6">
        <v>4.0599999999999997E-2</v>
      </c>
      <c r="H107" s="4">
        <v>537113.18999999994</v>
      </c>
      <c r="I107" s="4">
        <v>424061.52</v>
      </c>
      <c r="J107" s="4">
        <v>113051.66</v>
      </c>
      <c r="K107" s="6">
        <v>0.21049999999999999</v>
      </c>
      <c r="L107" s="28">
        <v>4.8499999999999996</v>
      </c>
    </row>
    <row r="108" spans="1:12" x14ac:dyDescent="0.3">
      <c r="A108" t="s">
        <v>186</v>
      </c>
      <c r="B108" s="25">
        <v>45961</v>
      </c>
      <c r="C108" t="s">
        <v>268</v>
      </c>
      <c r="D108" s="4">
        <v>1077411.3400000001</v>
      </c>
      <c r="E108" s="4">
        <v>86192.91</v>
      </c>
      <c r="F108" s="4">
        <v>991218.42</v>
      </c>
      <c r="G108" s="6">
        <v>6.6500000000000004E-2</v>
      </c>
      <c r="H108" s="4">
        <v>811913.11</v>
      </c>
      <c r="I108" s="4">
        <v>607923.31000000006</v>
      </c>
      <c r="J108" s="4">
        <v>203989.8</v>
      </c>
      <c r="K108" s="6">
        <v>0.25119999999999998</v>
      </c>
      <c r="L108" s="28">
        <v>5.25</v>
      </c>
    </row>
    <row r="109" spans="1:12" x14ac:dyDescent="0.3">
      <c r="A109" t="s">
        <v>186</v>
      </c>
      <c r="B109" s="25">
        <v>45961</v>
      </c>
      <c r="C109" t="s">
        <v>318</v>
      </c>
      <c r="D109" s="4">
        <v>1639417.97</v>
      </c>
      <c r="E109" s="4">
        <v>131153.45000000001</v>
      </c>
      <c r="F109" s="4">
        <v>1508264.54</v>
      </c>
      <c r="G109" s="6">
        <v>0.1011</v>
      </c>
      <c r="H109" s="4">
        <v>1272961.45</v>
      </c>
      <c r="I109" s="4">
        <v>970172.67</v>
      </c>
      <c r="J109" s="4">
        <v>302788.78000000003</v>
      </c>
      <c r="K109" s="6">
        <v>0.2379</v>
      </c>
      <c r="L109" s="28">
        <v>5.09</v>
      </c>
    </row>
    <row r="110" spans="1:12" x14ac:dyDescent="0.3">
      <c r="A110" t="s">
        <v>186</v>
      </c>
      <c r="B110" s="25">
        <v>45961</v>
      </c>
      <c r="C110" t="s">
        <v>317</v>
      </c>
      <c r="D110" s="4">
        <v>1668938.62</v>
      </c>
      <c r="E110" s="4">
        <v>133515.09</v>
      </c>
      <c r="F110" s="4">
        <v>1535423.53</v>
      </c>
      <c r="G110" s="6">
        <v>0.10299999999999999</v>
      </c>
      <c r="H110" s="4">
        <v>1173918.8700000001</v>
      </c>
      <c r="I110" s="4">
        <v>867188.31</v>
      </c>
      <c r="J110" s="4">
        <v>306730.55</v>
      </c>
      <c r="K110" s="6">
        <v>0.26129999999999998</v>
      </c>
      <c r="L110" s="28">
        <v>5.62</v>
      </c>
    </row>
    <row r="111" spans="1:12" x14ac:dyDescent="0.3">
      <c r="A111" t="s">
        <v>186</v>
      </c>
      <c r="B111" s="25">
        <v>45961</v>
      </c>
      <c r="C111" t="s">
        <v>316</v>
      </c>
      <c r="D111" s="4">
        <v>2632530.42</v>
      </c>
      <c r="E111" s="4">
        <v>210602.44</v>
      </c>
      <c r="F111" s="4">
        <v>2421927.9900000002</v>
      </c>
      <c r="G111" s="6">
        <v>0.16239999999999999</v>
      </c>
      <c r="H111" s="4">
        <v>1877819.98</v>
      </c>
      <c r="I111" s="4">
        <v>1384375.38</v>
      </c>
      <c r="J111" s="4">
        <v>493444.6</v>
      </c>
      <c r="K111" s="6">
        <v>0.26279999999999998</v>
      </c>
      <c r="L111" s="28">
        <v>5.55</v>
      </c>
    </row>
    <row r="112" spans="1:12" x14ac:dyDescent="0.3">
      <c r="A112" t="s">
        <v>186</v>
      </c>
      <c r="B112" s="25">
        <v>45991</v>
      </c>
      <c r="C112" t="s">
        <v>324</v>
      </c>
      <c r="D112" s="4">
        <v>1995136.78</v>
      </c>
      <c r="E112" s="4">
        <v>159610.94</v>
      </c>
      <c r="F112" s="4">
        <v>1835525.84</v>
      </c>
      <c r="G112" s="6">
        <v>0.1157</v>
      </c>
      <c r="H112" s="4">
        <v>1244210.06</v>
      </c>
      <c r="I112" s="4">
        <v>945470.66</v>
      </c>
      <c r="J112" s="4">
        <v>298739.40000000002</v>
      </c>
      <c r="K112" s="6">
        <v>0.24010000000000001</v>
      </c>
      <c r="L112" s="28">
        <v>6.34</v>
      </c>
    </row>
    <row r="113" spans="1:17" x14ac:dyDescent="0.3">
      <c r="A113" t="s">
        <v>186</v>
      </c>
      <c r="B113" s="25">
        <v>45991</v>
      </c>
      <c r="C113" t="s">
        <v>323</v>
      </c>
      <c r="D113" s="4">
        <v>2317675.84</v>
      </c>
      <c r="E113" s="4">
        <v>185414.07</v>
      </c>
      <c r="F113" s="4">
        <v>2132261.7599999998</v>
      </c>
      <c r="G113" s="6">
        <v>0.13439999999999999</v>
      </c>
      <c r="H113" s="4">
        <v>1707609.01</v>
      </c>
      <c r="I113" s="4">
        <v>1331750.8700000001</v>
      </c>
      <c r="J113" s="4">
        <v>375858.15</v>
      </c>
      <c r="K113" s="6">
        <v>0.22009999999999999</v>
      </c>
      <c r="L113" s="28">
        <v>5.37</v>
      </c>
    </row>
    <row r="114" spans="1:17" x14ac:dyDescent="0.3">
      <c r="A114" t="s">
        <v>186</v>
      </c>
      <c r="B114" s="25">
        <v>45991</v>
      </c>
      <c r="C114" t="s">
        <v>322</v>
      </c>
      <c r="D114" s="4">
        <v>2407368.5699999998</v>
      </c>
      <c r="E114" s="4">
        <v>192589.49</v>
      </c>
      <c r="F114" s="4">
        <v>2214779.09</v>
      </c>
      <c r="G114" s="6">
        <v>0.1396</v>
      </c>
      <c r="H114" s="4">
        <v>1808750.39</v>
      </c>
      <c r="I114" s="4">
        <v>1405996.02</v>
      </c>
      <c r="J114" s="4">
        <v>402754.37</v>
      </c>
      <c r="K114" s="6">
        <v>0.22270000000000001</v>
      </c>
      <c r="L114" s="28">
        <v>5.27</v>
      </c>
    </row>
    <row r="115" spans="1:17" x14ac:dyDescent="0.3">
      <c r="A115" t="s">
        <v>186</v>
      </c>
      <c r="B115" s="25">
        <v>45991</v>
      </c>
      <c r="C115" t="s">
        <v>321</v>
      </c>
      <c r="D115" s="4">
        <v>1179220.4099999999</v>
      </c>
      <c r="E115" s="4">
        <v>94337.64</v>
      </c>
      <c r="F115" s="4">
        <v>1084882.77</v>
      </c>
      <c r="G115" s="6">
        <v>6.8400000000000002E-2</v>
      </c>
      <c r="H115" s="4">
        <v>680882.07</v>
      </c>
      <c r="I115" s="4">
        <v>499940.04</v>
      </c>
      <c r="J115" s="4">
        <v>180942.02</v>
      </c>
      <c r="K115" s="6">
        <v>0.26569999999999999</v>
      </c>
      <c r="L115" s="28">
        <v>6.85</v>
      </c>
    </row>
    <row r="116" spans="1:17" x14ac:dyDescent="0.3">
      <c r="A116" t="s">
        <v>186</v>
      </c>
      <c r="B116" s="25">
        <v>45991</v>
      </c>
      <c r="C116" t="s">
        <v>320</v>
      </c>
      <c r="D116" s="4">
        <v>1883125.2</v>
      </c>
      <c r="E116" s="4">
        <v>150650.01999999999</v>
      </c>
      <c r="F116" s="4">
        <v>1732475.18</v>
      </c>
      <c r="G116" s="6">
        <v>0.10920000000000001</v>
      </c>
      <c r="H116" s="4">
        <v>1163243.02</v>
      </c>
      <c r="I116" s="4">
        <v>867230.44</v>
      </c>
      <c r="J116" s="4">
        <v>296012.58</v>
      </c>
      <c r="K116" s="6">
        <v>0.2545</v>
      </c>
      <c r="L116" s="28">
        <v>6.4</v>
      </c>
    </row>
    <row r="117" spans="1:17" x14ac:dyDescent="0.3">
      <c r="A117" t="s">
        <v>186</v>
      </c>
      <c r="B117" s="25">
        <v>45991</v>
      </c>
      <c r="C117" t="s">
        <v>319</v>
      </c>
      <c r="D117" s="4">
        <v>912155.4</v>
      </c>
      <c r="E117" s="4">
        <v>72972.44</v>
      </c>
      <c r="F117" s="4">
        <v>839182.96</v>
      </c>
      <c r="G117" s="6">
        <v>5.2900000000000003E-2</v>
      </c>
      <c r="H117" s="4">
        <v>564130.94999999995</v>
      </c>
      <c r="I117" s="4">
        <v>429776.34</v>
      </c>
      <c r="J117" s="4">
        <v>134354.60999999999</v>
      </c>
      <c r="K117" s="6">
        <v>0.2382</v>
      </c>
      <c r="L117" s="28">
        <v>6.4</v>
      </c>
      <c r="O117" s="12"/>
      <c r="P117" s="12"/>
      <c r="Q117" s="12"/>
    </row>
    <row r="118" spans="1:17" x14ac:dyDescent="0.3">
      <c r="A118" t="s">
        <v>186</v>
      </c>
      <c r="B118" s="25">
        <v>45991</v>
      </c>
      <c r="C118" t="s">
        <v>268</v>
      </c>
      <c r="D118" s="4">
        <v>752647.97</v>
      </c>
      <c r="E118" s="4">
        <v>60211.839999999997</v>
      </c>
      <c r="F118" s="4">
        <v>692436.12</v>
      </c>
      <c r="G118" s="6">
        <v>4.36E-2</v>
      </c>
      <c r="H118" s="4">
        <v>582085.01</v>
      </c>
      <c r="I118" s="4">
        <v>452545.33</v>
      </c>
      <c r="J118" s="4">
        <v>129539.67</v>
      </c>
      <c r="K118" s="6">
        <v>0.2225</v>
      </c>
      <c r="L118" s="28">
        <v>5.12</v>
      </c>
    </row>
    <row r="119" spans="1:17" x14ac:dyDescent="0.3">
      <c r="A119" t="s">
        <v>186</v>
      </c>
      <c r="B119" s="25">
        <v>45991</v>
      </c>
      <c r="C119" t="s">
        <v>318</v>
      </c>
      <c r="D119" s="4">
        <v>1874644.25</v>
      </c>
      <c r="E119" s="4">
        <v>149971.54</v>
      </c>
      <c r="F119" s="4">
        <v>1724672.72</v>
      </c>
      <c r="G119" s="6">
        <v>0.1087</v>
      </c>
      <c r="H119" s="4">
        <v>1272778.97</v>
      </c>
      <c r="I119" s="4">
        <v>973103.57</v>
      </c>
      <c r="J119" s="4">
        <v>299675.40999999997</v>
      </c>
      <c r="K119" s="6">
        <v>0.2354</v>
      </c>
      <c r="L119" s="28">
        <v>5.83</v>
      </c>
      <c r="P119" s="4"/>
    </row>
    <row r="120" spans="1:17" x14ac:dyDescent="0.3">
      <c r="A120" t="s">
        <v>186</v>
      </c>
      <c r="B120" s="25">
        <v>45991</v>
      </c>
      <c r="C120" t="s">
        <v>317</v>
      </c>
      <c r="D120" s="4">
        <v>1273119.52</v>
      </c>
      <c r="E120" s="4">
        <v>101849.57</v>
      </c>
      <c r="F120" s="4">
        <v>1171269.95</v>
      </c>
      <c r="G120" s="6">
        <v>7.3800000000000004E-2</v>
      </c>
      <c r="H120" s="4">
        <v>887320.62</v>
      </c>
      <c r="I120" s="4">
        <v>683026.82</v>
      </c>
      <c r="J120" s="4">
        <v>204293.81</v>
      </c>
      <c r="K120" s="6">
        <v>0.23019999999999999</v>
      </c>
      <c r="L120" s="28">
        <v>5.68</v>
      </c>
    </row>
    <row r="121" spans="1:17" x14ac:dyDescent="0.3">
      <c r="A121" t="s">
        <v>186</v>
      </c>
      <c r="B121" s="25">
        <v>45991</v>
      </c>
      <c r="C121" t="s">
        <v>316</v>
      </c>
      <c r="D121" s="4">
        <v>2649497.7000000002</v>
      </c>
      <c r="E121" s="4">
        <v>211959.81</v>
      </c>
      <c r="F121" s="4">
        <v>2437537.89</v>
      </c>
      <c r="G121" s="6">
        <v>0.15359999999999999</v>
      </c>
      <c r="H121" s="4">
        <v>1591552.6</v>
      </c>
      <c r="I121" s="4">
        <v>1189101.74</v>
      </c>
      <c r="J121" s="4">
        <v>402450.84</v>
      </c>
      <c r="K121" s="6">
        <v>0.25290000000000001</v>
      </c>
      <c r="L121" s="28">
        <v>6.59</v>
      </c>
    </row>
    <row r="122" spans="1:17" x14ac:dyDescent="0.3">
      <c r="A122" t="s">
        <v>192</v>
      </c>
      <c r="B122" s="25">
        <v>45657</v>
      </c>
      <c r="C122" t="s">
        <v>324</v>
      </c>
      <c r="D122" s="4">
        <v>478387.75</v>
      </c>
      <c r="E122" s="4">
        <v>38271.019999999997</v>
      </c>
      <c r="F122" s="4">
        <v>440116.73</v>
      </c>
      <c r="G122" s="6">
        <v>9.6799999999999997E-2</v>
      </c>
      <c r="H122" s="4">
        <v>422002.79</v>
      </c>
      <c r="I122" s="4">
        <v>334985.81</v>
      </c>
      <c r="J122" s="4">
        <v>87016.97</v>
      </c>
      <c r="K122" s="6">
        <v>0.20619999999999999</v>
      </c>
      <c r="L122" s="28">
        <v>4.4800000000000004</v>
      </c>
    </row>
    <row r="123" spans="1:17" x14ac:dyDescent="0.3">
      <c r="A123" t="s">
        <v>192</v>
      </c>
      <c r="B123" s="25">
        <v>45657</v>
      </c>
      <c r="C123" t="s">
        <v>323</v>
      </c>
      <c r="D123" s="4">
        <v>849713.12</v>
      </c>
      <c r="E123" s="4">
        <v>67977.05</v>
      </c>
      <c r="F123" s="4">
        <v>781736.07</v>
      </c>
      <c r="G123" s="6">
        <v>0.17199999999999999</v>
      </c>
      <c r="H123" s="4">
        <v>749562.05</v>
      </c>
      <c r="I123" s="4">
        <v>595002.36</v>
      </c>
      <c r="J123" s="4">
        <v>154559.69</v>
      </c>
      <c r="K123" s="6">
        <v>0.20619999999999999</v>
      </c>
      <c r="L123" s="28">
        <v>4.4800000000000004</v>
      </c>
    </row>
    <row r="124" spans="1:17" x14ac:dyDescent="0.3">
      <c r="A124" t="s">
        <v>192</v>
      </c>
      <c r="B124" s="25">
        <v>45657</v>
      </c>
      <c r="C124" t="s">
        <v>322</v>
      </c>
      <c r="D124" s="4">
        <v>884137</v>
      </c>
      <c r="E124" s="4">
        <v>70730.960000000006</v>
      </c>
      <c r="F124" s="4">
        <v>813406.04</v>
      </c>
      <c r="G124" s="6">
        <v>0.17899999999999999</v>
      </c>
      <c r="H124" s="4">
        <v>779928.57</v>
      </c>
      <c r="I124" s="4">
        <v>619107.30000000005</v>
      </c>
      <c r="J124" s="4">
        <v>160821.26999999999</v>
      </c>
      <c r="K124" s="6">
        <v>0.20619999999999999</v>
      </c>
      <c r="L124" s="28">
        <v>4.4800000000000004</v>
      </c>
    </row>
    <row r="125" spans="1:17" x14ac:dyDescent="0.3">
      <c r="A125" t="s">
        <v>192</v>
      </c>
      <c r="B125" s="25">
        <v>45657</v>
      </c>
      <c r="C125" t="s">
        <v>321</v>
      </c>
      <c r="D125" s="4">
        <v>486801.8</v>
      </c>
      <c r="E125" s="4">
        <v>38944.14</v>
      </c>
      <c r="F125" s="4">
        <v>447857.66</v>
      </c>
      <c r="G125" s="6">
        <v>9.8500000000000004E-2</v>
      </c>
      <c r="H125" s="4">
        <v>429425.12</v>
      </c>
      <c r="I125" s="4">
        <v>340877.66</v>
      </c>
      <c r="J125" s="4">
        <v>88547.46</v>
      </c>
      <c r="K125" s="6">
        <v>0.20619999999999999</v>
      </c>
      <c r="L125" s="28">
        <v>4.4800000000000004</v>
      </c>
    </row>
    <row r="126" spans="1:17" x14ac:dyDescent="0.3">
      <c r="A126" t="s">
        <v>192</v>
      </c>
      <c r="B126" s="25">
        <v>45657</v>
      </c>
      <c r="C126" t="s">
        <v>320</v>
      </c>
      <c r="D126" s="4">
        <v>405332.46</v>
      </c>
      <c r="E126" s="4">
        <v>32426.6</v>
      </c>
      <c r="F126" s="4">
        <v>372905.87</v>
      </c>
      <c r="G126" s="6">
        <v>8.2000000000000003E-2</v>
      </c>
      <c r="H126" s="4">
        <v>357558.13</v>
      </c>
      <c r="I126" s="4">
        <v>283829.64</v>
      </c>
      <c r="J126" s="4">
        <v>73728.490000000005</v>
      </c>
      <c r="K126" s="6">
        <v>0.20619999999999999</v>
      </c>
      <c r="L126" s="28">
        <v>4.4800000000000004</v>
      </c>
    </row>
    <row r="127" spans="1:17" x14ac:dyDescent="0.3">
      <c r="A127" t="s">
        <v>192</v>
      </c>
      <c r="B127" s="25">
        <v>45657</v>
      </c>
      <c r="C127" t="s">
        <v>319</v>
      </c>
      <c r="D127" s="4">
        <v>86494.59</v>
      </c>
      <c r="E127" s="4">
        <v>6919.57</v>
      </c>
      <c r="F127" s="4">
        <v>79575.02</v>
      </c>
      <c r="G127" s="6">
        <v>1.7500000000000002E-2</v>
      </c>
      <c r="H127" s="4">
        <v>76299.94</v>
      </c>
      <c r="I127" s="4">
        <v>60566.9</v>
      </c>
      <c r="J127" s="4">
        <v>15733.05</v>
      </c>
      <c r="K127" s="6">
        <v>0.20619999999999999</v>
      </c>
      <c r="L127" s="28">
        <v>4.4800000000000004</v>
      </c>
    </row>
    <row r="128" spans="1:17" x14ac:dyDescent="0.3">
      <c r="A128" t="s">
        <v>192</v>
      </c>
      <c r="B128" s="25">
        <v>45657</v>
      </c>
      <c r="C128" t="s">
        <v>268</v>
      </c>
      <c r="D128" s="4">
        <v>453687.26</v>
      </c>
      <c r="E128" s="4">
        <v>36294.980000000003</v>
      </c>
      <c r="F128" s="4">
        <v>417392.28</v>
      </c>
      <c r="G128" s="6">
        <v>9.1800000000000007E-2</v>
      </c>
      <c r="H128" s="4">
        <v>400213.61</v>
      </c>
      <c r="I128" s="4">
        <v>317689.56</v>
      </c>
      <c r="J128" s="4">
        <v>82524.05</v>
      </c>
      <c r="K128" s="6">
        <v>0.20619999999999999</v>
      </c>
      <c r="L128" s="28">
        <v>4.4800000000000004</v>
      </c>
    </row>
    <row r="129" spans="1:12" x14ac:dyDescent="0.3">
      <c r="A129" t="s">
        <v>192</v>
      </c>
      <c r="B129" s="25">
        <v>45657</v>
      </c>
      <c r="C129" t="s">
        <v>318</v>
      </c>
      <c r="D129" s="4">
        <v>236204.23</v>
      </c>
      <c r="E129" s="4">
        <v>18896.34</v>
      </c>
      <c r="F129" s="4">
        <v>217307.89</v>
      </c>
      <c r="G129" s="6">
        <v>4.7800000000000002E-2</v>
      </c>
      <c r="H129" s="4">
        <v>208364.12</v>
      </c>
      <c r="I129" s="4">
        <v>165399.44</v>
      </c>
      <c r="J129" s="4">
        <v>42964.68</v>
      </c>
      <c r="K129" s="6">
        <v>0.20619999999999999</v>
      </c>
      <c r="L129" s="28">
        <v>4.4800000000000004</v>
      </c>
    </row>
    <row r="130" spans="1:12" x14ac:dyDescent="0.3">
      <c r="A130" t="s">
        <v>192</v>
      </c>
      <c r="B130" s="25">
        <v>45657</v>
      </c>
      <c r="C130" t="s">
        <v>317</v>
      </c>
      <c r="D130" s="4">
        <v>248422.66</v>
      </c>
      <c r="E130" s="4">
        <v>19873.810000000001</v>
      </c>
      <c r="F130" s="4">
        <v>228548.85</v>
      </c>
      <c r="G130" s="6">
        <v>5.0299999999999997E-2</v>
      </c>
      <c r="H130" s="4">
        <v>219142.43</v>
      </c>
      <c r="I130" s="4">
        <v>173955.26</v>
      </c>
      <c r="J130" s="4">
        <v>45187.17</v>
      </c>
      <c r="K130" s="6">
        <v>0.20619999999999999</v>
      </c>
      <c r="L130" s="28">
        <v>4.4800000000000004</v>
      </c>
    </row>
    <row r="131" spans="1:12" x14ac:dyDescent="0.3">
      <c r="A131" t="s">
        <v>192</v>
      </c>
      <c r="B131" s="25">
        <v>45657</v>
      </c>
      <c r="C131" t="s">
        <v>316</v>
      </c>
      <c r="D131" s="4">
        <v>811003.14</v>
      </c>
      <c r="E131" s="4">
        <v>64880.25</v>
      </c>
      <c r="F131" s="4">
        <v>746122.89</v>
      </c>
      <c r="G131" s="6">
        <v>0.16420000000000001</v>
      </c>
      <c r="H131" s="4">
        <v>715414.61</v>
      </c>
      <c r="I131" s="4">
        <v>567896.12</v>
      </c>
      <c r="J131" s="4">
        <v>147518.49</v>
      </c>
      <c r="K131" s="6">
        <v>0.20619999999999999</v>
      </c>
      <c r="L131" s="28">
        <v>4.4800000000000004</v>
      </c>
    </row>
    <row r="132" spans="1:12" x14ac:dyDescent="0.3">
      <c r="A132" t="s">
        <v>192</v>
      </c>
      <c r="B132" s="25">
        <v>45688</v>
      </c>
      <c r="C132" t="s">
        <v>324</v>
      </c>
      <c r="D132" s="4">
        <v>733671.94</v>
      </c>
      <c r="E132" s="4">
        <v>58693.760000000002</v>
      </c>
      <c r="F132" s="4">
        <v>674978.18</v>
      </c>
      <c r="G132" s="6">
        <v>0.1484</v>
      </c>
      <c r="H132" s="4">
        <v>582546.13</v>
      </c>
      <c r="I132" s="4">
        <v>439181.52</v>
      </c>
      <c r="J132" s="4">
        <v>143364.6</v>
      </c>
      <c r="K132" s="6">
        <v>0.24610000000000001</v>
      </c>
      <c r="L132" s="28">
        <v>4.9800000000000004</v>
      </c>
    </row>
    <row r="133" spans="1:12" x14ac:dyDescent="0.3">
      <c r="A133" t="s">
        <v>192</v>
      </c>
      <c r="B133" s="25">
        <v>45688</v>
      </c>
      <c r="C133" t="s">
        <v>323</v>
      </c>
      <c r="D133" s="4">
        <v>526623.81999999995</v>
      </c>
      <c r="E133" s="4">
        <v>42129.91</v>
      </c>
      <c r="F133" s="4">
        <v>484493.91</v>
      </c>
      <c r="G133" s="6">
        <v>0.1065</v>
      </c>
      <c r="H133" s="4">
        <v>418146.93</v>
      </c>
      <c r="I133" s="4">
        <v>315240.96999999997</v>
      </c>
      <c r="J133" s="4">
        <v>102905.96</v>
      </c>
      <c r="K133" s="6">
        <v>0.24610000000000001</v>
      </c>
      <c r="L133" s="28">
        <v>4.9800000000000004</v>
      </c>
    </row>
    <row r="134" spans="1:12" x14ac:dyDescent="0.3">
      <c r="A134" t="s">
        <v>192</v>
      </c>
      <c r="B134" s="25">
        <v>45688</v>
      </c>
      <c r="C134" t="s">
        <v>322</v>
      </c>
      <c r="D134" s="4">
        <v>780903.86</v>
      </c>
      <c r="E134" s="4">
        <v>62472.31</v>
      </c>
      <c r="F134" s="4">
        <v>718431.55</v>
      </c>
      <c r="G134" s="6">
        <v>0.15790000000000001</v>
      </c>
      <c r="H134" s="4">
        <v>620048.96</v>
      </c>
      <c r="I134" s="4">
        <v>467454.91</v>
      </c>
      <c r="J134" s="4">
        <v>152594.04999999999</v>
      </c>
      <c r="K134" s="6">
        <v>0.24610000000000001</v>
      </c>
      <c r="L134" s="28">
        <v>4.9800000000000004</v>
      </c>
    </row>
    <row r="135" spans="1:12" x14ac:dyDescent="0.3">
      <c r="A135" t="s">
        <v>192</v>
      </c>
      <c r="B135" s="25">
        <v>45688</v>
      </c>
      <c r="C135" t="s">
        <v>321</v>
      </c>
      <c r="D135" s="4">
        <v>635366.98</v>
      </c>
      <c r="E135" s="4">
        <v>50829.36</v>
      </c>
      <c r="F135" s="4">
        <v>584537.62</v>
      </c>
      <c r="G135" s="6">
        <v>0.1285</v>
      </c>
      <c r="H135" s="4">
        <v>504490.56</v>
      </c>
      <c r="I135" s="4">
        <v>380335.44</v>
      </c>
      <c r="J135" s="4">
        <v>124155.13</v>
      </c>
      <c r="K135" s="6">
        <v>0.24610000000000001</v>
      </c>
      <c r="L135" s="28">
        <v>4.9800000000000004</v>
      </c>
    </row>
    <row r="136" spans="1:12" x14ac:dyDescent="0.3">
      <c r="A136" t="s">
        <v>192</v>
      </c>
      <c r="B136" s="25">
        <v>45688</v>
      </c>
      <c r="C136" t="s">
        <v>320</v>
      </c>
      <c r="D136" s="4">
        <v>511393.26</v>
      </c>
      <c r="E136" s="4">
        <v>40911.46</v>
      </c>
      <c r="F136" s="4">
        <v>470481.8</v>
      </c>
      <c r="G136" s="6">
        <v>0.10340000000000001</v>
      </c>
      <c r="H136" s="4">
        <v>406053.64</v>
      </c>
      <c r="I136" s="4">
        <v>306123.84000000003</v>
      </c>
      <c r="J136" s="4">
        <v>99929.8</v>
      </c>
      <c r="K136" s="6">
        <v>0.24610000000000001</v>
      </c>
      <c r="L136" s="28">
        <v>4.9800000000000004</v>
      </c>
    </row>
    <row r="137" spans="1:12" x14ac:dyDescent="0.3">
      <c r="A137" t="s">
        <v>192</v>
      </c>
      <c r="B137" s="25">
        <v>45688</v>
      </c>
      <c r="C137" t="s">
        <v>319</v>
      </c>
      <c r="D137" s="4">
        <v>164888.72</v>
      </c>
      <c r="E137" s="4">
        <v>13191.1</v>
      </c>
      <c r="F137" s="4">
        <v>151697.62</v>
      </c>
      <c r="G137" s="6">
        <v>3.3300000000000003E-2</v>
      </c>
      <c r="H137" s="4">
        <v>130924.02</v>
      </c>
      <c r="I137" s="4">
        <v>98703.62</v>
      </c>
      <c r="J137" s="4">
        <v>32220.400000000001</v>
      </c>
      <c r="K137" s="6">
        <v>0.24610000000000001</v>
      </c>
      <c r="L137" s="28">
        <v>4.9800000000000004</v>
      </c>
    </row>
    <row r="138" spans="1:12" x14ac:dyDescent="0.3">
      <c r="A138" t="s">
        <v>192</v>
      </c>
      <c r="B138" s="25">
        <v>45688</v>
      </c>
      <c r="C138" t="s">
        <v>268</v>
      </c>
      <c r="D138" s="4">
        <v>310479.23</v>
      </c>
      <c r="E138" s="4">
        <v>24838.34</v>
      </c>
      <c r="F138" s="4">
        <v>285640.89</v>
      </c>
      <c r="G138" s="6">
        <v>6.2799999999999995E-2</v>
      </c>
      <c r="H138" s="4">
        <v>246525</v>
      </c>
      <c r="I138" s="4">
        <v>185855.2</v>
      </c>
      <c r="J138" s="4">
        <v>60669.8</v>
      </c>
      <c r="K138" s="6">
        <v>0.24610000000000001</v>
      </c>
      <c r="L138" s="28">
        <v>4.9800000000000004</v>
      </c>
    </row>
    <row r="139" spans="1:12" x14ac:dyDescent="0.3">
      <c r="A139" t="s">
        <v>192</v>
      </c>
      <c r="B139" s="25">
        <v>45688</v>
      </c>
      <c r="C139" t="s">
        <v>318</v>
      </c>
      <c r="D139" s="4">
        <v>786797.47</v>
      </c>
      <c r="E139" s="4">
        <v>62943.8</v>
      </c>
      <c r="F139" s="4">
        <v>723853.67</v>
      </c>
      <c r="G139" s="6">
        <v>0.15909999999999999</v>
      </c>
      <c r="H139" s="4">
        <v>624728.56999999995</v>
      </c>
      <c r="I139" s="4">
        <v>470982.87</v>
      </c>
      <c r="J139" s="4">
        <v>153745.70000000001</v>
      </c>
      <c r="K139" s="6">
        <v>0.24610000000000001</v>
      </c>
      <c r="L139" s="28">
        <v>4.9800000000000004</v>
      </c>
    </row>
    <row r="140" spans="1:12" x14ac:dyDescent="0.3">
      <c r="A140" t="s">
        <v>192</v>
      </c>
      <c r="B140" s="25">
        <v>45688</v>
      </c>
      <c r="C140" t="s">
        <v>317</v>
      </c>
      <c r="D140" s="4">
        <v>156499.07</v>
      </c>
      <c r="E140" s="4">
        <v>12519.93</v>
      </c>
      <c r="F140" s="4">
        <v>143979.14000000001</v>
      </c>
      <c r="G140" s="6">
        <v>3.1600000000000003E-2</v>
      </c>
      <c r="H140" s="4">
        <v>124262.52</v>
      </c>
      <c r="I140" s="4">
        <v>93681.52</v>
      </c>
      <c r="J140" s="4">
        <v>30581.01</v>
      </c>
      <c r="K140" s="6">
        <v>0.24610000000000001</v>
      </c>
      <c r="L140" s="28">
        <v>4.9800000000000004</v>
      </c>
    </row>
    <row r="141" spans="1:12" x14ac:dyDescent="0.3">
      <c r="A141" t="s">
        <v>192</v>
      </c>
      <c r="B141" s="25">
        <v>45688</v>
      </c>
      <c r="C141" t="s">
        <v>316</v>
      </c>
      <c r="D141" s="4">
        <v>338852.23</v>
      </c>
      <c r="E141" s="4">
        <v>27108.18</v>
      </c>
      <c r="F141" s="4">
        <v>311744.05</v>
      </c>
      <c r="G141" s="6">
        <v>6.8500000000000005E-2</v>
      </c>
      <c r="H141" s="4">
        <v>269053.57</v>
      </c>
      <c r="I141" s="4">
        <v>202839.49</v>
      </c>
      <c r="J141" s="4">
        <v>66214.080000000002</v>
      </c>
      <c r="K141" s="6">
        <v>0.24610000000000001</v>
      </c>
      <c r="L141" s="28">
        <v>4.9800000000000004</v>
      </c>
    </row>
    <row r="142" spans="1:12" x14ac:dyDescent="0.3">
      <c r="A142" t="s">
        <v>192</v>
      </c>
      <c r="B142" s="25">
        <v>45716</v>
      </c>
      <c r="C142" t="s">
        <v>324</v>
      </c>
      <c r="D142" s="4">
        <v>706465.9</v>
      </c>
      <c r="E142" s="4">
        <v>56517.27</v>
      </c>
      <c r="F142" s="4">
        <v>649948.63</v>
      </c>
      <c r="G142" s="6">
        <v>0.1386</v>
      </c>
      <c r="H142" s="4">
        <v>570137.9</v>
      </c>
      <c r="I142" s="4">
        <v>445448.74</v>
      </c>
      <c r="J142" s="4">
        <v>124689.16</v>
      </c>
      <c r="K142" s="6">
        <v>0.21870000000000001</v>
      </c>
      <c r="L142" s="28">
        <v>4.9000000000000004</v>
      </c>
    </row>
    <row r="143" spans="1:12" x14ac:dyDescent="0.3">
      <c r="A143" t="s">
        <v>192</v>
      </c>
      <c r="B143" s="25">
        <v>45716</v>
      </c>
      <c r="C143" t="s">
        <v>323</v>
      </c>
      <c r="D143" s="4">
        <v>808035.77</v>
      </c>
      <c r="E143" s="4">
        <v>64642.86</v>
      </c>
      <c r="F143" s="4">
        <v>743392.9</v>
      </c>
      <c r="G143" s="6">
        <v>0.1585</v>
      </c>
      <c r="H143" s="4">
        <v>652107.65</v>
      </c>
      <c r="I143" s="4">
        <v>509491.71</v>
      </c>
      <c r="J143" s="4">
        <v>142615.94</v>
      </c>
      <c r="K143" s="6">
        <v>0.21870000000000001</v>
      </c>
      <c r="L143" s="28">
        <v>4.9000000000000004</v>
      </c>
    </row>
    <row r="144" spans="1:12" x14ac:dyDescent="0.3">
      <c r="A144" t="s">
        <v>192</v>
      </c>
      <c r="B144" s="25">
        <v>45716</v>
      </c>
      <c r="C144" t="s">
        <v>322</v>
      </c>
      <c r="D144" s="4">
        <v>897712.2</v>
      </c>
      <c r="E144" s="4">
        <v>71816.98</v>
      </c>
      <c r="F144" s="4">
        <v>825895.22</v>
      </c>
      <c r="G144" s="6">
        <v>0.17610000000000001</v>
      </c>
      <c r="H144" s="4">
        <v>724479.06</v>
      </c>
      <c r="I144" s="4">
        <v>566035.49</v>
      </c>
      <c r="J144" s="4">
        <v>158443.57</v>
      </c>
      <c r="K144" s="6">
        <v>0.21870000000000001</v>
      </c>
      <c r="L144" s="28">
        <v>4.9000000000000004</v>
      </c>
    </row>
    <row r="145" spans="1:12" x14ac:dyDescent="0.3">
      <c r="A145" t="s">
        <v>192</v>
      </c>
      <c r="B145" s="25">
        <v>45716</v>
      </c>
      <c r="C145" t="s">
        <v>321</v>
      </c>
      <c r="D145" s="4">
        <v>364428.98</v>
      </c>
      <c r="E145" s="4">
        <v>29154.32</v>
      </c>
      <c r="F145" s="4">
        <v>335274.65999999997</v>
      </c>
      <c r="G145" s="6">
        <v>7.1499999999999994E-2</v>
      </c>
      <c r="H145" s="4">
        <v>294104.46999999997</v>
      </c>
      <c r="I145" s="4">
        <v>229783.82</v>
      </c>
      <c r="J145" s="4">
        <v>64320.65</v>
      </c>
      <c r="K145" s="6">
        <v>0.21870000000000001</v>
      </c>
      <c r="L145" s="28">
        <v>4.9000000000000004</v>
      </c>
    </row>
    <row r="146" spans="1:12" x14ac:dyDescent="0.3">
      <c r="A146" t="s">
        <v>192</v>
      </c>
      <c r="B146" s="25">
        <v>45716</v>
      </c>
      <c r="C146" t="s">
        <v>320</v>
      </c>
      <c r="D146" s="4">
        <v>342665.54</v>
      </c>
      <c r="E146" s="4">
        <v>27413.24</v>
      </c>
      <c r="F146" s="4">
        <v>315252.28999999998</v>
      </c>
      <c r="G146" s="6">
        <v>6.7199999999999996E-2</v>
      </c>
      <c r="H146" s="4">
        <v>276540.75</v>
      </c>
      <c r="I146" s="4">
        <v>216061.29</v>
      </c>
      <c r="J146" s="4">
        <v>60479.46</v>
      </c>
      <c r="K146" s="6">
        <v>0.21870000000000001</v>
      </c>
      <c r="L146" s="28">
        <v>4.9000000000000004</v>
      </c>
    </row>
    <row r="147" spans="1:12" x14ac:dyDescent="0.3">
      <c r="A147" t="s">
        <v>192</v>
      </c>
      <c r="B147" s="25">
        <v>45716</v>
      </c>
      <c r="C147" t="s">
        <v>319</v>
      </c>
      <c r="D147" s="4">
        <v>122836.61</v>
      </c>
      <c r="E147" s="4">
        <v>9826.93</v>
      </c>
      <c r="F147" s="4">
        <v>113009.69</v>
      </c>
      <c r="G147" s="6">
        <v>2.41E-2</v>
      </c>
      <c r="H147" s="4">
        <v>99132.61</v>
      </c>
      <c r="I147" s="4">
        <v>77452.31</v>
      </c>
      <c r="J147" s="4">
        <v>21680.3</v>
      </c>
      <c r="K147" s="6">
        <v>0.21870000000000001</v>
      </c>
      <c r="L147" s="28">
        <v>4.9000000000000004</v>
      </c>
    </row>
    <row r="148" spans="1:12" x14ac:dyDescent="0.3">
      <c r="A148" t="s">
        <v>192</v>
      </c>
      <c r="B148" s="25">
        <v>45716</v>
      </c>
      <c r="C148" t="s">
        <v>268</v>
      </c>
      <c r="D148" s="4">
        <v>280919.21999999997</v>
      </c>
      <c r="E148" s="4">
        <v>22473.54</v>
      </c>
      <c r="F148" s="4">
        <v>258445.68</v>
      </c>
      <c r="G148" s="6">
        <v>5.5100000000000003E-2</v>
      </c>
      <c r="H148" s="4">
        <v>226709.73</v>
      </c>
      <c r="I148" s="4">
        <v>177128.31</v>
      </c>
      <c r="J148" s="4">
        <v>49581.42</v>
      </c>
      <c r="K148" s="6">
        <v>0.21870000000000001</v>
      </c>
      <c r="L148" s="28">
        <v>4.9000000000000004</v>
      </c>
    </row>
    <row r="149" spans="1:12" x14ac:dyDescent="0.3">
      <c r="A149" t="s">
        <v>192</v>
      </c>
      <c r="B149" s="25">
        <v>45716</v>
      </c>
      <c r="C149" t="s">
        <v>318</v>
      </c>
      <c r="D149" s="4">
        <v>714945.79</v>
      </c>
      <c r="E149" s="4">
        <v>57195.66</v>
      </c>
      <c r="F149" s="4">
        <v>657750.13</v>
      </c>
      <c r="G149" s="6">
        <v>0.14019999999999999</v>
      </c>
      <c r="H149" s="4">
        <v>576981.42000000004</v>
      </c>
      <c r="I149" s="4">
        <v>450795.58</v>
      </c>
      <c r="J149" s="4">
        <v>126185.84</v>
      </c>
      <c r="K149" s="6">
        <v>0.21870000000000001</v>
      </c>
      <c r="L149" s="28">
        <v>4.9000000000000004</v>
      </c>
    </row>
    <row r="150" spans="1:12" x14ac:dyDescent="0.3">
      <c r="A150" t="s">
        <v>192</v>
      </c>
      <c r="B150" s="25">
        <v>45716</v>
      </c>
      <c r="C150" t="s">
        <v>317</v>
      </c>
      <c r="D150" s="4">
        <v>406444.02</v>
      </c>
      <c r="E150" s="4">
        <v>32515.52</v>
      </c>
      <c r="F150" s="4">
        <v>373928.49</v>
      </c>
      <c r="G150" s="6">
        <v>7.9699999999999993E-2</v>
      </c>
      <c r="H150" s="4">
        <v>328011.78000000003</v>
      </c>
      <c r="I150" s="4">
        <v>256275.61</v>
      </c>
      <c r="J150" s="4">
        <v>71736.179999999993</v>
      </c>
      <c r="K150" s="6">
        <v>0.21870000000000001</v>
      </c>
      <c r="L150" s="28">
        <v>4.9000000000000004</v>
      </c>
    </row>
    <row r="151" spans="1:12" x14ac:dyDescent="0.3">
      <c r="A151" t="s">
        <v>192</v>
      </c>
      <c r="B151" s="25">
        <v>45716</v>
      </c>
      <c r="C151" t="s">
        <v>316</v>
      </c>
      <c r="D151" s="4">
        <v>453502.55</v>
      </c>
      <c r="E151" s="4">
        <v>36280.199999999997</v>
      </c>
      <c r="F151" s="4">
        <v>417222.35</v>
      </c>
      <c r="G151" s="6">
        <v>8.8999999999999996E-2</v>
      </c>
      <c r="H151" s="4">
        <v>365989.35</v>
      </c>
      <c r="I151" s="4">
        <v>285947.48</v>
      </c>
      <c r="J151" s="4">
        <v>80041.87</v>
      </c>
      <c r="K151" s="6">
        <v>0.21870000000000001</v>
      </c>
      <c r="L151" s="28">
        <v>4.9000000000000004</v>
      </c>
    </row>
    <row r="152" spans="1:12" x14ac:dyDescent="0.3">
      <c r="A152" t="s">
        <v>192</v>
      </c>
      <c r="B152" s="25">
        <v>45747</v>
      </c>
      <c r="C152" t="s">
        <v>324</v>
      </c>
      <c r="D152" s="4">
        <v>350214.43</v>
      </c>
      <c r="E152" s="4">
        <v>28017.15</v>
      </c>
      <c r="F152" s="4">
        <v>322197.27</v>
      </c>
      <c r="G152" s="6">
        <v>7.2999999999999995E-2</v>
      </c>
      <c r="H152" s="4">
        <v>304206.55</v>
      </c>
      <c r="I152" s="4">
        <v>240840.32000000001</v>
      </c>
      <c r="J152" s="4">
        <v>63366.22</v>
      </c>
      <c r="K152" s="6">
        <v>0.20830000000000001</v>
      </c>
      <c r="L152" s="28">
        <v>4.55</v>
      </c>
    </row>
    <row r="153" spans="1:12" x14ac:dyDescent="0.3">
      <c r="A153" t="s">
        <v>192</v>
      </c>
      <c r="B153" s="25">
        <v>45747</v>
      </c>
      <c r="C153" t="s">
        <v>323</v>
      </c>
      <c r="D153" s="4">
        <v>544880.62</v>
      </c>
      <c r="E153" s="4">
        <v>43590.45</v>
      </c>
      <c r="F153" s="4">
        <v>501290.17</v>
      </c>
      <c r="G153" s="6">
        <v>0.1135</v>
      </c>
      <c r="H153" s="4">
        <v>473299.33</v>
      </c>
      <c r="I153" s="4">
        <v>374711.08</v>
      </c>
      <c r="J153" s="4">
        <v>98588.25</v>
      </c>
      <c r="K153" s="6">
        <v>0.20830000000000001</v>
      </c>
      <c r="L153" s="28">
        <v>4.55</v>
      </c>
    </row>
    <row r="154" spans="1:12" x14ac:dyDescent="0.3">
      <c r="A154" t="s">
        <v>192</v>
      </c>
      <c r="B154" s="25">
        <v>45747</v>
      </c>
      <c r="C154" t="s">
        <v>322</v>
      </c>
      <c r="D154" s="4">
        <v>1017502.91</v>
      </c>
      <c r="E154" s="4">
        <v>81400.23</v>
      </c>
      <c r="F154" s="4">
        <v>936102.68</v>
      </c>
      <c r="G154" s="6">
        <v>0.21199999999999999</v>
      </c>
      <c r="H154" s="4">
        <v>883832.94</v>
      </c>
      <c r="I154" s="4">
        <v>699730.54</v>
      </c>
      <c r="J154" s="4">
        <v>184102.39999999999</v>
      </c>
      <c r="K154" s="6">
        <v>0.20830000000000001</v>
      </c>
      <c r="L154" s="28">
        <v>4.55</v>
      </c>
    </row>
    <row r="155" spans="1:12" x14ac:dyDescent="0.3">
      <c r="A155" t="s">
        <v>192</v>
      </c>
      <c r="B155" s="25">
        <v>45747</v>
      </c>
      <c r="C155" t="s">
        <v>321</v>
      </c>
      <c r="D155" s="4">
        <v>328195.31</v>
      </c>
      <c r="E155" s="4">
        <v>26255.63</v>
      </c>
      <c r="F155" s="4">
        <v>301939.69</v>
      </c>
      <c r="G155" s="6">
        <v>6.8400000000000002E-2</v>
      </c>
      <c r="H155" s="4">
        <v>285080.09999999998</v>
      </c>
      <c r="I155" s="4">
        <v>225697.91</v>
      </c>
      <c r="J155" s="4">
        <v>59382.18</v>
      </c>
      <c r="K155" s="6">
        <v>0.20830000000000001</v>
      </c>
      <c r="L155" s="28">
        <v>4.55</v>
      </c>
    </row>
    <row r="156" spans="1:12" x14ac:dyDescent="0.3">
      <c r="A156" t="s">
        <v>192</v>
      </c>
      <c r="B156" s="25">
        <v>45747</v>
      </c>
      <c r="C156" t="s">
        <v>320</v>
      </c>
      <c r="D156" s="4">
        <v>362667.12</v>
      </c>
      <c r="E156" s="4">
        <v>29013.37</v>
      </c>
      <c r="F156" s="4">
        <v>333653.75</v>
      </c>
      <c r="G156" s="6">
        <v>7.5600000000000001E-2</v>
      </c>
      <c r="H156" s="4">
        <v>315023.32</v>
      </c>
      <c r="I156" s="4">
        <v>249403.97</v>
      </c>
      <c r="J156" s="4">
        <v>65619.360000000001</v>
      </c>
      <c r="K156" s="6">
        <v>0.20830000000000001</v>
      </c>
      <c r="L156" s="28">
        <v>4.55</v>
      </c>
    </row>
    <row r="157" spans="1:12" x14ac:dyDescent="0.3">
      <c r="A157" t="s">
        <v>192</v>
      </c>
      <c r="B157" s="25">
        <v>45747</v>
      </c>
      <c r="C157" t="s">
        <v>319</v>
      </c>
      <c r="D157" s="4">
        <v>301362.44</v>
      </c>
      <c r="E157" s="4">
        <v>24109</v>
      </c>
      <c r="F157" s="4">
        <v>277253.44</v>
      </c>
      <c r="G157" s="6">
        <v>6.2799999999999995E-2</v>
      </c>
      <c r="H157" s="4">
        <v>261772.27</v>
      </c>
      <c r="I157" s="4">
        <v>207245.11</v>
      </c>
      <c r="J157" s="4">
        <v>54527.16</v>
      </c>
      <c r="K157" s="6">
        <v>0.20830000000000001</v>
      </c>
      <c r="L157" s="28">
        <v>4.55</v>
      </c>
    </row>
    <row r="158" spans="1:12" x14ac:dyDescent="0.3">
      <c r="A158" t="s">
        <v>192</v>
      </c>
      <c r="B158" s="25">
        <v>45747</v>
      </c>
      <c r="C158" t="s">
        <v>268</v>
      </c>
      <c r="D158" s="4">
        <v>284131.34000000003</v>
      </c>
      <c r="E158" s="4">
        <v>22730.51</v>
      </c>
      <c r="F158" s="4">
        <v>261400.84</v>
      </c>
      <c r="G158" s="6">
        <v>5.9200000000000003E-2</v>
      </c>
      <c r="H158" s="4">
        <v>246804.84</v>
      </c>
      <c r="I158" s="4">
        <v>195395.39</v>
      </c>
      <c r="J158" s="4">
        <v>51409.45</v>
      </c>
      <c r="K158" s="6">
        <v>0.20830000000000001</v>
      </c>
      <c r="L158" s="28">
        <v>4.55</v>
      </c>
    </row>
    <row r="159" spans="1:12" x14ac:dyDescent="0.3">
      <c r="A159" t="s">
        <v>192</v>
      </c>
      <c r="B159" s="25">
        <v>45747</v>
      </c>
      <c r="C159" t="s">
        <v>318</v>
      </c>
      <c r="D159" s="4">
        <v>675013.71</v>
      </c>
      <c r="E159" s="4">
        <v>54001.1</v>
      </c>
      <c r="F159" s="4">
        <v>621012.61</v>
      </c>
      <c r="G159" s="6">
        <v>0.14069999999999999</v>
      </c>
      <c r="H159" s="4">
        <v>586336.75</v>
      </c>
      <c r="I159" s="4">
        <v>464202.8</v>
      </c>
      <c r="J159" s="4">
        <v>122133.94</v>
      </c>
      <c r="K159" s="6">
        <v>0.20830000000000001</v>
      </c>
      <c r="L159" s="28">
        <v>4.55</v>
      </c>
    </row>
    <row r="160" spans="1:12" x14ac:dyDescent="0.3">
      <c r="A160" t="s">
        <v>192</v>
      </c>
      <c r="B160" s="25">
        <v>45747</v>
      </c>
      <c r="C160" t="s">
        <v>317</v>
      </c>
      <c r="D160" s="4">
        <v>306588.55</v>
      </c>
      <c r="E160" s="4">
        <v>24527.08</v>
      </c>
      <c r="F160" s="4">
        <v>282061.46000000002</v>
      </c>
      <c r="G160" s="6">
        <v>6.3899999999999998E-2</v>
      </c>
      <c r="H160" s="4">
        <v>266311.83</v>
      </c>
      <c r="I160" s="4">
        <v>210839.07</v>
      </c>
      <c r="J160" s="4">
        <v>55472.75</v>
      </c>
      <c r="K160" s="6">
        <v>0.20830000000000001</v>
      </c>
      <c r="L160" s="28">
        <v>4.55</v>
      </c>
    </row>
    <row r="161" spans="1:12" x14ac:dyDescent="0.3">
      <c r="A161" t="s">
        <v>192</v>
      </c>
      <c r="B161" s="25">
        <v>45747</v>
      </c>
      <c r="C161" t="s">
        <v>316</v>
      </c>
      <c r="D161" s="4">
        <v>628070.74</v>
      </c>
      <c r="E161" s="4">
        <v>50245.66</v>
      </c>
      <c r="F161" s="4">
        <v>577825.07999999996</v>
      </c>
      <c r="G161" s="6">
        <v>0.13089999999999999</v>
      </c>
      <c r="H161" s="4">
        <v>545560.71</v>
      </c>
      <c r="I161" s="4">
        <v>431920.41</v>
      </c>
      <c r="J161" s="4">
        <v>113640.29</v>
      </c>
      <c r="K161" s="6">
        <v>0.20830000000000001</v>
      </c>
      <c r="L161" s="28">
        <v>4.55</v>
      </c>
    </row>
    <row r="162" spans="1:12" x14ac:dyDescent="0.3">
      <c r="A162" t="s">
        <v>192</v>
      </c>
      <c r="B162" s="25">
        <v>45777</v>
      </c>
      <c r="C162" t="s">
        <v>324</v>
      </c>
      <c r="D162" s="4">
        <v>465938.02</v>
      </c>
      <c r="E162" s="4">
        <v>37275.040000000001</v>
      </c>
      <c r="F162" s="4">
        <v>428662.98</v>
      </c>
      <c r="G162" s="6">
        <v>9.0800000000000006E-2</v>
      </c>
      <c r="H162" s="4">
        <v>366867.04</v>
      </c>
      <c r="I162" s="4">
        <v>283368.09999999998</v>
      </c>
      <c r="J162" s="4">
        <v>83498.94</v>
      </c>
      <c r="K162" s="6">
        <v>0.2276</v>
      </c>
      <c r="L162" s="28">
        <v>5.0199999999999996</v>
      </c>
    </row>
    <row r="163" spans="1:12" x14ac:dyDescent="0.3">
      <c r="A163" t="s">
        <v>192</v>
      </c>
      <c r="B163" s="25">
        <v>45777</v>
      </c>
      <c r="C163" t="s">
        <v>323</v>
      </c>
      <c r="D163" s="4">
        <v>613023.12</v>
      </c>
      <c r="E163" s="4">
        <v>49041.85</v>
      </c>
      <c r="F163" s="4">
        <v>563981.27</v>
      </c>
      <c r="G163" s="6">
        <v>0.1195</v>
      </c>
      <c r="H163" s="4">
        <v>482677.88</v>
      </c>
      <c r="I163" s="4">
        <v>372820.39</v>
      </c>
      <c r="J163" s="4">
        <v>109857.49</v>
      </c>
      <c r="K163" s="6">
        <v>0.2276</v>
      </c>
      <c r="L163" s="28">
        <v>5.0199999999999996</v>
      </c>
    </row>
    <row r="164" spans="1:12" x14ac:dyDescent="0.3">
      <c r="A164" t="s">
        <v>192</v>
      </c>
      <c r="B164" s="25">
        <v>45777</v>
      </c>
      <c r="C164" t="s">
        <v>322</v>
      </c>
      <c r="D164" s="4">
        <v>861202.92</v>
      </c>
      <c r="E164" s="4">
        <v>68896.23</v>
      </c>
      <c r="F164" s="4">
        <v>792306.68</v>
      </c>
      <c r="G164" s="6">
        <v>0.16789999999999999</v>
      </c>
      <c r="H164" s="4">
        <v>678087.96</v>
      </c>
      <c r="I164" s="4">
        <v>523755.14</v>
      </c>
      <c r="J164" s="4">
        <v>154332.82</v>
      </c>
      <c r="K164" s="6">
        <v>0.2276</v>
      </c>
      <c r="L164" s="28">
        <v>5.0199999999999996</v>
      </c>
    </row>
    <row r="165" spans="1:12" x14ac:dyDescent="0.3">
      <c r="A165" t="s">
        <v>192</v>
      </c>
      <c r="B165" s="25">
        <v>45777</v>
      </c>
      <c r="C165" t="s">
        <v>321</v>
      </c>
      <c r="D165" s="4">
        <v>282405.96999999997</v>
      </c>
      <c r="E165" s="4">
        <v>22592.48</v>
      </c>
      <c r="F165" s="4">
        <v>259813.49</v>
      </c>
      <c r="G165" s="6">
        <v>5.5E-2</v>
      </c>
      <c r="H165" s="4">
        <v>222358.85</v>
      </c>
      <c r="I165" s="4">
        <v>171749.97</v>
      </c>
      <c r="J165" s="4">
        <v>50608.87</v>
      </c>
      <c r="K165" s="6">
        <v>0.2276</v>
      </c>
      <c r="L165" s="28">
        <v>5.0199999999999996</v>
      </c>
    </row>
    <row r="166" spans="1:12" x14ac:dyDescent="0.3">
      <c r="A166" t="s">
        <v>192</v>
      </c>
      <c r="B166" s="25">
        <v>45777</v>
      </c>
      <c r="C166" t="s">
        <v>320</v>
      </c>
      <c r="D166" s="4">
        <v>767990.28</v>
      </c>
      <c r="E166" s="4">
        <v>61439.22</v>
      </c>
      <c r="F166" s="4">
        <v>706551.06</v>
      </c>
      <c r="G166" s="6">
        <v>0.1497</v>
      </c>
      <c r="H166" s="4">
        <v>604694.84</v>
      </c>
      <c r="I166" s="4">
        <v>467066.3</v>
      </c>
      <c r="J166" s="4">
        <v>137628.54999999999</v>
      </c>
      <c r="K166" s="6">
        <v>0.2276</v>
      </c>
      <c r="L166" s="28">
        <v>5.0199999999999996</v>
      </c>
    </row>
    <row r="167" spans="1:12" x14ac:dyDescent="0.3">
      <c r="A167" t="s">
        <v>192</v>
      </c>
      <c r="B167" s="25">
        <v>45777</v>
      </c>
      <c r="C167" t="s">
        <v>319</v>
      </c>
      <c r="D167" s="4">
        <v>115860.06</v>
      </c>
      <c r="E167" s="4">
        <v>9268.7999999999993</v>
      </c>
      <c r="F167" s="4">
        <v>106591.25</v>
      </c>
      <c r="G167" s="6">
        <v>2.2599999999999999E-2</v>
      </c>
      <c r="H167" s="4">
        <v>91225.08</v>
      </c>
      <c r="I167" s="4">
        <v>70462.25</v>
      </c>
      <c r="J167" s="4">
        <v>20762.830000000002</v>
      </c>
      <c r="K167" s="6">
        <v>0.2276</v>
      </c>
      <c r="L167" s="28">
        <v>5.0199999999999996</v>
      </c>
    </row>
    <row r="168" spans="1:12" x14ac:dyDescent="0.3">
      <c r="A168" t="s">
        <v>192</v>
      </c>
      <c r="B168" s="25">
        <v>45777</v>
      </c>
      <c r="C168" t="s">
        <v>268</v>
      </c>
      <c r="D168" s="4">
        <v>329834.53000000003</v>
      </c>
      <c r="E168" s="4">
        <v>26386.76</v>
      </c>
      <c r="F168" s="4">
        <v>303447.76</v>
      </c>
      <c r="G168" s="6">
        <v>6.4299999999999996E-2</v>
      </c>
      <c r="H168" s="4">
        <v>259702.81</v>
      </c>
      <c r="I168" s="4">
        <v>200594.45</v>
      </c>
      <c r="J168" s="4">
        <v>59108.36</v>
      </c>
      <c r="K168" s="6">
        <v>0.2276</v>
      </c>
      <c r="L168" s="28">
        <v>5.0199999999999996</v>
      </c>
    </row>
    <row r="169" spans="1:12" x14ac:dyDescent="0.3">
      <c r="A169" t="s">
        <v>192</v>
      </c>
      <c r="B169" s="25">
        <v>45777</v>
      </c>
      <c r="C169" t="s">
        <v>318</v>
      </c>
      <c r="D169" s="4">
        <v>669125.81000000006</v>
      </c>
      <c r="E169" s="4">
        <v>53530.06</v>
      </c>
      <c r="F169" s="4">
        <v>615595.74</v>
      </c>
      <c r="G169" s="6">
        <v>0.13039999999999999</v>
      </c>
      <c r="H169" s="4">
        <v>526851.62</v>
      </c>
      <c r="I169" s="4">
        <v>406940.19</v>
      </c>
      <c r="J169" s="4">
        <v>119911.43</v>
      </c>
      <c r="K169" s="6">
        <v>0.2276</v>
      </c>
      <c r="L169" s="28">
        <v>5.0199999999999996</v>
      </c>
    </row>
    <row r="170" spans="1:12" x14ac:dyDescent="0.3">
      <c r="A170" t="s">
        <v>192</v>
      </c>
      <c r="B170" s="25">
        <v>45777</v>
      </c>
      <c r="C170" t="s">
        <v>317</v>
      </c>
      <c r="D170" s="4">
        <v>451535.92</v>
      </c>
      <c r="E170" s="4">
        <v>36122.870000000003</v>
      </c>
      <c r="F170" s="4">
        <v>415413.04</v>
      </c>
      <c r="G170" s="6">
        <v>8.7999999999999995E-2</v>
      </c>
      <c r="H170" s="4">
        <v>355527.21</v>
      </c>
      <c r="I170" s="4">
        <v>274609.21000000002</v>
      </c>
      <c r="J170" s="4">
        <v>80917.990000000005</v>
      </c>
      <c r="K170" s="6">
        <v>0.2276</v>
      </c>
      <c r="L170" s="28">
        <v>5.0199999999999996</v>
      </c>
    </row>
    <row r="171" spans="1:12" x14ac:dyDescent="0.3">
      <c r="A171" t="s">
        <v>192</v>
      </c>
      <c r="B171" s="25">
        <v>45777</v>
      </c>
      <c r="C171" t="s">
        <v>316</v>
      </c>
      <c r="D171" s="4">
        <v>573126.88</v>
      </c>
      <c r="E171" s="4">
        <v>45850.15</v>
      </c>
      <c r="F171" s="4">
        <v>527276.73</v>
      </c>
      <c r="G171" s="6">
        <v>0.11169999999999999</v>
      </c>
      <c r="H171" s="4">
        <v>451264.66</v>
      </c>
      <c r="I171" s="4">
        <v>348556.82</v>
      </c>
      <c r="J171" s="4">
        <v>102707.84</v>
      </c>
      <c r="K171" s="6">
        <v>0.2276</v>
      </c>
      <c r="L171" s="28">
        <v>5.0199999999999996</v>
      </c>
    </row>
    <row r="172" spans="1:12" x14ac:dyDescent="0.3">
      <c r="A172" t="s">
        <v>192</v>
      </c>
      <c r="B172" s="25">
        <v>45808</v>
      </c>
      <c r="C172" t="s">
        <v>324</v>
      </c>
      <c r="D172" s="4">
        <v>581333.67000000004</v>
      </c>
      <c r="E172" s="4">
        <v>46506.69</v>
      </c>
      <c r="F172" s="4">
        <v>534826.98</v>
      </c>
      <c r="G172" s="6">
        <v>0.11360000000000001</v>
      </c>
      <c r="H172" s="4">
        <v>465292.05</v>
      </c>
      <c r="I172" s="4">
        <v>361066.63</v>
      </c>
      <c r="J172" s="4">
        <v>104225.42</v>
      </c>
      <c r="K172" s="6">
        <v>0.224</v>
      </c>
      <c r="L172" s="28">
        <v>4.9400000000000004</v>
      </c>
    </row>
    <row r="173" spans="1:12" x14ac:dyDescent="0.3">
      <c r="A173" t="s">
        <v>192</v>
      </c>
      <c r="B173" s="25">
        <v>45808</v>
      </c>
      <c r="C173" t="s">
        <v>323</v>
      </c>
      <c r="D173" s="4">
        <v>734450.26</v>
      </c>
      <c r="E173" s="4">
        <v>58756.02</v>
      </c>
      <c r="F173" s="4">
        <v>675694.24</v>
      </c>
      <c r="G173" s="6">
        <v>0.14349999999999999</v>
      </c>
      <c r="H173" s="4">
        <v>587844.61</v>
      </c>
      <c r="I173" s="4">
        <v>456167.42</v>
      </c>
      <c r="J173" s="4">
        <v>131677.19</v>
      </c>
      <c r="K173" s="6">
        <v>0.224</v>
      </c>
      <c r="L173" s="28">
        <v>4.9400000000000004</v>
      </c>
    </row>
    <row r="174" spans="1:12" x14ac:dyDescent="0.3">
      <c r="A174" t="s">
        <v>192</v>
      </c>
      <c r="B174" s="25">
        <v>45808</v>
      </c>
      <c r="C174" t="s">
        <v>322</v>
      </c>
      <c r="D174" s="4">
        <v>911989.47</v>
      </c>
      <c r="E174" s="4">
        <v>72959.16</v>
      </c>
      <c r="F174" s="4">
        <v>839030.31</v>
      </c>
      <c r="G174" s="6">
        <v>0.1782</v>
      </c>
      <c r="H174" s="4">
        <v>729944.73</v>
      </c>
      <c r="I174" s="4">
        <v>566437.11</v>
      </c>
      <c r="J174" s="4">
        <v>163507.62</v>
      </c>
      <c r="K174" s="6">
        <v>0.224</v>
      </c>
      <c r="L174" s="28">
        <v>4.9400000000000004</v>
      </c>
    </row>
    <row r="175" spans="1:12" x14ac:dyDescent="0.3">
      <c r="A175" t="s">
        <v>192</v>
      </c>
      <c r="B175" s="25">
        <v>45808</v>
      </c>
      <c r="C175" t="s">
        <v>321</v>
      </c>
      <c r="D175" s="4">
        <v>347862.39</v>
      </c>
      <c r="E175" s="4">
        <v>27828.99</v>
      </c>
      <c r="F175" s="4">
        <v>320033.40000000002</v>
      </c>
      <c r="G175" s="6">
        <v>6.8000000000000005E-2</v>
      </c>
      <c r="H175" s="4">
        <v>278424.61</v>
      </c>
      <c r="I175" s="4">
        <v>216057.5</v>
      </c>
      <c r="J175" s="4">
        <v>62367.11</v>
      </c>
      <c r="K175" s="6">
        <v>0.224</v>
      </c>
      <c r="L175" s="28">
        <v>4.9400000000000004</v>
      </c>
    </row>
    <row r="176" spans="1:12" x14ac:dyDescent="0.3">
      <c r="A176" t="s">
        <v>192</v>
      </c>
      <c r="B176" s="25">
        <v>45808</v>
      </c>
      <c r="C176" t="s">
        <v>320</v>
      </c>
      <c r="D176" s="4">
        <v>481512.98</v>
      </c>
      <c r="E176" s="4">
        <v>38521.040000000001</v>
      </c>
      <c r="F176" s="4">
        <v>442991.94</v>
      </c>
      <c r="G176" s="6">
        <v>9.4100000000000003E-2</v>
      </c>
      <c r="H176" s="4">
        <v>385396.84</v>
      </c>
      <c r="I176" s="4">
        <v>299067.95</v>
      </c>
      <c r="J176" s="4">
        <v>86328.89</v>
      </c>
      <c r="K176" s="6">
        <v>0.224</v>
      </c>
      <c r="L176" s="28">
        <v>4.9400000000000004</v>
      </c>
    </row>
    <row r="177" spans="1:12" x14ac:dyDescent="0.3">
      <c r="A177" t="s">
        <v>192</v>
      </c>
      <c r="B177" s="25">
        <v>45808</v>
      </c>
      <c r="C177" t="s">
        <v>319</v>
      </c>
      <c r="D177" s="4">
        <v>101679.58</v>
      </c>
      <c r="E177" s="4">
        <v>8134.37</v>
      </c>
      <c r="F177" s="4">
        <v>93545.22</v>
      </c>
      <c r="G177" s="6">
        <v>1.9900000000000001E-2</v>
      </c>
      <c r="H177" s="4">
        <v>81383.039999999994</v>
      </c>
      <c r="I177" s="4">
        <v>63153.24</v>
      </c>
      <c r="J177" s="4">
        <v>18229.8</v>
      </c>
      <c r="K177" s="6">
        <v>0.224</v>
      </c>
      <c r="L177" s="28">
        <v>4.9400000000000004</v>
      </c>
    </row>
    <row r="178" spans="1:12" x14ac:dyDescent="0.3">
      <c r="A178" t="s">
        <v>192</v>
      </c>
      <c r="B178" s="25">
        <v>45808</v>
      </c>
      <c r="C178" t="s">
        <v>268</v>
      </c>
      <c r="D178" s="4">
        <v>244403.13</v>
      </c>
      <c r="E178" s="4">
        <v>19552.25</v>
      </c>
      <c r="F178" s="4">
        <v>224850.88</v>
      </c>
      <c r="G178" s="6">
        <v>4.7800000000000002E-2</v>
      </c>
      <c r="H178" s="4">
        <v>195617.15</v>
      </c>
      <c r="I178" s="4">
        <v>151798.91</v>
      </c>
      <c r="J178" s="4">
        <v>43818.239999999998</v>
      </c>
      <c r="K178" s="6">
        <v>0.224</v>
      </c>
      <c r="L178" s="28">
        <v>4.9400000000000004</v>
      </c>
    </row>
    <row r="179" spans="1:12" x14ac:dyDescent="0.3">
      <c r="A179" t="s">
        <v>192</v>
      </c>
      <c r="B179" s="25">
        <v>45808</v>
      </c>
      <c r="C179" t="s">
        <v>318</v>
      </c>
      <c r="D179" s="4">
        <v>924934.63</v>
      </c>
      <c r="E179" s="4">
        <v>73994.77</v>
      </c>
      <c r="F179" s="4">
        <v>850939.86</v>
      </c>
      <c r="G179" s="6">
        <v>0.1807</v>
      </c>
      <c r="H179" s="4">
        <v>740305.87</v>
      </c>
      <c r="I179" s="4">
        <v>574477.35</v>
      </c>
      <c r="J179" s="4">
        <v>165828.51</v>
      </c>
      <c r="K179" s="6">
        <v>0.224</v>
      </c>
      <c r="L179" s="28">
        <v>4.9400000000000004</v>
      </c>
    </row>
    <row r="180" spans="1:12" x14ac:dyDescent="0.3">
      <c r="A180" t="s">
        <v>192</v>
      </c>
      <c r="B180" s="25">
        <v>45808</v>
      </c>
      <c r="C180" t="s">
        <v>317</v>
      </c>
      <c r="D180" s="4">
        <v>336300.53</v>
      </c>
      <c r="E180" s="4">
        <v>26904.04</v>
      </c>
      <c r="F180" s="4">
        <v>309396.49</v>
      </c>
      <c r="G180" s="6">
        <v>6.5699999999999995E-2</v>
      </c>
      <c r="H180" s="4">
        <v>269170.65000000002</v>
      </c>
      <c r="I180" s="4">
        <v>208876.43</v>
      </c>
      <c r="J180" s="4">
        <v>60294.23</v>
      </c>
      <c r="K180" s="6">
        <v>0.224</v>
      </c>
      <c r="L180" s="28">
        <v>4.9400000000000004</v>
      </c>
    </row>
    <row r="181" spans="1:12" x14ac:dyDescent="0.3">
      <c r="A181" t="s">
        <v>192</v>
      </c>
      <c r="B181" s="25">
        <v>45808</v>
      </c>
      <c r="C181" t="s">
        <v>316</v>
      </c>
      <c r="D181" s="4">
        <v>453605.6</v>
      </c>
      <c r="E181" s="4">
        <v>36288.449999999997</v>
      </c>
      <c r="F181" s="4">
        <v>417317.15</v>
      </c>
      <c r="G181" s="6">
        <v>8.8599999999999998E-2</v>
      </c>
      <c r="H181" s="4">
        <v>363060.13</v>
      </c>
      <c r="I181" s="4">
        <v>281734.65999999997</v>
      </c>
      <c r="J181" s="4">
        <v>81325.47</v>
      </c>
      <c r="K181" s="6">
        <v>0.224</v>
      </c>
      <c r="L181" s="28">
        <v>4.9400000000000004</v>
      </c>
    </row>
    <row r="182" spans="1:12" x14ac:dyDescent="0.3">
      <c r="A182" t="s">
        <v>192</v>
      </c>
      <c r="B182" s="25">
        <v>45838</v>
      </c>
      <c r="C182" t="s">
        <v>324</v>
      </c>
      <c r="D182" s="4">
        <v>264848.96999999997</v>
      </c>
      <c r="E182" s="4">
        <v>21187.919999999998</v>
      </c>
      <c r="F182" s="4">
        <v>243661.05</v>
      </c>
      <c r="G182" s="6">
        <v>5.2200000000000003E-2</v>
      </c>
      <c r="H182" s="4">
        <v>203485.86</v>
      </c>
      <c r="I182" s="4">
        <v>156562.01999999999</v>
      </c>
      <c r="J182" s="4">
        <v>46923.839999999997</v>
      </c>
      <c r="K182" s="6">
        <v>0.2306</v>
      </c>
      <c r="L182" s="28">
        <v>5.15</v>
      </c>
    </row>
    <row r="183" spans="1:12" x14ac:dyDescent="0.3">
      <c r="A183" t="s">
        <v>192</v>
      </c>
      <c r="B183" s="25">
        <v>45838</v>
      </c>
      <c r="C183" t="s">
        <v>323</v>
      </c>
      <c r="D183" s="4">
        <v>696735.8</v>
      </c>
      <c r="E183" s="4">
        <v>55738.86</v>
      </c>
      <c r="F183" s="4">
        <v>640996.93999999994</v>
      </c>
      <c r="G183" s="6">
        <v>0.13719999999999999</v>
      </c>
      <c r="H183" s="4">
        <v>535308.41</v>
      </c>
      <c r="I183" s="4">
        <v>411866.29</v>
      </c>
      <c r="J183" s="4">
        <v>123442.12</v>
      </c>
      <c r="K183" s="6">
        <v>0.2306</v>
      </c>
      <c r="L183" s="28">
        <v>5.15</v>
      </c>
    </row>
    <row r="184" spans="1:12" x14ac:dyDescent="0.3">
      <c r="A184" t="s">
        <v>192</v>
      </c>
      <c r="B184" s="25">
        <v>45838</v>
      </c>
      <c r="C184" t="s">
        <v>322</v>
      </c>
      <c r="D184" s="4">
        <v>1284153.24</v>
      </c>
      <c r="E184" s="4">
        <v>102732.26</v>
      </c>
      <c r="F184" s="4">
        <v>1181420.98</v>
      </c>
      <c r="G184" s="6">
        <v>0.25290000000000001</v>
      </c>
      <c r="H184" s="4">
        <v>986626.53</v>
      </c>
      <c r="I184" s="4">
        <v>759110.45</v>
      </c>
      <c r="J184" s="4">
        <v>227516.08</v>
      </c>
      <c r="K184" s="6">
        <v>0.2306</v>
      </c>
      <c r="L184" s="28">
        <v>5.15</v>
      </c>
    </row>
    <row r="185" spans="1:12" x14ac:dyDescent="0.3">
      <c r="A185" t="s">
        <v>192</v>
      </c>
      <c r="B185" s="25">
        <v>45838</v>
      </c>
      <c r="C185" t="s">
        <v>321</v>
      </c>
      <c r="D185" s="4">
        <v>485533.82</v>
      </c>
      <c r="E185" s="4">
        <v>38842.71</v>
      </c>
      <c r="F185" s="4">
        <v>446691.11</v>
      </c>
      <c r="G185" s="6">
        <v>9.5600000000000004E-2</v>
      </c>
      <c r="H185" s="4">
        <v>373040.02</v>
      </c>
      <c r="I185" s="4">
        <v>287016.99</v>
      </c>
      <c r="J185" s="4">
        <v>86023.03</v>
      </c>
      <c r="K185" s="6">
        <v>0.2306</v>
      </c>
      <c r="L185" s="28">
        <v>5.15</v>
      </c>
    </row>
    <row r="186" spans="1:12" x14ac:dyDescent="0.3">
      <c r="A186" t="s">
        <v>192</v>
      </c>
      <c r="B186" s="25">
        <v>45838</v>
      </c>
      <c r="C186" t="s">
        <v>320</v>
      </c>
      <c r="D186" s="4">
        <v>300865.03999999998</v>
      </c>
      <c r="E186" s="4">
        <v>24069.200000000001</v>
      </c>
      <c r="F186" s="4">
        <v>276795.84000000003</v>
      </c>
      <c r="G186" s="6">
        <v>5.9200000000000003E-2</v>
      </c>
      <c r="H186" s="4">
        <v>231157.33</v>
      </c>
      <c r="I186" s="4">
        <v>177852.45</v>
      </c>
      <c r="J186" s="4">
        <v>53304.88</v>
      </c>
      <c r="K186" s="6">
        <v>0.2306</v>
      </c>
      <c r="L186" s="28">
        <v>5.15</v>
      </c>
    </row>
    <row r="187" spans="1:12" x14ac:dyDescent="0.3">
      <c r="A187" t="s">
        <v>192</v>
      </c>
      <c r="B187" s="25">
        <v>45838</v>
      </c>
      <c r="C187" t="s">
        <v>319</v>
      </c>
      <c r="D187" s="4">
        <v>63797.89</v>
      </c>
      <c r="E187" s="4">
        <v>5103.83</v>
      </c>
      <c r="F187" s="4">
        <v>58694.06</v>
      </c>
      <c r="G187" s="6">
        <v>1.26E-2</v>
      </c>
      <c r="H187" s="4">
        <v>49016.49</v>
      </c>
      <c r="I187" s="4">
        <v>37713.29</v>
      </c>
      <c r="J187" s="4">
        <v>11303.2</v>
      </c>
      <c r="K187" s="6">
        <v>0.2306</v>
      </c>
      <c r="L187" s="28">
        <v>5.15</v>
      </c>
    </row>
    <row r="188" spans="1:12" x14ac:dyDescent="0.3">
      <c r="A188" t="s">
        <v>192</v>
      </c>
      <c r="B188" s="25">
        <v>45838</v>
      </c>
      <c r="C188" t="s">
        <v>268</v>
      </c>
      <c r="D188" s="4">
        <v>740742.88</v>
      </c>
      <c r="E188" s="4">
        <v>59259.43</v>
      </c>
      <c r="F188" s="4">
        <v>681483.45</v>
      </c>
      <c r="G188" s="6">
        <v>0.1459</v>
      </c>
      <c r="H188" s="4">
        <v>569119.44999999995</v>
      </c>
      <c r="I188" s="4">
        <v>437880.5</v>
      </c>
      <c r="J188" s="4">
        <v>131238.94</v>
      </c>
      <c r="K188" s="6">
        <v>0.2306</v>
      </c>
      <c r="L188" s="28">
        <v>5.15</v>
      </c>
    </row>
    <row r="189" spans="1:12" x14ac:dyDescent="0.3">
      <c r="A189" t="s">
        <v>192</v>
      </c>
      <c r="B189" s="25">
        <v>45838</v>
      </c>
      <c r="C189" t="s">
        <v>318</v>
      </c>
      <c r="D189" s="4">
        <v>461740.56</v>
      </c>
      <c r="E189" s="4">
        <v>36939.24</v>
      </c>
      <c r="F189" s="4">
        <v>424801.31</v>
      </c>
      <c r="G189" s="6">
        <v>9.0899999999999995E-2</v>
      </c>
      <c r="H189" s="4">
        <v>354759.44</v>
      </c>
      <c r="I189" s="4">
        <v>272951.90999999997</v>
      </c>
      <c r="J189" s="4">
        <v>81807.53</v>
      </c>
      <c r="K189" s="6">
        <v>0.2306</v>
      </c>
      <c r="L189" s="28">
        <v>5.15</v>
      </c>
    </row>
    <row r="190" spans="1:12" x14ac:dyDescent="0.3">
      <c r="A190" t="s">
        <v>192</v>
      </c>
      <c r="B190" s="25">
        <v>45838</v>
      </c>
      <c r="C190" t="s">
        <v>317</v>
      </c>
      <c r="D190" s="4">
        <v>277897.15000000002</v>
      </c>
      <c r="E190" s="4">
        <v>22231.77</v>
      </c>
      <c r="F190" s="4">
        <v>255665.38</v>
      </c>
      <c r="G190" s="6">
        <v>5.4699999999999999E-2</v>
      </c>
      <c r="H190" s="4">
        <v>213510.89</v>
      </c>
      <c r="I190" s="4">
        <v>164275.28</v>
      </c>
      <c r="J190" s="4">
        <v>49235.61</v>
      </c>
      <c r="K190" s="6">
        <v>0.2306</v>
      </c>
      <c r="L190" s="28">
        <v>5.15</v>
      </c>
    </row>
    <row r="191" spans="1:12" x14ac:dyDescent="0.3">
      <c r="A191" t="s">
        <v>192</v>
      </c>
      <c r="B191" s="25">
        <v>45838</v>
      </c>
      <c r="C191" t="s">
        <v>316</v>
      </c>
      <c r="D191" s="4">
        <v>502208.37</v>
      </c>
      <c r="E191" s="4">
        <v>40176.67</v>
      </c>
      <c r="F191" s="4">
        <v>462031.7</v>
      </c>
      <c r="G191" s="6">
        <v>9.8900000000000002E-2</v>
      </c>
      <c r="H191" s="4">
        <v>385851.22</v>
      </c>
      <c r="I191" s="4">
        <v>296873.93</v>
      </c>
      <c r="J191" s="4">
        <v>88977.29</v>
      </c>
      <c r="K191" s="6">
        <v>0.2306</v>
      </c>
      <c r="L191" s="28">
        <v>5.15</v>
      </c>
    </row>
    <row r="192" spans="1:12" x14ac:dyDescent="0.3">
      <c r="A192" t="s">
        <v>192</v>
      </c>
      <c r="B192" s="25">
        <v>45869</v>
      </c>
      <c r="C192" t="s">
        <v>324</v>
      </c>
      <c r="D192" s="4">
        <v>237782.5</v>
      </c>
      <c r="E192" s="4">
        <v>19022.599999999999</v>
      </c>
      <c r="F192" s="4">
        <v>218759.9</v>
      </c>
      <c r="G192" s="6">
        <v>4.7899999999999998E-2</v>
      </c>
      <c r="H192" s="4">
        <v>183993.26</v>
      </c>
      <c r="I192" s="4">
        <v>141803.60999999999</v>
      </c>
      <c r="J192" s="4">
        <v>42189.65</v>
      </c>
      <c r="K192" s="6">
        <v>0.2293</v>
      </c>
      <c r="L192" s="28">
        <v>5.1100000000000003</v>
      </c>
    </row>
    <row r="193" spans="1:12" x14ac:dyDescent="0.3">
      <c r="A193" t="s">
        <v>192</v>
      </c>
      <c r="B193" s="25">
        <v>45869</v>
      </c>
      <c r="C193" t="s">
        <v>323</v>
      </c>
      <c r="D193" s="4">
        <v>618392.46</v>
      </c>
      <c r="E193" s="4">
        <v>49471.4</v>
      </c>
      <c r="F193" s="4">
        <v>568921.06000000006</v>
      </c>
      <c r="G193" s="6">
        <v>0.12470000000000001</v>
      </c>
      <c r="H193" s="4">
        <v>478504.7</v>
      </c>
      <c r="I193" s="4">
        <v>368783.57</v>
      </c>
      <c r="J193" s="4">
        <v>109721.13</v>
      </c>
      <c r="K193" s="6">
        <v>0.2293</v>
      </c>
      <c r="L193" s="28">
        <v>5.1100000000000003</v>
      </c>
    </row>
    <row r="194" spans="1:12" x14ac:dyDescent="0.3">
      <c r="A194" t="s">
        <v>192</v>
      </c>
      <c r="B194" s="25">
        <v>45869</v>
      </c>
      <c r="C194" t="s">
        <v>322</v>
      </c>
      <c r="D194" s="4">
        <v>1144585.1000000001</v>
      </c>
      <c r="E194" s="4">
        <v>91566.81</v>
      </c>
      <c r="F194" s="4">
        <v>1053018.29</v>
      </c>
      <c r="G194" s="6">
        <v>0.23080000000000001</v>
      </c>
      <c r="H194" s="4">
        <v>885666.28</v>
      </c>
      <c r="I194" s="4">
        <v>682583</v>
      </c>
      <c r="J194" s="4">
        <v>203083.28</v>
      </c>
      <c r="K194" s="6">
        <v>0.2293</v>
      </c>
      <c r="L194" s="28">
        <v>5.1100000000000003</v>
      </c>
    </row>
    <row r="195" spans="1:12" x14ac:dyDescent="0.3">
      <c r="A195" t="s">
        <v>192</v>
      </c>
      <c r="B195" s="25">
        <v>45869</v>
      </c>
      <c r="C195" t="s">
        <v>321</v>
      </c>
      <c r="D195" s="4">
        <v>335505.11</v>
      </c>
      <c r="E195" s="4">
        <v>26840.41</v>
      </c>
      <c r="F195" s="4">
        <v>308664.7</v>
      </c>
      <c r="G195" s="6">
        <v>6.7599999999999993E-2</v>
      </c>
      <c r="H195" s="4">
        <v>259609.85</v>
      </c>
      <c r="I195" s="4">
        <v>200081.31</v>
      </c>
      <c r="J195" s="4">
        <v>59528.54</v>
      </c>
      <c r="K195" s="6">
        <v>0.2293</v>
      </c>
      <c r="L195" s="28">
        <v>5.1100000000000003</v>
      </c>
    </row>
    <row r="196" spans="1:12" x14ac:dyDescent="0.3">
      <c r="A196" t="s">
        <v>192</v>
      </c>
      <c r="B196" s="25">
        <v>45869</v>
      </c>
      <c r="C196" t="s">
        <v>320</v>
      </c>
      <c r="D196" s="4">
        <v>551396.91</v>
      </c>
      <c r="E196" s="4">
        <v>44111.75</v>
      </c>
      <c r="F196" s="4">
        <v>507285.16</v>
      </c>
      <c r="G196" s="6">
        <v>0.11119999999999999</v>
      </c>
      <c r="H196" s="4">
        <v>426664.34</v>
      </c>
      <c r="I196" s="4">
        <v>328830.21000000002</v>
      </c>
      <c r="J196" s="4">
        <v>97834.13</v>
      </c>
      <c r="K196" s="6">
        <v>0.2293</v>
      </c>
      <c r="L196" s="28">
        <v>5.1100000000000003</v>
      </c>
    </row>
    <row r="197" spans="1:12" x14ac:dyDescent="0.3">
      <c r="A197" t="s">
        <v>192</v>
      </c>
      <c r="B197" s="25">
        <v>45869</v>
      </c>
      <c r="C197" t="s">
        <v>319</v>
      </c>
      <c r="D197" s="4">
        <v>513600.55</v>
      </c>
      <c r="E197" s="4">
        <v>41088.04</v>
      </c>
      <c r="F197" s="4">
        <v>472512.51</v>
      </c>
      <c r="G197" s="6">
        <v>0.10349999999999999</v>
      </c>
      <c r="H197" s="4">
        <v>397417.97</v>
      </c>
      <c r="I197" s="4">
        <v>306290.03000000003</v>
      </c>
      <c r="J197" s="4">
        <v>91127.94</v>
      </c>
      <c r="K197" s="6">
        <v>0.2293</v>
      </c>
      <c r="L197" s="28">
        <v>5.1100000000000003</v>
      </c>
    </row>
    <row r="198" spans="1:12" x14ac:dyDescent="0.3">
      <c r="A198" t="s">
        <v>192</v>
      </c>
      <c r="B198" s="25">
        <v>45869</v>
      </c>
      <c r="C198" t="s">
        <v>268</v>
      </c>
      <c r="D198" s="4">
        <v>471361.96</v>
      </c>
      <c r="E198" s="4">
        <v>37708.959999999999</v>
      </c>
      <c r="F198" s="4">
        <v>433653</v>
      </c>
      <c r="G198" s="6">
        <v>9.5000000000000001E-2</v>
      </c>
      <c r="H198" s="4">
        <v>364734.25</v>
      </c>
      <c r="I198" s="4">
        <v>281100.69</v>
      </c>
      <c r="J198" s="4">
        <v>83633.56</v>
      </c>
      <c r="K198" s="6">
        <v>0.2293</v>
      </c>
      <c r="L198" s="28">
        <v>5.1100000000000003</v>
      </c>
    </row>
    <row r="199" spans="1:12" x14ac:dyDescent="0.3">
      <c r="A199" t="s">
        <v>192</v>
      </c>
      <c r="B199" s="25">
        <v>45869</v>
      </c>
      <c r="C199" t="s">
        <v>318</v>
      </c>
      <c r="D199" s="4">
        <v>546180.97</v>
      </c>
      <c r="E199" s="4">
        <v>43694.48</v>
      </c>
      <c r="F199" s="4">
        <v>502486.49</v>
      </c>
      <c r="G199" s="6">
        <v>0.1101</v>
      </c>
      <c r="H199" s="4">
        <v>422628.31</v>
      </c>
      <c r="I199" s="4">
        <v>325719.64</v>
      </c>
      <c r="J199" s="4">
        <v>96908.67</v>
      </c>
      <c r="K199" s="6">
        <v>0.2293</v>
      </c>
      <c r="L199" s="28">
        <v>5.1100000000000003</v>
      </c>
    </row>
    <row r="200" spans="1:12" x14ac:dyDescent="0.3">
      <c r="A200" t="s">
        <v>192</v>
      </c>
      <c r="B200" s="25">
        <v>45869</v>
      </c>
      <c r="C200" t="s">
        <v>317</v>
      </c>
      <c r="D200" s="4">
        <v>149782.79999999999</v>
      </c>
      <c r="E200" s="4">
        <v>11982.62</v>
      </c>
      <c r="F200" s="4">
        <v>137800.17000000001</v>
      </c>
      <c r="G200" s="6">
        <v>3.0200000000000001E-2</v>
      </c>
      <c r="H200" s="4">
        <v>115900.14</v>
      </c>
      <c r="I200" s="4">
        <v>89324.24</v>
      </c>
      <c r="J200" s="4">
        <v>26575.9</v>
      </c>
      <c r="K200" s="6">
        <v>0.2293</v>
      </c>
      <c r="L200" s="28">
        <v>5.1100000000000003</v>
      </c>
    </row>
    <row r="201" spans="1:12" x14ac:dyDescent="0.3">
      <c r="A201" t="s">
        <v>192</v>
      </c>
      <c r="B201" s="25">
        <v>45869</v>
      </c>
      <c r="C201" t="s">
        <v>316</v>
      </c>
      <c r="D201" s="4">
        <v>391496.64</v>
      </c>
      <c r="E201" s="4">
        <v>31319.73</v>
      </c>
      <c r="F201" s="4">
        <v>360176.91</v>
      </c>
      <c r="G201" s="6">
        <v>7.8899999999999998E-2</v>
      </c>
      <c r="H201" s="4">
        <v>302935.42</v>
      </c>
      <c r="I201" s="4">
        <v>233472.33</v>
      </c>
      <c r="J201" s="4">
        <v>69463.09</v>
      </c>
      <c r="K201" s="6">
        <v>0.2293</v>
      </c>
      <c r="L201" s="28">
        <v>5.1100000000000003</v>
      </c>
    </row>
    <row r="202" spans="1:12" x14ac:dyDescent="0.3">
      <c r="A202" t="s">
        <v>192</v>
      </c>
      <c r="B202" s="25">
        <v>45900</v>
      </c>
      <c r="C202" t="s">
        <v>324</v>
      </c>
      <c r="D202" s="4">
        <v>368626.05</v>
      </c>
      <c r="E202" s="4">
        <v>29490.080000000002</v>
      </c>
      <c r="F202" s="4">
        <v>339135.96</v>
      </c>
      <c r="G202" s="6">
        <v>7.8200000000000006E-2</v>
      </c>
      <c r="H202" s="4">
        <v>285677.96000000002</v>
      </c>
      <c r="I202" s="4">
        <v>220600.52</v>
      </c>
      <c r="J202" s="4">
        <v>65077.440000000002</v>
      </c>
      <c r="K202" s="6">
        <v>0.2278</v>
      </c>
      <c r="L202" s="28">
        <v>5.0999999999999996</v>
      </c>
    </row>
    <row r="203" spans="1:12" x14ac:dyDescent="0.3">
      <c r="A203" t="s">
        <v>192</v>
      </c>
      <c r="B203" s="25">
        <v>45900</v>
      </c>
      <c r="C203" t="s">
        <v>323</v>
      </c>
      <c r="D203" s="4">
        <v>558753.56000000006</v>
      </c>
      <c r="E203" s="4">
        <v>44700.29</v>
      </c>
      <c r="F203" s="4">
        <v>514053.28</v>
      </c>
      <c r="G203" s="6">
        <v>0.11849999999999999</v>
      </c>
      <c r="H203" s="4">
        <v>433023.05</v>
      </c>
      <c r="I203" s="4">
        <v>334380.40000000002</v>
      </c>
      <c r="J203" s="4">
        <v>98642.65</v>
      </c>
      <c r="K203" s="6">
        <v>0.2278</v>
      </c>
      <c r="L203" s="28">
        <v>5.0999999999999996</v>
      </c>
    </row>
    <row r="204" spans="1:12" x14ac:dyDescent="0.3">
      <c r="A204" t="s">
        <v>192</v>
      </c>
      <c r="B204" s="25">
        <v>45900</v>
      </c>
      <c r="C204" t="s">
        <v>322</v>
      </c>
      <c r="D204" s="4">
        <v>926087.24</v>
      </c>
      <c r="E204" s="4">
        <v>74086.98</v>
      </c>
      <c r="F204" s="4">
        <v>852000.26</v>
      </c>
      <c r="G204" s="6">
        <v>0.19639999999999999</v>
      </c>
      <c r="H204" s="4">
        <v>717699.45</v>
      </c>
      <c r="I204" s="4">
        <v>554207.51</v>
      </c>
      <c r="J204" s="4">
        <v>163491.93</v>
      </c>
      <c r="K204" s="6">
        <v>0.2278</v>
      </c>
      <c r="L204" s="28">
        <v>5.0999999999999996</v>
      </c>
    </row>
    <row r="205" spans="1:12" x14ac:dyDescent="0.3">
      <c r="A205" t="s">
        <v>192</v>
      </c>
      <c r="B205" s="25">
        <v>45900</v>
      </c>
      <c r="C205" t="s">
        <v>321</v>
      </c>
      <c r="D205" s="4">
        <v>191788.63</v>
      </c>
      <c r="E205" s="4">
        <v>15343.09</v>
      </c>
      <c r="F205" s="4">
        <v>176445.54</v>
      </c>
      <c r="G205" s="6">
        <v>4.07E-2</v>
      </c>
      <c r="H205" s="4">
        <v>148632.43</v>
      </c>
      <c r="I205" s="4">
        <v>114773.96</v>
      </c>
      <c r="J205" s="4">
        <v>33858.47</v>
      </c>
      <c r="K205" s="6">
        <v>0.2278</v>
      </c>
      <c r="L205" s="28">
        <v>5.0999999999999996</v>
      </c>
    </row>
    <row r="206" spans="1:12" x14ac:dyDescent="0.3">
      <c r="A206" t="s">
        <v>192</v>
      </c>
      <c r="B206" s="25">
        <v>45900</v>
      </c>
      <c r="C206" t="s">
        <v>320</v>
      </c>
      <c r="D206" s="4">
        <v>493743.16</v>
      </c>
      <c r="E206" s="4">
        <v>39499.449999999997</v>
      </c>
      <c r="F206" s="4">
        <v>454243.71</v>
      </c>
      <c r="G206" s="6">
        <v>0.1047</v>
      </c>
      <c r="H206" s="4">
        <v>382641.26</v>
      </c>
      <c r="I206" s="4">
        <v>295475.58</v>
      </c>
      <c r="J206" s="4">
        <v>87165.68</v>
      </c>
      <c r="K206" s="6">
        <v>0.2278</v>
      </c>
      <c r="L206" s="28">
        <v>5.0999999999999996</v>
      </c>
    </row>
    <row r="207" spans="1:12" x14ac:dyDescent="0.3">
      <c r="A207" t="s">
        <v>192</v>
      </c>
      <c r="B207" s="25">
        <v>45900</v>
      </c>
      <c r="C207" t="s">
        <v>319</v>
      </c>
      <c r="D207" s="4">
        <v>343468.45</v>
      </c>
      <c r="E207" s="4">
        <v>27477.48</v>
      </c>
      <c r="F207" s="4">
        <v>315990.96999999997</v>
      </c>
      <c r="G207" s="6">
        <v>7.2800000000000004E-2</v>
      </c>
      <c r="H207" s="4">
        <v>266181.31</v>
      </c>
      <c r="I207" s="4">
        <v>205545.21</v>
      </c>
      <c r="J207" s="4">
        <v>60636.1</v>
      </c>
      <c r="K207" s="6">
        <v>0.2278</v>
      </c>
      <c r="L207" s="28">
        <v>5.0999999999999996</v>
      </c>
    </row>
    <row r="208" spans="1:12" x14ac:dyDescent="0.3">
      <c r="A208" t="s">
        <v>192</v>
      </c>
      <c r="B208" s="25">
        <v>45900</v>
      </c>
      <c r="C208" t="s">
        <v>268</v>
      </c>
      <c r="D208" s="4">
        <v>399105.96</v>
      </c>
      <c r="E208" s="4">
        <v>31928.48</v>
      </c>
      <c r="F208" s="4">
        <v>367177.48</v>
      </c>
      <c r="G208" s="6">
        <v>8.4599999999999995E-2</v>
      </c>
      <c r="H208" s="4">
        <v>309299.28999999998</v>
      </c>
      <c r="I208" s="4">
        <v>238840.91</v>
      </c>
      <c r="J208" s="4">
        <v>70458.38</v>
      </c>
      <c r="K208" s="6">
        <v>0.2278</v>
      </c>
      <c r="L208" s="28">
        <v>5.0999999999999996</v>
      </c>
    </row>
    <row r="209" spans="1:12" x14ac:dyDescent="0.3">
      <c r="A209" t="s">
        <v>192</v>
      </c>
      <c r="B209" s="25">
        <v>45900</v>
      </c>
      <c r="C209" t="s">
        <v>318</v>
      </c>
      <c r="D209" s="4">
        <v>382466.39</v>
      </c>
      <c r="E209" s="4">
        <v>30597.31</v>
      </c>
      <c r="F209" s="4">
        <v>351869.08</v>
      </c>
      <c r="G209" s="6">
        <v>8.1100000000000005E-2</v>
      </c>
      <c r="H209" s="4">
        <v>296403.95</v>
      </c>
      <c r="I209" s="4">
        <v>228883.13</v>
      </c>
      <c r="J209" s="4">
        <v>67520.820000000007</v>
      </c>
      <c r="K209" s="6">
        <v>0.2278</v>
      </c>
      <c r="L209" s="28">
        <v>5.0999999999999996</v>
      </c>
    </row>
    <row r="210" spans="1:12" x14ac:dyDescent="0.3">
      <c r="A210" t="s">
        <v>192</v>
      </c>
      <c r="B210" s="25">
        <v>45900</v>
      </c>
      <c r="C210" t="s">
        <v>317</v>
      </c>
      <c r="D210" s="4">
        <v>508484.94</v>
      </c>
      <c r="E210" s="4">
        <v>40678.800000000003</v>
      </c>
      <c r="F210" s="4">
        <v>467806.15</v>
      </c>
      <c r="G210" s="6">
        <v>0.10780000000000001</v>
      </c>
      <c r="H210" s="4">
        <v>394065.86</v>
      </c>
      <c r="I210" s="4">
        <v>304297.65999999997</v>
      </c>
      <c r="J210" s="4">
        <v>89768.2</v>
      </c>
      <c r="K210" s="6">
        <v>0.2278</v>
      </c>
      <c r="L210" s="28">
        <v>5.0999999999999996</v>
      </c>
    </row>
    <row r="211" spans="1:12" x14ac:dyDescent="0.3">
      <c r="A211" t="s">
        <v>192</v>
      </c>
      <c r="B211" s="25">
        <v>45900</v>
      </c>
      <c r="C211" t="s">
        <v>316</v>
      </c>
      <c r="D211" s="4">
        <v>542313.88</v>
      </c>
      <c r="E211" s="4">
        <v>43385.11</v>
      </c>
      <c r="F211" s="4">
        <v>498928.77</v>
      </c>
      <c r="G211" s="6">
        <v>0.115</v>
      </c>
      <c r="H211" s="4">
        <v>420282.62</v>
      </c>
      <c r="I211" s="4">
        <v>324542.24</v>
      </c>
      <c r="J211" s="4">
        <v>95740.38</v>
      </c>
      <c r="K211" s="6">
        <v>0.2278</v>
      </c>
      <c r="L211" s="28">
        <v>5.0999999999999996</v>
      </c>
    </row>
    <row r="212" spans="1:12" x14ac:dyDescent="0.3">
      <c r="A212" t="s">
        <v>192</v>
      </c>
      <c r="B212" s="25">
        <v>45930</v>
      </c>
      <c r="C212" t="s">
        <v>324</v>
      </c>
      <c r="D212" s="4">
        <v>221429.59</v>
      </c>
      <c r="E212" s="4">
        <v>17714.37</v>
      </c>
      <c r="F212" s="4">
        <v>203715.22</v>
      </c>
      <c r="G212" s="6">
        <v>4.4600000000000001E-2</v>
      </c>
      <c r="H212" s="4">
        <v>195612.03</v>
      </c>
      <c r="I212" s="4">
        <v>147941.38</v>
      </c>
      <c r="J212" s="4">
        <v>47670.65</v>
      </c>
      <c r="K212" s="6">
        <v>0.2437</v>
      </c>
      <c r="L212" s="28">
        <v>4.4800000000000004</v>
      </c>
    </row>
    <row r="213" spans="1:12" x14ac:dyDescent="0.3">
      <c r="A213" t="s">
        <v>192</v>
      </c>
      <c r="B213" s="25">
        <v>45930</v>
      </c>
      <c r="C213" t="s">
        <v>323</v>
      </c>
      <c r="D213" s="4">
        <v>666117.88</v>
      </c>
      <c r="E213" s="4">
        <v>53289.43</v>
      </c>
      <c r="F213" s="4">
        <v>612828.44999999995</v>
      </c>
      <c r="G213" s="6">
        <v>0.13420000000000001</v>
      </c>
      <c r="H213" s="4">
        <v>588451.93000000005</v>
      </c>
      <c r="I213" s="4">
        <v>445046.2</v>
      </c>
      <c r="J213" s="4">
        <v>143405.74</v>
      </c>
      <c r="K213" s="6">
        <v>0.2437</v>
      </c>
      <c r="L213" s="28">
        <v>4.4800000000000004</v>
      </c>
    </row>
    <row r="214" spans="1:12" x14ac:dyDescent="0.3">
      <c r="A214" t="s">
        <v>192</v>
      </c>
      <c r="B214" s="25">
        <v>45930</v>
      </c>
      <c r="C214" t="s">
        <v>322</v>
      </c>
      <c r="D214" s="4">
        <v>1213165.77</v>
      </c>
      <c r="E214" s="4">
        <v>97053.26</v>
      </c>
      <c r="F214" s="4">
        <v>1116112.51</v>
      </c>
      <c r="G214" s="6">
        <v>0.24440000000000001</v>
      </c>
      <c r="H214" s="4">
        <v>1071716.82</v>
      </c>
      <c r="I214" s="4">
        <v>810539.43</v>
      </c>
      <c r="J214" s="4">
        <v>261177.39</v>
      </c>
      <c r="K214" s="6">
        <v>0.2437</v>
      </c>
      <c r="L214" s="28">
        <v>4.4800000000000004</v>
      </c>
    </row>
    <row r="215" spans="1:12" x14ac:dyDescent="0.3">
      <c r="A215" t="s">
        <v>192</v>
      </c>
      <c r="B215" s="25">
        <v>45930</v>
      </c>
      <c r="C215" t="s">
        <v>321</v>
      </c>
      <c r="D215" s="4">
        <v>220356.36</v>
      </c>
      <c r="E215" s="4">
        <v>17628.509999999998</v>
      </c>
      <c r="F215" s="4">
        <v>202727.85</v>
      </c>
      <c r="G215" s="6">
        <v>4.4400000000000002E-2</v>
      </c>
      <c r="H215" s="4">
        <v>194663.93</v>
      </c>
      <c r="I215" s="4">
        <v>147224.32999999999</v>
      </c>
      <c r="J215" s="4">
        <v>47439.6</v>
      </c>
      <c r="K215" s="6">
        <v>0.2437</v>
      </c>
      <c r="L215" s="28">
        <v>4.4800000000000004</v>
      </c>
    </row>
    <row r="216" spans="1:12" x14ac:dyDescent="0.3">
      <c r="A216" t="s">
        <v>192</v>
      </c>
      <c r="B216" s="25">
        <v>45930</v>
      </c>
      <c r="C216" t="s">
        <v>320</v>
      </c>
      <c r="D216" s="4">
        <v>402392.21</v>
      </c>
      <c r="E216" s="4">
        <v>32191.38</v>
      </c>
      <c r="F216" s="4">
        <v>370200.83</v>
      </c>
      <c r="G216" s="6">
        <v>8.1100000000000005E-2</v>
      </c>
      <c r="H216" s="4">
        <v>355475.33</v>
      </c>
      <c r="I216" s="4">
        <v>268845.99</v>
      </c>
      <c r="J216" s="4">
        <v>86629.34</v>
      </c>
      <c r="K216" s="6">
        <v>0.2437</v>
      </c>
      <c r="L216" s="28">
        <v>4.4800000000000004</v>
      </c>
    </row>
    <row r="217" spans="1:12" x14ac:dyDescent="0.3">
      <c r="A217" t="s">
        <v>192</v>
      </c>
      <c r="B217" s="25">
        <v>45930</v>
      </c>
      <c r="C217" t="s">
        <v>319</v>
      </c>
      <c r="D217" s="4">
        <v>437420.79999999999</v>
      </c>
      <c r="E217" s="4">
        <v>34993.660000000003</v>
      </c>
      <c r="F217" s="4">
        <v>402427.14</v>
      </c>
      <c r="G217" s="6">
        <v>8.8099999999999998E-2</v>
      </c>
      <c r="H217" s="4">
        <v>386419.76</v>
      </c>
      <c r="I217" s="4">
        <v>292249.27</v>
      </c>
      <c r="J217" s="4">
        <v>94170.5</v>
      </c>
      <c r="K217" s="6">
        <v>0.2437</v>
      </c>
      <c r="L217" s="28">
        <v>4.4800000000000004</v>
      </c>
    </row>
    <row r="218" spans="1:12" x14ac:dyDescent="0.3">
      <c r="A218" t="s">
        <v>192</v>
      </c>
      <c r="B218" s="25">
        <v>45930</v>
      </c>
      <c r="C218" t="s">
        <v>268</v>
      </c>
      <c r="D218" s="4">
        <v>596489.56999999995</v>
      </c>
      <c r="E218" s="4">
        <v>47719.17</v>
      </c>
      <c r="F218" s="4">
        <v>548770.41</v>
      </c>
      <c r="G218" s="6">
        <v>0.1202</v>
      </c>
      <c r="H218" s="4">
        <v>526941.93000000005</v>
      </c>
      <c r="I218" s="4">
        <v>398526.18</v>
      </c>
      <c r="J218" s="4">
        <v>128415.75</v>
      </c>
      <c r="K218" s="6">
        <v>0.2437</v>
      </c>
      <c r="L218" s="28">
        <v>4.4800000000000004</v>
      </c>
    </row>
    <row r="219" spans="1:12" x14ac:dyDescent="0.3">
      <c r="A219" t="s">
        <v>192</v>
      </c>
      <c r="B219" s="25">
        <v>45930</v>
      </c>
      <c r="C219" t="s">
        <v>318</v>
      </c>
      <c r="D219" s="4">
        <v>450132.52</v>
      </c>
      <c r="E219" s="4">
        <v>36010.6</v>
      </c>
      <c r="F219" s="4">
        <v>414121.92</v>
      </c>
      <c r="G219" s="6">
        <v>9.0700000000000003E-2</v>
      </c>
      <c r="H219" s="4">
        <v>397649.36</v>
      </c>
      <c r="I219" s="4">
        <v>300742.21000000002</v>
      </c>
      <c r="J219" s="4">
        <v>96907.15</v>
      </c>
      <c r="K219" s="6">
        <v>0.2437</v>
      </c>
      <c r="L219" s="28">
        <v>4.4800000000000004</v>
      </c>
    </row>
    <row r="220" spans="1:12" x14ac:dyDescent="0.3">
      <c r="A220" t="s">
        <v>192</v>
      </c>
      <c r="B220" s="25">
        <v>45930</v>
      </c>
      <c r="C220" t="s">
        <v>317</v>
      </c>
      <c r="D220" s="4">
        <v>461717.83</v>
      </c>
      <c r="E220" s="4">
        <v>36937.43</v>
      </c>
      <c r="F220" s="4">
        <v>424780.4</v>
      </c>
      <c r="G220" s="6">
        <v>9.2999999999999999E-2</v>
      </c>
      <c r="H220" s="4">
        <v>407883.88</v>
      </c>
      <c r="I220" s="4">
        <v>308482.58</v>
      </c>
      <c r="J220" s="4">
        <v>99401.3</v>
      </c>
      <c r="K220" s="6">
        <v>0.2437</v>
      </c>
      <c r="L220" s="28">
        <v>4.4800000000000004</v>
      </c>
    </row>
    <row r="221" spans="1:12" x14ac:dyDescent="0.3">
      <c r="A221" t="s">
        <v>192</v>
      </c>
      <c r="B221" s="25">
        <v>45930</v>
      </c>
      <c r="C221" t="s">
        <v>316</v>
      </c>
      <c r="D221" s="4">
        <v>295132.53000000003</v>
      </c>
      <c r="E221" s="4">
        <v>23610.6</v>
      </c>
      <c r="F221" s="4">
        <v>271521.93</v>
      </c>
      <c r="G221" s="6">
        <v>5.9499999999999997E-2</v>
      </c>
      <c r="H221" s="4">
        <v>260721.58</v>
      </c>
      <c r="I221" s="4">
        <v>197183.73</v>
      </c>
      <c r="J221" s="4">
        <v>63537.85</v>
      </c>
      <c r="K221" s="6">
        <v>0.2437</v>
      </c>
      <c r="L221" s="28">
        <v>4.4800000000000004</v>
      </c>
    </row>
    <row r="222" spans="1:12" x14ac:dyDescent="0.3">
      <c r="A222" t="s">
        <v>192</v>
      </c>
      <c r="B222" s="25">
        <v>45961</v>
      </c>
      <c r="C222" t="s">
        <v>324</v>
      </c>
      <c r="D222" s="4">
        <v>450823.15</v>
      </c>
      <c r="E222" s="4">
        <v>36065.85</v>
      </c>
      <c r="F222" s="4">
        <v>414757.3</v>
      </c>
      <c r="G222" s="6">
        <v>9.4399999999999998E-2</v>
      </c>
      <c r="H222" s="4">
        <v>412855.38</v>
      </c>
      <c r="I222" s="4">
        <v>325288.75</v>
      </c>
      <c r="J222" s="4">
        <v>87566.63</v>
      </c>
      <c r="K222" s="6">
        <v>0.21210000000000001</v>
      </c>
      <c r="L222" s="28">
        <v>4.32</v>
      </c>
    </row>
    <row r="223" spans="1:12" x14ac:dyDescent="0.3">
      <c r="A223" t="s">
        <v>192</v>
      </c>
      <c r="B223" s="25">
        <v>45961</v>
      </c>
      <c r="C223" t="s">
        <v>323</v>
      </c>
      <c r="D223" s="4">
        <v>591985.75</v>
      </c>
      <c r="E223" s="4">
        <v>47358.86</v>
      </c>
      <c r="F223" s="4">
        <v>544626.89</v>
      </c>
      <c r="G223" s="6">
        <v>0.124</v>
      </c>
      <c r="H223" s="4">
        <v>542129.43999999994</v>
      </c>
      <c r="I223" s="4">
        <v>427143.78</v>
      </c>
      <c r="J223" s="4">
        <v>114985.65</v>
      </c>
      <c r="K223" s="6">
        <v>0.21210000000000001</v>
      </c>
      <c r="L223" s="28">
        <v>4.32</v>
      </c>
    </row>
    <row r="224" spans="1:12" x14ac:dyDescent="0.3">
      <c r="A224" t="s">
        <v>192</v>
      </c>
      <c r="B224" s="25">
        <v>45961</v>
      </c>
      <c r="C224" t="s">
        <v>322</v>
      </c>
      <c r="D224" s="4">
        <v>781512.59</v>
      </c>
      <c r="E224" s="4">
        <v>62521.01</v>
      </c>
      <c r="F224" s="4">
        <v>718991.58</v>
      </c>
      <c r="G224" s="6">
        <v>0.1636</v>
      </c>
      <c r="H224" s="4">
        <v>715694.55</v>
      </c>
      <c r="I224" s="4">
        <v>563895.74</v>
      </c>
      <c r="J224" s="4">
        <v>151798.81</v>
      </c>
      <c r="K224" s="6">
        <v>0.21210000000000001</v>
      </c>
      <c r="L224" s="28">
        <v>4.32</v>
      </c>
    </row>
    <row r="225" spans="1:12" x14ac:dyDescent="0.3">
      <c r="A225" t="s">
        <v>192</v>
      </c>
      <c r="B225" s="25">
        <v>45961</v>
      </c>
      <c r="C225" t="s">
        <v>321</v>
      </c>
      <c r="D225" s="4">
        <v>252008.04</v>
      </c>
      <c r="E225" s="4">
        <v>20160.64</v>
      </c>
      <c r="F225" s="4">
        <v>231847.4</v>
      </c>
      <c r="G225" s="6">
        <v>5.28E-2</v>
      </c>
      <c r="H225" s="4">
        <v>230784.23</v>
      </c>
      <c r="I225" s="4">
        <v>181834.9</v>
      </c>
      <c r="J225" s="4">
        <v>48949.34</v>
      </c>
      <c r="K225" s="6">
        <v>0.21210000000000001</v>
      </c>
      <c r="L225" s="28">
        <v>4.32</v>
      </c>
    </row>
    <row r="226" spans="1:12" x14ac:dyDescent="0.3">
      <c r="A226" t="s">
        <v>192</v>
      </c>
      <c r="B226" s="25">
        <v>45961</v>
      </c>
      <c r="C226" t="s">
        <v>320</v>
      </c>
      <c r="D226" s="4">
        <v>538927.74</v>
      </c>
      <c r="E226" s="4">
        <v>43114.22</v>
      </c>
      <c r="F226" s="4">
        <v>495813.52</v>
      </c>
      <c r="G226" s="6">
        <v>0.1128</v>
      </c>
      <c r="H226" s="4">
        <v>493539.91</v>
      </c>
      <c r="I226" s="4">
        <v>388860.09</v>
      </c>
      <c r="J226" s="4">
        <v>104679.81</v>
      </c>
      <c r="K226" s="6">
        <v>0.21210000000000001</v>
      </c>
      <c r="L226" s="28">
        <v>4.32</v>
      </c>
    </row>
    <row r="227" spans="1:12" x14ac:dyDescent="0.3">
      <c r="A227" t="s">
        <v>192</v>
      </c>
      <c r="B227" s="25">
        <v>45961</v>
      </c>
      <c r="C227" t="s">
        <v>319</v>
      </c>
      <c r="D227" s="4">
        <v>162433.42000000001</v>
      </c>
      <c r="E227" s="4">
        <v>12994.67</v>
      </c>
      <c r="F227" s="4">
        <v>149438.75</v>
      </c>
      <c r="G227" s="6">
        <v>3.4000000000000002E-2</v>
      </c>
      <c r="H227" s="4">
        <v>148753.48000000001</v>
      </c>
      <c r="I227" s="4">
        <v>117202.86</v>
      </c>
      <c r="J227" s="4">
        <v>31550.61</v>
      </c>
      <c r="K227" s="6">
        <v>0.21210000000000001</v>
      </c>
      <c r="L227" s="28">
        <v>4.32</v>
      </c>
    </row>
    <row r="228" spans="1:12" x14ac:dyDescent="0.3">
      <c r="A228" t="s">
        <v>192</v>
      </c>
      <c r="B228" s="25">
        <v>45961</v>
      </c>
      <c r="C228" t="s">
        <v>268</v>
      </c>
      <c r="D228" s="4">
        <v>444952.18</v>
      </c>
      <c r="E228" s="4">
        <v>35596.17</v>
      </c>
      <c r="F228" s="4">
        <v>409356</v>
      </c>
      <c r="G228" s="6">
        <v>9.3200000000000005E-2</v>
      </c>
      <c r="H228" s="4">
        <v>407478.85</v>
      </c>
      <c r="I228" s="4">
        <v>321052.59000000003</v>
      </c>
      <c r="J228" s="4">
        <v>86426.26</v>
      </c>
      <c r="K228" s="6">
        <v>0.21210000000000001</v>
      </c>
      <c r="L228" s="28">
        <v>4.32</v>
      </c>
    </row>
    <row r="229" spans="1:12" x14ac:dyDescent="0.3">
      <c r="A229" t="s">
        <v>192</v>
      </c>
      <c r="B229" s="25">
        <v>45961</v>
      </c>
      <c r="C229" t="s">
        <v>318</v>
      </c>
      <c r="D229" s="4">
        <v>635604.81000000006</v>
      </c>
      <c r="E229" s="4">
        <v>50848.39</v>
      </c>
      <c r="F229" s="4">
        <v>584756.43000000005</v>
      </c>
      <c r="G229" s="6">
        <v>0.1331</v>
      </c>
      <c r="H229" s="4">
        <v>582074.96</v>
      </c>
      <c r="I229" s="4">
        <v>458616.86</v>
      </c>
      <c r="J229" s="4">
        <v>123458.1</v>
      </c>
      <c r="K229" s="6">
        <v>0.21210000000000001</v>
      </c>
      <c r="L229" s="28">
        <v>4.32</v>
      </c>
    </row>
    <row r="230" spans="1:12" x14ac:dyDescent="0.3">
      <c r="A230" t="s">
        <v>192</v>
      </c>
      <c r="B230" s="25">
        <v>45961</v>
      </c>
      <c r="C230" t="s">
        <v>317</v>
      </c>
      <c r="D230" s="4">
        <v>249801.9</v>
      </c>
      <c r="E230" s="4">
        <v>19984.150000000001</v>
      </c>
      <c r="F230" s="4">
        <v>229817.75</v>
      </c>
      <c r="G230" s="6">
        <v>5.2299999999999999E-2</v>
      </c>
      <c r="H230" s="4">
        <v>228763.89</v>
      </c>
      <c r="I230" s="4">
        <v>180243.07</v>
      </c>
      <c r="J230" s="4">
        <v>48520.82</v>
      </c>
      <c r="K230" s="6">
        <v>0.21210000000000001</v>
      </c>
      <c r="L230" s="28">
        <v>4.32</v>
      </c>
    </row>
    <row r="231" spans="1:12" x14ac:dyDescent="0.3">
      <c r="A231" t="s">
        <v>192</v>
      </c>
      <c r="B231" s="25">
        <v>45961</v>
      </c>
      <c r="C231" t="s">
        <v>316</v>
      </c>
      <c r="D231" s="4">
        <v>667566.23</v>
      </c>
      <c r="E231" s="4">
        <v>53405.3</v>
      </c>
      <c r="F231" s="4">
        <v>614160.93000000005</v>
      </c>
      <c r="G231" s="6">
        <v>0.13980000000000001</v>
      </c>
      <c r="H231" s="4">
        <v>611344.62</v>
      </c>
      <c r="I231" s="4">
        <v>481678.43</v>
      </c>
      <c r="J231" s="4">
        <v>129666.19</v>
      </c>
      <c r="K231" s="6">
        <v>0.21210000000000001</v>
      </c>
      <c r="L231" s="28">
        <v>4.32</v>
      </c>
    </row>
    <row r="232" spans="1:12" x14ac:dyDescent="0.3">
      <c r="A232" t="s">
        <v>192</v>
      </c>
      <c r="B232" s="25">
        <v>45991</v>
      </c>
      <c r="C232" t="s">
        <v>324</v>
      </c>
      <c r="D232" s="4">
        <v>206121.01</v>
      </c>
      <c r="E232" s="4">
        <v>16489.68</v>
      </c>
      <c r="F232" s="4">
        <v>189631.33</v>
      </c>
      <c r="G232" s="6">
        <v>4.36E-2</v>
      </c>
      <c r="H232" s="4">
        <v>180445.97</v>
      </c>
      <c r="I232" s="4">
        <v>140783.95000000001</v>
      </c>
      <c r="J232" s="4">
        <v>39662.03</v>
      </c>
      <c r="K232" s="6">
        <v>0.2198</v>
      </c>
      <c r="L232" s="28">
        <v>4.5199999999999996</v>
      </c>
    </row>
    <row r="233" spans="1:12" x14ac:dyDescent="0.3">
      <c r="A233" t="s">
        <v>192</v>
      </c>
      <c r="B233" s="25">
        <v>45991</v>
      </c>
      <c r="C233" t="s">
        <v>323</v>
      </c>
      <c r="D233" s="4">
        <v>889442.35</v>
      </c>
      <c r="E233" s="4">
        <v>71155.39</v>
      </c>
      <c r="F233" s="4">
        <v>818286.96</v>
      </c>
      <c r="G233" s="6">
        <v>0.188</v>
      </c>
      <c r="H233" s="4">
        <v>778650.81</v>
      </c>
      <c r="I233" s="4">
        <v>607503.35999999999</v>
      </c>
      <c r="J233" s="4">
        <v>171147.45</v>
      </c>
      <c r="K233" s="6">
        <v>0.2198</v>
      </c>
      <c r="L233" s="28">
        <v>4.5199999999999996</v>
      </c>
    </row>
    <row r="234" spans="1:12" x14ac:dyDescent="0.3">
      <c r="A234" t="s">
        <v>192</v>
      </c>
      <c r="B234" s="25">
        <v>45991</v>
      </c>
      <c r="C234" t="s">
        <v>322</v>
      </c>
      <c r="D234" s="4">
        <v>1165051.52</v>
      </c>
      <c r="E234" s="4">
        <v>93204.12</v>
      </c>
      <c r="F234" s="4">
        <v>1071847.3999999999</v>
      </c>
      <c r="G234" s="6">
        <v>0.24629999999999999</v>
      </c>
      <c r="H234" s="4">
        <v>1019929.3</v>
      </c>
      <c r="I234" s="4">
        <v>795748.84</v>
      </c>
      <c r="J234" s="4">
        <v>224180.46</v>
      </c>
      <c r="K234" s="6">
        <v>0.2198</v>
      </c>
      <c r="L234" s="28">
        <v>4.5199999999999996</v>
      </c>
    </row>
    <row r="235" spans="1:12" x14ac:dyDescent="0.3">
      <c r="A235" t="s">
        <v>192</v>
      </c>
      <c r="B235" s="25">
        <v>45991</v>
      </c>
      <c r="C235" t="s">
        <v>321</v>
      </c>
      <c r="D235" s="4">
        <v>174912.1</v>
      </c>
      <c r="E235" s="4">
        <v>13992.97</v>
      </c>
      <c r="F235" s="4">
        <v>160919.13</v>
      </c>
      <c r="G235" s="6">
        <v>3.6999999999999998E-2</v>
      </c>
      <c r="H235" s="4">
        <v>153124.54</v>
      </c>
      <c r="I235" s="4">
        <v>119467.76</v>
      </c>
      <c r="J235" s="4">
        <v>33656.769999999997</v>
      </c>
      <c r="K235" s="6">
        <v>0.2198</v>
      </c>
      <c r="L235" s="28">
        <v>4.5199999999999996</v>
      </c>
    </row>
    <row r="236" spans="1:12" x14ac:dyDescent="0.3">
      <c r="A236" t="s">
        <v>192</v>
      </c>
      <c r="B236" s="25">
        <v>45991</v>
      </c>
      <c r="C236" t="s">
        <v>320</v>
      </c>
      <c r="D236" s="4">
        <v>444209.83</v>
      </c>
      <c r="E236" s="4">
        <v>35536.79</v>
      </c>
      <c r="F236" s="4">
        <v>408673.04</v>
      </c>
      <c r="G236" s="6">
        <v>9.3899999999999997E-2</v>
      </c>
      <c r="H236" s="4">
        <v>388877.75</v>
      </c>
      <c r="I236" s="4">
        <v>303402.42</v>
      </c>
      <c r="J236" s="4">
        <v>85475.33</v>
      </c>
      <c r="K236" s="6">
        <v>0.2198</v>
      </c>
      <c r="L236" s="28">
        <v>4.5199999999999996</v>
      </c>
    </row>
    <row r="237" spans="1:12" x14ac:dyDescent="0.3">
      <c r="A237" t="s">
        <v>192</v>
      </c>
      <c r="B237" s="25">
        <v>45991</v>
      </c>
      <c r="C237" t="s">
        <v>319</v>
      </c>
      <c r="D237" s="4">
        <v>51545.96</v>
      </c>
      <c r="E237" s="4">
        <v>4123.68</v>
      </c>
      <c r="F237" s="4">
        <v>47422.28</v>
      </c>
      <c r="G237" s="6">
        <v>1.09E-2</v>
      </c>
      <c r="H237" s="4">
        <v>45125.25</v>
      </c>
      <c r="I237" s="4">
        <v>35206.720000000001</v>
      </c>
      <c r="J237" s="4">
        <v>9918.5300000000007</v>
      </c>
      <c r="K237" s="6">
        <v>0.2198</v>
      </c>
      <c r="L237" s="28">
        <v>4.5199999999999996</v>
      </c>
    </row>
    <row r="238" spans="1:12" x14ac:dyDescent="0.3">
      <c r="A238" t="s">
        <v>192</v>
      </c>
      <c r="B238" s="25">
        <v>45991</v>
      </c>
      <c r="C238" t="s">
        <v>268</v>
      </c>
      <c r="D238" s="4">
        <v>438008.61</v>
      </c>
      <c r="E238" s="4">
        <v>35040.69</v>
      </c>
      <c r="F238" s="4">
        <v>402967.92</v>
      </c>
      <c r="G238" s="6">
        <v>9.2600000000000002E-2</v>
      </c>
      <c r="H238" s="4">
        <v>383448.97</v>
      </c>
      <c r="I238" s="4">
        <v>299166.89</v>
      </c>
      <c r="J238" s="4">
        <v>84282.08</v>
      </c>
      <c r="K238" s="6">
        <v>0.2198</v>
      </c>
      <c r="L238" s="28">
        <v>4.5199999999999996</v>
      </c>
    </row>
    <row r="239" spans="1:12" x14ac:dyDescent="0.3">
      <c r="A239" t="s">
        <v>192</v>
      </c>
      <c r="B239" s="25">
        <v>45991</v>
      </c>
      <c r="C239" t="s">
        <v>318</v>
      </c>
      <c r="D239" s="4">
        <v>588341.34</v>
      </c>
      <c r="E239" s="4">
        <v>47067.31</v>
      </c>
      <c r="F239" s="4">
        <v>541274.04</v>
      </c>
      <c r="G239" s="6">
        <v>0.1244</v>
      </c>
      <c r="H239" s="4">
        <v>515055.82</v>
      </c>
      <c r="I239" s="4">
        <v>401846.55</v>
      </c>
      <c r="J239" s="4">
        <v>113209.27</v>
      </c>
      <c r="K239" s="6">
        <v>0.2198</v>
      </c>
      <c r="L239" s="28">
        <v>4.5199999999999996</v>
      </c>
    </row>
    <row r="240" spans="1:12" x14ac:dyDescent="0.3">
      <c r="A240" t="s">
        <v>192</v>
      </c>
      <c r="B240" s="25">
        <v>45991</v>
      </c>
      <c r="C240" t="s">
        <v>317</v>
      </c>
      <c r="D240" s="4">
        <v>424734.57</v>
      </c>
      <c r="E240" s="4">
        <v>33978.769999999997</v>
      </c>
      <c r="F240" s="4">
        <v>390755.8</v>
      </c>
      <c r="G240" s="6">
        <v>8.9800000000000005E-2</v>
      </c>
      <c r="H240" s="4">
        <v>371828.39</v>
      </c>
      <c r="I240" s="4">
        <v>290100.51</v>
      </c>
      <c r="J240" s="4">
        <v>81727.88</v>
      </c>
      <c r="K240" s="6">
        <v>0.2198</v>
      </c>
      <c r="L240" s="28">
        <v>4.5199999999999996</v>
      </c>
    </row>
    <row r="241" spans="1:12" x14ac:dyDescent="0.3">
      <c r="A241" t="s">
        <v>192</v>
      </c>
      <c r="B241" s="25">
        <v>45991</v>
      </c>
      <c r="C241" t="s">
        <v>316</v>
      </c>
      <c r="D241" s="4">
        <v>348472.67</v>
      </c>
      <c r="E241" s="4">
        <v>27877.81</v>
      </c>
      <c r="F241" s="4">
        <v>320594.86</v>
      </c>
      <c r="G241" s="6">
        <v>7.3700000000000002E-2</v>
      </c>
      <c r="H241" s="4">
        <v>305065.90000000002</v>
      </c>
      <c r="I241" s="4">
        <v>238012.41</v>
      </c>
      <c r="J241" s="4">
        <v>67053.48</v>
      </c>
      <c r="K241" s="6">
        <v>0.2198</v>
      </c>
      <c r="L241" s="28">
        <v>4.5199999999999996</v>
      </c>
    </row>
    <row r="242" spans="1:12" x14ac:dyDescent="0.3">
      <c r="A242" t="s">
        <v>191</v>
      </c>
      <c r="B242" s="25">
        <v>45657</v>
      </c>
      <c r="C242" t="s">
        <v>324</v>
      </c>
      <c r="D242" s="4">
        <v>185312.06</v>
      </c>
      <c r="E242" s="4">
        <v>14824.96</v>
      </c>
      <c r="F242" s="4">
        <v>170487.1</v>
      </c>
      <c r="G242" s="6">
        <v>4.9500000000000002E-2</v>
      </c>
      <c r="H242" s="4">
        <v>162871.42000000001</v>
      </c>
      <c r="I242" s="4">
        <v>134450.35999999999</v>
      </c>
      <c r="J242" s="4">
        <v>28421.06</v>
      </c>
      <c r="K242" s="6">
        <v>0.17449999999999999</v>
      </c>
      <c r="L242" s="28">
        <v>4.5</v>
      </c>
    </row>
    <row r="243" spans="1:12" x14ac:dyDescent="0.3">
      <c r="A243" t="s">
        <v>191</v>
      </c>
      <c r="B243" s="25">
        <v>45657</v>
      </c>
      <c r="C243" t="s">
        <v>323</v>
      </c>
      <c r="D243" s="4">
        <v>594450.68000000005</v>
      </c>
      <c r="E243" s="4">
        <v>47556.05</v>
      </c>
      <c r="F243" s="4">
        <v>546894.63</v>
      </c>
      <c r="G243" s="6">
        <v>0.15859999999999999</v>
      </c>
      <c r="H243" s="4">
        <v>522464.8</v>
      </c>
      <c r="I243" s="4">
        <v>431294.69</v>
      </c>
      <c r="J243" s="4">
        <v>91170.11</v>
      </c>
      <c r="K243" s="6">
        <v>0.17449999999999999</v>
      </c>
      <c r="L243" s="28">
        <v>4.5</v>
      </c>
    </row>
    <row r="244" spans="1:12" x14ac:dyDescent="0.3">
      <c r="A244" t="s">
        <v>191</v>
      </c>
      <c r="B244" s="25">
        <v>45657</v>
      </c>
      <c r="C244" t="s">
        <v>322</v>
      </c>
      <c r="D244" s="4">
        <v>378550.44</v>
      </c>
      <c r="E244" s="4">
        <v>30284.04</v>
      </c>
      <c r="F244" s="4">
        <v>348266.4</v>
      </c>
      <c r="G244" s="6">
        <v>0.10100000000000001</v>
      </c>
      <c r="H244" s="4">
        <v>332709.31</v>
      </c>
      <c r="I244" s="4">
        <v>274651.53999999998</v>
      </c>
      <c r="J244" s="4">
        <v>58057.78</v>
      </c>
      <c r="K244" s="6">
        <v>0.17449999999999999</v>
      </c>
      <c r="L244" s="28">
        <v>4.5</v>
      </c>
    </row>
    <row r="245" spans="1:12" x14ac:dyDescent="0.3">
      <c r="A245" t="s">
        <v>191</v>
      </c>
      <c r="B245" s="25">
        <v>45657</v>
      </c>
      <c r="C245" t="s">
        <v>321</v>
      </c>
      <c r="D245" s="4">
        <v>362427.68</v>
      </c>
      <c r="E245" s="4">
        <v>28994.21</v>
      </c>
      <c r="F245" s="4">
        <v>333433.46000000002</v>
      </c>
      <c r="G245" s="6">
        <v>9.6699999999999994E-2</v>
      </c>
      <c r="H245" s="4">
        <v>318538.96000000002</v>
      </c>
      <c r="I245" s="4">
        <v>262953.90999999997</v>
      </c>
      <c r="J245" s="4">
        <v>55585.05</v>
      </c>
      <c r="K245" s="6">
        <v>0.17449999999999999</v>
      </c>
      <c r="L245" s="28">
        <v>4.5</v>
      </c>
    </row>
    <row r="246" spans="1:12" x14ac:dyDescent="0.3">
      <c r="A246" t="s">
        <v>191</v>
      </c>
      <c r="B246" s="25">
        <v>45657</v>
      </c>
      <c r="C246" t="s">
        <v>320</v>
      </c>
      <c r="D246" s="4">
        <v>274585.99</v>
      </c>
      <c r="E246" s="4">
        <v>21966.880000000001</v>
      </c>
      <c r="F246" s="4">
        <v>252619.11</v>
      </c>
      <c r="G246" s="6">
        <v>7.3300000000000004E-2</v>
      </c>
      <c r="H246" s="4">
        <v>241334.6</v>
      </c>
      <c r="I246" s="4">
        <v>199221.71</v>
      </c>
      <c r="J246" s="4">
        <v>42112.89</v>
      </c>
      <c r="K246" s="6">
        <v>0.17449999999999999</v>
      </c>
      <c r="L246" s="28">
        <v>4.5</v>
      </c>
    </row>
    <row r="247" spans="1:12" x14ac:dyDescent="0.3">
      <c r="A247" t="s">
        <v>191</v>
      </c>
      <c r="B247" s="25">
        <v>45657</v>
      </c>
      <c r="C247" t="s">
        <v>319</v>
      </c>
      <c r="D247" s="4">
        <v>227533.16</v>
      </c>
      <c r="E247" s="4">
        <v>18202.650000000001</v>
      </c>
      <c r="F247" s="4">
        <v>209330.5</v>
      </c>
      <c r="G247" s="6">
        <v>6.0699999999999997E-2</v>
      </c>
      <c r="H247" s="4">
        <v>199979.69</v>
      </c>
      <c r="I247" s="4">
        <v>165083.24</v>
      </c>
      <c r="J247" s="4">
        <v>34896.46</v>
      </c>
      <c r="K247" s="6">
        <v>0.17449999999999999</v>
      </c>
      <c r="L247" s="28">
        <v>4.5</v>
      </c>
    </row>
    <row r="248" spans="1:12" x14ac:dyDescent="0.3">
      <c r="A248" t="s">
        <v>191</v>
      </c>
      <c r="B248" s="25">
        <v>45657</v>
      </c>
      <c r="C248" t="s">
        <v>268</v>
      </c>
      <c r="D248" s="4">
        <v>232784.98</v>
      </c>
      <c r="E248" s="4">
        <v>18622.8</v>
      </c>
      <c r="F248" s="4">
        <v>214162.18</v>
      </c>
      <c r="G248" s="6">
        <v>6.2100000000000002E-2</v>
      </c>
      <c r="H248" s="4">
        <v>204595.54</v>
      </c>
      <c r="I248" s="4">
        <v>168893.62</v>
      </c>
      <c r="J248" s="4">
        <v>35701.919999999998</v>
      </c>
      <c r="K248" s="6">
        <v>0.17449999999999999</v>
      </c>
      <c r="L248" s="28">
        <v>4.5</v>
      </c>
    </row>
    <row r="249" spans="1:12" x14ac:dyDescent="0.3">
      <c r="A249" t="s">
        <v>191</v>
      </c>
      <c r="B249" s="25">
        <v>45657</v>
      </c>
      <c r="C249" t="s">
        <v>318</v>
      </c>
      <c r="D249" s="4">
        <v>404741.68</v>
      </c>
      <c r="E249" s="4">
        <v>32379.33</v>
      </c>
      <c r="F249" s="4">
        <v>372362.35</v>
      </c>
      <c r="G249" s="6">
        <v>0.108</v>
      </c>
      <c r="H249" s="4">
        <v>355728.89</v>
      </c>
      <c r="I249" s="4">
        <v>293654.2</v>
      </c>
      <c r="J249" s="4">
        <v>62074.69</v>
      </c>
      <c r="K249" s="6">
        <v>0.17449999999999999</v>
      </c>
      <c r="L249" s="28">
        <v>4.5</v>
      </c>
    </row>
    <row r="250" spans="1:12" x14ac:dyDescent="0.3">
      <c r="A250" t="s">
        <v>191</v>
      </c>
      <c r="B250" s="25">
        <v>45657</v>
      </c>
      <c r="C250" t="s">
        <v>317</v>
      </c>
      <c r="D250" s="4">
        <v>678331.74</v>
      </c>
      <c r="E250" s="4">
        <v>54266.54</v>
      </c>
      <c r="F250" s="4">
        <v>624065.19999999995</v>
      </c>
      <c r="G250" s="6">
        <v>0.18099999999999999</v>
      </c>
      <c r="H250" s="4">
        <v>596188.15</v>
      </c>
      <c r="I250" s="4">
        <v>492153.32</v>
      </c>
      <c r="J250" s="4">
        <v>104034.83</v>
      </c>
      <c r="K250" s="6">
        <v>0.17449999999999999</v>
      </c>
      <c r="L250" s="28">
        <v>4.5</v>
      </c>
    </row>
    <row r="251" spans="1:12" x14ac:dyDescent="0.3">
      <c r="A251" t="s">
        <v>191</v>
      </c>
      <c r="B251" s="25">
        <v>45657</v>
      </c>
      <c r="C251" t="s">
        <v>316</v>
      </c>
      <c r="D251" s="4">
        <v>408364.36</v>
      </c>
      <c r="E251" s="4">
        <v>32669.15</v>
      </c>
      <c r="F251" s="4">
        <v>375695.21</v>
      </c>
      <c r="G251" s="6">
        <v>0.109</v>
      </c>
      <c r="H251" s="4">
        <v>358912.87</v>
      </c>
      <c r="I251" s="4">
        <v>296282.58</v>
      </c>
      <c r="J251" s="4">
        <v>62630.3</v>
      </c>
      <c r="K251" s="6">
        <v>0.17449999999999999</v>
      </c>
      <c r="L251" s="28">
        <v>4.5</v>
      </c>
    </row>
    <row r="252" spans="1:12" x14ac:dyDescent="0.3">
      <c r="A252" t="s">
        <v>191</v>
      </c>
      <c r="B252" s="25">
        <v>45688</v>
      </c>
      <c r="C252" t="s">
        <v>324</v>
      </c>
      <c r="D252" s="4">
        <v>459511.07</v>
      </c>
      <c r="E252" s="4">
        <v>36760.89</v>
      </c>
      <c r="F252" s="4">
        <v>422750.18</v>
      </c>
      <c r="G252" s="6">
        <v>0.1313</v>
      </c>
      <c r="H252" s="4">
        <v>424731.95</v>
      </c>
      <c r="I252" s="4">
        <v>359153.34</v>
      </c>
      <c r="J252" s="4">
        <v>65578.61</v>
      </c>
      <c r="K252" s="6">
        <v>0.15440000000000001</v>
      </c>
      <c r="L252" s="28">
        <v>4.28</v>
      </c>
    </row>
    <row r="253" spans="1:12" x14ac:dyDescent="0.3">
      <c r="A253" t="s">
        <v>191</v>
      </c>
      <c r="B253" s="25">
        <v>45688</v>
      </c>
      <c r="C253" t="s">
        <v>323</v>
      </c>
      <c r="D253" s="4">
        <v>663493.04</v>
      </c>
      <c r="E253" s="4">
        <v>53079.44</v>
      </c>
      <c r="F253" s="4">
        <v>610413.6</v>
      </c>
      <c r="G253" s="6">
        <v>0.1895</v>
      </c>
      <c r="H253" s="4">
        <v>613275.09</v>
      </c>
      <c r="I253" s="4">
        <v>518585.42</v>
      </c>
      <c r="J253" s="4">
        <v>94689.67</v>
      </c>
      <c r="K253" s="6">
        <v>0.15440000000000001</v>
      </c>
      <c r="L253" s="28">
        <v>4.28</v>
      </c>
    </row>
    <row r="254" spans="1:12" x14ac:dyDescent="0.3">
      <c r="A254" t="s">
        <v>191</v>
      </c>
      <c r="B254" s="25">
        <v>45688</v>
      </c>
      <c r="C254" t="s">
        <v>322</v>
      </c>
      <c r="D254" s="4">
        <v>469870.88</v>
      </c>
      <c r="E254" s="4">
        <v>37589.67</v>
      </c>
      <c r="F254" s="4">
        <v>432281.21</v>
      </c>
      <c r="G254" s="6">
        <v>0.13420000000000001</v>
      </c>
      <c r="H254" s="4">
        <v>434307.66</v>
      </c>
      <c r="I254" s="4">
        <v>367250.56</v>
      </c>
      <c r="J254" s="4">
        <v>67057.100000000006</v>
      </c>
      <c r="K254" s="6">
        <v>0.15440000000000001</v>
      </c>
      <c r="L254" s="28">
        <v>4.28</v>
      </c>
    </row>
    <row r="255" spans="1:12" x14ac:dyDescent="0.3">
      <c r="A255" t="s">
        <v>191</v>
      </c>
      <c r="B255" s="25">
        <v>45688</v>
      </c>
      <c r="C255" t="s">
        <v>321</v>
      </c>
      <c r="D255" s="4">
        <v>166654.44</v>
      </c>
      <c r="E255" s="4">
        <v>13332.36</v>
      </c>
      <c r="F255" s="4">
        <v>153322.09</v>
      </c>
      <c r="G255" s="6">
        <v>4.7600000000000003E-2</v>
      </c>
      <c r="H255" s="4">
        <v>154040.82999999999</v>
      </c>
      <c r="I255" s="4">
        <v>130256.93</v>
      </c>
      <c r="J255" s="4">
        <v>23783.9</v>
      </c>
      <c r="K255" s="6">
        <v>0.15440000000000001</v>
      </c>
      <c r="L255" s="28">
        <v>4.28</v>
      </c>
    </row>
    <row r="256" spans="1:12" x14ac:dyDescent="0.3">
      <c r="A256" t="s">
        <v>191</v>
      </c>
      <c r="B256" s="25">
        <v>45688</v>
      </c>
      <c r="C256" t="s">
        <v>320</v>
      </c>
      <c r="D256" s="4">
        <v>390123.08</v>
      </c>
      <c r="E256" s="4">
        <v>31209.85</v>
      </c>
      <c r="F256" s="4">
        <v>358913.23</v>
      </c>
      <c r="G256" s="6">
        <v>0.1114</v>
      </c>
      <c r="H256" s="4">
        <v>360595.74</v>
      </c>
      <c r="I256" s="4">
        <v>304919.76</v>
      </c>
      <c r="J256" s="4">
        <v>55675.98</v>
      </c>
      <c r="K256" s="6">
        <v>0.15440000000000001</v>
      </c>
      <c r="L256" s="28">
        <v>4.28</v>
      </c>
    </row>
    <row r="257" spans="1:12" x14ac:dyDescent="0.3">
      <c r="A257" t="s">
        <v>191</v>
      </c>
      <c r="B257" s="25">
        <v>45688</v>
      </c>
      <c r="C257" t="s">
        <v>319</v>
      </c>
      <c r="D257" s="4">
        <v>94704.08</v>
      </c>
      <c r="E257" s="4">
        <v>7576.33</v>
      </c>
      <c r="F257" s="4">
        <v>87127.75</v>
      </c>
      <c r="G257" s="6">
        <v>2.7099999999999999E-2</v>
      </c>
      <c r="H257" s="4">
        <v>87536.19</v>
      </c>
      <c r="I257" s="4">
        <v>74020.600000000006</v>
      </c>
      <c r="J257" s="4">
        <v>13515.59</v>
      </c>
      <c r="K257" s="6">
        <v>0.15440000000000001</v>
      </c>
      <c r="L257" s="28">
        <v>4.28</v>
      </c>
    </row>
    <row r="258" spans="1:12" x14ac:dyDescent="0.3">
      <c r="A258" t="s">
        <v>191</v>
      </c>
      <c r="B258" s="25">
        <v>45688</v>
      </c>
      <c r="C258" t="s">
        <v>268</v>
      </c>
      <c r="D258" s="4">
        <v>112265.54</v>
      </c>
      <c r="E258" s="4">
        <v>8981.24</v>
      </c>
      <c r="F258" s="4">
        <v>103284.29</v>
      </c>
      <c r="G258" s="6">
        <v>3.2099999999999997E-2</v>
      </c>
      <c r="H258" s="4">
        <v>103768.47</v>
      </c>
      <c r="I258" s="4">
        <v>87746.62</v>
      </c>
      <c r="J258" s="4">
        <v>16021.85</v>
      </c>
      <c r="K258" s="6">
        <v>0.15440000000000001</v>
      </c>
      <c r="L258" s="28">
        <v>4.28</v>
      </c>
    </row>
    <row r="259" spans="1:12" x14ac:dyDescent="0.3">
      <c r="A259" t="s">
        <v>191</v>
      </c>
      <c r="B259" s="25">
        <v>45688</v>
      </c>
      <c r="C259" t="s">
        <v>318</v>
      </c>
      <c r="D259" s="4">
        <v>310105.45</v>
      </c>
      <c r="E259" s="4">
        <v>24808.44</v>
      </c>
      <c r="F259" s="4">
        <v>285297.01</v>
      </c>
      <c r="G259" s="6">
        <v>8.8599999999999998E-2</v>
      </c>
      <c r="H259" s="4">
        <v>286634.43</v>
      </c>
      <c r="I259" s="4">
        <v>242378.07</v>
      </c>
      <c r="J259" s="4">
        <v>44256.36</v>
      </c>
      <c r="K259" s="6">
        <v>0.15440000000000001</v>
      </c>
      <c r="L259" s="28">
        <v>4.28</v>
      </c>
    </row>
    <row r="260" spans="1:12" x14ac:dyDescent="0.3">
      <c r="A260" t="s">
        <v>191</v>
      </c>
      <c r="B260" s="25">
        <v>45688</v>
      </c>
      <c r="C260" t="s">
        <v>317</v>
      </c>
      <c r="D260" s="4">
        <v>473101.28</v>
      </c>
      <c r="E260" s="4">
        <v>37848.1</v>
      </c>
      <c r="F260" s="4">
        <v>435253.18</v>
      </c>
      <c r="G260" s="6">
        <v>0.1351</v>
      </c>
      <c r="H260" s="4">
        <v>437293.56</v>
      </c>
      <c r="I260" s="4">
        <v>369775.43</v>
      </c>
      <c r="J260" s="4">
        <v>67518.13</v>
      </c>
      <c r="K260" s="6">
        <v>0.15440000000000001</v>
      </c>
      <c r="L260" s="28">
        <v>4.28</v>
      </c>
    </row>
    <row r="261" spans="1:12" x14ac:dyDescent="0.3">
      <c r="A261" t="s">
        <v>191</v>
      </c>
      <c r="B261" s="25">
        <v>45688</v>
      </c>
      <c r="C261" t="s">
        <v>316</v>
      </c>
      <c r="D261" s="4">
        <v>361017.61</v>
      </c>
      <c r="E261" s="4">
        <v>28881.41</v>
      </c>
      <c r="F261" s="4">
        <v>332136.2</v>
      </c>
      <c r="G261" s="6">
        <v>0.1031</v>
      </c>
      <c r="H261" s="4">
        <v>333693.19</v>
      </c>
      <c r="I261" s="4">
        <v>282170.96000000002</v>
      </c>
      <c r="J261" s="4">
        <v>51522.23</v>
      </c>
      <c r="K261" s="6">
        <v>0.15440000000000001</v>
      </c>
      <c r="L261" s="28">
        <v>4.28</v>
      </c>
    </row>
    <row r="262" spans="1:12" x14ac:dyDescent="0.3">
      <c r="A262" t="s">
        <v>191</v>
      </c>
      <c r="B262" s="25">
        <v>45716</v>
      </c>
      <c r="C262" t="s">
        <v>324</v>
      </c>
      <c r="D262" s="4">
        <v>478393.26</v>
      </c>
      <c r="E262" s="4">
        <v>38271.46</v>
      </c>
      <c r="F262" s="4">
        <v>440121.8</v>
      </c>
      <c r="G262" s="6">
        <v>0.12759999999999999</v>
      </c>
      <c r="H262" s="4">
        <v>432298.9</v>
      </c>
      <c r="I262" s="4">
        <v>364471.2</v>
      </c>
      <c r="J262" s="4">
        <v>67827.7</v>
      </c>
      <c r="K262" s="6">
        <v>0.15690000000000001</v>
      </c>
      <c r="L262" s="28">
        <v>4.38</v>
      </c>
    </row>
    <row r="263" spans="1:12" x14ac:dyDescent="0.3">
      <c r="A263" t="s">
        <v>191</v>
      </c>
      <c r="B263" s="25">
        <v>45716</v>
      </c>
      <c r="C263" t="s">
        <v>323</v>
      </c>
      <c r="D263" s="4">
        <v>649363.96</v>
      </c>
      <c r="E263" s="4">
        <v>51949.120000000003</v>
      </c>
      <c r="F263" s="4">
        <v>597414.84</v>
      </c>
      <c r="G263" s="6">
        <v>0.17319999999999999</v>
      </c>
      <c r="H263" s="4">
        <v>586796.15</v>
      </c>
      <c r="I263" s="4">
        <v>494727.84</v>
      </c>
      <c r="J263" s="4">
        <v>92068.32</v>
      </c>
      <c r="K263" s="6">
        <v>0.15690000000000001</v>
      </c>
      <c r="L263" s="28">
        <v>4.38</v>
      </c>
    </row>
    <row r="264" spans="1:12" x14ac:dyDescent="0.3">
      <c r="A264" t="s">
        <v>191</v>
      </c>
      <c r="B264" s="25">
        <v>45716</v>
      </c>
      <c r="C264" t="s">
        <v>322</v>
      </c>
      <c r="D264" s="4">
        <v>506529.76</v>
      </c>
      <c r="E264" s="4">
        <v>40522.379999999997</v>
      </c>
      <c r="F264" s="4">
        <v>466007.38</v>
      </c>
      <c r="G264" s="6">
        <v>0.1351</v>
      </c>
      <c r="H264" s="4">
        <v>457724.38</v>
      </c>
      <c r="I264" s="4">
        <v>385907.42</v>
      </c>
      <c r="J264" s="4">
        <v>71816.960000000006</v>
      </c>
      <c r="K264" s="6">
        <v>0.15690000000000001</v>
      </c>
      <c r="L264" s="28">
        <v>4.38</v>
      </c>
    </row>
    <row r="265" spans="1:12" x14ac:dyDescent="0.3">
      <c r="A265" t="s">
        <v>191</v>
      </c>
      <c r="B265" s="25">
        <v>45716</v>
      </c>
      <c r="C265" t="s">
        <v>321</v>
      </c>
      <c r="D265" s="4">
        <v>128711.53</v>
      </c>
      <c r="E265" s="4">
        <v>10296.92</v>
      </c>
      <c r="F265" s="4">
        <v>118414.61</v>
      </c>
      <c r="G265" s="6">
        <v>3.4299999999999997E-2</v>
      </c>
      <c r="H265" s="4">
        <v>116309.86</v>
      </c>
      <c r="I265" s="4">
        <v>98060.85</v>
      </c>
      <c r="J265" s="4">
        <v>18249.02</v>
      </c>
      <c r="K265" s="6">
        <v>0.15690000000000001</v>
      </c>
      <c r="L265" s="28">
        <v>4.38</v>
      </c>
    </row>
    <row r="266" spans="1:12" x14ac:dyDescent="0.3">
      <c r="A266" t="s">
        <v>191</v>
      </c>
      <c r="B266" s="25">
        <v>45716</v>
      </c>
      <c r="C266" t="s">
        <v>320</v>
      </c>
      <c r="D266" s="4">
        <v>284131.8</v>
      </c>
      <c r="E266" s="4">
        <v>22730.54</v>
      </c>
      <c r="F266" s="4">
        <v>261401.26</v>
      </c>
      <c r="G266" s="6">
        <v>7.5800000000000006E-2</v>
      </c>
      <c r="H266" s="4">
        <v>256755.01</v>
      </c>
      <c r="I266" s="4">
        <v>216470.15</v>
      </c>
      <c r="J266" s="4">
        <v>40284.86</v>
      </c>
      <c r="K266" s="6">
        <v>0.15690000000000001</v>
      </c>
      <c r="L266" s="28">
        <v>4.38</v>
      </c>
    </row>
    <row r="267" spans="1:12" x14ac:dyDescent="0.3">
      <c r="A267" t="s">
        <v>191</v>
      </c>
      <c r="B267" s="25">
        <v>45716</v>
      </c>
      <c r="C267" t="s">
        <v>319</v>
      </c>
      <c r="D267" s="4">
        <v>194468.41</v>
      </c>
      <c r="E267" s="4">
        <v>15557.47</v>
      </c>
      <c r="F267" s="4">
        <v>178910.94</v>
      </c>
      <c r="G267" s="6">
        <v>5.1900000000000002E-2</v>
      </c>
      <c r="H267" s="4">
        <v>175730.9</v>
      </c>
      <c r="I267" s="4">
        <v>148158.72</v>
      </c>
      <c r="J267" s="4">
        <v>27572.18</v>
      </c>
      <c r="K267" s="6">
        <v>0.15690000000000001</v>
      </c>
      <c r="L267" s="28">
        <v>4.38</v>
      </c>
    </row>
    <row r="268" spans="1:12" x14ac:dyDescent="0.3">
      <c r="A268" t="s">
        <v>191</v>
      </c>
      <c r="B268" s="25">
        <v>45716</v>
      </c>
      <c r="C268" t="s">
        <v>268</v>
      </c>
      <c r="D268" s="4">
        <v>229803.92</v>
      </c>
      <c r="E268" s="4">
        <v>18384.310000000001</v>
      </c>
      <c r="F268" s="4">
        <v>211419.6</v>
      </c>
      <c r="G268" s="6">
        <v>6.13E-2</v>
      </c>
      <c r="H268" s="4">
        <v>207661.75</v>
      </c>
      <c r="I268" s="4">
        <v>175079.62</v>
      </c>
      <c r="J268" s="4">
        <v>32582.13</v>
      </c>
      <c r="K268" s="6">
        <v>0.15690000000000001</v>
      </c>
      <c r="L268" s="28">
        <v>4.38</v>
      </c>
    </row>
    <row r="269" spans="1:12" x14ac:dyDescent="0.3">
      <c r="A269" t="s">
        <v>191</v>
      </c>
      <c r="B269" s="25">
        <v>45716</v>
      </c>
      <c r="C269" t="s">
        <v>318</v>
      </c>
      <c r="D269" s="4">
        <v>421949.23</v>
      </c>
      <c r="E269" s="4">
        <v>33755.94</v>
      </c>
      <c r="F269" s="4">
        <v>388193.29</v>
      </c>
      <c r="G269" s="6">
        <v>0.11260000000000001</v>
      </c>
      <c r="H269" s="4">
        <v>381293.39</v>
      </c>
      <c r="I269" s="4">
        <v>321468.46000000002</v>
      </c>
      <c r="J269" s="4">
        <v>59824.93</v>
      </c>
      <c r="K269" s="6">
        <v>0.15690000000000001</v>
      </c>
      <c r="L269" s="28">
        <v>4.38</v>
      </c>
    </row>
    <row r="270" spans="1:12" x14ac:dyDescent="0.3">
      <c r="A270" t="s">
        <v>191</v>
      </c>
      <c r="B270" s="25">
        <v>45716</v>
      </c>
      <c r="C270" t="s">
        <v>317</v>
      </c>
      <c r="D270" s="4">
        <v>450923.09</v>
      </c>
      <c r="E270" s="4">
        <v>36073.85</v>
      </c>
      <c r="F270" s="4">
        <v>414849.25</v>
      </c>
      <c r="G270" s="6">
        <v>0.1203</v>
      </c>
      <c r="H270" s="4">
        <v>407475.55</v>
      </c>
      <c r="I270" s="4">
        <v>343542.64</v>
      </c>
      <c r="J270" s="4">
        <v>63932.91</v>
      </c>
      <c r="K270" s="6">
        <v>0.15690000000000001</v>
      </c>
      <c r="L270" s="28">
        <v>4.38</v>
      </c>
    </row>
    <row r="271" spans="1:12" x14ac:dyDescent="0.3">
      <c r="A271" t="s">
        <v>191</v>
      </c>
      <c r="B271" s="25">
        <v>45716</v>
      </c>
      <c r="C271" t="s">
        <v>316</v>
      </c>
      <c r="D271" s="4">
        <v>404427.24</v>
      </c>
      <c r="E271" s="4">
        <v>32354.18</v>
      </c>
      <c r="F271" s="4">
        <v>372073.06</v>
      </c>
      <c r="G271" s="6">
        <v>0.1079</v>
      </c>
      <c r="H271" s="4">
        <v>365459.69</v>
      </c>
      <c r="I271" s="4">
        <v>308119.07</v>
      </c>
      <c r="J271" s="4">
        <v>57340.63</v>
      </c>
      <c r="K271" s="6">
        <v>0.15690000000000001</v>
      </c>
      <c r="L271" s="28">
        <v>4.38</v>
      </c>
    </row>
    <row r="272" spans="1:12" x14ac:dyDescent="0.3">
      <c r="A272" t="s">
        <v>191</v>
      </c>
      <c r="B272" s="25">
        <v>45747</v>
      </c>
      <c r="C272" t="s">
        <v>324</v>
      </c>
      <c r="D272" s="4">
        <v>146281.46</v>
      </c>
      <c r="E272" s="4">
        <v>11702.52</v>
      </c>
      <c r="F272" s="4">
        <v>134578.94</v>
      </c>
      <c r="G272" s="6">
        <v>4.2500000000000003E-2</v>
      </c>
      <c r="H272" s="4">
        <v>133701.49</v>
      </c>
      <c r="I272" s="4">
        <v>112255.77</v>
      </c>
      <c r="J272" s="4">
        <v>21445.72</v>
      </c>
      <c r="K272" s="6">
        <v>0.16039999999999999</v>
      </c>
      <c r="L272" s="28">
        <v>4.33</v>
      </c>
    </row>
    <row r="273" spans="1:12" x14ac:dyDescent="0.3">
      <c r="A273" t="s">
        <v>191</v>
      </c>
      <c r="B273" s="25">
        <v>45747</v>
      </c>
      <c r="C273" t="s">
        <v>323</v>
      </c>
      <c r="D273" s="4">
        <v>721542.75</v>
      </c>
      <c r="E273" s="4">
        <v>57723.42</v>
      </c>
      <c r="F273" s="4">
        <v>663819.32999999996</v>
      </c>
      <c r="G273" s="6">
        <v>0.2094</v>
      </c>
      <c r="H273" s="4">
        <v>659491.24</v>
      </c>
      <c r="I273" s="4">
        <v>553708.85</v>
      </c>
      <c r="J273" s="4">
        <v>105782.39</v>
      </c>
      <c r="K273" s="6">
        <v>0.16039999999999999</v>
      </c>
      <c r="L273" s="28">
        <v>4.33</v>
      </c>
    </row>
    <row r="274" spans="1:12" x14ac:dyDescent="0.3">
      <c r="A274" t="s">
        <v>191</v>
      </c>
      <c r="B274" s="25">
        <v>45747</v>
      </c>
      <c r="C274" t="s">
        <v>322</v>
      </c>
      <c r="D274" s="4">
        <v>617017.61</v>
      </c>
      <c r="E274" s="4">
        <v>49361.41</v>
      </c>
      <c r="F274" s="4">
        <v>567656.19999999995</v>
      </c>
      <c r="G274" s="6">
        <v>0.17910000000000001</v>
      </c>
      <c r="H274" s="4">
        <v>563955.09</v>
      </c>
      <c r="I274" s="4">
        <v>473496.69</v>
      </c>
      <c r="J274" s="4">
        <v>90458.4</v>
      </c>
      <c r="K274" s="6">
        <v>0.16039999999999999</v>
      </c>
      <c r="L274" s="28">
        <v>4.33</v>
      </c>
    </row>
    <row r="275" spans="1:12" x14ac:dyDescent="0.3">
      <c r="A275" t="s">
        <v>191</v>
      </c>
      <c r="B275" s="25">
        <v>45747</v>
      </c>
      <c r="C275" t="s">
        <v>321</v>
      </c>
      <c r="D275" s="4">
        <v>227480.93</v>
      </c>
      <c r="E275" s="4">
        <v>18198.47</v>
      </c>
      <c r="F275" s="4">
        <v>209282.46</v>
      </c>
      <c r="G275" s="6">
        <v>6.6000000000000003E-2</v>
      </c>
      <c r="H275" s="4">
        <v>207917.94</v>
      </c>
      <c r="I275" s="4">
        <v>174567.9</v>
      </c>
      <c r="J275" s="4">
        <v>33350.04</v>
      </c>
      <c r="K275" s="6">
        <v>0.16039999999999999</v>
      </c>
      <c r="L275" s="28">
        <v>4.33</v>
      </c>
    </row>
    <row r="276" spans="1:12" x14ac:dyDescent="0.3">
      <c r="A276" t="s">
        <v>191</v>
      </c>
      <c r="B276" s="25">
        <v>45747</v>
      </c>
      <c r="C276" t="s">
        <v>320</v>
      </c>
      <c r="D276" s="4">
        <v>413481.41</v>
      </c>
      <c r="E276" s="4">
        <v>33078.51</v>
      </c>
      <c r="F276" s="4">
        <v>380402.9</v>
      </c>
      <c r="G276" s="6">
        <v>0.12</v>
      </c>
      <c r="H276" s="4">
        <v>377922.68</v>
      </c>
      <c r="I276" s="4">
        <v>317303.88</v>
      </c>
      <c r="J276" s="4">
        <v>60618.8</v>
      </c>
      <c r="K276" s="6">
        <v>0.16039999999999999</v>
      </c>
      <c r="L276" s="28">
        <v>4.33</v>
      </c>
    </row>
    <row r="277" spans="1:12" x14ac:dyDescent="0.3">
      <c r="A277" t="s">
        <v>191</v>
      </c>
      <c r="B277" s="25">
        <v>45747</v>
      </c>
      <c r="C277" t="s">
        <v>319</v>
      </c>
      <c r="D277" s="4">
        <v>250087.43</v>
      </c>
      <c r="E277" s="4">
        <v>20006.990000000002</v>
      </c>
      <c r="F277" s="4">
        <v>230080.44</v>
      </c>
      <c r="G277" s="6">
        <v>7.2599999999999998E-2</v>
      </c>
      <c r="H277" s="4">
        <v>228580.32</v>
      </c>
      <c r="I277" s="4">
        <v>191916.04</v>
      </c>
      <c r="J277" s="4">
        <v>36664.28</v>
      </c>
      <c r="K277" s="6">
        <v>0.16039999999999999</v>
      </c>
      <c r="L277" s="28">
        <v>4.33</v>
      </c>
    </row>
    <row r="278" spans="1:12" x14ac:dyDescent="0.3">
      <c r="A278" t="s">
        <v>191</v>
      </c>
      <c r="B278" s="25">
        <v>45747</v>
      </c>
      <c r="C278" t="s">
        <v>268</v>
      </c>
      <c r="D278" s="4">
        <v>112852.07</v>
      </c>
      <c r="E278" s="4">
        <v>9028.17</v>
      </c>
      <c r="F278" s="4">
        <v>103823.91</v>
      </c>
      <c r="G278" s="6">
        <v>3.2800000000000003E-2</v>
      </c>
      <c r="H278" s="4">
        <v>103146.98</v>
      </c>
      <c r="I278" s="4">
        <v>86602.2</v>
      </c>
      <c r="J278" s="4">
        <v>16544.78</v>
      </c>
      <c r="K278" s="6">
        <v>0.16039999999999999</v>
      </c>
      <c r="L278" s="28">
        <v>4.33</v>
      </c>
    </row>
    <row r="279" spans="1:12" x14ac:dyDescent="0.3">
      <c r="A279" t="s">
        <v>191</v>
      </c>
      <c r="B279" s="25">
        <v>45747</v>
      </c>
      <c r="C279" t="s">
        <v>318</v>
      </c>
      <c r="D279" s="4">
        <v>357885.23</v>
      </c>
      <c r="E279" s="4">
        <v>28630.82</v>
      </c>
      <c r="F279" s="4">
        <v>329254.40999999997</v>
      </c>
      <c r="G279" s="6">
        <v>0.10390000000000001</v>
      </c>
      <c r="H279" s="4">
        <v>327107.67</v>
      </c>
      <c r="I279" s="4">
        <v>274639.59999999998</v>
      </c>
      <c r="J279" s="4">
        <v>52468.07</v>
      </c>
      <c r="K279" s="6">
        <v>0.16039999999999999</v>
      </c>
      <c r="L279" s="28">
        <v>4.33</v>
      </c>
    </row>
    <row r="280" spans="1:12" x14ac:dyDescent="0.3">
      <c r="A280" t="s">
        <v>191</v>
      </c>
      <c r="B280" s="25">
        <v>45747</v>
      </c>
      <c r="C280" t="s">
        <v>317</v>
      </c>
      <c r="D280" s="4">
        <v>335866.72</v>
      </c>
      <c r="E280" s="4">
        <v>26869.34</v>
      </c>
      <c r="F280" s="4">
        <v>308997.38</v>
      </c>
      <c r="G280" s="6">
        <v>9.7500000000000003E-2</v>
      </c>
      <c r="H280" s="4">
        <v>306982.71999999997</v>
      </c>
      <c r="I280" s="4">
        <v>257742.69</v>
      </c>
      <c r="J280" s="4">
        <v>49240.03</v>
      </c>
      <c r="K280" s="6">
        <v>0.16039999999999999</v>
      </c>
      <c r="L280" s="28">
        <v>4.33</v>
      </c>
    </row>
    <row r="281" spans="1:12" x14ac:dyDescent="0.3">
      <c r="A281" t="s">
        <v>191</v>
      </c>
      <c r="B281" s="25">
        <v>45747</v>
      </c>
      <c r="C281" t="s">
        <v>316</v>
      </c>
      <c r="D281" s="4">
        <v>262641.45</v>
      </c>
      <c r="E281" s="4">
        <v>21011.32</v>
      </c>
      <c r="F281" s="4">
        <v>241630.14</v>
      </c>
      <c r="G281" s="6">
        <v>7.6200000000000004E-2</v>
      </c>
      <c r="H281" s="4">
        <v>240054.71</v>
      </c>
      <c r="I281" s="4">
        <v>201549.94</v>
      </c>
      <c r="J281" s="4">
        <v>38504.78</v>
      </c>
      <c r="K281" s="6">
        <v>0.16039999999999999</v>
      </c>
      <c r="L281" s="28">
        <v>4.33</v>
      </c>
    </row>
    <row r="282" spans="1:12" x14ac:dyDescent="0.3">
      <c r="A282" t="s">
        <v>191</v>
      </c>
      <c r="B282" s="25">
        <v>45777</v>
      </c>
      <c r="C282" t="s">
        <v>324</v>
      </c>
      <c r="D282" s="4">
        <v>209168.03</v>
      </c>
      <c r="E282" s="4">
        <v>16733.439999999999</v>
      </c>
      <c r="F282" s="4">
        <v>192434.59</v>
      </c>
      <c r="G282" s="6">
        <v>5.8299999999999998E-2</v>
      </c>
      <c r="H282" s="4">
        <v>186242.53</v>
      </c>
      <c r="I282" s="4">
        <v>156629.97</v>
      </c>
      <c r="J282" s="4">
        <v>29612.560000000001</v>
      </c>
      <c r="K282" s="6">
        <v>0.159</v>
      </c>
      <c r="L282" s="28">
        <v>4.4400000000000004</v>
      </c>
    </row>
    <row r="283" spans="1:12" x14ac:dyDescent="0.3">
      <c r="A283" t="s">
        <v>191</v>
      </c>
      <c r="B283" s="25">
        <v>45777</v>
      </c>
      <c r="C283" t="s">
        <v>323</v>
      </c>
      <c r="D283" s="4">
        <v>790307</v>
      </c>
      <c r="E283" s="4">
        <v>63224.56</v>
      </c>
      <c r="F283" s="4">
        <v>727082.44</v>
      </c>
      <c r="G283" s="6">
        <v>0.2203</v>
      </c>
      <c r="H283" s="4">
        <v>703686.79</v>
      </c>
      <c r="I283" s="4">
        <v>591800.59</v>
      </c>
      <c r="J283" s="4">
        <v>111886.2</v>
      </c>
      <c r="K283" s="6">
        <v>0.159</v>
      </c>
      <c r="L283" s="28">
        <v>4.4400000000000004</v>
      </c>
    </row>
    <row r="284" spans="1:12" x14ac:dyDescent="0.3">
      <c r="A284" t="s">
        <v>191</v>
      </c>
      <c r="B284" s="25">
        <v>45777</v>
      </c>
      <c r="C284" t="s">
        <v>322</v>
      </c>
      <c r="D284" s="4">
        <v>345231.1</v>
      </c>
      <c r="E284" s="4">
        <v>27618.49</v>
      </c>
      <c r="F284" s="4">
        <v>317612.61</v>
      </c>
      <c r="G284" s="6">
        <v>9.6199999999999994E-2</v>
      </c>
      <c r="H284" s="4">
        <v>307392.65000000002</v>
      </c>
      <c r="I284" s="4">
        <v>258517.22</v>
      </c>
      <c r="J284" s="4">
        <v>48875.43</v>
      </c>
      <c r="K284" s="6">
        <v>0.159</v>
      </c>
      <c r="L284" s="28">
        <v>4.4400000000000004</v>
      </c>
    </row>
    <row r="285" spans="1:12" x14ac:dyDescent="0.3">
      <c r="A285" t="s">
        <v>191</v>
      </c>
      <c r="B285" s="25">
        <v>45777</v>
      </c>
      <c r="C285" t="s">
        <v>321</v>
      </c>
      <c r="D285" s="4">
        <v>312551.08</v>
      </c>
      <c r="E285" s="4">
        <v>25004.09</v>
      </c>
      <c r="F285" s="4">
        <v>287546.99</v>
      </c>
      <c r="G285" s="6">
        <v>8.7099999999999997E-2</v>
      </c>
      <c r="H285" s="4">
        <v>278294.46999999997</v>
      </c>
      <c r="I285" s="4">
        <v>234045.65</v>
      </c>
      <c r="J285" s="4">
        <v>44248.82</v>
      </c>
      <c r="K285" s="6">
        <v>0.159</v>
      </c>
      <c r="L285" s="28">
        <v>4.4400000000000004</v>
      </c>
    </row>
    <row r="286" spans="1:12" x14ac:dyDescent="0.3">
      <c r="A286" t="s">
        <v>191</v>
      </c>
      <c r="B286" s="25">
        <v>45777</v>
      </c>
      <c r="C286" t="s">
        <v>320</v>
      </c>
      <c r="D286" s="4">
        <v>101574.24</v>
      </c>
      <c r="E286" s="4">
        <v>8125.94</v>
      </c>
      <c r="F286" s="4">
        <v>93448.3</v>
      </c>
      <c r="G286" s="6">
        <v>2.8299999999999999E-2</v>
      </c>
      <c r="H286" s="4">
        <v>90441.37</v>
      </c>
      <c r="I286" s="4">
        <v>76061.2</v>
      </c>
      <c r="J286" s="4">
        <v>14380.18</v>
      </c>
      <c r="K286" s="6">
        <v>0.159</v>
      </c>
      <c r="L286" s="28">
        <v>4.4400000000000004</v>
      </c>
    </row>
    <row r="287" spans="1:12" x14ac:dyDescent="0.3">
      <c r="A287" t="s">
        <v>191</v>
      </c>
      <c r="B287" s="25">
        <v>45777</v>
      </c>
      <c r="C287" t="s">
        <v>319</v>
      </c>
      <c r="D287" s="4">
        <v>330146.23</v>
      </c>
      <c r="E287" s="4">
        <v>26411.7</v>
      </c>
      <c r="F287" s="4">
        <v>303734.53000000003</v>
      </c>
      <c r="G287" s="6">
        <v>9.1999999999999998E-2</v>
      </c>
      <c r="H287" s="4">
        <v>293961.13</v>
      </c>
      <c r="I287" s="4">
        <v>247221.31</v>
      </c>
      <c r="J287" s="4">
        <v>46739.82</v>
      </c>
      <c r="K287" s="6">
        <v>0.159</v>
      </c>
      <c r="L287" s="28">
        <v>4.4400000000000004</v>
      </c>
    </row>
    <row r="288" spans="1:12" x14ac:dyDescent="0.3">
      <c r="A288" t="s">
        <v>191</v>
      </c>
      <c r="B288" s="25">
        <v>45777</v>
      </c>
      <c r="C288" t="s">
        <v>268</v>
      </c>
      <c r="D288" s="4">
        <v>193256.39</v>
      </c>
      <c r="E288" s="4">
        <v>15460.51</v>
      </c>
      <c r="F288" s="4">
        <v>177795.87</v>
      </c>
      <c r="G288" s="6">
        <v>5.3900000000000003E-2</v>
      </c>
      <c r="H288" s="4">
        <v>172074.86</v>
      </c>
      <c r="I288" s="4">
        <v>144714.96</v>
      </c>
      <c r="J288" s="4">
        <v>27359.9</v>
      </c>
      <c r="K288" s="6">
        <v>0.159</v>
      </c>
      <c r="L288" s="28">
        <v>4.4400000000000004</v>
      </c>
    </row>
    <row r="289" spans="1:12" x14ac:dyDescent="0.3">
      <c r="A289" t="s">
        <v>191</v>
      </c>
      <c r="B289" s="25">
        <v>45777</v>
      </c>
      <c r="C289" t="s">
        <v>318</v>
      </c>
      <c r="D289" s="4">
        <v>476273.52</v>
      </c>
      <c r="E289" s="4">
        <v>38101.879999999997</v>
      </c>
      <c r="F289" s="4">
        <v>438171.63</v>
      </c>
      <c r="G289" s="6">
        <v>0.13270000000000001</v>
      </c>
      <c r="H289" s="4">
        <v>424072.39</v>
      </c>
      <c r="I289" s="4">
        <v>356644.88</v>
      </c>
      <c r="J289" s="4">
        <v>67427.509999999995</v>
      </c>
      <c r="K289" s="6">
        <v>0.159</v>
      </c>
      <c r="L289" s="28">
        <v>4.4400000000000004</v>
      </c>
    </row>
    <row r="290" spans="1:12" x14ac:dyDescent="0.3">
      <c r="A290" t="s">
        <v>191</v>
      </c>
      <c r="B290" s="25">
        <v>45777</v>
      </c>
      <c r="C290" t="s">
        <v>317</v>
      </c>
      <c r="D290" s="4">
        <v>483584.91</v>
      </c>
      <c r="E290" s="4">
        <v>38686.79</v>
      </c>
      <c r="F290" s="4">
        <v>444898.12</v>
      </c>
      <c r="G290" s="6">
        <v>0.1348</v>
      </c>
      <c r="H290" s="4">
        <v>430582.44</v>
      </c>
      <c r="I290" s="4">
        <v>362119.83</v>
      </c>
      <c r="J290" s="4">
        <v>68462.61</v>
      </c>
      <c r="K290" s="6">
        <v>0.159</v>
      </c>
      <c r="L290" s="28">
        <v>4.4400000000000004</v>
      </c>
    </row>
    <row r="291" spans="1:12" x14ac:dyDescent="0.3">
      <c r="A291" t="s">
        <v>191</v>
      </c>
      <c r="B291" s="25">
        <v>45777</v>
      </c>
      <c r="C291" t="s">
        <v>316</v>
      </c>
      <c r="D291" s="4">
        <v>346092.45</v>
      </c>
      <c r="E291" s="4">
        <v>27687.4</v>
      </c>
      <c r="F291" s="4">
        <v>318405.05</v>
      </c>
      <c r="G291" s="6">
        <v>9.6500000000000002E-2</v>
      </c>
      <c r="H291" s="4">
        <v>308159.59000000003</v>
      </c>
      <c r="I291" s="4">
        <v>259162.22</v>
      </c>
      <c r="J291" s="4">
        <v>48997.38</v>
      </c>
      <c r="K291" s="6">
        <v>0.159</v>
      </c>
      <c r="L291" s="28">
        <v>4.4400000000000004</v>
      </c>
    </row>
    <row r="292" spans="1:12" x14ac:dyDescent="0.3">
      <c r="A292" t="s">
        <v>191</v>
      </c>
      <c r="B292" s="25">
        <v>45808</v>
      </c>
      <c r="C292" t="s">
        <v>324</v>
      </c>
      <c r="D292" s="4">
        <v>222930.03</v>
      </c>
      <c r="E292" s="4">
        <v>17834.400000000001</v>
      </c>
      <c r="F292" s="4">
        <v>205095.63</v>
      </c>
      <c r="G292" s="6">
        <v>5.9299999999999999E-2</v>
      </c>
      <c r="H292" s="4">
        <v>179854.67</v>
      </c>
      <c r="I292" s="4">
        <v>151707.41</v>
      </c>
      <c r="J292" s="4">
        <v>28147.26</v>
      </c>
      <c r="K292" s="6">
        <v>0.1565</v>
      </c>
      <c r="L292" s="28">
        <v>4.9000000000000004</v>
      </c>
    </row>
    <row r="293" spans="1:12" x14ac:dyDescent="0.3">
      <c r="A293" t="s">
        <v>191</v>
      </c>
      <c r="B293" s="25">
        <v>45808</v>
      </c>
      <c r="C293" t="s">
        <v>323</v>
      </c>
      <c r="D293" s="4">
        <v>674942.56</v>
      </c>
      <c r="E293" s="4">
        <v>53995.4</v>
      </c>
      <c r="F293" s="4">
        <v>620947.16</v>
      </c>
      <c r="G293" s="6">
        <v>0.17960000000000001</v>
      </c>
      <c r="H293" s="4">
        <v>544527.67000000004</v>
      </c>
      <c r="I293" s="4">
        <v>459309.09</v>
      </c>
      <c r="J293" s="4">
        <v>85218.58</v>
      </c>
      <c r="K293" s="6">
        <v>0.1565</v>
      </c>
      <c r="L293" s="28">
        <v>4.9000000000000004</v>
      </c>
    </row>
    <row r="294" spans="1:12" x14ac:dyDescent="0.3">
      <c r="A294" t="s">
        <v>191</v>
      </c>
      <c r="B294" s="25">
        <v>45808</v>
      </c>
      <c r="C294" t="s">
        <v>322</v>
      </c>
      <c r="D294" s="4">
        <v>611747.56000000006</v>
      </c>
      <c r="E294" s="4">
        <v>48939.8</v>
      </c>
      <c r="F294" s="4">
        <v>562807.75</v>
      </c>
      <c r="G294" s="6">
        <v>0.1628</v>
      </c>
      <c r="H294" s="4">
        <v>493543.44</v>
      </c>
      <c r="I294" s="4">
        <v>416303.89</v>
      </c>
      <c r="J294" s="4">
        <v>77239.55</v>
      </c>
      <c r="K294" s="6">
        <v>0.1565</v>
      </c>
      <c r="L294" s="28">
        <v>4.9000000000000004</v>
      </c>
    </row>
    <row r="295" spans="1:12" x14ac:dyDescent="0.3">
      <c r="A295" t="s">
        <v>191</v>
      </c>
      <c r="B295" s="25">
        <v>45808</v>
      </c>
      <c r="C295" t="s">
        <v>321</v>
      </c>
      <c r="D295" s="4">
        <v>247164.37</v>
      </c>
      <c r="E295" s="4">
        <v>19773.150000000001</v>
      </c>
      <c r="F295" s="4">
        <v>227391.22</v>
      </c>
      <c r="G295" s="6">
        <v>6.5799999999999997E-2</v>
      </c>
      <c r="H295" s="4">
        <v>199406.36</v>
      </c>
      <c r="I295" s="4">
        <v>168199.26</v>
      </c>
      <c r="J295" s="4">
        <v>31207.09</v>
      </c>
      <c r="K295" s="6">
        <v>0.1565</v>
      </c>
      <c r="L295" s="28">
        <v>4.9000000000000004</v>
      </c>
    </row>
    <row r="296" spans="1:12" x14ac:dyDescent="0.3">
      <c r="A296" t="s">
        <v>191</v>
      </c>
      <c r="B296" s="25">
        <v>45808</v>
      </c>
      <c r="C296" t="s">
        <v>320</v>
      </c>
      <c r="D296" s="4">
        <v>449819.48</v>
      </c>
      <c r="E296" s="4">
        <v>35985.56</v>
      </c>
      <c r="F296" s="4">
        <v>413833.92</v>
      </c>
      <c r="G296" s="6">
        <v>0.1197</v>
      </c>
      <c r="H296" s="4">
        <v>362903.7</v>
      </c>
      <c r="I296" s="4">
        <v>306109.27</v>
      </c>
      <c r="J296" s="4">
        <v>56794.43</v>
      </c>
      <c r="K296" s="6">
        <v>0.1565</v>
      </c>
      <c r="L296" s="28">
        <v>4.9000000000000004</v>
      </c>
    </row>
    <row r="297" spans="1:12" x14ac:dyDescent="0.3">
      <c r="A297" t="s">
        <v>191</v>
      </c>
      <c r="B297" s="25">
        <v>45808</v>
      </c>
      <c r="C297" t="s">
        <v>319</v>
      </c>
      <c r="D297" s="4">
        <v>278245.45</v>
      </c>
      <c r="E297" s="4">
        <v>22259.64</v>
      </c>
      <c r="F297" s="4">
        <v>255985.81</v>
      </c>
      <c r="G297" s="6">
        <v>7.3999999999999996E-2</v>
      </c>
      <c r="H297" s="4">
        <v>224481.84</v>
      </c>
      <c r="I297" s="4">
        <v>189350.43</v>
      </c>
      <c r="J297" s="4">
        <v>35131.410000000003</v>
      </c>
      <c r="K297" s="6">
        <v>0.1565</v>
      </c>
      <c r="L297" s="28">
        <v>4.9000000000000004</v>
      </c>
    </row>
    <row r="298" spans="1:12" x14ac:dyDescent="0.3">
      <c r="A298" t="s">
        <v>191</v>
      </c>
      <c r="B298" s="25">
        <v>45808</v>
      </c>
      <c r="C298" t="s">
        <v>268</v>
      </c>
      <c r="D298" s="4">
        <v>158485.98000000001</v>
      </c>
      <c r="E298" s="4">
        <v>12678.88</v>
      </c>
      <c r="F298" s="4">
        <v>145807.1</v>
      </c>
      <c r="G298" s="6">
        <v>4.2200000000000001E-2</v>
      </c>
      <c r="H298" s="4">
        <v>127862.74</v>
      </c>
      <c r="I298" s="4">
        <v>107852.22</v>
      </c>
      <c r="J298" s="4">
        <v>20010.52</v>
      </c>
      <c r="K298" s="6">
        <v>0.1565</v>
      </c>
      <c r="L298" s="28">
        <v>4.9000000000000004</v>
      </c>
    </row>
    <row r="299" spans="1:12" x14ac:dyDescent="0.3">
      <c r="A299" t="s">
        <v>191</v>
      </c>
      <c r="B299" s="25">
        <v>45808</v>
      </c>
      <c r="C299" t="s">
        <v>318</v>
      </c>
      <c r="D299" s="4">
        <v>236552.68</v>
      </c>
      <c r="E299" s="4">
        <v>18924.21</v>
      </c>
      <c r="F299" s="4">
        <v>217628.47</v>
      </c>
      <c r="G299" s="6">
        <v>6.2899999999999998E-2</v>
      </c>
      <c r="H299" s="4">
        <v>190845.1</v>
      </c>
      <c r="I299" s="4">
        <v>160977.84</v>
      </c>
      <c r="J299" s="4">
        <v>29867.26</v>
      </c>
      <c r="K299" s="6">
        <v>0.1565</v>
      </c>
      <c r="L299" s="28">
        <v>4.9000000000000004</v>
      </c>
    </row>
    <row r="300" spans="1:12" x14ac:dyDescent="0.3">
      <c r="A300" t="s">
        <v>191</v>
      </c>
      <c r="B300" s="25">
        <v>45808</v>
      </c>
      <c r="C300" t="s">
        <v>317</v>
      </c>
      <c r="D300" s="4">
        <v>520348.44</v>
      </c>
      <c r="E300" s="4">
        <v>41627.879999999997</v>
      </c>
      <c r="F300" s="4">
        <v>478720.57</v>
      </c>
      <c r="G300" s="6">
        <v>0.1384</v>
      </c>
      <c r="H300" s="4">
        <v>419804.8</v>
      </c>
      <c r="I300" s="4">
        <v>354105.35</v>
      </c>
      <c r="J300" s="4">
        <v>65699.45</v>
      </c>
      <c r="K300" s="6">
        <v>0.1565</v>
      </c>
      <c r="L300" s="28">
        <v>4.9000000000000004</v>
      </c>
    </row>
    <row r="301" spans="1:12" x14ac:dyDescent="0.3">
      <c r="A301" t="s">
        <v>191</v>
      </c>
      <c r="B301" s="25">
        <v>45808</v>
      </c>
      <c r="C301" t="s">
        <v>316</v>
      </c>
      <c r="D301" s="4">
        <v>358440.98</v>
      </c>
      <c r="E301" s="4">
        <v>28675.279999999999</v>
      </c>
      <c r="F301" s="4">
        <v>329765.7</v>
      </c>
      <c r="G301" s="6">
        <v>9.5399999999999999E-2</v>
      </c>
      <c r="H301" s="4">
        <v>289181.69</v>
      </c>
      <c r="I301" s="4">
        <v>243924.76</v>
      </c>
      <c r="J301" s="4">
        <v>45256.93</v>
      </c>
      <c r="K301" s="6">
        <v>0.1565</v>
      </c>
      <c r="L301" s="28">
        <v>4.9000000000000004</v>
      </c>
    </row>
    <row r="302" spans="1:12" x14ac:dyDescent="0.3">
      <c r="A302" t="s">
        <v>191</v>
      </c>
      <c r="B302" s="25">
        <v>45838</v>
      </c>
      <c r="C302" t="s">
        <v>324</v>
      </c>
      <c r="D302" s="4">
        <v>96100.98</v>
      </c>
      <c r="E302" s="4">
        <v>7688.08</v>
      </c>
      <c r="F302" s="4">
        <v>88412.9</v>
      </c>
      <c r="G302" s="6">
        <v>2.9700000000000001E-2</v>
      </c>
      <c r="H302" s="4">
        <v>88281.55</v>
      </c>
      <c r="I302" s="4">
        <v>74933.38</v>
      </c>
      <c r="J302" s="4">
        <v>13348.17</v>
      </c>
      <c r="K302" s="6">
        <v>0.1512</v>
      </c>
      <c r="L302" s="28">
        <v>4.3099999999999996</v>
      </c>
    </row>
    <row r="303" spans="1:12" x14ac:dyDescent="0.3">
      <c r="A303" t="s">
        <v>191</v>
      </c>
      <c r="B303" s="25">
        <v>45838</v>
      </c>
      <c r="C303" t="s">
        <v>323</v>
      </c>
      <c r="D303" s="4">
        <v>638392.84</v>
      </c>
      <c r="E303" s="4">
        <v>51071.43</v>
      </c>
      <c r="F303" s="4">
        <v>587321.42000000004</v>
      </c>
      <c r="G303" s="6">
        <v>0.19750000000000001</v>
      </c>
      <c r="H303" s="4">
        <v>586448.84</v>
      </c>
      <c r="I303" s="4">
        <v>497777.78</v>
      </c>
      <c r="J303" s="4">
        <v>88671.07</v>
      </c>
      <c r="K303" s="6">
        <v>0.1512</v>
      </c>
      <c r="L303" s="28">
        <v>4.3099999999999996</v>
      </c>
    </row>
    <row r="304" spans="1:12" x14ac:dyDescent="0.3">
      <c r="A304" t="s">
        <v>191</v>
      </c>
      <c r="B304" s="25">
        <v>45838</v>
      </c>
      <c r="C304" t="s">
        <v>322</v>
      </c>
      <c r="D304" s="4">
        <v>435760.69</v>
      </c>
      <c r="E304" s="4">
        <v>34860.86</v>
      </c>
      <c r="F304" s="4">
        <v>400899.84000000003</v>
      </c>
      <c r="G304" s="6">
        <v>0.1348</v>
      </c>
      <c r="H304" s="4">
        <v>400304.23</v>
      </c>
      <c r="I304" s="4">
        <v>339778.23</v>
      </c>
      <c r="J304" s="4">
        <v>60526</v>
      </c>
      <c r="K304" s="6">
        <v>0.1512</v>
      </c>
      <c r="L304" s="28">
        <v>4.3099999999999996</v>
      </c>
    </row>
    <row r="305" spans="1:12" x14ac:dyDescent="0.3">
      <c r="A305" t="s">
        <v>191</v>
      </c>
      <c r="B305" s="25">
        <v>45838</v>
      </c>
      <c r="C305" t="s">
        <v>321</v>
      </c>
      <c r="D305" s="4">
        <v>345735.17</v>
      </c>
      <c r="E305" s="4">
        <v>27658.81</v>
      </c>
      <c r="F305" s="4">
        <v>318076.36</v>
      </c>
      <c r="G305" s="6">
        <v>0.107</v>
      </c>
      <c r="H305" s="4">
        <v>317603.8</v>
      </c>
      <c r="I305" s="4">
        <v>269582.09999999998</v>
      </c>
      <c r="J305" s="4">
        <v>48021.69</v>
      </c>
      <c r="K305" s="6">
        <v>0.1512</v>
      </c>
      <c r="L305" s="28">
        <v>4.3099999999999996</v>
      </c>
    </row>
    <row r="306" spans="1:12" x14ac:dyDescent="0.3">
      <c r="A306" t="s">
        <v>191</v>
      </c>
      <c r="B306" s="25">
        <v>45838</v>
      </c>
      <c r="C306" t="s">
        <v>320</v>
      </c>
      <c r="D306" s="4">
        <v>416423.52</v>
      </c>
      <c r="E306" s="4">
        <v>33313.879999999997</v>
      </c>
      <c r="F306" s="4">
        <v>383109.64</v>
      </c>
      <c r="G306" s="6">
        <v>0.1288</v>
      </c>
      <c r="H306" s="4">
        <v>382540.46</v>
      </c>
      <c r="I306" s="4">
        <v>324700.34000000003</v>
      </c>
      <c r="J306" s="4">
        <v>57840.12</v>
      </c>
      <c r="K306" s="6">
        <v>0.1512</v>
      </c>
      <c r="L306" s="28">
        <v>4.3099999999999996</v>
      </c>
    </row>
    <row r="307" spans="1:12" x14ac:dyDescent="0.3">
      <c r="A307" t="s">
        <v>191</v>
      </c>
      <c r="B307" s="25">
        <v>45838</v>
      </c>
      <c r="C307" t="s">
        <v>319</v>
      </c>
      <c r="D307" s="4">
        <v>156367.42000000001</v>
      </c>
      <c r="E307" s="4">
        <v>12509.39</v>
      </c>
      <c r="F307" s="4">
        <v>143858.03</v>
      </c>
      <c r="G307" s="6">
        <v>4.8399999999999999E-2</v>
      </c>
      <c r="H307" s="4">
        <v>143644.29999999999</v>
      </c>
      <c r="I307" s="4">
        <v>121925.28</v>
      </c>
      <c r="J307" s="4">
        <v>21719.02</v>
      </c>
      <c r="K307" s="6">
        <v>0.1512</v>
      </c>
      <c r="L307" s="28">
        <v>4.3099999999999996</v>
      </c>
    </row>
    <row r="308" spans="1:12" x14ac:dyDescent="0.3">
      <c r="A308" t="s">
        <v>191</v>
      </c>
      <c r="B308" s="25">
        <v>45838</v>
      </c>
      <c r="C308" t="s">
        <v>268</v>
      </c>
      <c r="D308" s="4">
        <v>262962.78999999998</v>
      </c>
      <c r="E308" s="4">
        <v>21037.02</v>
      </c>
      <c r="F308" s="4">
        <v>241925.77</v>
      </c>
      <c r="G308" s="6">
        <v>8.14E-2</v>
      </c>
      <c r="H308" s="4">
        <v>241566.34</v>
      </c>
      <c r="I308" s="4">
        <v>205041.51</v>
      </c>
      <c r="J308" s="4">
        <v>36524.83</v>
      </c>
      <c r="K308" s="6">
        <v>0.1512</v>
      </c>
      <c r="L308" s="28">
        <v>4.3099999999999996</v>
      </c>
    </row>
    <row r="309" spans="1:12" x14ac:dyDescent="0.3">
      <c r="A309" t="s">
        <v>191</v>
      </c>
      <c r="B309" s="25">
        <v>45838</v>
      </c>
      <c r="C309" t="s">
        <v>318</v>
      </c>
      <c r="D309" s="4">
        <v>254209.02</v>
      </c>
      <c r="E309" s="4">
        <v>20336.72</v>
      </c>
      <c r="F309" s="4">
        <v>233872.3</v>
      </c>
      <c r="G309" s="6">
        <v>7.8600000000000003E-2</v>
      </c>
      <c r="H309" s="4">
        <v>233524.84</v>
      </c>
      <c r="I309" s="4">
        <v>198215.89</v>
      </c>
      <c r="J309" s="4">
        <v>35308.959999999999</v>
      </c>
      <c r="K309" s="6">
        <v>0.1512</v>
      </c>
      <c r="L309" s="28">
        <v>4.3099999999999996</v>
      </c>
    </row>
    <row r="310" spans="1:12" x14ac:dyDescent="0.3">
      <c r="A310" t="s">
        <v>191</v>
      </c>
      <c r="B310" s="25">
        <v>45838</v>
      </c>
      <c r="C310" t="s">
        <v>317</v>
      </c>
      <c r="D310" s="4">
        <v>355337.74</v>
      </c>
      <c r="E310" s="4">
        <v>28427.02</v>
      </c>
      <c r="F310" s="4">
        <v>326910.71999999997</v>
      </c>
      <c r="G310" s="6">
        <v>0.1099</v>
      </c>
      <c r="H310" s="4">
        <v>326425.03000000003</v>
      </c>
      <c r="I310" s="4">
        <v>277069.57</v>
      </c>
      <c r="J310" s="4">
        <v>49355.46</v>
      </c>
      <c r="K310" s="6">
        <v>0.1512</v>
      </c>
      <c r="L310" s="28">
        <v>4.3099999999999996</v>
      </c>
    </row>
    <row r="311" spans="1:12" x14ac:dyDescent="0.3">
      <c r="A311" t="s">
        <v>191</v>
      </c>
      <c r="B311" s="25">
        <v>45838</v>
      </c>
      <c r="C311" t="s">
        <v>316</v>
      </c>
      <c r="D311" s="4">
        <v>271135.5</v>
      </c>
      <c r="E311" s="4">
        <v>21690.84</v>
      </c>
      <c r="F311" s="4">
        <v>249444.66</v>
      </c>
      <c r="G311" s="6">
        <v>8.3900000000000002E-2</v>
      </c>
      <c r="H311" s="4">
        <v>249074.07</v>
      </c>
      <c r="I311" s="4">
        <v>211414.07</v>
      </c>
      <c r="J311" s="4">
        <v>37660</v>
      </c>
      <c r="K311" s="6">
        <v>0.1512</v>
      </c>
      <c r="L311" s="28">
        <v>4.3099999999999996</v>
      </c>
    </row>
    <row r="312" spans="1:12" x14ac:dyDescent="0.3">
      <c r="A312" t="s">
        <v>191</v>
      </c>
      <c r="B312" s="25">
        <v>45869</v>
      </c>
      <c r="C312" t="s">
        <v>324</v>
      </c>
      <c r="D312" s="4">
        <v>470597.33</v>
      </c>
      <c r="E312" s="4">
        <v>37647.79</v>
      </c>
      <c r="F312" s="4">
        <v>432949.54</v>
      </c>
      <c r="G312" s="6">
        <v>0.14419999999999999</v>
      </c>
      <c r="H312" s="4">
        <v>451347.94</v>
      </c>
      <c r="I312" s="4">
        <v>380350.91</v>
      </c>
      <c r="J312" s="4">
        <v>70997.03</v>
      </c>
      <c r="K312" s="6">
        <v>0.1573</v>
      </c>
      <c r="L312" s="28">
        <v>4.12</v>
      </c>
    </row>
    <row r="313" spans="1:12" x14ac:dyDescent="0.3">
      <c r="A313" t="s">
        <v>191</v>
      </c>
      <c r="B313" s="25">
        <v>45869</v>
      </c>
      <c r="C313" t="s">
        <v>323</v>
      </c>
      <c r="D313" s="4">
        <v>341333.63</v>
      </c>
      <c r="E313" s="4">
        <v>27306.69</v>
      </c>
      <c r="F313" s="4">
        <v>314026.94</v>
      </c>
      <c r="G313" s="6">
        <v>0.1046</v>
      </c>
      <c r="H313" s="4">
        <v>327371.65999999997</v>
      </c>
      <c r="I313" s="4">
        <v>275876.09999999998</v>
      </c>
      <c r="J313" s="4">
        <v>51495.56</v>
      </c>
      <c r="K313" s="6">
        <v>0.1573</v>
      </c>
      <c r="L313" s="28">
        <v>4.12</v>
      </c>
    </row>
    <row r="314" spans="1:12" x14ac:dyDescent="0.3">
      <c r="A314" t="s">
        <v>191</v>
      </c>
      <c r="B314" s="25">
        <v>45869</v>
      </c>
      <c r="C314" t="s">
        <v>322</v>
      </c>
      <c r="D314" s="4">
        <v>517333.45</v>
      </c>
      <c r="E314" s="4">
        <v>41386.68</v>
      </c>
      <c r="F314" s="4">
        <v>475946.77</v>
      </c>
      <c r="G314" s="6">
        <v>0.1585</v>
      </c>
      <c r="H314" s="4">
        <v>496172.36</v>
      </c>
      <c r="I314" s="4">
        <v>418124.45</v>
      </c>
      <c r="J314" s="4">
        <v>78047.91</v>
      </c>
      <c r="K314" s="6">
        <v>0.1573</v>
      </c>
      <c r="L314" s="28">
        <v>4.12</v>
      </c>
    </row>
    <row r="315" spans="1:12" x14ac:dyDescent="0.3">
      <c r="A315" t="s">
        <v>191</v>
      </c>
      <c r="B315" s="25">
        <v>45869</v>
      </c>
      <c r="C315" t="s">
        <v>321</v>
      </c>
      <c r="D315" s="4">
        <v>300514.21000000002</v>
      </c>
      <c r="E315" s="4">
        <v>24041.14</v>
      </c>
      <c r="F315" s="4">
        <v>276473.08</v>
      </c>
      <c r="G315" s="6">
        <v>9.2100000000000001E-2</v>
      </c>
      <c r="H315" s="4">
        <v>288221.93</v>
      </c>
      <c r="I315" s="4">
        <v>242884.62</v>
      </c>
      <c r="J315" s="4">
        <v>45337.31</v>
      </c>
      <c r="K315" s="6">
        <v>0.1573</v>
      </c>
      <c r="L315" s="28">
        <v>4.12</v>
      </c>
    </row>
    <row r="316" spans="1:12" x14ac:dyDescent="0.3">
      <c r="A316" t="s">
        <v>191</v>
      </c>
      <c r="B316" s="25">
        <v>45869</v>
      </c>
      <c r="C316" t="s">
        <v>320</v>
      </c>
      <c r="D316" s="4">
        <v>242442.97</v>
      </c>
      <c r="E316" s="4">
        <v>19395.439999999999</v>
      </c>
      <c r="F316" s="4">
        <v>223047.53</v>
      </c>
      <c r="G316" s="6">
        <v>7.4300000000000005E-2</v>
      </c>
      <c r="H316" s="4">
        <v>232526.04</v>
      </c>
      <c r="I316" s="4">
        <v>195949.7</v>
      </c>
      <c r="J316" s="4">
        <v>36576.35</v>
      </c>
      <c r="K316" s="6">
        <v>0.1573</v>
      </c>
      <c r="L316" s="28">
        <v>4.12</v>
      </c>
    </row>
    <row r="317" spans="1:12" x14ac:dyDescent="0.3">
      <c r="A317" t="s">
        <v>191</v>
      </c>
      <c r="B317" s="25">
        <v>45869</v>
      </c>
      <c r="C317" t="s">
        <v>319</v>
      </c>
      <c r="D317" s="4">
        <v>264396.71000000002</v>
      </c>
      <c r="E317" s="4">
        <v>21151.74</v>
      </c>
      <c r="F317" s="4">
        <v>243244.98</v>
      </c>
      <c r="G317" s="6">
        <v>8.1000000000000003E-2</v>
      </c>
      <c r="H317" s="4">
        <v>253581.79</v>
      </c>
      <c r="I317" s="4">
        <v>213693.38</v>
      </c>
      <c r="J317" s="4">
        <v>39888.42</v>
      </c>
      <c r="K317" s="6">
        <v>0.1573</v>
      </c>
      <c r="L317" s="28">
        <v>4.12</v>
      </c>
    </row>
    <row r="318" spans="1:12" x14ac:dyDescent="0.3">
      <c r="A318" t="s">
        <v>191</v>
      </c>
      <c r="B318" s="25">
        <v>45869</v>
      </c>
      <c r="C318" t="s">
        <v>268</v>
      </c>
      <c r="D318" s="4">
        <v>35261.31</v>
      </c>
      <c r="E318" s="4">
        <v>2820.91</v>
      </c>
      <c r="F318" s="4">
        <v>32440.41</v>
      </c>
      <c r="G318" s="6">
        <v>1.0800000000000001E-2</v>
      </c>
      <c r="H318" s="4">
        <v>33818.980000000003</v>
      </c>
      <c r="I318" s="4">
        <v>28499.25</v>
      </c>
      <c r="J318" s="4">
        <v>5319.73</v>
      </c>
      <c r="K318" s="6">
        <v>0.1573</v>
      </c>
      <c r="L318" s="28">
        <v>4.12</v>
      </c>
    </row>
    <row r="319" spans="1:12" x14ac:dyDescent="0.3">
      <c r="A319" t="s">
        <v>191</v>
      </c>
      <c r="B319" s="25">
        <v>45869</v>
      </c>
      <c r="C319" t="s">
        <v>318</v>
      </c>
      <c r="D319" s="4">
        <v>457863.55</v>
      </c>
      <c r="E319" s="4">
        <v>36629.08</v>
      </c>
      <c r="F319" s="4">
        <v>421234.47</v>
      </c>
      <c r="G319" s="6">
        <v>0.14030000000000001</v>
      </c>
      <c r="H319" s="4">
        <v>439135.03</v>
      </c>
      <c r="I319" s="4">
        <v>370059.09</v>
      </c>
      <c r="J319" s="4">
        <v>69075.94</v>
      </c>
      <c r="K319" s="6">
        <v>0.1573</v>
      </c>
      <c r="L319" s="28">
        <v>4.12</v>
      </c>
    </row>
    <row r="320" spans="1:12" x14ac:dyDescent="0.3">
      <c r="A320" t="s">
        <v>191</v>
      </c>
      <c r="B320" s="25">
        <v>45869</v>
      </c>
      <c r="C320" t="s">
        <v>317</v>
      </c>
      <c r="D320" s="4">
        <v>399359.27</v>
      </c>
      <c r="E320" s="4">
        <v>31948.74</v>
      </c>
      <c r="F320" s="4">
        <v>367410.53</v>
      </c>
      <c r="G320" s="6">
        <v>0.12239999999999999</v>
      </c>
      <c r="H320" s="4">
        <v>383023.82</v>
      </c>
      <c r="I320" s="4">
        <v>322774.17</v>
      </c>
      <c r="J320" s="4">
        <v>60249.65</v>
      </c>
      <c r="K320" s="6">
        <v>0.1573</v>
      </c>
      <c r="L320" s="28">
        <v>4.12</v>
      </c>
    </row>
    <row r="321" spans="1:12" x14ac:dyDescent="0.3">
      <c r="A321" t="s">
        <v>191</v>
      </c>
      <c r="B321" s="25">
        <v>45869</v>
      </c>
      <c r="C321" t="s">
        <v>316</v>
      </c>
      <c r="D321" s="4">
        <v>234624.19</v>
      </c>
      <c r="E321" s="4">
        <v>18769.939999999999</v>
      </c>
      <c r="F321" s="4">
        <v>215854.25</v>
      </c>
      <c r="G321" s="6">
        <v>7.1900000000000006E-2</v>
      </c>
      <c r="H321" s="4">
        <v>225027.08</v>
      </c>
      <c r="I321" s="4">
        <v>189630.32</v>
      </c>
      <c r="J321" s="4">
        <v>35396.76</v>
      </c>
      <c r="K321" s="6">
        <v>0.1573</v>
      </c>
      <c r="L321" s="28">
        <v>4.12</v>
      </c>
    </row>
    <row r="322" spans="1:12" x14ac:dyDescent="0.3">
      <c r="A322" t="s">
        <v>191</v>
      </c>
      <c r="B322" s="25">
        <v>45900</v>
      </c>
      <c r="C322" t="s">
        <v>324</v>
      </c>
      <c r="D322" s="4">
        <v>268656.17</v>
      </c>
      <c r="E322" s="4">
        <v>21492.49</v>
      </c>
      <c r="F322" s="4">
        <v>247163.67</v>
      </c>
      <c r="G322" s="6">
        <v>7.1800000000000003E-2</v>
      </c>
      <c r="H322" s="4">
        <v>229375.59</v>
      </c>
      <c r="I322" s="4">
        <v>198386.95</v>
      </c>
      <c r="J322" s="4">
        <v>30988.639999999999</v>
      </c>
      <c r="K322" s="6">
        <v>0.1351</v>
      </c>
      <c r="L322" s="28">
        <v>4.63</v>
      </c>
    </row>
    <row r="323" spans="1:12" x14ac:dyDescent="0.3">
      <c r="A323" t="s">
        <v>191</v>
      </c>
      <c r="B323" s="25">
        <v>45900</v>
      </c>
      <c r="C323" t="s">
        <v>323</v>
      </c>
      <c r="D323" s="4">
        <v>629133.81999999995</v>
      </c>
      <c r="E323" s="4">
        <v>50330.71</v>
      </c>
      <c r="F323" s="4">
        <v>578803.12</v>
      </c>
      <c r="G323" s="6">
        <v>0.16800000000000001</v>
      </c>
      <c r="H323" s="4">
        <v>537147.34</v>
      </c>
      <c r="I323" s="4">
        <v>464578.74</v>
      </c>
      <c r="J323" s="4">
        <v>72568.61</v>
      </c>
      <c r="K323" s="6">
        <v>0.1351</v>
      </c>
      <c r="L323" s="28">
        <v>4.63</v>
      </c>
    </row>
    <row r="324" spans="1:12" x14ac:dyDescent="0.3">
      <c r="A324" t="s">
        <v>191</v>
      </c>
      <c r="B324" s="25">
        <v>45900</v>
      </c>
      <c r="C324" t="s">
        <v>322</v>
      </c>
      <c r="D324" s="4">
        <v>494012.98</v>
      </c>
      <c r="E324" s="4">
        <v>39521.040000000001</v>
      </c>
      <c r="F324" s="4">
        <v>454491.94</v>
      </c>
      <c r="G324" s="6">
        <v>0.13200000000000001</v>
      </c>
      <c r="H324" s="4">
        <v>421782.69</v>
      </c>
      <c r="I324" s="4">
        <v>364799.85</v>
      </c>
      <c r="J324" s="4">
        <v>56982.84</v>
      </c>
      <c r="K324" s="6">
        <v>0.1351</v>
      </c>
      <c r="L324" s="28">
        <v>4.63</v>
      </c>
    </row>
    <row r="325" spans="1:12" x14ac:dyDescent="0.3">
      <c r="A325" t="s">
        <v>191</v>
      </c>
      <c r="B325" s="25">
        <v>45900</v>
      </c>
      <c r="C325" t="s">
        <v>321</v>
      </c>
      <c r="D325" s="4">
        <v>372538.8</v>
      </c>
      <c r="E325" s="4">
        <v>29803.1</v>
      </c>
      <c r="F325" s="4">
        <v>342735.7</v>
      </c>
      <c r="G325" s="6">
        <v>9.9500000000000005E-2</v>
      </c>
      <c r="H325" s="4">
        <v>318069.40999999997</v>
      </c>
      <c r="I325" s="4">
        <v>275098.23999999999</v>
      </c>
      <c r="J325" s="4">
        <v>42971.18</v>
      </c>
      <c r="K325" s="6">
        <v>0.1351</v>
      </c>
      <c r="L325" s="28">
        <v>4.63</v>
      </c>
    </row>
    <row r="326" spans="1:12" x14ac:dyDescent="0.3">
      <c r="A326" t="s">
        <v>191</v>
      </c>
      <c r="B326" s="25">
        <v>45900</v>
      </c>
      <c r="C326" t="s">
        <v>320</v>
      </c>
      <c r="D326" s="4">
        <v>553147.5</v>
      </c>
      <c r="E326" s="4">
        <v>44251.8</v>
      </c>
      <c r="F326" s="4">
        <v>508895.7</v>
      </c>
      <c r="G326" s="6">
        <v>0.1477</v>
      </c>
      <c r="H326" s="4">
        <v>472271.08</v>
      </c>
      <c r="I326" s="4">
        <v>408467.25</v>
      </c>
      <c r="J326" s="4">
        <v>63803.82</v>
      </c>
      <c r="K326" s="6">
        <v>0.1351</v>
      </c>
      <c r="L326" s="28">
        <v>4.63</v>
      </c>
    </row>
    <row r="327" spans="1:12" x14ac:dyDescent="0.3">
      <c r="A327" t="s">
        <v>191</v>
      </c>
      <c r="B327" s="25">
        <v>45900</v>
      </c>
      <c r="C327" t="s">
        <v>319</v>
      </c>
      <c r="D327" s="4">
        <v>42041.21</v>
      </c>
      <c r="E327" s="4">
        <v>3363.3</v>
      </c>
      <c r="F327" s="4">
        <v>38677.919999999998</v>
      </c>
      <c r="G327" s="6">
        <v>1.12E-2</v>
      </c>
      <c r="H327" s="4">
        <v>35894.31</v>
      </c>
      <c r="I327" s="4">
        <v>31044.99</v>
      </c>
      <c r="J327" s="4">
        <v>4849.32</v>
      </c>
      <c r="K327" s="6">
        <v>0.1351</v>
      </c>
      <c r="L327" s="28">
        <v>4.63</v>
      </c>
    </row>
    <row r="328" spans="1:12" x14ac:dyDescent="0.3">
      <c r="A328" t="s">
        <v>191</v>
      </c>
      <c r="B328" s="25">
        <v>45900</v>
      </c>
      <c r="C328" t="s">
        <v>268</v>
      </c>
      <c r="D328" s="4">
        <v>319848.19</v>
      </c>
      <c r="E328" s="4">
        <v>25587.86</v>
      </c>
      <c r="F328" s="4">
        <v>294260.34000000003</v>
      </c>
      <c r="G328" s="6">
        <v>8.5400000000000004E-2</v>
      </c>
      <c r="H328" s="4">
        <v>273082.77</v>
      </c>
      <c r="I328" s="4">
        <v>236189.29</v>
      </c>
      <c r="J328" s="4">
        <v>36893.480000000003</v>
      </c>
      <c r="K328" s="6">
        <v>0.1351</v>
      </c>
      <c r="L328" s="28">
        <v>4.63</v>
      </c>
    </row>
    <row r="329" spans="1:12" x14ac:dyDescent="0.3">
      <c r="A329" t="s">
        <v>191</v>
      </c>
      <c r="B329" s="25">
        <v>45900</v>
      </c>
      <c r="C329" t="s">
        <v>318</v>
      </c>
      <c r="D329" s="4">
        <v>526760.65</v>
      </c>
      <c r="E329" s="4">
        <v>42140.85</v>
      </c>
      <c r="F329" s="4">
        <v>484619.8</v>
      </c>
      <c r="G329" s="6">
        <v>0.14069999999999999</v>
      </c>
      <c r="H329" s="4">
        <v>449742.29</v>
      </c>
      <c r="I329" s="4">
        <v>388982.1</v>
      </c>
      <c r="J329" s="4">
        <v>60760.18</v>
      </c>
      <c r="K329" s="6">
        <v>0.1351</v>
      </c>
      <c r="L329" s="28">
        <v>4.63</v>
      </c>
    </row>
    <row r="330" spans="1:12" x14ac:dyDescent="0.3">
      <c r="A330" t="s">
        <v>191</v>
      </c>
      <c r="B330" s="25">
        <v>45900</v>
      </c>
      <c r="C330" t="s">
        <v>317</v>
      </c>
      <c r="D330" s="4">
        <v>287200.87</v>
      </c>
      <c r="E330" s="4">
        <v>22976.07</v>
      </c>
      <c r="F330" s="4">
        <v>264224.8</v>
      </c>
      <c r="G330" s="6">
        <v>7.6700000000000004E-2</v>
      </c>
      <c r="H330" s="4">
        <v>245208.86</v>
      </c>
      <c r="I330" s="4">
        <v>212081.14</v>
      </c>
      <c r="J330" s="4">
        <v>33127.72</v>
      </c>
      <c r="K330" s="6">
        <v>0.1351</v>
      </c>
      <c r="L330" s="28">
        <v>4.63</v>
      </c>
    </row>
    <row r="331" spans="1:12" x14ac:dyDescent="0.3">
      <c r="A331" t="s">
        <v>191</v>
      </c>
      <c r="B331" s="25">
        <v>45900</v>
      </c>
      <c r="C331" t="s">
        <v>316</v>
      </c>
      <c r="D331" s="4">
        <v>250521.52</v>
      </c>
      <c r="E331" s="4">
        <v>20041.72</v>
      </c>
      <c r="F331" s="4">
        <v>230479.8</v>
      </c>
      <c r="G331" s="6">
        <v>6.6900000000000001E-2</v>
      </c>
      <c r="H331" s="4">
        <v>213892.44</v>
      </c>
      <c r="I331" s="4">
        <v>184995.57</v>
      </c>
      <c r="J331" s="4">
        <v>28896.87</v>
      </c>
      <c r="K331" s="6">
        <v>0.1351</v>
      </c>
      <c r="L331" s="28">
        <v>4.63</v>
      </c>
    </row>
    <row r="332" spans="1:12" x14ac:dyDescent="0.3">
      <c r="A332" t="s">
        <v>191</v>
      </c>
      <c r="B332" s="25">
        <v>45930</v>
      </c>
      <c r="C332" t="s">
        <v>324</v>
      </c>
      <c r="D332" s="4">
        <v>242801.85</v>
      </c>
      <c r="E332" s="4">
        <v>19424.150000000001</v>
      </c>
      <c r="F332" s="4">
        <v>223377.7</v>
      </c>
      <c r="G332" s="6">
        <v>6.9800000000000001E-2</v>
      </c>
      <c r="H332" s="4">
        <v>224896.97</v>
      </c>
      <c r="I332" s="4">
        <v>191364.83</v>
      </c>
      <c r="J332" s="4">
        <v>33532.14</v>
      </c>
      <c r="K332" s="6">
        <v>0.14910000000000001</v>
      </c>
      <c r="L332" s="28">
        <v>4.2699999999999996</v>
      </c>
    </row>
    <row r="333" spans="1:12" x14ac:dyDescent="0.3">
      <c r="A333" t="s">
        <v>191</v>
      </c>
      <c r="B333" s="25">
        <v>45930</v>
      </c>
      <c r="C333" t="s">
        <v>323</v>
      </c>
      <c r="D333" s="4">
        <v>629611.39</v>
      </c>
      <c r="E333" s="4">
        <v>50368.91</v>
      </c>
      <c r="F333" s="4">
        <v>579242.48</v>
      </c>
      <c r="G333" s="6">
        <v>0.18090000000000001</v>
      </c>
      <c r="H333" s="4">
        <v>583182.11</v>
      </c>
      <c r="I333" s="4">
        <v>496229.66</v>
      </c>
      <c r="J333" s="4">
        <v>86952.45</v>
      </c>
      <c r="K333" s="6">
        <v>0.14910000000000001</v>
      </c>
      <c r="L333" s="28">
        <v>4.2699999999999996</v>
      </c>
    </row>
    <row r="334" spans="1:12" x14ac:dyDescent="0.3">
      <c r="A334" t="s">
        <v>191</v>
      </c>
      <c r="B334" s="25">
        <v>45930</v>
      </c>
      <c r="C334" t="s">
        <v>322</v>
      </c>
      <c r="D334" s="4">
        <v>591289.72</v>
      </c>
      <c r="E334" s="4">
        <v>47303.18</v>
      </c>
      <c r="F334" s="4">
        <v>543986.55000000005</v>
      </c>
      <c r="G334" s="6">
        <v>0.1699</v>
      </c>
      <c r="H334" s="4">
        <v>547686.39</v>
      </c>
      <c r="I334" s="4">
        <v>466026.35</v>
      </c>
      <c r="J334" s="4">
        <v>81660.039999999994</v>
      </c>
      <c r="K334" s="6">
        <v>0.14910000000000001</v>
      </c>
      <c r="L334" s="28">
        <v>4.2699999999999996</v>
      </c>
    </row>
    <row r="335" spans="1:12" x14ac:dyDescent="0.3">
      <c r="A335" t="s">
        <v>191</v>
      </c>
      <c r="B335" s="25">
        <v>45930</v>
      </c>
      <c r="C335" t="s">
        <v>321</v>
      </c>
      <c r="D335" s="4">
        <v>360432.17</v>
      </c>
      <c r="E335" s="4">
        <v>28834.57</v>
      </c>
      <c r="F335" s="4">
        <v>331597.59999999998</v>
      </c>
      <c r="G335" s="6">
        <v>0.1036</v>
      </c>
      <c r="H335" s="4">
        <v>333852.90999999997</v>
      </c>
      <c r="I335" s="4">
        <v>284075.44</v>
      </c>
      <c r="J335" s="4">
        <v>49777.47</v>
      </c>
      <c r="K335" s="6">
        <v>0.14910000000000001</v>
      </c>
      <c r="L335" s="28">
        <v>4.2699999999999996</v>
      </c>
    </row>
    <row r="336" spans="1:12" x14ac:dyDescent="0.3">
      <c r="A336" t="s">
        <v>191</v>
      </c>
      <c r="B336" s="25">
        <v>45930</v>
      </c>
      <c r="C336" t="s">
        <v>320</v>
      </c>
      <c r="D336" s="4">
        <v>332367.99</v>
      </c>
      <c r="E336" s="4">
        <v>26589.439999999999</v>
      </c>
      <c r="F336" s="4">
        <v>305778.55</v>
      </c>
      <c r="G336" s="6">
        <v>9.5500000000000002E-2</v>
      </c>
      <c r="H336" s="4">
        <v>307858.25</v>
      </c>
      <c r="I336" s="4">
        <v>261956.59</v>
      </c>
      <c r="J336" s="4">
        <v>45901.67</v>
      </c>
      <c r="K336" s="6">
        <v>0.14910000000000001</v>
      </c>
      <c r="L336" s="28">
        <v>4.2699999999999996</v>
      </c>
    </row>
    <row r="337" spans="1:12" x14ac:dyDescent="0.3">
      <c r="A337" t="s">
        <v>191</v>
      </c>
      <c r="B337" s="25">
        <v>45930</v>
      </c>
      <c r="C337" t="s">
        <v>319</v>
      </c>
      <c r="D337" s="4">
        <v>51256.52</v>
      </c>
      <c r="E337" s="4">
        <v>4100.5200000000004</v>
      </c>
      <c r="F337" s="4">
        <v>47156</v>
      </c>
      <c r="G337" s="6">
        <v>1.47E-2</v>
      </c>
      <c r="H337" s="4">
        <v>47476.72</v>
      </c>
      <c r="I337" s="4">
        <v>40397.94</v>
      </c>
      <c r="J337" s="4">
        <v>7078.78</v>
      </c>
      <c r="K337" s="6">
        <v>0.14910000000000001</v>
      </c>
      <c r="L337" s="28">
        <v>4.2699999999999996</v>
      </c>
    </row>
    <row r="338" spans="1:12" x14ac:dyDescent="0.3">
      <c r="A338" t="s">
        <v>191</v>
      </c>
      <c r="B338" s="25">
        <v>45930</v>
      </c>
      <c r="C338" t="s">
        <v>268</v>
      </c>
      <c r="D338" s="4">
        <v>324467.46999999997</v>
      </c>
      <c r="E338" s="4">
        <v>25957.4</v>
      </c>
      <c r="F338" s="4">
        <v>298510.07</v>
      </c>
      <c r="G338" s="6">
        <v>9.3200000000000005E-2</v>
      </c>
      <c r="H338" s="4">
        <v>300540.34000000003</v>
      </c>
      <c r="I338" s="4">
        <v>255729.78</v>
      </c>
      <c r="J338" s="4">
        <v>44810.559999999998</v>
      </c>
      <c r="K338" s="6">
        <v>0.14910000000000001</v>
      </c>
      <c r="L338" s="28">
        <v>4.2699999999999996</v>
      </c>
    </row>
    <row r="339" spans="1:12" x14ac:dyDescent="0.3">
      <c r="A339" t="s">
        <v>191</v>
      </c>
      <c r="B339" s="25">
        <v>45930</v>
      </c>
      <c r="C339" t="s">
        <v>318</v>
      </c>
      <c r="D339" s="4">
        <v>438490.34</v>
      </c>
      <c r="E339" s="4">
        <v>35079.230000000003</v>
      </c>
      <c r="F339" s="4">
        <v>403411.11</v>
      </c>
      <c r="G339" s="6">
        <v>0.126</v>
      </c>
      <c r="H339" s="4">
        <v>406154.85</v>
      </c>
      <c r="I339" s="4">
        <v>345597.16</v>
      </c>
      <c r="J339" s="4">
        <v>60557.69</v>
      </c>
      <c r="K339" s="6">
        <v>0.14910000000000001</v>
      </c>
      <c r="L339" s="28">
        <v>4.2699999999999996</v>
      </c>
    </row>
    <row r="340" spans="1:12" x14ac:dyDescent="0.3">
      <c r="A340" t="s">
        <v>191</v>
      </c>
      <c r="B340" s="25">
        <v>45930</v>
      </c>
      <c r="C340" t="s">
        <v>317</v>
      </c>
      <c r="D340" s="4">
        <v>331071.76</v>
      </c>
      <c r="E340" s="4">
        <v>26485.74</v>
      </c>
      <c r="F340" s="4">
        <v>304586.02</v>
      </c>
      <c r="G340" s="6">
        <v>9.5100000000000004E-2</v>
      </c>
      <c r="H340" s="4">
        <v>306657.61</v>
      </c>
      <c r="I340" s="4">
        <v>260934.96</v>
      </c>
      <c r="J340" s="4">
        <v>45722.65</v>
      </c>
      <c r="K340" s="6">
        <v>0.14910000000000001</v>
      </c>
      <c r="L340" s="28">
        <v>4.2699999999999996</v>
      </c>
    </row>
    <row r="341" spans="1:12" x14ac:dyDescent="0.3">
      <c r="A341" t="s">
        <v>191</v>
      </c>
      <c r="B341" s="25">
        <v>45930</v>
      </c>
      <c r="C341" t="s">
        <v>316</v>
      </c>
      <c r="D341" s="4">
        <v>178960.29</v>
      </c>
      <c r="E341" s="4">
        <v>14316.82</v>
      </c>
      <c r="F341" s="4">
        <v>164643.47</v>
      </c>
      <c r="G341" s="6">
        <v>5.1400000000000001E-2</v>
      </c>
      <c r="H341" s="4">
        <v>165763.26</v>
      </c>
      <c r="I341" s="4">
        <v>141047.96</v>
      </c>
      <c r="J341" s="4">
        <v>24715.3</v>
      </c>
      <c r="K341" s="6">
        <v>0.14910000000000001</v>
      </c>
      <c r="L341" s="28">
        <v>4.2699999999999996</v>
      </c>
    </row>
    <row r="342" spans="1:12" x14ac:dyDescent="0.3">
      <c r="A342" t="s">
        <v>191</v>
      </c>
      <c r="B342" s="25">
        <v>45961</v>
      </c>
      <c r="C342" t="s">
        <v>324</v>
      </c>
      <c r="D342" s="4">
        <v>463481.37</v>
      </c>
      <c r="E342" s="4">
        <v>37078.51</v>
      </c>
      <c r="F342" s="4">
        <v>426402.86</v>
      </c>
      <c r="G342" s="6">
        <v>0.13819999999999999</v>
      </c>
      <c r="H342" s="4">
        <v>419182.8</v>
      </c>
      <c r="I342" s="4">
        <v>351233.27</v>
      </c>
      <c r="J342" s="4">
        <v>67949.53</v>
      </c>
      <c r="K342" s="6">
        <v>0.16209999999999999</v>
      </c>
      <c r="L342" s="28">
        <v>4.37</v>
      </c>
    </row>
    <row r="343" spans="1:12" x14ac:dyDescent="0.3">
      <c r="A343" t="s">
        <v>191</v>
      </c>
      <c r="B343" s="25">
        <v>45961</v>
      </c>
      <c r="C343" t="s">
        <v>323</v>
      </c>
      <c r="D343" s="4">
        <v>592250.12</v>
      </c>
      <c r="E343" s="4">
        <v>47380.01</v>
      </c>
      <c r="F343" s="4">
        <v>544870.11</v>
      </c>
      <c r="G343" s="6">
        <v>0.17660000000000001</v>
      </c>
      <c r="H343" s="4">
        <v>535644.09</v>
      </c>
      <c r="I343" s="4">
        <v>448816.19</v>
      </c>
      <c r="J343" s="4">
        <v>86827.91</v>
      </c>
      <c r="K343" s="6">
        <v>0.16209999999999999</v>
      </c>
      <c r="L343" s="28">
        <v>4.37</v>
      </c>
    </row>
    <row r="344" spans="1:12" x14ac:dyDescent="0.3">
      <c r="A344" t="s">
        <v>191</v>
      </c>
      <c r="B344" s="25">
        <v>45961</v>
      </c>
      <c r="C344" t="s">
        <v>322</v>
      </c>
      <c r="D344" s="4">
        <v>293842.34000000003</v>
      </c>
      <c r="E344" s="4">
        <v>23507.39</v>
      </c>
      <c r="F344" s="4">
        <v>270334.95</v>
      </c>
      <c r="G344" s="6">
        <v>8.7599999999999997E-2</v>
      </c>
      <c r="H344" s="4">
        <v>265757.5</v>
      </c>
      <c r="I344" s="4">
        <v>222678.21</v>
      </c>
      <c r="J344" s="4">
        <v>43079.29</v>
      </c>
      <c r="K344" s="6">
        <v>0.16209999999999999</v>
      </c>
      <c r="L344" s="28">
        <v>4.37</v>
      </c>
    </row>
    <row r="345" spans="1:12" x14ac:dyDescent="0.3">
      <c r="A345" t="s">
        <v>191</v>
      </c>
      <c r="B345" s="25">
        <v>45961</v>
      </c>
      <c r="C345" t="s">
        <v>321</v>
      </c>
      <c r="D345" s="4">
        <v>234226.85</v>
      </c>
      <c r="E345" s="4">
        <v>18738.150000000001</v>
      </c>
      <c r="F345" s="4">
        <v>215488.7</v>
      </c>
      <c r="G345" s="6">
        <v>6.9800000000000001E-2</v>
      </c>
      <c r="H345" s="4">
        <v>211839.94</v>
      </c>
      <c r="I345" s="4">
        <v>177500.68</v>
      </c>
      <c r="J345" s="4">
        <v>34339.25</v>
      </c>
      <c r="K345" s="6">
        <v>0.16209999999999999</v>
      </c>
      <c r="L345" s="28">
        <v>4.37</v>
      </c>
    </row>
    <row r="346" spans="1:12" x14ac:dyDescent="0.3">
      <c r="A346" t="s">
        <v>191</v>
      </c>
      <c r="B346" s="25">
        <v>45961</v>
      </c>
      <c r="C346" t="s">
        <v>320</v>
      </c>
      <c r="D346" s="4">
        <v>379418.45</v>
      </c>
      <c r="E346" s="4">
        <v>30353.48</v>
      </c>
      <c r="F346" s="4">
        <v>349064.97</v>
      </c>
      <c r="G346" s="6">
        <v>0.11310000000000001</v>
      </c>
      <c r="H346" s="4">
        <v>343154.43</v>
      </c>
      <c r="I346" s="4">
        <v>287529.09000000003</v>
      </c>
      <c r="J346" s="4">
        <v>55625.33</v>
      </c>
      <c r="K346" s="6">
        <v>0.16209999999999999</v>
      </c>
      <c r="L346" s="28">
        <v>4.37</v>
      </c>
    </row>
    <row r="347" spans="1:12" x14ac:dyDescent="0.3">
      <c r="A347" t="s">
        <v>191</v>
      </c>
      <c r="B347" s="25">
        <v>45961</v>
      </c>
      <c r="C347" t="s">
        <v>319</v>
      </c>
      <c r="D347" s="4">
        <v>304883.28000000003</v>
      </c>
      <c r="E347" s="4">
        <v>24390.66</v>
      </c>
      <c r="F347" s="4">
        <v>280492.62</v>
      </c>
      <c r="G347" s="6">
        <v>9.0899999999999995E-2</v>
      </c>
      <c r="H347" s="4">
        <v>275743.18</v>
      </c>
      <c r="I347" s="4">
        <v>231045.21</v>
      </c>
      <c r="J347" s="4">
        <v>44697.97</v>
      </c>
      <c r="K347" s="6">
        <v>0.16209999999999999</v>
      </c>
      <c r="L347" s="28">
        <v>4.37</v>
      </c>
    </row>
    <row r="348" spans="1:12" x14ac:dyDescent="0.3">
      <c r="A348" t="s">
        <v>191</v>
      </c>
      <c r="B348" s="25">
        <v>45961</v>
      </c>
      <c r="C348" t="s">
        <v>268</v>
      </c>
      <c r="D348" s="4">
        <v>98051.45</v>
      </c>
      <c r="E348" s="4">
        <v>7844.12</v>
      </c>
      <c r="F348" s="4">
        <v>90207.33</v>
      </c>
      <c r="G348" s="6">
        <v>2.92E-2</v>
      </c>
      <c r="H348" s="4">
        <v>88679.89</v>
      </c>
      <c r="I348" s="4">
        <v>74304.88</v>
      </c>
      <c r="J348" s="4">
        <v>14375.01</v>
      </c>
      <c r="K348" s="6">
        <v>0.16209999999999999</v>
      </c>
      <c r="L348" s="28">
        <v>4.37</v>
      </c>
    </row>
    <row r="349" spans="1:12" x14ac:dyDescent="0.3">
      <c r="A349" t="s">
        <v>191</v>
      </c>
      <c r="B349" s="25">
        <v>45961</v>
      </c>
      <c r="C349" t="s">
        <v>318</v>
      </c>
      <c r="D349" s="4">
        <v>311839.08</v>
      </c>
      <c r="E349" s="4">
        <v>24947.13</v>
      </c>
      <c r="F349" s="4">
        <v>286891.95</v>
      </c>
      <c r="G349" s="6">
        <v>9.2999999999999999E-2</v>
      </c>
      <c r="H349" s="4">
        <v>282034.15999999997</v>
      </c>
      <c r="I349" s="4">
        <v>236316.42</v>
      </c>
      <c r="J349" s="4">
        <v>45717.74</v>
      </c>
      <c r="K349" s="6">
        <v>0.16209999999999999</v>
      </c>
      <c r="L349" s="28">
        <v>4.37</v>
      </c>
    </row>
    <row r="350" spans="1:12" x14ac:dyDescent="0.3">
      <c r="A350" t="s">
        <v>191</v>
      </c>
      <c r="B350" s="25">
        <v>45961</v>
      </c>
      <c r="C350" t="s">
        <v>317</v>
      </c>
      <c r="D350" s="4">
        <v>340141.58</v>
      </c>
      <c r="E350" s="4">
        <v>27211.33</v>
      </c>
      <c r="F350" s="4">
        <v>312930.25</v>
      </c>
      <c r="G350" s="6">
        <v>0.1014</v>
      </c>
      <c r="H350" s="4">
        <v>307631.56</v>
      </c>
      <c r="I350" s="4">
        <v>257764.48000000001</v>
      </c>
      <c r="J350" s="4">
        <v>49867.08</v>
      </c>
      <c r="K350" s="6">
        <v>0.16209999999999999</v>
      </c>
      <c r="L350" s="28">
        <v>4.37</v>
      </c>
    </row>
    <row r="351" spans="1:12" x14ac:dyDescent="0.3">
      <c r="A351" t="s">
        <v>191</v>
      </c>
      <c r="B351" s="25">
        <v>45961</v>
      </c>
      <c r="C351" t="s">
        <v>316</v>
      </c>
      <c r="D351" s="4">
        <v>336374.24</v>
      </c>
      <c r="E351" s="4">
        <v>26909.94</v>
      </c>
      <c r="F351" s="4">
        <v>309464.3</v>
      </c>
      <c r="G351" s="6">
        <v>0.1003</v>
      </c>
      <c r="H351" s="4">
        <v>304224.28999999998</v>
      </c>
      <c r="I351" s="4">
        <v>254909.53</v>
      </c>
      <c r="J351" s="4">
        <v>49314.76</v>
      </c>
      <c r="K351" s="6">
        <v>0.16209999999999999</v>
      </c>
      <c r="L351" s="28">
        <v>4.37</v>
      </c>
    </row>
    <row r="352" spans="1:12" x14ac:dyDescent="0.3">
      <c r="A352" t="s">
        <v>191</v>
      </c>
      <c r="B352" s="25">
        <v>45991</v>
      </c>
      <c r="C352" t="s">
        <v>324</v>
      </c>
      <c r="D352" s="4">
        <v>497849.9</v>
      </c>
      <c r="E352" s="4">
        <v>39827.99</v>
      </c>
      <c r="F352" s="4">
        <v>458021.91</v>
      </c>
      <c r="G352" s="6">
        <v>0.15029999999999999</v>
      </c>
      <c r="H352" s="4">
        <v>464684.82</v>
      </c>
      <c r="I352" s="4">
        <v>397073.18</v>
      </c>
      <c r="J352" s="4">
        <v>67611.64</v>
      </c>
      <c r="K352" s="6">
        <v>0.14549999999999999</v>
      </c>
      <c r="L352" s="28">
        <v>4.24</v>
      </c>
    </row>
    <row r="353" spans="1:12" x14ac:dyDescent="0.3">
      <c r="A353" t="s">
        <v>191</v>
      </c>
      <c r="B353" s="25">
        <v>45991</v>
      </c>
      <c r="C353" t="s">
        <v>323</v>
      </c>
      <c r="D353" s="4">
        <v>567281.14</v>
      </c>
      <c r="E353" s="4">
        <v>45382.49</v>
      </c>
      <c r="F353" s="4">
        <v>521898.64</v>
      </c>
      <c r="G353" s="6">
        <v>0.17130000000000001</v>
      </c>
      <c r="H353" s="4">
        <v>529490.78</v>
      </c>
      <c r="I353" s="4">
        <v>452449.87</v>
      </c>
      <c r="J353" s="4">
        <v>77040.91</v>
      </c>
      <c r="K353" s="6">
        <v>0.14549999999999999</v>
      </c>
      <c r="L353" s="28">
        <v>4.24</v>
      </c>
    </row>
    <row r="354" spans="1:12" x14ac:dyDescent="0.3">
      <c r="A354" t="s">
        <v>191</v>
      </c>
      <c r="B354" s="25">
        <v>45991</v>
      </c>
      <c r="C354" t="s">
        <v>322</v>
      </c>
      <c r="D354" s="4">
        <v>452506.98</v>
      </c>
      <c r="E354" s="4">
        <v>36200.559999999998</v>
      </c>
      <c r="F354" s="4">
        <v>416306.42</v>
      </c>
      <c r="G354" s="6">
        <v>0.1366</v>
      </c>
      <c r="H354" s="4">
        <v>422362.49</v>
      </c>
      <c r="I354" s="4">
        <v>360908.75</v>
      </c>
      <c r="J354" s="4">
        <v>61453.74</v>
      </c>
      <c r="K354" s="6">
        <v>0.14549999999999999</v>
      </c>
      <c r="L354" s="28">
        <v>4.24</v>
      </c>
    </row>
    <row r="355" spans="1:12" x14ac:dyDescent="0.3">
      <c r="A355" t="s">
        <v>191</v>
      </c>
      <c r="B355" s="25">
        <v>45991</v>
      </c>
      <c r="C355" t="s">
        <v>321</v>
      </c>
      <c r="D355" s="4">
        <v>131604.85999999999</v>
      </c>
      <c r="E355" s="4">
        <v>10528.39</v>
      </c>
      <c r="F355" s="4">
        <v>121076.47</v>
      </c>
      <c r="G355" s="6">
        <v>3.9699999999999999E-2</v>
      </c>
      <c r="H355" s="4">
        <v>122837.79</v>
      </c>
      <c r="I355" s="4">
        <v>104964.89</v>
      </c>
      <c r="J355" s="4">
        <v>17872.900000000001</v>
      </c>
      <c r="K355" s="6">
        <v>0.14549999999999999</v>
      </c>
      <c r="L355" s="28">
        <v>4.24</v>
      </c>
    </row>
    <row r="356" spans="1:12" x14ac:dyDescent="0.3">
      <c r="A356" t="s">
        <v>191</v>
      </c>
      <c r="B356" s="25">
        <v>45991</v>
      </c>
      <c r="C356" t="s">
        <v>320</v>
      </c>
      <c r="D356" s="4">
        <v>227381.08</v>
      </c>
      <c r="E356" s="4">
        <v>18190.490000000002</v>
      </c>
      <c r="F356" s="4">
        <v>209190.59</v>
      </c>
      <c r="G356" s="6">
        <v>6.8599999999999994E-2</v>
      </c>
      <c r="H356" s="4">
        <v>212233.72</v>
      </c>
      <c r="I356" s="4">
        <v>181353.71</v>
      </c>
      <c r="J356" s="4">
        <v>30880.01</v>
      </c>
      <c r="K356" s="6">
        <v>0.14549999999999999</v>
      </c>
      <c r="L356" s="28">
        <v>4.24</v>
      </c>
    </row>
    <row r="357" spans="1:12" x14ac:dyDescent="0.3">
      <c r="A357" t="s">
        <v>191</v>
      </c>
      <c r="B357" s="25">
        <v>45991</v>
      </c>
      <c r="C357" t="s">
        <v>319</v>
      </c>
      <c r="D357" s="4">
        <v>255000.72</v>
      </c>
      <c r="E357" s="4">
        <v>20400.060000000001</v>
      </c>
      <c r="F357" s="4">
        <v>234600.66</v>
      </c>
      <c r="G357" s="6">
        <v>7.6999999999999999E-2</v>
      </c>
      <c r="H357" s="4">
        <v>238013.43</v>
      </c>
      <c r="I357" s="4">
        <v>203382.48</v>
      </c>
      <c r="J357" s="4">
        <v>34630.949999999997</v>
      </c>
      <c r="K357" s="6">
        <v>0.14549999999999999</v>
      </c>
      <c r="L357" s="28">
        <v>4.24</v>
      </c>
    </row>
    <row r="358" spans="1:12" x14ac:dyDescent="0.3">
      <c r="A358" t="s">
        <v>191</v>
      </c>
      <c r="B358" s="25">
        <v>45991</v>
      </c>
      <c r="C358" t="s">
        <v>268</v>
      </c>
      <c r="D358" s="4">
        <v>112161.58</v>
      </c>
      <c r="E358" s="4">
        <v>8972.93</v>
      </c>
      <c r="F358" s="4">
        <v>103188.65</v>
      </c>
      <c r="G358" s="6">
        <v>3.39E-2</v>
      </c>
      <c r="H358" s="4">
        <v>104689.75</v>
      </c>
      <c r="I358" s="4">
        <v>89457.39</v>
      </c>
      <c r="J358" s="4">
        <v>15232.36</v>
      </c>
      <c r="K358" s="6">
        <v>0.14549999999999999</v>
      </c>
      <c r="L358" s="28">
        <v>4.24</v>
      </c>
    </row>
    <row r="359" spans="1:12" x14ac:dyDescent="0.3">
      <c r="A359" t="s">
        <v>191</v>
      </c>
      <c r="B359" s="25">
        <v>45991</v>
      </c>
      <c r="C359" t="s">
        <v>318</v>
      </c>
      <c r="D359" s="4">
        <v>342778.35</v>
      </c>
      <c r="E359" s="4">
        <v>27422.27</v>
      </c>
      <c r="F359" s="4">
        <v>315356.08</v>
      </c>
      <c r="G359" s="6">
        <v>0.10349999999999999</v>
      </c>
      <c r="H359" s="4">
        <v>319943.61</v>
      </c>
      <c r="I359" s="4">
        <v>273391.82</v>
      </c>
      <c r="J359" s="4">
        <v>46551.8</v>
      </c>
      <c r="K359" s="6">
        <v>0.14549999999999999</v>
      </c>
      <c r="L359" s="28">
        <v>4.24</v>
      </c>
    </row>
    <row r="360" spans="1:12" x14ac:dyDescent="0.3">
      <c r="A360" t="s">
        <v>191</v>
      </c>
      <c r="B360" s="25">
        <v>45991</v>
      </c>
      <c r="C360" t="s">
        <v>317</v>
      </c>
      <c r="D360" s="4">
        <v>259599.11</v>
      </c>
      <c r="E360" s="4">
        <v>20767.93</v>
      </c>
      <c r="F360" s="4">
        <v>238831.18</v>
      </c>
      <c r="G360" s="6">
        <v>7.8399999999999997E-2</v>
      </c>
      <c r="H360" s="4">
        <v>242305.49</v>
      </c>
      <c r="I360" s="4">
        <v>207050.05</v>
      </c>
      <c r="J360" s="4">
        <v>35255.449999999997</v>
      </c>
      <c r="K360" s="6">
        <v>0.14549999999999999</v>
      </c>
      <c r="L360" s="28">
        <v>4.24</v>
      </c>
    </row>
    <row r="361" spans="1:12" x14ac:dyDescent="0.3">
      <c r="A361" t="s">
        <v>191</v>
      </c>
      <c r="B361" s="25">
        <v>45991</v>
      </c>
      <c r="C361" t="s">
        <v>316</v>
      </c>
      <c r="D361" s="4">
        <v>466232.77</v>
      </c>
      <c r="E361" s="4">
        <v>37298.620000000003</v>
      </c>
      <c r="F361" s="4">
        <v>428934.15</v>
      </c>
      <c r="G361" s="6">
        <v>0.14080000000000001</v>
      </c>
      <c r="H361" s="4">
        <v>435173.92</v>
      </c>
      <c r="I361" s="4">
        <v>371856.11</v>
      </c>
      <c r="J361" s="4">
        <v>63317.8</v>
      </c>
      <c r="K361" s="6">
        <v>0.14549999999999999</v>
      </c>
      <c r="L361" s="28">
        <v>4.24</v>
      </c>
    </row>
    <row r="362" spans="1:12" x14ac:dyDescent="0.3">
      <c r="A362" t="s">
        <v>193</v>
      </c>
      <c r="B362" s="25">
        <v>45657</v>
      </c>
      <c r="C362" t="s">
        <v>324</v>
      </c>
      <c r="D362" s="4">
        <v>850628.94</v>
      </c>
      <c r="E362" s="4">
        <v>68050.31</v>
      </c>
      <c r="F362" s="4">
        <v>782578.62</v>
      </c>
      <c r="G362" s="6">
        <v>9.6299999999999997E-2</v>
      </c>
      <c r="H362" s="4">
        <v>501853.43</v>
      </c>
      <c r="I362" s="4">
        <v>343267.75</v>
      </c>
      <c r="J362" s="4">
        <v>158585.68</v>
      </c>
      <c r="K362" s="6">
        <v>0.316</v>
      </c>
      <c r="L362" s="28">
        <v>6.71</v>
      </c>
    </row>
    <row r="363" spans="1:12" x14ac:dyDescent="0.3">
      <c r="A363" t="s">
        <v>193</v>
      </c>
      <c r="B363" s="25">
        <v>45657</v>
      </c>
      <c r="C363" t="s">
        <v>323</v>
      </c>
      <c r="D363" s="4">
        <v>1710429.66</v>
      </c>
      <c r="E363" s="4">
        <v>136834.37</v>
      </c>
      <c r="F363" s="4">
        <v>1573595.29</v>
      </c>
      <c r="G363" s="6">
        <v>0.19359999999999999</v>
      </c>
      <c r="H363" s="4">
        <v>1009118.02</v>
      </c>
      <c r="I363" s="4">
        <v>690236.73</v>
      </c>
      <c r="J363" s="4">
        <v>318881.3</v>
      </c>
      <c r="K363" s="6">
        <v>0.316</v>
      </c>
      <c r="L363" s="28">
        <v>6.71</v>
      </c>
    </row>
    <row r="364" spans="1:12" x14ac:dyDescent="0.3">
      <c r="A364" t="s">
        <v>193</v>
      </c>
      <c r="B364" s="25">
        <v>45657</v>
      </c>
      <c r="C364" t="s">
        <v>322</v>
      </c>
      <c r="D364" s="4">
        <v>260756.82</v>
      </c>
      <c r="E364" s="4">
        <v>20860.55</v>
      </c>
      <c r="F364" s="4">
        <v>239896.28</v>
      </c>
      <c r="G364" s="6">
        <v>2.9499999999999998E-2</v>
      </c>
      <c r="H364" s="4">
        <v>153841.12</v>
      </c>
      <c r="I364" s="4">
        <v>105227.32</v>
      </c>
      <c r="J364" s="4">
        <v>48613.79</v>
      </c>
      <c r="K364" s="6">
        <v>0.316</v>
      </c>
      <c r="L364" s="28">
        <v>6.71</v>
      </c>
    </row>
    <row r="365" spans="1:12" x14ac:dyDescent="0.3">
      <c r="A365" t="s">
        <v>193</v>
      </c>
      <c r="B365" s="25">
        <v>45657</v>
      </c>
      <c r="C365" t="s">
        <v>321</v>
      </c>
      <c r="D365" s="4">
        <v>1292363.3500000001</v>
      </c>
      <c r="E365" s="4">
        <v>103389.07</v>
      </c>
      <c r="F365" s="4">
        <v>1188974.28</v>
      </c>
      <c r="G365" s="6">
        <v>0.14630000000000001</v>
      </c>
      <c r="H365" s="4">
        <v>762467.57</v>
      </c>
      <c r="I365" s="4">
        <v>521527.82</v>
      </c>
      <c r="J365" s="4">
        <v>240939.75</v>
      </c>
      <c r="K365" s="6">
        <v>0.316</v>
      </c>
      <c r="L365" s="28">
        <v>6.71</v>
      </c>
    </row>
    <row r="366" spans="1:12" x14ac:dyDescent="0.3">
      <c r="A366" t="s">
        <v>193</v>
      </c>
      <c r="B366" s="25">
        <v>45657</v>
      </c>
      <c r="C366" t="s">
        <v>320</v>
      </c>
      <c r="D366" s="4">
        <v>699615.34</v>
      </c>
      <c r="E366" s="4">
        <v>55969.23</v>
      </c>
      <c r="F366" s="4">
        <v>643646.11</v>
      </c>
      <c r="G366" s="6">
        <v>7.9200000000000007E-2</v>
      </c>
      <c r="H366" s="4">
        <v>412758.54</v>
      </c>
      <c r="I366" s="4">
        <v>282326.84000000003</v>
      </c>
      <c r="J366" s="4">
        <v>130431.7</v>
      </c>
      <c r="K366" s="6">
        <v>0.316</v>
      </c>
      <c r="L366" s="28">
        <v>6.71</v>
      </c>
    </row>
    <row r="367" spans="1:12" x14ac:dyDescent="0.3">
      <c r="A367" t="s">
        <v>193</v>
      </c>
      <c r="B367" s="25">
        <v>45657</v>
      </c>
      <c r="C367" t="s">
        <v>319</v>
      </c>
      <c r="D367" s="4">
        <v>95314.25</v>
      </c>
      <c r="E367" s="4">
        <v>7625.14</v>
      </c>
      <c r="F367" s="4">
        <v>87689.11</v>
      </c>
      <c r="G367" s="6">
        <v>1.0800000000000001E-2</v>
      </c>
      <c r="H367" s="4">
        <v>56233.43</v>
      </c>
      <c r="I367" s="4">
        <v>38463.67</v>
      </c>
      <c r="J367" s="4">
        <v>17769.759999999998</v>
      </c>
      <c r="K367" s="6">
        <v>0.316</v>
      </c>
      <c r="L367" s="28">
        <v>6.71</v>
      </c>
    </row>
    <row r="368" spans="1:12" x14ac:dyDescent="0.3">
      <c r="A368" t="s">
        <v>193</v>
      </c>
      <c r="B368" s="25">
        <v>45657</v>
      </c>
      <c r="C368" t="s">
        <v>268</v>
      </c>
      <c r="D368" s="4">
        <v>925151.22</v>
      </c>
      <c r="E368" s="4">
        <v>74012.100000000006</v>
      </c>
      <c r="F368" s="4">
        <v>851139.13</v>
      </c>
      <c r="G368" s="6">
        <v>0.1047</v>
      </c>
      <c r="H368" s="4">
        <v>545820.03</v>
      </c>
      <c r="I368" s="4">
        <v>373340.9</v>
      </c>
      <c r="J368" s="4">
        <v>172479.13</v>
      </c>
      <c r="K368" s="6">
        <v>0.316</v>
      </c>
      <c r="L368" s="28">
        <v>6.71</v>
      </c>
    </row>
    <row r="369" spans="1:12" x14ac:dyDescent="0.3">
      <c r="A369" t="s">
        <v>193</v>
      </c>
      <c r="B369" s="25">
        <v>45657</v>
      </c>
      <c r="C369" t="s">
        <v>318</v>
      </c>
      <c r="D369" s="4">
        <v>535581.09</v>
      </c>
      <c r="E369" s="4">
        <v>42846.49</v>
      </c>
      <c r="F369" s="4">
        <v>492734.6</v>
      </c>
      <c r="G369" s="6">
        <v>6.0600000000000001E-2</v>
      </c>
      <c r="H369" s="4">
        <v>315981.73</v>
      </c>
      <c r="I369" s="4">
        <v>216131.51</v>
      </c>
      <c r="J369" s="4">
        <v>99850.23</v>
      </c>
      <c r="K369" s="6">
        <v>0.316</v>
      </c>
      <c r="L369" s="28">
        <v>6.71</v>
      </c>
    </row>
    <row r="370" spans="1:12" x14ac:dyDescent="0.3">
      <c r="A370" t="s">
        <v>193</v>
      </c>
      <c r="B370" s="25">
        <v>45657</v>
      </c>
      <c r="C370" t="s">
        <v>317</v>
      </c>
      <c r="D370" s="4">
        <v>754447.53</v>
      </c>
      <c r="E370" s="4">
        <v>60355.8</v>
      </c>
      <c r="F370" s="4">
        <v>694091.73</v>
      </c>
      <c r="G370" s="6">
        <v>8.5400000000000004E-2</v>
      </c>
      <c r="H370" s="4">
        <v>445108.4</v>
      </c>
      <c r="I370" s="4">
        <v>304454.14</v>
      </c>
      <c r="J370" s="4">
        <v>140654.25</v>
      </c>
      <c r="K370" s="6">
        <v>0.316</v>
      </c>
      <c r="L370" s="28">
        <v>6.71</v>
      </c>
    </row>
    <row r="371" spans="1:12" x14ac:dyDescent="0.3">
      <c r="A371" t="s">
        <v>193</v>
      </c>
      <c r="B371" s="25">
        <v>45657</v>
      </c>
      <c r="C371" t="s">
        <v>316</v>
      </c>
      <c r="D371" s="4">
        <v>1710232.12</v>
      </c>
      <c r="E371" s="4">
        <v>136818.57</v>
      </c>
      <c r="F371" s="4">
        <v>1573413.55</v>
      </c>
      <c r="G371" s="6">
        <v>0.19359999999999999</v>
      </c>
      <c r="H371" s="4">
        <v>1009001.48</v>
      </c>
      <c r="I371" s="4">
        <v>690157.01</v>
      </c>
      <c r="J371" s="4">
        <v>318844.46999999997</v>
      </c>
      <c r="K371" s="6">
        <v>0.316</v>
      </c>
      <c r="L371" s="28">
        <v>6.71</v>
      </c>
    </row>
    <row r="372" spans="1:12" x14ac:dyDescent="0.3">
      <c r="A372" t="s">
        <v>193</v>
      </c>
      <c r="B372" s="25">
        <v>45688</v>
      </c>
      <c r="C372" t="s">
        <v>324</v>
      </c>
      <c r="D372" s="4">
        <v>1139457.22</v>
      </c>
      <c r="E372" s="4">
        <v>91156.58</v>
      </c>
      <c r="F372" s="4">
        <v>1048300.64</v>
      </c>
      <c r="G372" s="6">
        <v>0.13669999999999999</v>
      </c>
      <c r="H372" s="4">
        <v>654278.86</v>
      </c>
      <c r="I372" s="4">
        <v>441180.24</v>
      </c>
      <c r="J372" s="4">
        <v>213098.63</v>
      </c>
      <c r="K372" s="6">
        <v>0.32569999999999999</v>
      </c>
      <c r="L372" s="28">
        <v>6.89</v>
      </c>
    </row>
    <row r="373" spans="1:12" x14ac:dyDescent="0.3">
      <c r="A373" t="s">
        <v>193</v>
      </c>
      <c r="B373" s="25">
        <v>45688</v>
      </c>
      <c r="C373" t="s">
        <v>323</v>
      </c>
      <c r="D373" s="4">
        <v>1639031.32</v>
      </c>
      <c r="E373" s="4">
        <v>131122.51</v>
      </c>
      <c r="F373" s="4">
        <v>1507908.82</v>
      </c>
      <c r="G373" s="6">
        <v>0.1966</v>
      </c>
      <c r="H373" s="4">
        <v>941135.43</v>
      </c>
      <c r="I373" s="4">
        <v>634607.62</v>
      </c>
      <c r="J373" s="4">
        <v>306527.81</v>
      </c>
      <c r="K373" s="6">
        <v>0.32569999999999999</v>
      </c>
      <c r="L373" s="28">
        <v>6.89</v>
      </c>
    </row>
    <row r="374" spans="1:12" x14ac:dyDescent="0.3">
      <c r="A374" t="s">
        <v>193</v>
      </c>
      <c r="B374" s="25">
        <v>45688</v>
      </c>
      <c r="C374" t="s">
        <v>322</v>
      </c>
      <c r="D374" s="4">
        <v>706900.55</v>
      </c>
      <c r="E374" s="4">
        <v>56552.04</v>
      </c>
      <c r="F374" s="4">
        <v>650348.51</v>
      </c>
      <c r="G374" s="6">
        <v>8.48E-2</v>
      </c>
      <c r="H374" s="4">
        <v>405903.87</v>
      </c>
      <c r="I374" s="4">
        <v>273700.98</v>
      </c>
      <c r="J374" s="4">
        <v>132202.89000000001</v>
      </c>
      <c r="K374" s="6">
        <v>0.32569999999999999</v>
      </c>
      <c r="L374" s="28">
        <v>6.89</v>
      </c>
    </row>
    <row r="375" spans="1:12" x14ac:dyDescent="0.3">
      <c r="A375" t="s">
        <v>193</v>
      </c>
      <c r="B375" s="25">
        <v>45688</v>
      </c>
      <c r="C375" t="s">
        <v>321</v>
      </c>
      <c r="D375" s="4">
        <v>763387.92</v>
      </c>
      <c r="E375" s="4">
        <v>61071.03</v>
      </c>
      <c r="F375" s="4">
        <v>702316.88</v>
      </c>
      <c r="G375" s="6">
        <v>9.1600000000000001E-2</v>
      </c>
      <c r="H375" s="4">
        <v>438339.04</v>
      </c>
      <c r="I375" s="4">
        <v>295572.01</v>
      </c>
      <c r="J375" s="4">
        <v>142767.01999999999</v>
      </c>
      <c r="K375" s="6">
        <v>0.32569999999999999</v>
      </c>
      <c r="L375" s="28">
        <v>6.89</v>
      </c>
    </row>
    <row r="376" spans="1:12" x14ac:dyDescent="0.3">
      <c r="A376" t="s">
        <v>193</v>
      </c>
      <c r="B376" s="25">
        <v>45688</v>
      </c>
      <c r="C376" t="s">
        <v>320</v>
      </c>
      <c r="D376" s="4">
        <v>575491.38</v>
      </c>
      <c r="E376" s="4">
        <v>46039.31</v>
      </c>
      <c r="F376" s="4">
        <v>529452.06999999995</v>
      </c>
      <c r="G376" s="6">
        <v>6.9000000000000006E-2</v>
      </c>
      <c r="H376" s="4">
        <v>330448.43</v>
      </c>
      <c r="I376" s="4">
        <v>222821.37</v>
      </c>
      <c r="J376" s="4">
        <v>107627.05</v>
      </c>
      <c r="K376" s="6">
        <v>0.32569999999999999</v>
      </c>
      <c r="L376" s="28">
        <v>6.89</v>
      </c>
    </row>
    <row r="377" spans="1:12" x14ac:dyDescent="0.3">
      <c r="A377" t="s">
        <v>193</v>
      </c>
      <c r="B377" s="25">
        <v>45688</v>
      </c>
      <c r="C377" t="s">
        <v>319</v>
      </c>
      <c r="D377" s="4">
        <v>331285.21000000002</v>
      </c>
      <c r="E377" s="4">
        <v>26502.82</v>
      </c>
      <c r="F377" s="4">
        <v>304782.40000000002</v>
      </c>
      <c r="G377" s="6">
        <v>3.9699999999999999E-2</v>
      </c>
      <c r="H377" s="4">
        <v>190224.71</v>
      </c>
      <c r="I377" s="4">
        <v>128268.52</v>
      </c>
      <c r="J377" s="4">
        <v>61956.19</v>
      </c>
      <c r="K377" s="6">
        <v>0.32569999999999999</v>
      </c>
      <c r="L377" s="28">
        <v>6.89</v>
      </c>
    </row>
    <row r="378" spans="1:12" x14ac:dyDescent="0.3">
      <c r="A378" t="s">
        <v>193</v>
      </c>
      <c r="B378" s="25">
        <v>45688</v>
      </c>
      <c r="C378" t="s">
        <v>268</v>
      </c>
      <c r="D378" s="4">
        <v>96573.88</v>
      </c>
      <c r="E378" s="4">
        <v>7725.91</v>
      </c>
      <c r="F378" s="4">
        <v>88847.97</v>
      </c>
      <c r="G378" s="6">
        <v>1.1599999999999999E-2</v>
      </c>
      <c r="H378" s="4">
        <v>55452.94</v>
      </c>
      <c r="I378" s="4">
        <v>37391.919999999998</v>
      </c>
      <c r="J378" s="4">
        <v>18061.02</v>
      </c>
      <c r="K378" s="6">
        <v>0.32569999999999999</v>
      </c>
      <c r="L378" s="28">
        <v>6.89</v>
      </c>
    </row>
    <row r="379" spans="1:12" x14ac:dyDescent="0.3">
      <c r="A379" t="s">
        <v>193</v>
      </c>
      <c r="B379" s="25">
        <v>45688</v>
      </c>
      <c r="C379" t="s">
        <v>318</v>
      </c>
      <c r="D379" s="4">
        <v>486835.43</v>
      </c>
      <c r="E379" s="4">
        <v>38946.83</v>
      </c>
      <c r="F379" s="4">
        <v>447888.59</v>
      </c>
      <c r="G379" s="6">
        <v>5.8400000000000001E-2</v>
      </c>
      <c r="H379" s="4">
        <v>279541.98</v>
      </c>
      <c r="I379" s="4">
        <v>188495.16</v>
      </c>
      <c r="J379" s="4">
        <v>91046.82</v>
      </c>
      <c r="K379" s="6">
        <v>0.32569999999999999</v>
      </c>
      <c r="L379" s="28">
        <v>6.89</v>
      </c>
    </row>
    <row r="380" spans="1:12" x14ac:dyDescent="0.3">
      <c r="A380" t="s">
        <v>193</v>
      </c>
      <c r="B380" s="25">
        <v>45688</v>
      </c>
      <c r="C380" t="s">
        <v>317</v>
      </c>
      <c r="D380" s="4">
        <v>539835.16</v>
      </c>
      <c r="E380" s="4">
        <v>43186.81</v>
      </c>
      <c r="F380" s="4">
        <v>496648.35</v>
      </c>
      <c r="G380" s="6">
        <v>6.4699999999999994E-2</v>
      </c>
      <c r="H380" s="4">
        <v>309974.55</v>
      </c>
      <c r="I380" s="4">
        <v>209015.84</v>
      </c>
      <c r="J380" s="4">
        <v>100958.71</v>
      </c>
      <c r="K380" s="6">
        <v>0.32569999999999999</v>
      </c>
      <c r="L380" s="28">
        <v>6.89</v>
      </c>
    </row>
    <row r="381" spans="1:12" x14ac:dyDescent="0.3">
      <c r="A381" t="s">
        <v>193</v>
      </c>
      <c r="B381" s="25">
        <v>45688</v>
      </c>
      <c r="C381" t="s">
        <v>316</v>
      </c>
      <c r="D381" s="4">
        <v>2059428.62</v>
      </c>
      <c r="E381" s="4">
        <v>164754.29</v>
      </c>
      <c r="F381" s="4">
        <v>1894674.33</v>
      </c>
      <c r="G381" s="6">
        <v>0.247</v>
      </c>
      <c r="H381" s="4">
        <v>1182528.49</v>
      </c>
      <c r="I381" s="4">
        <v>797378.96</v>
      </c>
      <c r="J381" s="4">
        <v>385149.53</v>
      </c>
      <c r="K381" s="6">
        <v>0.32569999999999999</v>
      </c>
      <c r="L381" s="28">
        <v>6.89</v>
      </c>
    </row>
    <row r="382" spans="1:12" x14ac:dyDescent="0.3">
      <c r="A382" t="s">
        <v>193</v>
      </c>
      <c r="B382" s="25">
        <v>45716</v>
      </c>
      <c r="C382" t="s">
        <v>324</v>
      </c>
      <c r="D382" s="4">
        <v>1333910.98</v>
      </c>
      <c r="E382" s="4">
        <v>106712.88</v>
      </c>
      <c r="F382" s="4">
        <v>1227198.1000000001</v>
      </c>
      <c r="G382" s="6">
        <v>0.16839999999999999</v>
      </c>
      <c r="H382" s="4">
        <v>758725.73</v>
      </c>
      <c r="I382" s="4">
        <v>522686.15</v>
      </c>
      <c r="J382" s="4">
        <v>236039.57</v>
      </c>
      <c r="K382" s="6">
        <v>0.31109999999999999</v>
      </c>
      <c r="L382" s="28">
        <v>6.96</v>
      </c>
    </row>
    <row r="383" spans="1:12" x14ac:dyDescent="0.3">
      <c r="A383" t="s">
        <v>193</v>
      </c>
      <c r="B383" s="25">
        <v>45716</v>
      </c>
      <c r="C383" t="s">
        <v>323</v>
      </c>
      <c r="D383" s="4">
        <v>858866.56</v>
      </c>
      <c r="E383" s="4">
        <v>68709.320000000007</v>
      </c>
      <c r="F383" s="4">
        <v>790157.24</v>
      </c>
      <c r="G383" s="6">
        <v>0.1084</v>
      </c>
      <c r="H383" s="4">
        <v>488521.47</v>
      </c>
      <c r="I383" s="4">
        <v>336542.44</v>
      </c>
      <c r="J383" s="4">
        <v>151979.03</v>
      </c>
      <c r="K383" s="6">
        <v>0.31109999999999999</v>
      </c>
      <c r="L383" s="28">
        <v>6.96</v>
      </c>
    </row>
    <row r="384" spans="1:12" x14ac:dyDescent="0.3">
      <c r="A384" t="s">
        <v>193</v>
      </c>
      <c r="B384" s="25">
        <v>45716</v>
      </c>
      <c r="C384" t="s">
        <v>322</v>
      </c>
      <c r="D384" s="4">
        <v>428673.83</v>
      </c>
      <c r="E384" s="4">
        <v>34293.910000000003</v>
      </c>
      <c r="F384" s="4">
        <v>394379.93</v>
      </c>
      <c r="G384" s="6">
        <v>5.4100000000000002E-2</v>
      </c>
      <c r="H384" s="4">
        <v>243828.76</v>
      </c>
      <c r="I384" s="4">
        <v>167973.64</v>
      </c>
      <c r="J384" s="4">
        <v>75855.13</v>
      </c>
      <c r="K384" s="6">
        <v>0.31109999999999999</v>
      </c>
      <c r="L384" s="28">
        <v>6.96</v>
      </c>
    </row>
    <row r="385" spans="1:12" x14ac:dyDescent="0.3">
      <c r="A385" t="s">
        <v>193</v>
      </c>
      <c r="B385" s="25">
        <v>45716</v>
      </c>
      <c r="C385" t="s">
        <v>321</v>
      </c>
      <c r="D385" s="4">
        <v>1122457.55</v>
      </c>
      <c r="E385" s="4">
        <v>89796.6</v>
      </c>
      <c r="F385" s="4">
        <v>1032660.94</v>
      </c>
      <c r="G385" s="6">
        <v>0.14169999999999999</v>
      </c>
      <c r="H385" s="4">
        <v>638451.46</v>
      </c>
      <c r="I385" s="4">
        <v>439829.21</v>
      </c>
      <c r="J385" s="4">
        <v>198622.25</v>
      </c>
      <c r="K385" s="6">
        <v>0.31109999999999999</v>
      </c>
      <c r="L385" s="28">
        <v>6.96</v>
      </c>
    </row>
    <row r="386" spans="1:12" x14ac:dyDescent="0.3">
      <c r="A386" t="s">
        <v>193</v>
      </c>
      <c r="B386" s="25">
        <v>45716</v>
      </c>
      <c r="C386" t="s">
        <v>320</v>
      </c>
      <c r="D386" s="4">
        <v>918992.26</v>
      </c>
      <c r="E386" s="4">
        <v>73519.38</v>
      </c>
      <c r="F386" s="4">
        <v>845472.88</v>
      </c>
      <c r="G386" s="6">
        <v>0.11600000000000001</v>
      </c>
      <c r="H386" s="4">
        <v>522720.84</v>
      </c>
      <c r="I386" s="4">
        <v>360102.39</v>
      </c>
      <c r="J386" s="4">
        <v>162618.45000000001</v>
      </c>
      <c r="K386" s="6">
        <v>0.31109999999999999</v>
      </c>
      <c r="L386" s="28">
        <v>6.96</v>
      </c>
    </row>
    <row r="387" spans="1:12" x14ac:dyDescent="0.3">
      <c r="A387" t="s">
        <v>193</v>
      </c>
      <c r="B387" s="25">
        <v>45716</v>
      </c>
      <c r="C387" t="s">
        <v>319</v>
      </c>
      <c r="D387" s="4">
        <v>77153.279999999999</v>
      </c>
      <c r="E387" s="4">
        <v>6172.26</v>
      </c>
      <c r="F387" s="4">
        <v>70981.02</v>
      </c>
      <c r="G387" s="6">
        <v>9.7000000000000003E-3</v>
      </c>
      <c r="H387" s="4">
        <v>43884.62</v>
      </c>
      <c r="I387" s="4">
        <v>30232.12</v>
      </c>
      <c r="J387" s="4">
        <v>13652.51</v>
      </c>
      <c r="K387" s="6">
        <v>0.31109999999999999</v>
      </c>
      <c r="L387" s="28">
        <v>6.96</v>
      </c>
    </row>
    <row r="388" spans="1:12" x14ac:dyDescent="0.3">
      <c r="A388" t="s">
        <v>193</v>
      </c>
      <c r="B388" s="25">
        <v>45716</v>
      </c>
      <c r="C388" t="s">
        <v>268</v>
      </c>
      <c r="D388" s="4">
        <v>409234.71</v>
      </c>
      <c r="E388" s="4">
        <v>32738.78</v>
      </c>
      <c r="F388" s="4">
        <v>376495.94</v>
      </c>
      <c r="G388" s="6">
        <v>5.16E-2</v>
      </c>
      <c r="H388" s="4">
        <v>232771.83</v>
      </c>
      <c r="I388" s="4">
        <v>160356.51999999999</v>
      </c>
      <c r="J388" s="4">
        <v>72415.320000000007</v>
      </c>
      <c r="K388" s="6">
        <v>0.31109999999999999</v>
      </c>
      <c r="L388" s="28">
        <v>6.96</v>
      </c>
    </row>
    <row r="389" spans="1:12" x14ac:dyDescent="0.3">
      <c r="A389" t="s">
        <v>193</v>
      </c>
      <c r="B389" s="25">
        <v>45716</v>
      </c>
      <c r="C389" t="s">
        <v>318</v>
      </c>
      <c r="D389" s="4">
        <v>476163.98</v>
      </c>
      <c r="E389" s="4">
        <v>38093.120000000003</v>
      </c>
      <c r="F389" s="4">
        <v>438070.86</v>
      </c>
      <c r="G389" s="6">
        <v>6.0100000000000001E-2</v>
      </c>
      <c r="H389" s="4">
        <v>270841.06</v>
      </c>
      <c r="I389" s="4">
        <v>186582.39999999999</v>
      </c>
      <c r="J389" s="4">
        <v>84258.65</v>
      </c>
      <c r="K389" s="6">
        <v>0.31109999999999999</v>
      </c>
      <c r="L389" s="28">
        <v>6.96</v>
      </c>
    </row>
    <row r="390" spans="1:12" x14ac:dyDescent="0.3">
      <c r="A390" t="s">
        <v>193</v>
      </c>
      <c r="B390" s="25">
        <v>45716</v>
      </c>
      <c r="C390" t="s">
        <v>317</v>
      </c>
      <c r="D390" s="4">
        <v>608686.21</v>
      </c>
      <c r="E390" s="4">
        <v>48694.9</v>
      </c>
      <c r="F390" s="4">
        <v>559991.31999999995</v>
      </c>
      <c r="G390" s="6">
        <v>7.6799999999999993E-2</v>
      </c>
      <c r="H390" s="4">
        <v>346219.42</v>
      </c>
      <c r="I390" s="4">
        <v>238510.56</v>
      </c>
      <c r="J390" s="4">
        <v>107708.86</v>
      </c>
      <c r="K390" s="6">
        <v>0.31109999999999999</v>
      </c>
      <c r="L390" s="28">
        <v>6.96</v>
      </c>
    </row>
    <row r="391" spans="1:12" x14ac:dyDescent="0.3">
      <c r="A391" t="s">
        <v>193</v>
      </c>
      <c r="B391" s="25">
        <v>45716</v>
      </c>
      <c r="C391" t="s">
        <v>316</v>
      </c>
      <c r="D391" s="4">
        <v>1689248.33</v>
      </c>
      <c r="E391" s="4">
        <v>135139.87</v>
      </c>
      <c r="F391" s="4">
        <v>1554108.46</v>
      </c>
      <c r="G391" s="6">
        <v>0.2132</v>
      </c>
      <c r="H391" s="4">
        <v>960840.85</v>
      </c>
      <c r="I391" s="4">
        <v>661923.26</v>
      </c>
      <c r="J391" s="4">
        <v>298917.59000000003</v>
      </c>
      <c r="K391" s="6">
        <v>0.31109999999999999</v>
      </c>
      <c r="L391" s="28">
        <v>6.96</v>
      </c>
    </row>
    <row r="392" spans="1:12" x14ac:dyDescent="0.3">
      <c r="A392" t="s">
        <v>193</v>
      </c>
      <c r="B392" s="25">
        <v>45747</v>
      </c>
      <c r="C392" t="s">
        <v>324</v>
      </c>
      <c r="D392" s="4">
        <v>1424619.01</v>
      </c>
      <c r="E392" s="4">
        <v>113969.52</v>
      </c>
      <c r="F392" s="4">
        <v>1310649.49</v>
      </c>
      <c r="G392" s="6">
        <v>0.17519999999999999</v>
      </c>
      <c r="H392" s="4">
        <v>811695.64</v>
      </c>
      <c r="I392" s="4">
        <v>540508.13</v>
      </c>
      <c r="J392" s="4">
        <v>271187.51</v>
      </c>
      <c r="K392" s="6">
        <v>0.33410000000000001</v>
      </c>
      <c r="L392" s="28">
        <v>6.94</v>
      </c>
    </row>
    <row r="393" spans="1:12" x14ac:dyDescent="0.3">
      <c r="A393" t="s">
        <v>193</v>
      </c>
      <c r="B393" s="25">
        <v>45747</v>
      </c>
      <c r="C393" t="s">
        <v>323</v>
      </c>
      <c r="D393" s="4">
        <v>1187460.69</v>
      </c>
      <c r="E393" s="4">
        <v>94996.85</v>
      </c>
      <c r="F393" s="4">
        <v>1092463.83</v>
      </c>
      <c r="G393" s="6">
        <v>0.14610000000000001</v>
      </c>
      <c r="H393" s="4">
        <v>676571.53</v>
      </c>
      <c r="I393" s="4">
        <v>450528.98</v>
      </c>
      <c r="J393" s="4">
        <v>226042.55</v>
      </c>
      <c r="K393" s="6">
        <v>0.33410000000000001</v>
      </c>
      <c r="L393" s="28">
        <v>6.94</v>
      </c>
    </row>
    <row r="394" spans="1:12" x14ac:dyDescent="0.3">
      <c r="A394" t="s">
        <v>193</v>
      </c>
      <c r="B394" s="25">
        <v>45747</v>
      </c>
      <c r="C394" t="s">
        <v>322</v>
      </c>
      <c r="D394" s="4">
        <v>216486.34</v>
      </c>
      <c r="E394" s="4">
        <v>17318.91</v>
      </c>
      <c r="F394" s="4">
        <v>199167.43</v>
      </c>
      <c r="G394" s="6">
        <v>2.6599999999999999E-2</v>
      </c>
      <c r="H394" s="4">
        <v>123345.97</v>
      </c>
      <c r="I394" s="4">
        <v>82136.08</v>
      </c>
      <c r="J394" s="4">
        <v>41209.89</v>
      </c>
      <c r="K394" s="6">
        <v>0.33410000000000001</v>
      </c>
      <c r="L394" s="28">
        <v>6.94</v>
      </c>
    </row>
    <row r="395" spans="1:12" x14ac:dyDescent="0.3">
      <c r="A395" t="s">
        <v>193</v>
      </c>
      <c r="B395" s="25">
        <v>45747</v>
      </c>
      <c r="C395" t="s">
        <v>321</v>
      </c>
      <c r="D395" s="4">
        <v>319999.59000000003</v>
      </c>
      <c r="E395" s="4">
        <v>25599.97</v>
      </c>
      <c r="F395" s="4">
        <v>294399.62</v>
      </c>
      <c r="G395" s="6">
        <v>3.9399999999999998E-2</v>
      </c>
      <c r="H395" s="4">
        <v>182324.02</v>
      </c>
      <c r="I395" s="4">
        <v>121409.57</v>
      </c>
      <c r="J395" s="4">
        <v>60914.46</v>
      </c>
      <c r="K395" s="6">
        <v>0.33410000000000001</v>
      </c>
      <c r="L395" s="28">
        <v>6.94</v>
      </c>
    </row>
    <row r="396" spans="1:12" x14ac:dyDescent="0.3">
      <c r="A396" t="s">
        <v>193</v>
      </c>
      <c r="B396" s="25">
        <v>45747</v>
      </c>
      <c r="C396" t="s">
        <v>320</v>
      </c>
      <c r="D396" s="4">
        <v>1545446.33</v>
      </c>
      <c r="E396" s="4">
        <v>123635.71</v>
      </c>
      <c r="F396" s="4">
        <v>1421810.62</v>
      </c>
      <c r="G396" s="6">
        <v>0.19009999999999999</v>
      </c>
      <c r="H396" s="4">
        <v>880538.61</v>
      </c>
      <c r="I396" s="4">
        <v>586350.66</v>
      </c>
      <c r="J396" s="4">
        <v>294187.95</v>
      </c>
      <c r="K396" s="6">
        <v>0.33410000000000001</v>
      </c>
      <c r="L396" s="28">
        <v>6.94</v>
      </c>
    </row>
    <row r="397" spans="1:12" x14ac:dyDescent="0.3">
      <c r="A397" t="s">
        <v>193</v>
      </c>
      <c r="B397" s="25">
        <v>45747</v>
      </c>
      <c r="C397" t="s">
        <v>319</v>
      </c>
      <c r="D397" s="4">
        <v>232037.94</v>
      </c>
      <c r="E397" s="4">
        <v>18563.04</v>
      </c>
      <c r="F397" s="4">
        <v>213474.91</v>
      </c>
      <c r="G397" s="6">
        <v>2.8500000000000001E-2</v>
      </c>
      <c r="H397" s="4">
        <v>132206.70000000001</v>
      </c>
      <c r="I397" s="4">
        <v>88036.44</v>
      </c>
      <c r="J397" s="4">
        <v>44170.26</v>
      </c>
      <c r="K397" s="6">
        <v>0.33410000000000001</v>
      </c>
      <c r="L397" s="28">
        <v>6.94</v>
      </c>
    </row>
    <row r="398" spans="1:12" x14ac:dyDescent="0.3">
      <c r="A398" t="s">
        <v>193</v>
      </c>
      <c r="B398" s="25">
        <v>45747</v>
      </c>
      <c r="C398" t="s">
        <v>268</v>
      </c>
      <c r="D398" s="4">
        <v>277436.59999999998</v>
      </c>
      <c r="E398" s="4">
        <v>22194.93</v>
      </c>
      <c r="F398" s="4">
        <v>255241.68</v>
      </c>
      <c r="G398" s="6">
        <v>3.4099999999999998E-2</v>
      </c>
      <c r="H398" s="4">
        <v>158073.20000000001</v>
      </c>
      <c r="I398" s="4">
        <v>105260.94</v>
      </c>
      <c r="J398" s="4">
        <v>52812.25</v>
      </c>
      <c r="K398" s="6">
        <v>0.33410000000000001</v>
      </c>
      <c r="L398" s="28">
        <v>6.94</v>
      </c>
    </row>
    <row r="399" spans="1:12" x14ac:dyDescent="0.3">
      <c r="A399" t="s">
        <v>193</v>
      </c>
      <c r="B399" s="25">
        <v>45747</v>
      </c>
      <c r="C399" t="s">
        <v>318</v>
      </c>
      <c r="D399" s="4">
        <v>491042.3</v>
      </c>
      <c r="E399" s="4">
        <v>39283.379999999997</v>
      </c>
      <c r="F399" s="4">
        <v>451758.91</v>
      </c>
      <c r="G399" s="6">
        <v>6.0400000000000002E-2</v>
      </c>
      <c r="H399" s="4">
        <v>279777.88</v>
      </c>
      <c r="I399" s="4">
        <v>186304.09</v>
      </c>
      <c r="J399" s="4">
        <v>93473.79</v>
      </c>
      <c r="K399" s="6">
        <v>0.33410000000000001</v>
      </c>
      <c r="L399" s="28">
        <v>6.94</v>
      </c>
    </row>
    <row r="400" spans="1:12" x14ac:dyDescent="0.3">
      <c r="A400" t="s">
        <v>193</v>
      </c>
      <c r="B400" s="25">
        <v>45747</v>
      </c>
      <c r="C400" t="s">
        <v>317</v>
      </c>
      <c r="D400" s="4">
        <v>889688.68</v>
      </c>
      <c r="E400" s="4">
        <v>71175.09</v>
      </c>
      <c r="F400" s="4">
        <v>818513.59</v>
      </c>
      <c r="G400" s="6">
        <v>0.1094</v>
      </c>
      <c r="H400" s="4">
        <v>506911.97</v>
      </c>
      <c r="I400" s="4">
        <v>337552.68</v>
      </c>
      <c r="J400" s="4">
        <v>169359.29</v>
      </c>
      <c r="K400" s="6">
        <v>0.33410000000000001</v>
      </c>
      <c r="L400" s="28">
        <v>6.94</v>
      </c>
    </row>
    <row r="401" spans="1:12" x14ac:dyDescent="0.3">
      <c r="A401" t="s">
        <v>193</v>
      </c>
      <c r="B401" s="25">
        <v>45747</v>
      </c>
      <c r="C401" t="s">
        <v>316</v>
      </c>
      <c r="D401" s="4">
        <v>1546137.53</v>
      </c>
      <c r="E401" s="4">
        <v>123691</v>
      </c>
      <c r="F401" s="4">
        <v>1422446.53</v>
      </c>
      <c r="G401" s="6">
        <v>0.19020000000000001</v>
      </c>
      <c r="H401" s="4">
        <v>880932.43</v>
      </c>
      <c r="I401" s="4">
        <v>586612.91</v>
      </c>
      <c r="J401" s="4">
        <v>294319.53000000003</v>
      </c>
      <c r="K401" s="6">
        <v>0.33410000000000001</v>
      </c>
      <c r="L401" s="28">
        <v>6.94</v>
      </c>
    </row>
    <row r="402" spans="1:12" x14ac:dyDescent="0.3">
      <c r="A402" t="s">
        <v>193</v>
      </c>
      <c r="B402" s="25">
        <v>45777</v>
      </c>
      <c r="C402" t="s">
        <v>324</v>
      </c>
      <c r="D402" s="4">
        <v>1665029.89</v>
      </c>
      <c r="E402" s="4">
        <v>133202.39000000001</v>
      </c>
      <c r="F402" s="4">
        <v>1531827.5</v>
      </c>
      <c r="G402" s="6">
        <v>0.1976</v>
      </c>
      <c r="H402" s="4">
        <v>968406.87</v>
      </c>
      <c r="I402" s="4">
        <v>633531.77</v>
      </c>
      <c r="J402" s="4">
        <v>334875.09999999998</v>
      </c>
      <c r="K402" s="6">
        <v>0.3458</v>
      </c>
      <c r="L402" s="28">
        <v>6.8</v>
      </c>
    </row>
    <row r="403" spans="1:12" x14ac:dyDescent="0.3">
      <c r="A403" t="s">
        <v>193</v>
      </c>
      <c r="B403" s="25">
        <v>45777</v>
      </c>
      <c r="C403" t="s">
        <v>323</v>
      </c>
      <c r="D403" s="4">
        <v>1442142.76</v>
      </c>
      <c r="E403" s="4">
        <v>115371.42</v>
      </c>
      <c r="F403" s="4">
        <v>1326771.3400000001</v>
      </c>
      <c r="G403" s="6">
        <v>0.17119999999999999</v>
      </c>
      <c r="H403" s="4">
        <v>838772.3</v>
      </c>
      <c r="I403" s="4">
        <v>548724.84</v>
      </c>
      <c r="J403" s="4">
        <v>290047.46000000002</v>
      </c>
      <c r="K403" s="6">
        <v>0.3458</v>
      </c>
      <c r="L403" s="28">
        <v>6.8</v>
      </c>
    </row>
    <row r="404" spans="1:12" x14ac:dyDescent="0.3">
      <c r="A404" t="s">
        <v>193</v>
      </c>
      <c r="B404" s="25">
        <v>45777</v>
      </c>
      <c r="C404" t="s">
        <v>322</v>
      </c>
      <c r="D404" s="4">
        <v>346737.03</v>
      </c>
      <c r="E404" s="4">
        <v>27738.959999999999</v>
      </c>
      <c r="F404" s="4">
        <v>318998.07</v>
      </c>
      <c r="G404" s="6">
        <v>4.1200000000000001E-2</v>
      </c>
      <c r="H404" s="4">
        <v>201667.57</v>
      </c>
      <c r="I404" s="4">
        <v>131930.92000000001</v>
      </c>
      <c r="J404" s="4">
        <v>69736.639999999999</v>
      </c>
      <c r="K404" s="6">
        <v>0.3458</v>
      </c>
      <c r="L404" s="28">
        <v>6.8</v>
      </c>
    </row>
    <row r="405" spans="1:12" x14ac:dyDescent="0.3">
      <c r="A405" t="s">
        <v>193</v>
      </c>
      <c r="B405" s="25">
        <v>45777</v>
      </c>
      <c r="C405" t="s">
        <v>321</v>
      </c>
      <c r="D405" s="4">
        <v>403944.36</v>
      </c>
      <c r="E405" s="4">
        <v>32315.55</v>
      </c>
      <c r="F405" s="4">
        <v>371628.82</v>
      </c>
      <c r="G405" s="6">
        <v>4.7899999999999998E-2</v>
      </c>
      <c r="H405" s="4">
        <v>234940.23</v>
      </c>
      <c r="I405" s="4">
        <v>153697.9</v>
      </c>
      <c r="J405" s="4">
        <v>81242.33</v>
      </c>
      <c r="K405" s="6">
        <v>0.3458</v>
      </c>
      <c r="L405" s="28">
        <v>6.8</v>
      </c>
    </row>
    <row r="406" spans="1:12" x14ac:dyDescent="0.3">
      <c r="A406" t="s">
        <v>193</v>
      </c>
      <c r="B406" s="25">
        <v>45777</v>
      </c>
      <c r="C406" t="s">
        <v>320</v>
      </c>
      <c r="D406" s="4">
        <v>822836.61</v>
      </c>
      <c r="E406" s="4">
        <v>65826.929999999993</v>
      </c>
      <c r="F406" s="4">
        <v>757009.68</v>
      </c>
      <c r="G406" s="6">
        <v>9.7699999999999995E-2</v>
      </c>
      <c r="H406" s="4">
        <v>478574.37</v>
      </c>
      <c r="I406" s="4">
        <v>313083.34999999998</v>
      </c>
      <c r="J406" s="4">
        <v>165491.01999999999</v>
      </c>
      <c r="K406" s="6">
        <v>0.3458</v>
      </c>
      <c r="L406" s="28">
        <v>6.8</v>
      </c>
    </row>
    <row r="407" spans="1:12" x14ac:dyDescent="0.3">
      <c r="A407" t="s">
        <v>193</v>
      </c>
      <c r="B407" s="25">
        <v>45777</v>
      </c>
      <c r="C407" t="s">
        <v>319</v>
      </c>
      <c r="D407" s="4">
        <v>863309.34</v>
      </c>
      <c r="E407" s="4">
        <v>69064.75</v>
      </c>
      <c r="F407" s="4">
        <v>794244.59</v>
      </c>
      <c r="G407" s="6">
        <v>0.10249999999999999</v>
      </c>
      <c r="H407" s="4">
        <v>502113.93</v>
      </c>
      <c r="I407" s="4">
        <v>328482.93</v>
      </c>
      <c r="J407" s="4">
        <v>173631</v>
      </c>
      <c r="K407" s="6">
        <v>0.3458</v>
      </c>
      <c r="L407" s="28">
        <v>6.8</v>
      </c>
    </row>
    <row r="408" spans="1:12" x14ac:dyDescent="0.3">
      <c r="A408" t="s">
        <v>193</v>
      </c>
      <c r="B408" s="25">
        <v>45777</v>
      </c>
      <c r="C408" t="s">
        <v>268</v>
      </c>
      <c r="D408" s="4">
        <v>290568.43</v>
      </c>
      <c r="E408" s="4">
        <v>23245.47</v>
      </c>
      <c r="F408" s="4">
        <v>267322.96000000002</v>
      </c>
      <c r="G408" s="6">
        <v>3.4500000000000003E-2</v>
      </c>
      <c r="H408" s="4">
        <v>168999.05</v>
      </c>
      <c r="I408" s="4">
        <v>110559.18</v>
      </c>
      <c r="J408" s="4">
        <v>58439.87</v>
      </c>
      <c r="K408" s="6">
        <v>0.3458</v>
      </c>
      <c r="L408" s="28">
        <v>6.8</v>
      </c>
    </row>
    <row r="409" spans="1:12" x14ac:dyDescent="0.3">
      <c r="A409" t="s">
        <v>193</v>
      </c>
      <c r="B409" s="25">
        <v>45777</v>
      </c>
      <c r="C409" t="s">
        <v>318</v>
      </c>
      <c r="D409" s="4">
        <v>623523.36</v>
      </c>
      <c r="E409" s="4">
        <v>49881.87</v>
      </c>
      <c r="F409" s="4">
        <v>573641.5</v>
      </c>
      <c r="G409" s="6">
        <v>7.3999999999999996E-2</v>
      </c>
      <c r="H409" s="4">
        <v>362650.73</v>
      </c>
      <c r="I409" s="4">
        <v>237246.11</v>
      </c>
      <c r="J409" s="4">
        <v>125404.62</v>
      </c>
      <c r="K409" s="6">
        <v>0.3458</v>
      </c>
      <c r="L409" s="28">
        <v>6.8</v>
      </c>
    </row>
    <row r="410" spans="1:12" x14ac:dyDescent="0.3">
      <c r="A410" t="s">
        <v>193</v>
      </c>
      <c r="B410" s="25">
        <v>45777</v>
      </c>
      <c r="C410" t="s">
        <v>317</v>
      </c>
      <c r="D410" s="4">
        <v>316834.93</v>
      </c>
      <c r="E410" s="4">
        <v>25346.79</v>
      </c>
      <c r="F410" s="4">
        <v>291488.13</v>
      </c>
      <c r="G410" s="6">
        <v>3.7600000000000001E-2</v>
      </c>
      <c r="H410" s="4">
        <v>184276.04</v>
      </c>
      <c r="I410" s="4">
        <v>120553.39</v>
      </c>
      <c r="J410" s="4">
        <v>63722.66</v>
      </c>
      <c r="K410" s="6">
        <v>0.3458</v>
      </c>
      <c r="L410" s="28">
        <v>6.8</v>
      </c>
    </row>
    <row r="411" spans="1:12" x14ac:dyDescent="0.3">
      <c r="A411" t="s">
        <v>193</v>
      </c>
      <c r="B411" s="25">
        <v>45777</v>
      </c>
      <c r="C411" t="s">
        <v>316</v>
      </c>
      <c r="D411" s="4">
        <v>1650396.72</v>
      </c>
      <c r="E411" s="4">
        <v>132031.74</v>
      </c>
      <c r="F411" s="4">
        <v>1518364.98</v>
      </c>
      <c r="G411" s="6">
        <v>0.19589999999999999</v>
      </c>
      <c r="H411" s="4">
        <v>959895.99</v>
      </c>
      <c r="I411" s="4">
        <v>627963.96</v>
      </c>
      <c r="J411" s="4">
        <v>331932.03000000003</v>
      </c>
      <c r="K411" s="6">
        <v>0.3458</v>
      </c>
      <c r="L411" s="28">
        <v>6.8</v>
      </c>
    </row>
    <row r="412" spans="1:12" x14ac:dyDescent="0.3">
      <c r="A412" t="s">
        <v>193</v>
      </c>
      <c r="B412" s="25">
        <v>45808</v>
      </c>
      <c r="C412" t="s">
        <v>324</v>
      </c>
      <c r="D412" s="4">
        <v>1491395.65</v>
      </c>
      <c r="E412" s="4">
        <v>119311.65</v>
      </c>
      <c r="F412" s="4">
        <v>1372084</v>
      </c>
      <c r="G412" s="6">
        <v>0.18590000000000001</v>
      </c>
      <c r="H412" s="4">
        <v>907027.02</v>
      </c>
      <c r="I412" s="4">
        <v>604624.21</v>
      </c>
      <c r="J412" s="4">
        <v>302402.81</v>
      </c>
      <c r="K412" s="6">
        <v>0.33339999999999997</v>
      </c>
      <c r="L412" s="28">
        <v>6.5</v>
      </c>
    </row>
    <row r="413" spans="1:12" x14ac:dyDescent="0.3">
      <c r="A413" t="s">
        <v>193</v>
      </c>
      <c r="B413" s="25">
        <v>45808</v>
      </c>
      <c r="C413" t="s">
        <v>323</v>
      </c>
      <c r="D413" s="4">
        <v>1237825.98</v>
      </c>
      <c r="E413" s="4">
        <v>99026.08</v>
      </c>
      <c r="F413" s="4">
        <v>1138799.8999999999</v>
      </c>
      <c r="G413" s="6">
        <v>0.15429999999999999</v>
      </c>
      <c r="H413" s="4">
        <v>752812.71</v>
      </c>
      <c r="I413" s="4">
        <v>501824.95</v>
      </c>
      <c r="J413" s="4">
        <v>250987.76</v>
      </c>
      <c r="K413" s="6">
        <v>0.33339999999999997</v>
      </c>
      <c r="L413" s="28">
        <v>6.5</v>
      </c>
    </row>
    <row r="414" spans="1:12" x14ac:dyDescent="0.3">
      <c r="A414" t="s">
        <v>193</v>
      </c>
      <c r="B414" s="25">
        <v>45808</v>
      </c>
      <c r="C414" t="s">
        <v>322</v>
      </c>
      <c r="D414" s="4">
        <v>196507.47</v>
      </c>
      <c r="E414" s="4">
        <v>15720.6</v>
      </c>
      <c r="F414" s="4">
        <v>180786.87</v>
      </c>
      <c r="G414" s="6">
        <v>2.4500000000000001E-2</v>
      </c>
      <c r="H414" s="4">
        <v>119510.59</v>
      </c>
      <c r="I414" s="4">
        <v>79665.759999999995</v>
      </c>
      <c r="J414" s="4">
        <v>39844.83</v>
      </c>
      <c r="K414" s="6">
        <v>0.33339999999999997</v>
      </c>
      <c r="L414" s="28">
        <v>6.5</v>
      </c>
    </row>
    <row r="415" spans="1:12" x14ac:dyDescent="0.3">
      <c r="A415" t="s">
        <v>193</v>
      </c>
      <c r="B415" s="25">
        <v>45808</v>
      </c>
      <c r="C415" t="s">
        <v>321</v>
      </c>
      <c r="D415" s="4">
        <v>1023075.61</v>
      </c>
      <c r="E415" s="4">
        <v>81846.05</v>
      </c>
      <c r="F415" s="4">
        <v>941229.56</v>
      </c>
      <c r="G415" s="6">
        <v>0.1275</v>
      </c>
      <c r="H415" s="4">
        <v>622207.27</v>
      </c>
      <c r="I415" s="4">
        <v>414763.37</v>
      </c>
      <c r="J415" s="4">
        <v>207443.9</v>
      </c>
      <c r="K415" s="6">
        <v>0.33339999999999997</v>
      </c>
      <c r="L415" s="28">
        <v>6.5</v>
      </c>
    </row>
    <row r="416" spans="1:12" x14ac:dyDescent="0.3">
      <c r="A416" t="s">
        <v>193</v>
      </c>
      <c r="B416" s="25">
        <v>45808</v>
      </c>
      <c r="C416" t="s">
        <v>320</v>
      </c>
      <c r="D416" s="4">
        <v>1533710.07</v>
      </c>
      <c r="E416" s="4">
        <v>122696.81</v>
      </c>
      <c r="F416" s="4">
        <v>1411013.26</v>
      </c>
      <c r="G416" s="6">
        <v>0.19120000000000001</v>
      </c>
      <c r="H416" s="4">
        <v>932761.52</v>
      </c>
      <c r="I416" s="4">
        <v>621778.82999999996</v>
      </c>
      <c r="J416" s="4">
        <v>310982.69</v>
      </c>
      <c r="K416" s="6">
        <v>0.33339999999999997</v>
      </c>
      <c r="L416" s="28">
        <v>6.5</v>
      </c>
    </row>
    <row r="417" spans="1:12" x14ac:dyDescent="0.3">
      <c r="A417" t="s">
        <v>193</v>
      </c>
      <c r="B417" s="25">
        <v>45808</v>
      </c>
      <c r="C417" t="s">
        <v>319</v>
      </c>
      <c r="D417" s="4">
        <v>82874.02</v>
      </c>
      <c r="E417" s="4">
        <v>6629.92</v>
      </c>
      <c r="F417" s="4">
        <v>76244.100000000006</v>
      </c>
      <c r="G417" s="6">
        <v>1.03E-2</v>
      </c>
      <c r="H417" s="4">
        <v>50401.77</v>
      </c>
      <c r="I417" s="4">
        <v>33597.82</v>
      </c>
      <c r="J417" s="4">
        <v>16803.95</v>
      </c>
      <c r="K417" s="6">
        <v>0.33339999999999997</v>
      </c>
      <c r="L417" s="28">
        <v>6.5</v>
      </c>
    </row>
    <row r="418" spans="1:12" x14ac:dyDescent="0.3">
      <c r="A418" t="s">
        <v>193</v>
      </c>
      <c r="B418" s="25">
        <v>45808</v>
      </c>
      <c r="C418" t="s">
        <v>268</v>
      </c>
      <c r="D418" s="4">
        <v>82874.02</v>
      </c>
      <c r="E418" s="4">
        <v>6629.92</v>
      </c>
      <c r="F418" s="4">
        <v>76244.100000000006</v>
      </c>
      <c r="G418" s="6">
        <v>1.03E-2</v>
      </c>
      <c r="H418" s="4">
        <v>50401.77</v>
      </c>
      <c r="I418" s="4">
        <v>33597.82</v>
      </c>
      <c r="J418" s="4">
        <v>16803.95</v>
      </c>
      <c r="K418" s="6">
        <v>0.33339999999999997</v>
      </c>
      <c r="L418" s="28">
        <v>6.5</v>
      </c>
    </row>
    <row r="419" spans="1:12" x14ac:dyDescent="0.3">
      <c r="A419" t="s">
        <v>193</v>
      </c>
      <c r="B419" s="25">
        <v>45808</v>
      </c>
      <c r="C419" t="s">
        <v>318</v>
      </c>
      <c r="D419" s="4">
        <v>112339.88</v>
      </c>
      <c r="E419" s="4">
        <v>8987.19</v>
      </c>
      <c r="F419" s="4">
        <v>103352.69</v>
      </c>
      <c r="G419" s="6">
        <v>1.4E-2</v>
      </c>
      <c r="H419" s="4">
        <v>68322.11</v>
      </c>
      <c r="I419" s="4">
        <v>45543.519999999997</v>
      </c>
      <c r="J419" s="4">
        <v>22778.59</v>
      </c>
      <c r="K419" s="6">
        <v>0.33339999999999997</v>
      </c>
      <c r="L419" s="28">
        <v>6.5</v>
      </c>
    </row>
    <row r="420" spans="1:12" x14ac:dyDescent="0.3">
      <c r="A420" t="s">
        <v>193</v>
      </c>
      <c r="B420" s="25">
        <v>45808</v>
      </c>
      <c r="C420" t="s">
        <v>317</v>
      </c>
      <c r="D420" s="4">
        <v>501510.02</v>
      </c>
      <c r="E420" s="4">
        <v>40120.800000000003</v>
      </c>
      <c r="F420" s="4">
        <v>461389.22</v>
      </c>
      <c r="G420" s="6">
        <v>6.25E-2</v>
      </c>
      <c r="H420" s="4">
        <v>305005</v>
      </c>
      <c r="I420" s="4">
        <v>203316.33</v>
      </c>
      <c r="J420" s="4">
        <v>101688.67</v>
      </c>
      <c r="K420" s="6">
        <v>0.33339999999999997</v>
      </c>
      <c r="L420" s="28">
        <v>6.5</v>
      </c>
    </row>
    <row r="421" spans="1:12" x14ac:dyDescent="0.3">
      <c r="A421" t="s">
        <v>193</v>
      </c>
      <c r="B421" s="25">
        <v>45808</v>
      </c>
      <c r="C421" t="s">
        <v>316</v>
      </c>
      <c r="D421" s="4">
        <v>1758885.9</v>
      </c>
      <c r="E421" s="4">
        <v>140710.87</v>
      </c>
      <c r="F421" s="4">
        <v>1618175.03</v>
      </c>
      <c r="G421" s="6">
        <v>0.21929999999999999</v>
      </c>
      <c r="H421" s="4">
        <v>1069707.44</v>
      </c>
      <c r="I421" s="4">
        <v>713066.98</v>
      </c>
      <c r="J421" s="4">
        <v>356640.46</v>
      </c>
      <c r="K421" s="6">
        <v>0.33339999999999997</v>
      </c>
      <c r="L421" s="28">
        <v>6.5</v>
      </c>
    </row>
    <row r="422" spans="1:12" x14ac:dyDescent="0.3">
      <c r="A422" t="s">
        <v>193</v>
      </c>
      <c r="B422" s="25">
        <v>45838</v>
      </c>
      <c r="C422" t="s">
        <v>324</v>
      </c>
      <c r="D422" s="4">
        <v>1492873.18</v>
      </c>
      <c r="E422" s="4">
        <v>119429.85</v>
      </c>
      <c r="F422" s="4">
        <v>1373443.33</v>
      </c>
      <c r="G422" s="6">
        <v>0.16900000000000001</v>
      </c>
      <c r="H422" s="4">
        <v>850644.26</v>
      </c>
      <c r="I422" s="4">
        <v>582351.06000000006</v>
      </c>
      <c r="J422" s="4">
        <v>268293.2</v>
      </c>
      <c r="K422" s="6">
        <v>0.31540000000000001</v>
      </c>
      <c r="L422" s="28">
        <v>6.94</v>
      </c>
    </row>
    <row r="423" spans="1:12" x14ac:dyDescent="0.3">
      <c r="A423" t="s">
        <v>193</v>
      </c>
      <c r="B423" s="25">
        <v>45838</v>
      </c>
      <c r="C423" t="s">
        <v>323</v>
      </c>
      <c r="D423" s="4">
        <v>1260901.6200000001</v>
      </c>
      <c r="E423" s="4">
        <v>100872.13</v>
      </c>
      <c r="F423" s="4">
        <v>1160029.49</v>
      </c>
      <c r="G423" s="6">
        <v>0.14280000000000001</v>
      </c>
      <c r="H423" s="4">
        <v>718466.07</v>
      </c>
      <c r="I423" s="4">
        <v>491861.87</v>
      </c>
      <c r="J423" s="4">
        <v>226604.2</v>
      </c>
      <c r="K423" s="6">
        <v>0.31540000000000001</v>
      </c>
      <c r="L423" s="28">
        <v>6.94</v>
      </c>
    </row>
    <row r="424" spans="1:12" x14ac:dyDescent="0.3">
      <c r="A424" t="s">
        <v>193</v>
      </c>
      <c r="B424" s="25">
        <v>45838</v>
      </c>
      <c r="C424" t="s">
        <v>322</v>
      </c>
      <c r="D424" s="4">
        <v>224499.61</v>
      </c>
      <c r="E424" s="4">
        <v>17959.97</v>
      </c>
      <c r="F424" s="4">
        <v>206539.64</v>
      </c>
      <c r="G424" s="6">
        <v>2.5399999999999999E-2</v>
      </c>
      <c r="H424" s="4">
        <v>127920.65</v>
      </c>
      <c r="I424" s="4">
        <v>87574.48</v>
      </c>
      <c r="J424" s="4">
        <v>40346.17</v>
      </c>
      <c r="K424" s="6">
        <v>0.31540000000000001</v>
      </c>
      <c r="L424" s="28">
        <v>6.94</v>
      </c>
    </row>
    <row r="425" spans="1:12" x14ac:dyDescent="0.3">
      <c r="A425" t="s">
        <v>193</v>
      </c>
      <c r="B425" s="25">
        <v>45838</v>
      </c>
      <c r="C425" t="s">
        <v>321</v>
      </c>
      <c r="D425" s="4">
        <v>765855.93</v>
      </c>
      <c r="E425" s="4">
        <v>61268.47</v>
      </c>
      <c r="F425" s="4">
        <v>704587.45</v>
      </c>
      <c r="G425" s="6">
        <v>8.6699999999999999E-2</v>
      </c>
      <c r="H425" s="4">
        <v>436387.34</v>
      </c>
      <c r="I425" s="4">
        <v>298750.77</v>
      </c>
      <c r="J425" s="4">
        <v>137636.57</v>
      </c>
      <c r="K425" s="6">
        <v>0.31540000000000001</v>
      </c>
      <c r="L425" s="28">
        <v>6.94</v>
      </c>
    </row>
    <row r="426" spans="1:12" x14ac:dyDescent="0.3">
      <c r="A426" t="s">
        <v>193</v>
      </c>
      <c r="B426" s="25">
        <v>45838</v>
      </c>
      <c r="C426" t="s">
        <v>320</v>
      </c>
      <c r="D426" s="4">
        <v>1296251.67</v>
      </c>
      <c r="E426" s="4">
        <v>103700.13</v>
      </c>
      <c r="F426" s="4">
        <v>1192551.54</v>
      </c>
      <c r="G426" s="6">
        <v>0.14680000000000001</v>
      </c>
      <c r="H426" s="4">
        <v>738608.65</v>
      </c>
      <c r="I426" s="4">
        <v>505651.48</v>
      </c>
      <c r="J426" s="4">
        <v>232957.17</v>
      </c>
      <c r="K426" s="6">
        <v>0.31540000000000001</v>
      </c>
      <c r="L426" s="28">
        <v>6.94</v>
      </c>
    </row>
    <row r="427" spans="1:12" x14ac:dyDescent="0.3">
      <c r="A427" t="s">
        <v>193</v>
      </c>
      <c r="B427" s="25">
        <v>45838</v>
      </c>
      <c r="C427" t="s">
        <v>319</v>
      </c>
      <c r="D427" s="4">
        <v>315255.88</v>
      </c>
      <c r="E427" s="4">
        <v>25220.47</v>
      </c>
      <c r="F427" s="4">
        <v>290035.40999999997</v>
      </c>
      <c r="G427" s="6">
        <v>3.5700000000000003E-2</v>
      </c>
      <c r="H427" s="4">
        <v>179633.88</v>
      </c>
      <c r="I427" s="4">
        <v>122977.36</v>
      </c>
      <c r="J427" s="4">
        <v>56656.53</v>
      </c>
      <c r="K427" s="6">
        <v>0.31540000000000001</v>
      </c>
      <c r="L427" s="28">
        <v>6.94</v>
      </c>
    </row>
    <row r="428" spans="1:12" x14ac:dyDescent="0.3">
      <c r="A428" t="s">
        <v>193</v>
      </c>
      <c r="B428" s="25">
        <v>45838</v>
      </c>
      <c r="C428" t="s">
        <v>268</v>
      </c>
      <c r="D428" s="4">
        <v>391658.1</v>
      </c>
      <c r="E428" s="4">
        <v>31332.65</v>
      </c>
      <c r="F428" s="4">
        <v>360325.45</v>
      </c>
      <c r="G428" s="6">
        <v>4.4299999999999999E-2</v>
      </c>
      <c r="H428" s="4">
        <v>223168.13</v>
      </c>
      <c r="I428" s="4">
        <v>152780.9</v>
      </c>
      <c r="J428" s="4">
        <v>70387.23</v>
      </c>
      <c r="K428" s="6">
        <v>0.31540000000000001</v>
      </c>
      <c r="L428" s="28">
        <v>6.94</v>
      </c>
    </row>
    <row r="429" spans="1:12" x14ac:dyDescent="0.3">
      <c r="A429" t="s">
        <v>193</v>
      </c>
      <c r="B429" s="25">
        <v>45838</v>
      </c>
      <c r="C429" t="s">
        <v>318</v>
      </c>
      <c r="D429" s="4">
        <v>548417.38</v>
      </c>
      <c r="E429" s="4">
        <v>43873.39</v>
      </c>
      <c r="F429" s="4">
        <v>504543.99</v>
      </c>
      <c r="G429" s="6">
        <v>6.2100000000000002E-2</v>
      </c>
      <c r="H429" s="4">
        <v>312490.11</v>
      </c>
      <c r="I429" s="4">
        <v>213930.73</v>
      </c>
      <c r="J429" s="4">
        <v>98559.38</v>
      </c>
      <c r="K429" s="6">
        <v>0.31540000000000001</v>
      </c>
      <c r="L429" s="28">
        <v>6.94</v>
      </c>
    </row>
    <row r="430" spans="1:12" x14ac:dyDescent="0.3">
      <c r="A430" t="s">
        <v>193</v>
      </c>
      <c r="B430" s="25">
        <v>45838</v>
      </c>
      <c r="C430" t="s">
        <v>317</v>
      </c>
      <c r="D430" s="4">
        <v>842018.43</v>
      </c>
      <c r="E430" s="4">
        <v>67361.47</v>
      </c>
      <c r="F430" s="4">
        <v>774656.95</v>
      </c>
      <c r="G430" s="6">
        <v>9.5299999999999996E-2</v>
      </c>
      <c r="H430" s="4">
        <v>479784.99</v>
      </c>
      <c r="I430" s="4">
        <v>328460.81</v>
      </c>
      <c r="J430" s="4">
        <v>151324.19</v>
      </c>
      <c r="K430" s="6">
        <v>0.31540000000000001</v>
      </c>
      <c r="L430" s="28">
        <v>6.94</v>
      </c>
    </row>
    <row r="431" spans="1:12" x14ac:dyDescent="0.3">
      <c r="A431" t="s">
        <v>193</v>
      </c>
      <c r="B431" s="25">
        <v>45838</v>
      </c>
      <c r="C431" t="s">
        <v>316</v>
      </c>
      <c r="D431" s="4">
        <v>1694619.37</v>
      </c>
      <c r="E431" s="4">
        <v>135569.54999999999</v>
      </c>
      <c r="F431" s="4">
        <v>1559049.82</v>
      </c>
      <c r="G431" s="6">
        <v>0.19189999999999999</v>
      </c>
      <c r="H431" s="4">
        <v>965599.93</v>
      </c>
      <c r="I431" s="4">
        <v>661049.71</v>
      </c>
      <c r="J431" s="4">
        <v>304550.21999999997</v>
      </c>
      <c r="K431" s="6">
        <v>0.31540000000000001</v>
      </c>
      <c r="L431" s="28">
        <v>6.94</v>
      </c>
    </row>
    <row r="432" spans="1:12" x14ac:dyDescent="0.3">
      <c r="A432" t="s">
        <v>193</v>
      </c>
      <c r="B432" s="25">
        <v>45869</v>
      </c>
      <c r="C432" t="s">
        <v>324</v>
      </c>
      <c r="D432" s="4">
        <v>1294546.4099999999</v>
      </c>
      <c r="E432" s="4">
        <v>103563.71</v>
      </c>
      <c r="F432" s="4">
        <v>1190982.7</v>
      </c>
      <c r="G432" s="6">
        <v>0.16009999999999999</v>
      </c>
      <c r="H432" s="4">
        <v>710094.69</v>
      </c>
      <c r="I432" s="4">
        <v>499338.59</v>
      </c>
      <c r="J432" s="4">
        <v>210756.11</v>
      </c>
      <c r="K432" s="6">
        <v>0.29680000000000001</v>
      </c>
      <c r="L432" s="28">
        <v>7.21</v>
      </c>
    </row>
    <row r="433" spans="1:12" x14ac:dyDescent="0.3">
      <c r="A433" t="s">
        <v>193</v>
      </c>
      <c r="B433" s="25">
        <v>45869</v>
      </c>
      <c r="C433" t="s">
        <v>323</v>
      </c>
      <c r="D433" s="4">
        <v>1305049.69</v>
      </c>
      <c r="E433" s="4">
        <v>104403.98</v>
      </c>
      <c r="F433" s="4">
        <v>1200645.72</v>
      </c>
      <c r="G433" s="6">
        <v>0.16139999999999999</v>
      </c>
      <c r="H433" s="4">
        <v>715856.04</v>
      </c>
      <c r="I433" s="4">
        <v>503389.96</v>
      </c>
      <c r="J433" s="4">
        <v>212466.07</v>
      </c>
      <c r="K433" s="6">
        <v>0.29680000000000001</v>
      </c>
      <c r="L433" s="28">
        <v>7.21</v>
      </c>
    </row>
    <row r="434" spans="1:12" x14ac:dyDescent="0.3">
      <c r="A434" t="s">
        <v>193</v>
      </c>
      <c r="B434" s="25">
        <v>45869</v>
      </c>
      <c r="C434" t="s">
        <v>322</v>
      </c>
      <c r="D434" s="4">
        <v>767772.75</v>
      </c>
      <c r="E434" s="4">
        <v>61421.82</v>
      </c>
      <c r="F434" s="4">
        <v>706350.93</v>
      </c>
      <c r="G434" s="6">
        <v>9.5000000000000001E-2</v>
      </c>
      <c r="H434" s="4">
        <v>421144.7</v>
      </c>
      <c r="I434" s="4">
        <v>296148.95</v>
      </c>
      <c r="J434" s="4">
        <v>124995.75</v>
      </c>
      <c r="K434" s="6">
        <v>0.29680000000000001</v>
      </c>
      <c r="L434" s="28">
        <v>7.21</v>
      </c>
    </row>
    <row r="435" spans="1:12" x14ac:dyDescent="0.3">
      <c r="A435" t="s">
        <v>193</v>
      </c>
      <c r="B435" s="25">
        <v>45869</v>
      </c>
      <c r="C435" t="s">
        <v>321</v>
      </c>
      <c r="D435" s="4">
        <v>776537.08</v>
      </c>
      <c r="E435" s="4">
        <v>62122.97</v>
      </c>
      <c r="F435" s="4">
        <v>714414.11</v>
      </c>
      <c r="G435" s="6">
        <v>9.6000000000000002E-2</v>
      </c>
      <c r="H435" s="4">
        <v>425952.17</v>
      </c>
      <c r="I435" s="4">
        <v>299529.57</v>
      </c>
      <c r="J435" s="4">
        <v>126422.61</v>
      </c>
      <c r="K435" s="6">
        <v>0.29680000000000001</v>
      </c>
      <c r="L435" s="28">
        <v>7.21</v>
      </c>
    </row>
    <row r="436" spans="1:12" x14ac:dyDescent="0.3">
      <c r="A436" t="s">
        <v>193</v>
      </c>
      <c r="B436" s="25">
        <v>45869</v>
      </c>
      <c r="C436" t="s">
        <v>320</v>
      </c>
      <c r="D436" s="4">
        <v>708233.49</v>
      </c>
      <c r="E436" s="4">
        <v>56658.68</v>
      </c>
      <c r="F436" s="4">
        <v>651574.81000000006</v>
      </c>
      <c r="G436" s="6">
        <v>8.7599999999999997E-2</v>
      </c>
      <c r="H436" s="4">
        <v>388485.76</v>
      </c>
      <c r="I436" s="4">
        <v>273183.19</v>
      </c>
      <c r="J436" s="4">
        <v>115302.57</v>
      </c>
      <c r="K436" s="6">
        <v>0.29680000000000001</v>
      </c>
      <c r="L436" s="28">
        <v>7.21</v>
      </c>
    </row>
    <row r="437" spans="1:12" x14ac:dyDescent="0.3">
      <c r="A437" t="s">
        <v>193</v>
      </c>
      <c r="B437" s="25">
        <v>45869</v>
      </c>
      <c r="C437" t="s">
        <v>319</v>
      </c>
      <c r="D437" s="4">
        <v>491094.31</v>
      </c>
      <c r="E437" s="4">
        <v>39287.54</v>
      </c>
      <c r="F437" s="4">
        <v>451806.77</v>
      </c>
      <c r="G437" s="6">
        <v>6.0699999999999997E-2</v>
      </c>
      <c r="H437" s="4">
        <v>269378.88</v>
      </c>
      <c r="I437" s="4">
        <v>189427.23</v>
      </c>
      <c r="J437" s="4">
        <v>79951.649999999994</v>
      </c>
      <c r="K437" s="6">
        <v>0.29680000000000001</v>
      </c>
      <c r="L437" s="28">
        <v>7.21</v>
      </c>
    </row>
    <row r="438" spans="1:12" x14ac:dyDescent="0.3">
      <c r="A438" t="s">
        <v>193</v>
      </c>
      <c r="B438" s="25">
        <v>45869</v>
      </c>
      <c r="C438" t="s">
        <v>268</v>
      </c>
      <c r="D438" s="4">
        <v>383055.79</v>
      </c>
      <c r="E438" s="4">
        <v>30644.46</v>
      </c>
      <c r="F438" s="4">
        <v>352411.32</v>
      </c>
      <c r="G438" s="6">
        <v>4.7399999999999998E-2</v>
      </c>
      <c r="H438" s="4">
        <v>210116.75</v>
      </c>
      <c r="I438" s="4">
        <v>147754.1</v>
      </c>
      <c r="J438" s="4">
        <v>62362.65</v>
      </c>
      <c r="K438" s="6">
        <v>0.29680000000000001</v>
      </c>
      <c r="L438" s="28">
        <v>7.21</v>
      </c>
    </row>
    <row r="439" spans="1:12" x14ac:dyDescent="0.3">
      <c r="A439" t="s">
        <v>193</v>
      </c>
      <c r="B439" s="25">
        <v>45869</v>
      </c>
      <c r="C439" t="s">
        <v>318</v>
      </c>
      <c r="D439" s="4">
        <v>151186.64000000001</v>
      </c>
      <c r="E439" s="4">
        <v>12094.93</v>
      </c>
      <c r="F439" s="4">
        <v>139091.71</v>
      </c>
      <c r="G439" s="6">
        <v>1.8700000000000001E-2</v>
      </c>
      <c r="H439" s="4">
        <v>82930.080000000002</v>
      </c>
      <c r="I439" s="4">
        <v>58316.43</v>
      </c>
      <c r="J439" s="4">
        <v>24613.65</v>
      </c>
      <c r="K439" s="6">
        <v>0.29680000000000001</v>
      </c>
      <c r="L439" s="28">
        <v>7.21</v>
      </c>
    </row>
    <row r="440" spans="1:12" x14ac:dyDescent="0.3">
      <c r="A440" t="s">
        <v>193</v>
      </c>
      <c r="B440" s="25">
        <v>45869</v>
      </c>
      <c r="C440" t="s">
        <v>317</v>
      </c>
      <c r="D440" s="4">
        <v>556345.98</v>
      </c>
      <c r="E440" s="4">
        <v>44507.68</v>
      </c>
      <c r="F440" s="4">
        <v>511838.3</v>
      </c>
      <c r="G440" s="6">
        <v>6.88E-2</v>
      </c>
      <c r="H440" s="4">
        <v>305171.23</v>
      </c>
      <c r="I440" s="4">
        <v>214596.41</v>
      </c>
      <c r="J440" s="4">
        <v>90574.82</v>
      </c>
      <c r="K440" s="6">
        <v>0.29680000000000001</v>
      </c>
      <c r="L440" s="28">
        <v>7.21</v>
      </c>
    </row>
    <row r="441" spans="1:12" x14ac:dyDescent="0.3">
      <c r="A441" t="s">
        <v>193</v>
      </c>
      <c r="B441" s="25">
        <v>45869</v>
      </c>
      <c r="C441" t="s">
        <v>316</v>
      </c>
      <c r="D441" s="4">
        <v>1651712.39</v>
      </c>
      <c r="E441" s="4">
        <v>132136.99</v>
      </c>
      <c r="F441" s="4">
        <v>1519575.4</v>
      </c>
      <c r="G441" s="6">
        <v>0.20430000000000001</v>
      </c>
      <c r="H441" s="4">
        <v>906010.16</v>
      </c>
      <c r="I441" s="4">
        <v>637106.35</v>
      </c>
      <c r="J441" s="4">
        <v>268903.82</v>
      </c>
      <c r="K441" s="6">
        <v>0.29680000000000001</v>
      </c>
      <c r="L441" s="28">
        <v>7.21</v>
      </c>
    </row>
    <row r="442" spans="1:12" x14ac:dyDescent="0.3">
      <c r="A442" t="s">
        <v>193</v>
      </c>
      <c r="B442" s="25">
        <v>45900</v>
      </c>
      <c r="C442" t="s">
        <v>324</v>
      </c>
      <c r="D442" s="4">
        <v>1313743.3500000001</v>
      </c>
      <c r="E442" s="4">
        <v>105099.47</v>
      </c>
      <c r="F442" s="4">
        <v>1208643.8799999999</v>
      </c>
      <c r="G442" s="6">
        <v>0.16569999999999999</v>
      </c>
      <c r="H442" s="4">
        <v>790451.8</v>
      </c>
      <c r="I442" s="4">
        <v>536163.46</v>
      </c>
      <c r="J442" s="4">
        <v>254288.34</v>
      </c>
      <c r="K442" s="6">
        <v>0.32169999999999999</v>
      </c>
      <c r="L442" s="28">
        <v>6.57</v>
      </c>
    </row>
    <row r="443" spans="1:12" x14ac:dyDescent="0.3">
      <c r="A443" t="s">
        <v>193</v>
      </c>
      <c r="B443" s="25">
        <v>45900</v>
      </c>
      <c r="C443" t="s">
        <v>323</v>
      </c>
      <c r="D443" s="4">
        <v>1239565.7</v>
      </c>
      <c r="E443" s="4">
        <v>99165.26</v>
      </c>
      <c r="F443" s="4">
        <v>1140400.44</v>
      </c>
      <c r="G443" s="6">
        <v>0.15629999999999999</v>
      </c>
      <c r="H443" s="4">
        <v>745820.67</v>
      </c>
      <c r="I443" s="4">
        <v>505890.16</v>
      </c>
      <c r="J443" s="4">
        <v>239930.51</v>
      </c>
      <c r="K443" s="6">
        <v>0.32169999999999999</v>
      </c>
      <c r="L443" s="28">
        <v>6.57</v>
      </c>
    </row>
    <row r="444" spans="1:12" x14ac:dyDescent="0.3">
      <c r="A444" t="s">
        <v>193</v>
      </c>
      <c r="B444" s="25">
        <v>45900</v>
      </c>
      <c r="C444" t="s">
        <v>322</v>
      </c>
      <c r="D444" s="4">
        <v>406926.51</v>
      </c>
      <c r="E444" s="4">
        <v>32554.12</v>
      </c>
      <c r="F444" s="4">
        <v>374372.39</v>
      </c>
      <c r="G444" s="6">
        <v>5.1299999999999998E-2</v>
      </c>
      <c r="H444" s="4">
        <v>244839.14</v>
      </c>
      <c r="I444" s="4">
        <v>166074.39000000001</v>
      </c>
      <c r="J444" s="4">
        <v>78764.75</v>
      </c>
      <c r="K444" s="6">
        <v>0.32169999999999999</v>
      </c>
      <c r="L444" s="28">
        <v>6.57</v>
      </c>
    </row>
    <row r="445" spans="1:12" x14ac:dyDescent="0.3">
      <c r="A445" t="s">
        <v>193</v>
      </c>
      <c r="B445" s="25">
        <v>45900</v>
      </c>
      <c r="C445" t="s">
        <v>321</v>
      </c>
      <c r="D445" s="4">
        <v>966192.14</v>
      </c>
      <c r="E445" s="4">
        <v>77295.37</v>
      </c>
      <c r="F445" s="4">
        <v>888896.77</v>
      </c>
      <c r="G445" s="6">
        <v>0.12180000000000001</v>
      </c>
      <c r="H445" s="4">
        <v>581337.54</v>
      </c>
      <c r="I445" s="4">
        <v>394321.25</v>
      </c>
      <c r="J445" s="4">
        <v>187016.29</v>
      </c>
      <c r="K445" s="6">
        <v>0.32169999999999999</v>
      </c>
      <c r="L445" s="28">
        <v>6.57</v>
      </c>
    </row>
    <row r="446" spans="1:12" x14ac:dyDescent="0.3">
      <c r="A446" t="s">
        <v>193</v>
      </c>
      <c r="B446" s="25">
        <v>45900</v>
      </c>
      <c r="C446" t="s">
        <v>320</v>
      </c>
      <c r="D446" s="4">
        <v>820217.11</v>
      </c>
      <c r="E446" s="4">
        <v>65617.37</v>
      </c>
      <c r="F446" s="4">
        <v>754599.74</v>
      </c>
      <c r="G446" s="6">
        <v>0.10340000000000001</v>
      </c>
      <c r="H446" s="4">
        <v>493507.42</v>
      </c>
      <c r="I446" s="4">
        <v>334746.08</v>
      </c>
      <c r="J446" s="4">
        <v>158761.34</v>
      </c>
      <c r="K446" s="6">
        <v>0.32169999999999999</v>
      </c>
      <c r="L446" s="28">
        <v>6.57</v>
      </c>
    </row>
    <row r="447" spans="1:12" x14ac:dyDescent="0.3">
      <c r="A447" t="s">
        <v>193</v>
      </c>
      <c r="B447" s="25">
        <v>45900</v>
      </c>
      <c r="C447" t="s">
        <v>319</v>
      </c>
      <c r="D447" s="4">
        <v>494506.56</v>
      </c>
      <c r="E447" s="4">
        <v>39560.519999999997</v>
      </c>
      <c r="F447" s="4">
        <v>454946.03</v>
      </c>
      <c r="G447" s="6">
        <v>6.2399999999999997E-2</v>
      </c>
      <c r="H447" s="4">
        <v>297534.21999999997</v>
      </c>
      <c r="I447" s="4">
        <v>201817.46</v>
      </c>
      <c r="J447" s="4">
        <v>95716.76</v>
      </c>
      <c r="K447" s="6">
        <v>0.32169999999999999</v>
      </c>
      <c r="L447" s="28">
        <v>6.57</v>
      </c>
    </row>
    <row r="448" spans="1:12" x14ac:dyDescent="0.3">
      <c r="A448" t="s">
        <v>193</v>
      </c>
      <c r="B448" s="25">
        <v>45900</v>
      </c>
      <c r="C448" t="s">
        <v>268</v>
      </c>
      <c r="D448" s="4">
        <v>85429.54</v>
      </c>
      <c r="E448" s="4">
        <v>6834.36</v>
      </c>
      <c r="F448" s="4">
        <v>78595.179999999993</v>
      </c>
      <c r="G448" s="6">
        <v>1.0800000000000001E-2</v>
      </c>
      <c r="H448" s="4">
        <v>51401.16</v>
      </c>
      <c r="I448" s="4">
        <v>34865.410000000003</v>
      </c>
      <c r="J448" s="4">
        <v>16535.75</v>
      </c>
      <c r="K448" s="6">
        <v>0.32169999999999999</v>
      </c>
      <c r="L448" s="28">
        <v>6.57</v>
      </c>
    </row>
    <row r="449" spans="1:12" x14ac:dyDescent="0.3">
      <c r="A449" t="s">
        <v>193</v>
      </c>
      <c r="B449" s="25">
        <v>45900</v>
      </c>
      <c r="C449" t="s">
        <v>318</v>
      </c>
      <c r="D449" s="4">
        <v>557073.25</v>
      </c>
      <c r="E449" s="4">
        <v>44565.86</v>
      </c>
      <c r="F449" s="4">
        <v>512507.39</v>
      </c>
      <c r="G449" s="6">
        <v>7.0300000000000001E-2</v>
      </c>
      <c r="H449" s="4">
        <v>335179.28000000003</v>
      </c>
      <c r="I449" s="4">
        <v>227352.11</v>
      </c>
      <c r="J449" s="4">
        <v>107827.17</v>
      </c>
      <c r="K449" s="6">
        <v>0.32169999999999999</v>
      </c>
      <c r="L449" s="28">
        <v>6.57</v>
      </c>
    </row>
    <row r="450" spans="1:12" x14ac:dyDescent="0.3">
      <c r="A450" t="s">
        <v>193</v>
      </c>
      <c r="B450" s="25">
        <v>45900</v>
      </c>
      <c r="C450" t="s">
        <v>317</v>
      </c>
      <c r="D450" s="4">
        <v>636827.99</v>
      </c>
      <c r="E450" s="4">
        <v>50946.239999999998</v>
      </c>
      <c r="F450" s="4">
        <v>585881.75</v>
      </c>
      <c r="G450" s="6">
        <v>8.0299999999999996E-2</v>
      </c>
      <c r="H450" s="4">
        <v>383166.03</v>
      </c>
      <c r="I450" s="4">
        <v>259901.52</v>
      </c>
      <c r="J450" s="4">
        <v>123264.51</v>
      </c>
      <c r="K450" s="6">
        <v>0.32169999999999999</v>
      </c>
      <c r="L450" s="28">
        <v>6.57</v>
      </c>
    </row>
    <row r="451" spans="1:12" x14ac:dyDescent="0.3">
      <c r="A451" t="s">
        <v>193</v>
      </c>
      <c r="B451" s="25">
        <v>45900</v>
      </c>
      <c r="C451" t="s">
        <v>316</v>
      </c>
      <c r="D451" s="4">
        <v>1409262.06</v>
      </c>
      <c r="E451" s="4">
        <v>112740.96</v>
      </c>
      <c r="F451" s="4">
        <v>1296521.0900000001</v>
      </c>
      <c r="G451" s="6">
        <v>0.1777</v>
      </c>
      <c r="H451" s="4">
        <v>847923.4</v>
      </c>
      <c r="I451" s="4">
        <v>575146.44999999995</v>
      </c>
      <c r="J451" s="4">
        <v>272776.96000000002</v>
      </c>
      <c r="K451" s="6">
        <v>0.32169999999999999</v>
      </c>
      <c r="L451" s="28">
        <v>6.57</v>
      </c>
    </row>
    <row r="452" spans="1:12" x14ac:dyDescent="0.3">
      <c r="A452" t="s">
        <v>193</v>
      </c>
      <c r="B452" s="25">
        <v>45930</v>
      </c>
      <c r="C452" t="s">
        <v>324</v>
      </c>
      <c r="D452" s="4">
        <v>1155210.6399999999</v>
      </c>
      <c r="E452" s="4">
        <v>92416.85</v>
      </c>
      <c r="F452" s="4">
        <v>1062793.79</v>
      </c>
      <c r="G452" s="6">
        <v>0.14699999999999999</v>
      </c>
      <c r="H452" s="4">
        <v>715149.16</v>
      </c>
      <c r="I452" s="4">
        <v>496957.15</v>
      </c>
      <c r="J452" s="4">
        <v>218192.01</v>
      </c>
      <c r="K452" s="6">
        <v>0.30509999999999998</v>
      </c>
      <c r="L452" s="28">
        <v>6.39</v>
      </c>
    </row>
    <row r="453" spans="1:12" x14ac:dyDescent="0.3">
      <c r="A453" t="s">
        <v>193</v>
      </c>
      <c r="B453" s="25">
        <v>45930</v>
      </c>
      <c r="C453" t="s">
        <v>323</v>
      </c>
      <c r="D453" s="4">
        <v>1447554.93</v>
      </c>
      <c r="E453" s="4">
        <v>115804.39</v>
      </c>
      <c r="F453" s="4">
        <v>1331750.53</v>
      </c>
      <c r="G453" s="6">
        <v>0.1842</v>
      </c>
      <c r="H453" s="4">
        <v>896128.95</v>
      </c>
      <c r="I453" s="4">
        <v>622720.01</v>
      </c>
      <c r="J453" s="4">
        <v>273408.94</v>
      </c>
      <c r="K453" s="6">
        <v>0.30509999999999998</v>
      </c>
      <c r="L453" s="28">
        <v>6.39</v>
      </c>
    </row>
    <row r="454" spans="1:12" x14ac:dyDescent="0.3">
      <c r="A454" t="s">
        <v>193</v>
      </c>
      <c r="B454" s="25">
        <v>45930</v>
      </c>
      <c r="C454" t="s">
        <v>322</v>
      </c>
      <c r="D454" s="4">
        <v>416873.34</v>
      </c>
      <c r="E454" s="4">
        <v>33349.870000000003</v>
      </c>
      <c r="F454" s="4">
        <v>383523.47</v>
      </c>
      <c r="G454" s="6">
        <v>5.2999999999999999E-2</v>
      </c>
      <c r="H454" s="4">
        <v>258071.22</v>
      </c>
      <c r="I454" s="4">
        <v>179333.69</v>
      </c>
      <c r="J454" s="4">
        <v>78737.53</v>
      </c>
      <c r="K454" s="6">
        <v>0.30509999999999998</v>
      </c>
      <c r="L454" s="28">
        <v>6.39</v>
      </c>
    </row>
    <row r="455" spans="1:12" x14ac:dyDescent="0.3">
      <c r="A455" t="s">
        <v>193</v>
      </c>
      <c r="B455" s="25">
        <v>45930</v>
      </c>
      <c r="C455" t="s">
        <v>321</v>
      </c>
      <c r="D455" s="4">
        <v>1054164.67</v>
      </c>
      <c r="E455" s="4">
        <v>84333.17</v>
      </c>
      <c r="F455" s="4">
        <v>969831.5</v>
      </c>
      <c r="G455" s="6">
        <v>0.1341</v>
      </c>
      <c r="H455" s="4">
        <v>652595.26</v>
      </c>
      <c r="I455" s="4">
        <v>453488.44</v>
      </c>
      <c r="J455" s="4">
        <v>199106.81</v>
      </c>
      <c r="K455" s="6">
        <v>0.30509999999999998</v>
      </c>
      <c r="L455" s="28">
        <v>6.39</v>
      </c>
    </row>
    <row r="456" spans="1:12" x14ac:dyDescent="0.3">
      <c r="A456" t="s">
        <v>193</v>
      </c>
      <c r="B456" s="25">
        <v>45930</v>
      </c>
      <c r="C456" t="s">
        <v>320</v>
      </c>
      <c r="D456" s="4">
        <v>437349.42</v>
      </c>
      <c r="E456" s="4">
        <v>34987.949999999997</v>
      </c>
      <c r="F456" s="4">
        <v>402361.47</v>
      </c>
      <c r="G456" s="6">
        <v>5.57E-2</v>
      </c>
      <c r="H456" s="4">
        <v>270747.23</v>
      </c>
      <c r="I456" s="4">
        <v>188142.25</v>
      </c>
      <c r="J456" s="4">
        <v>82604.98</v>
      </c>
      <c r="K456" s="6">
        <v>0.30509999999999998</v>
      </c>
      <c r="L456" s="28">
        <v>6.39</v>
      </c>
    </row>
    <row r="457" spans="1:12" x14ac:dyDescent="0.3">
      <c r="A457" t="s">
        <v>193</v>
      </c>
      <c r="B457" s="25">
        <v>45930</v>
      </c>
      <c r="C457" t="s">
        <v>319</v>
      </c>
      <c r="D457" s="4">
        <v>193984.66</v>
      </c>
      <c r="E457" s="4">
        <v>15518.77</v>
      </c>
      <c r="F457" s="4">
        <v>178465.89</v>
      </c>
      <c r="G457" s="6">
        <v>2.47E-2</v>
      </c>
      <c r="H457" s="4">
        <v>120088.89</v>
      </c>
      <c r="I457" s="4">
        <v>83449.77</v>
      </c>
      <c r="J457" s="4">
        <v>36639.120000000003</v>
      </c>
      <c r="K457" s="6">
        <v>0.30509999999999998</v>
      </c>
      <c r="L457" s="28">
        <v>6.39</v>
      </c>
    </row>
    <row r="458" spans="1:12" x14ac:dyDescent="0.3">
      <c r="A458" t="s">
        <v>193</v>
      </c>
      <c r="B458" s="25">
        <v>45930</v>
      </c>
      <c r="C458" t="s">
        <v>268</v>
      </c>
      <c r="D458" s="4">
        <v>381706.36</v>
      </c>
      <c r="E458" s="4">
        <v>30536.51</v>
      </c>
      <c r="F458" s="4">
        <v>351169.85</v>
      </c>
      <c r="G458" s="6">
        <v>4.8599999999999997E-2</v>
      </c>
      <c r="H458" s="4">
        <v>236300.61</v>
      </c>
      <c r="I458" s="4">
        <v>164205.29999999999</v>
      </c>
      <c r="J458" s="4">
        <v>72095.320000000007</v>
      </c>
      <c r="K458" s="6">
        <v>0.30509999999999998</v>
      </c>
      <c r="L458" s="28">
        <v>6.39</v>
      </c>
    </row>
    <row r="459" spans="1:12" x14ac:dyDescent="0.3">
      <c r="A459" t="s">
        <v>193</v>
      </c>
      <c r="B459" s="25">
        <v>45930</v>
      </c>
      <c r="C459" t="s">
        <v>318</v>
      </c>
      <c r="D459" s="4">
        <v>768088.69</v>
      </c>
      <c r="E459" s="4">
        <v>61447.1</v>
      </c>
      <c r="F459" s="4">
        <v>706641.59</v>
      </c>
      <c r="G459" s="6">
        <v>9.7699999999999995E-2</v>
      </c>
      <c r="H459" s="4">
        <v>475495.95</v>
      </c>
      <c r="I459" s="4">
        <v>330422.14</v>
      </c>
      <c r="J459" s="4">
        <v>145073.82</v>
      </c>
      <c r="K459" s="6">
        <v>0.30509999999999998</v>
      </c>
      <c r="L459" s="28">
        <v>6.39</v>
      </c>
    </row>
    <row r="460" spans="1:12" x14ac:dyDescent="0.3">
      <c r="A460" t="s">
        <v>193</v>
      </c>
      <c r="B460" s="25">
        <v>45930</v>
      </c>
      <c r="C460" t="s">
        <v>317</v>
      </c>
      <c r="D460" s="4">
        <v>553617.32999999996</v>
      </c>
      <c r="E460" s="4">
        <v>44289.39</v>
      </c>
      <c r="F460" s="4">
        <v>509327.94</v>
      </c>
      <c r="G460" s="6">
        <v>7.0400000000000004E-2</v>
      </c>
      <c r="H460" s="4">
        <v>342724.48</v>
      </c>
      <c r="I460" s="4">
        <v>238159.24</v>
      </c>
      <c r="J460" s="4">
        <v>104565.24</v>
      </c>
      <c r="K460" s="6">
        <v>0.30509999999999998</v>
      </c>
      <c r="L460" s="28">
        <v>6.39</v>
      </c>
    </row>
    <row r="461" spans="1:12" x14ac:dyDescent="0.3">
      <c r="A461" t="s">
        <v>193</v>
      </c>
      <c r="B461" s="25">
        <v>45930</v>
      </c>
      <c r="C461" t="s">
        <v>316</v>
      </c>
      <c r="D461" s="4">
        <v>1450125.9</v>
      </c>
      <c r="E461" s="4">
        <v>116010.07</v>
      </c>
      <c r="F461" s="4">
        <v>1334115.83</v>
      </c>
      <c r="G461" s="6">
        <v>0.1845</v>
      </c>
      <c r="H461" s="4">
        <v>897720.55</v>
      </c>
      <c r="I461" s="4">
        <v>623826.01</v>
      </c>
      <c r="J461" s="4">
        <v>273894.53999999998</v>
      </c>
      <c r="K461" s="6">
        <v>0.30509999999999998</v>
      </c>
      <c r="L461" s="28">
        <v>6.39</v>
      </c>
    </row>
    <row r="462" spans="1:12" x14ac:dyDescent="0.3">
      <c r="A462" t="s">
        <v>193</v>
      </c>
      <c r="B462" s="25">
        <v>45961</v>
      </c>
      <c r="C462" t="s">
        <v>324</v>
      </c>
      <c r="D462" s="4">
        <v>843933.77</v>
      </c>
      <c r="E462" s="4">
        <v>67514.7</v>
      </c>
      <c r="F462" s="4">
        <v>776419.07</v>
      </c>
      <c r="G462" s="6">
        <v>0.1045</v>
      </c>
      <c r="H462" s="4">
        <v>498637.59</v>
      </c>
      <c r="I462" s="4">
        <v>335682.83</v>
      </c>
      <c r="J462" s="4">
        <v>162954.76999999999</v>
      </c>
      <c r="K462" s="6">
        <v>0.32679999999999998</v>
      </c>
      <c r="L462" s="28">
        <v>6.7</v>
      </c>
    </row>
    <row r="463" spans="1:12" x14ac:dyDescent="0.3">
      <c r="A463" t="s">
        <v>193</v>
      </c>
      <c r="B463" s="25">
        <v>45961</v>
      </c>
      <c r="C463" t="s">
        <v>323</v>
      </c>
      <c r="D463" s="4">
        <v>1038778.71</v>
      </c>
      <c r="E463" s="4">
        <v>83102.3</v>
      </c>
      <c r="F463" s="4">
        <v>955676.41</v>
      </c>
      <c r="G463" s="6">
        <v>0.12859999999999999</v>
      </c>
      <c r="H463" s="4">
        <v>613761.56999999995</v>
      </c>
      <c r="I463" s="4">
        <v>413184.29</v>
      </c>
      <c r="J463" s="4">
        <v>200577.28</v>
      </c>
      <c r="K463" s="6">
        <v>0.32679999999999998</v>
      </c>
      <c r="L463" s="28">
        <v>6.7</v>
      </c>
    </row>
    <row r="464" spans="1:12" x14ac:dyDescent="0.3">
      <c r="A464" t="s">
        <v>193</v>
      </c>
      <c r="B464" s="25">
        <v>45961</v>
      </c>
      <c r="C464" t="s">
        <v>322</v>
      </c>
      <c r="D464" s="4">
        <v>81358.070000000007</v>
      </c>
      <c r="E464" s="4">
        <v>6508.65</v>
      </c>
      <c r="F464" s="4">
        <v>74849.42</v>
      </c>
      <c r="G464" s="6">
        <v>1.01E-2</v>
      </c>
      <c r="H464" s="4">
        <v>48070.35</v>
      </c>
      <c r="I464" s="4">
        <v>32360.959999999999</v>
      </c>
      <c r="J464" s="4">
        <v>15709.39</v>
      </c>
      <c r="K464" s="6">
        <v>0.32679999999999998</v>
      </c>
      <c r="L464" s="28">
        <v>6.7</v>
      </c>
    </row>
    <row r="465" spans="1:12" x14ac:dyDescent="0.3">
      <c r="A465" t="s">
        <v>193</v>
      </c>
      <c r="B465" s="25">
        <v>45961</v>
      </c>
      <c r="C465" t="s">
        <v>321</v>
      </c>
      <c r="D465" s="4">
        <v>897549.7</v>
      </c>
      <c r="E465" s="4">
        <v>71803.98</v>
      </c>
      <c r="F465" s="4">
        <v>825745.72</v>
      </c>
      <c r="G465" s="6">
        <v>0.1111</v>
      </c>
      <c r="H465" s="4">
        <v>530316.52</v>
      </c>
      <c r="I465" s="4">
        <v>357009.08</v>
      </c>
      <c r="J465" s="4">
        <v>173307.44</v>
      </c>
      <c r="K465" s="6">
        <v>0.32679999999999998</v>
      </c>
      <c r="L465" s="28">
        <v>6.7</v>
      </c>
    </row>
    <row r="466" spans="1:12" x14ac:dyDescent="0.3">
      <c r="A466" t="s">
        <v>193</v>
      </c>
      <c r="B466" s="25">
        <v>45961</v>
      </c>
      <c r="C466" t="s">
        <v>320</v>
      </c>
      <c r="D466" s="4">
        <v>1092349.97</v>
      </c>
      <c r="E466" s="4">
        <v>87388</v>
      </c>
      <c r="F466" s="4">
        <v>1004961.97</v>
      </c>
      <c r="G466" s="6">
        <v>0.13519999999999999</v>
      </c>
      <c r="H466" s="4">
        <v>645414.1</v>
      </c>
      <c r="I466" s="4">
        <v>434492.78</v>
      </c>
      <c r="J466" s="4">
        <v>210921.33</v>
      </c>
      <c r="K466" s="6">
        <v>0.32679999999999998</v>
      </c>
      <c r="L466" s="28">
        <v>6.7</v>
      </c>
    </row>
    <row r="467" spans="1:12" x14ac:dyDescent="0.3">
      <c r="A467" t="s">
        <v>193</v>
      </c>
      <c r="B467" s="25">
        <v>45961</v>
      </c>
      <c r="C467" t="s">
        <v>319</v>
      </c>
      <c r="D467" s="4">
        <v>190601.13</v>
      </c>
      <c r="E467" s="4">
        <v>15248.09</v>
      </c>
      <c r="F467" s="4">
        <v>175353.04</v>
      </c>
      <c r="G467" s="6">
        <v>2.3599999999999999E-2</v>
      </c>
      <c r="H467" s="4">
        <v>112616.53</v>
      </c>
      <c r="I467" s="4">
        <v>75813.45</v>
      </c>
      <c r="J467" s="4">
        <v>36803.08</v>
      </c>
      <c r="K467" s="6">
        <v>0.32679999999999998</v>
      </c>
      <c r="L467" s="28">
        <v>6.7</v>
      </c>
    </row>
    <row r="468" spans="1:12" x14ac:dyDescent="0.3">
      <c r="A468" t="s">
        <v>193</v>
      </c>
      <c r="B468" s="25">
        <v>45961</v>
      </c>
      <c r="C468" t="s">
        <v>268</v>
      </c>
      <c r="D468" s="4">
        <v>534407.71</v>
      </c>
      <c r="E468" s="4">
        <v>42752.62</v>
      </c>
      <c r="F468" s="4">
        <v>491655.09</v>
      </c>
      <c r="G468" s="6">
        <v>6.6199999999999995E-2</v>
      </c>
      <c r="H468" s="4">
        <v>315754.37</v>
      </c>
      <c r="I468" s="4">
        <v>212565.84</v>
      </c>
      <c r="J468" s="4">
        <v>103188.53</v>
      </c>
      <c r="K468" s="6">
        <v>0.32679999999999998</v>
      </c>
      <c r="L468" s="28">
        <v>6.7</v>
      </c>
    </row>
    <row r="469" spans="1:12" x14ac:dyDescent="0.3">
      <c r="A469" t="s">
        <v>193</v>
      </c>
      <c r="B469" s="25">
        <v>45961</v>
      </c>
      <c r="C469" t="s">
        <v>318</v>
      </c>
      <c r="D469" s="4">
        <v>691974.08</v>
      </c>
      <c r="E469" s="4">
        <v>55357.93</v>
      </c>
      <c r="F469" s="4">
        <v>636616.16</v>
      </c>
      <c r="G469" s="6">
        <v>8.5699999999999998E-2</v>
      </c>
      <c r="H469" s="4">
        <v>408852.33</v>
      </c>
      <c r="I469" s="4">
        <v>275239.39</v>
      </c>
      <c r="J469" s="4">
        <v>133612.94</v>
      </c>
      <c r="K469" s="6">
        <v>0.32679999999999998</v>
      </c>
      <c r="L469" s="28">
        <v>6.7</v>
      </c>
    </row>
    <row r="470" spans="1:12" x14ac:dyDescent="0.3">
      <c r="A470" t="s">
        <v>193</v>
      </c>
      <c r="B470" s="25">
        <v>45961</v>
      </c>
      <c r="C470" t="s">
        <v>317</v>
      </c>
      <c r="D470" s="4">
        <v>1078995.1399999999</v>
      </c>
      <c r="E470" s="4">
        <v>86319.61</v>
      </c>
      <c r="F470" s="4">
        <v>992675.53</v>
      </c>
      <c r="G470" s="6">
        <v>0.1336</v>
      </c>
      <c r="H470" s="4">
        <v>637523.42000000004</v>
      </c>
      <c r="I470" s="4">
        <v>429180.76</v>
      </c>
      <c r="J470" s="4">
        <v>208342.65</v>
      </c>
      <c r="K470" s="6">
        <v>0.32679999999999998</v>
      </c>
      <c r="L470" s="28">
        <v>6.7</v>
      </c>
    </row>
    <row r="471" spans="1:12" x14ac:dyDescent="0.3">
      <c r="A471" t="s">
        <v>193</v>
      </c>
      <c r="B471" s="25">
        <v>45961</v>
      </c>
      <c r="C471" t="s">
        <v>316</v>
      </c>
      <c r="D471" s="4">
        <v>1628589.95</v>
      </c>
      <c r="E471" s="4">
        <v>130287.2</v>
      </c>
      <c r="F471" s="4">
        <v>1498302.76</v>
      </c>
      <c r="G471" s="6">
        <v>0.2016</v>
      </c>
      <c r="H471" s="4">
        <v>962251.07</v>
      </c>
      <c r="I471" s="4">
        <v>647787.42000000004</v>
      </c>
      <c r="J471" s="4">
        <v>314463.65000000002</v>
      </c>
      <c r="K471" s="6">
        <v>0.32679999999999998</v>
      </c>
      <c r="L471" s="28">
        <v>6.7</v>
      </c>
    </row>
    <row r="472" spans="1:12" x14ac:dyDescent="0.3">
      <c r="A472" t="s">
        <v>193</v>
      </c>
      <c r="B472" s="25">
        <v>45991</v>
      </c>
      <c r="C472" t="s">
        <v>324</v>
      </c>
      <c r="D472" s="4">
        <v>1291165.8700000001</v>
      </c>
      <c r="E472" s="4">
        <v>103293.27</v>
      </c>
      <c r="F472" s="4">
        <v>1187872.6000000001</v>
      </c>
      <c r="G472" s="6">
        <v>0.14030000000000001</v>
      </c>
      <c r="H472" s="4">
        <v>599079.27</v>
      </c>
      <c r="I472" s="4">
        <v>407613.53</v>
      </c>
      <c r="J472" s="4">
        <v>191465.73</v>
      </c>
      <c r="K472" s="6">
        <v>0.3196</v>
      </c>
      <c r="L472" s="28">
        <v>8.5299999999999994</v>
      </c>
    </row>
    <row r="473" spans="1:12" x14ac:dyDescent="0.3">
      <c r="A473" t="s">
        <v>193</v>
      </c>
      <c r="B473" s="25">
        <v>45991</v>
      </c>
      <c r="C473" t="s">
        <v>323</v>
      </c>
      <c r="D473" s="4">
        <v>860952.35</v>
      </c>
      <c r="E473" s="4">
        <v>68876.19</v>
      </c>
      <c r="F473" s="4">
        <v>792076.16</v>
      </c>
      <c r="G473" s="6">
        <v>9.3600000000000003E-2</v>
      </c>
      <c r="H473" s="4">
        <v>399467.42</v>
      </c>
      <c r="I473" s="4">
        <v>271797.64</v>
      </c>
      <c r="J473" s="4">
        <v>127669.79</v>
      </c>
      <c r="K473" s="6">
        <v>0.3196</v>
      </c>
      <c r="L473" s="28">
        <v>8.5299999999999994</v>
      </c>
    </row>
    <row r="474" spans="1:12" x14ac:dyDescent="0.3">
      <c r="A474" t="s">
        <v>193</v>
      </c>
      <c r="B474" s="25">
        <v>45991</v>
      </c>
      <c r="C474" t="s">
        <v>322</v>
      </c>
      <c r="D474" s="4">
        <v>789810.07</v>
      </c>
      <c r="E474" s="4">
        <v>63184.81</v>
      </c>
      <c r="F474" s="4">
        <v>726625.27</v>
      </c>
      <c r="G474" s="6">
        <v>8.5800000000000001E-2</v>
      </c>
      <c r="H474" s="4">
        <v>366458.6</v>
      </c>
      <c r="I474" s="4">
        <v>249338.43</v>
      </c>
      <c r="J474" s="4">
        <v>117120.17</v>
      </c>
      <c r="K474" s="6">
        <v>0.3196</v>
      </c>
      <c r="L474" s="28">
        <v>8.5299999999999994</v>
      </c>
    </row>
    <row r="475" spans="1:12" x14ac:dyDescent="0.3">
      <c r="A475" t="s">
        <v>193</v>
      </c>
      <c r="B475" s="25">
        <v>45991</v>
      </c>
      <c r="C475" t="s">
        <v>321</v>
      </c>
      <c r="D475" s="4">
        <v>872703.45</v>
      </c>
      <c r="E475" s="4">
        <v>69816.28</v>
      </c>
      <c r="F475" s="4">
        <v>802887.17</v>
      </c>
      <c r="G475" s="6">
        <v>9.4799999999999995E-2</v>
      </c>
      <c r="H475" s="4">
        <v>404919.74</v>
      </c>
      <c r="I475" s="4">
        <v>275507.39</v>
      </c>
      <c r="J475" s="4">
        <v>129412.35</v>
      </c>
      <c r="K475" s="6">
        <v>0.3196</v>
      </c>
      <c r="L475" s="28">
        <v>8.5299999999999994</v>
      </c>
    </row>
    <row r="476" spans="1:12" x14ac:dyDescent="0.3">
      <c r="A476" t="s">
        <v>193</v>
      </c>
      <c r="B476" s="25">
        <v>45991</v>
      </c>
      <c r="C476" t="s">
        <v>320</v>
      </c>
      <c r="D476" s="4">
        <v>1211534.29</v>
      </c>
      <c r="E476" s="4">
        <v>96922.74</v>
      </c>
      <c r="F476" s="4">
        <v>1114611.55</v>
      </c>
      <c r="G476" s="6">
        <v>0.13170000000000001</v>
      </c>
      <c r="H476" s="4">
        <v>562131.55000000005</v>
      </c>
      <c r="I476" s="4">
        <v>382474.31</v>
      </c>
      <c r="J476" s="4">
        <v>179657.24</v>
      </c>
      <c r="K476" s="6">
        <v>0.3196</v>
      </c>
      <c r="L476" s="28">
        <v>8.5299999999999994</v>
      </c>
    </row>
    <row r="477" spans="1:12" x14ac:dyDescent="0.3">
      <c r="A477" t="s">
        <v>193</v>
      </c>
      <c r="B477" s="25">
        <v>45991</v>
      </c>
      <c r="C477" t="s">
        <v>319</v>
      </c>
      <c r="D477" s="4">
        <v>605608.72</v>
      </c>
      <c r="E477" s="4">
        <v>48448.7</v>
      </c>
      <c r="F477" s="4">
        <v>557160.02</v>
      </c>
      <c r="G477" s="6">
        <v>6.5799999999999997E-2</v>
      </c>
      <c r="H477" s="4">
        <v>280992.27</v>
      </c>
      <c r="I477" s="4">
        <v>191187.14</v>
      </c>
      <c r="J477" s="4">
        <v>89805.13</v>
      </c>
      <c r="K477" s="6">
        <v>0.3196</v>
      </c>
      <c r="L477" s="28">
        <v>8.5299999999999994</v>
      </c>
    </row>
    <row r="478" spans="1:12" x14ac:dyDescent="0.3">
      <c r="A478" t="s">
        <v>193</v>
      </c>
      <c r="B478" s="25">
        <v>45991</v>
      </c>
      <c r="C478" t="s">
        <v>268</v>
      </c>
      <c r="D478" s="4">
        <v>202477.78</v>
      </c>
      <c r="E478" s="4">
        <v>16198.22</v>
      </c>
      <c r="F478" s="4">
        <v>186279.55</v>
      </c>
      <c r="G478" s="6">
        <v>2.1999999999999999E-2</v>
      </c>
      <c r="H478" s="4">
        <v>93946.29</v>
      </c>
      <c r="I478" s="4">
        <v>63921.05</v>
      </c>
      <c r="J478" s="4">
        <v>30025.23</v>
      </c>
      <c r="K478" s="6">
        <v>0.3196</v>
      </c>
      <c r="L478" s="28">
        <v>8.5299999999999994</v>
      </c>
    </row>
    <row r="479" spans="1:12" x14ac:dyDescent="0.3">
      <c r="A479" t="s">
        <v>193</v>
      </c>
      <c r="B479" s="25">
        <v>45991</v>
      </c>
      <c r="C479" t="s">
        <v>318</v>
      </c>
      <c r="D479" s="4">
        <v>943524.56</v>
      </c>
      <c r="E479" s="4">
        <v>75481.960000000006</v>
      </c>
      <c r="F479" s="4">
        <v>868042.6</v>
      </c>
      <c r="G479" s="6">
        <v>0.10249999999999999</v>
      </c>
      <c r="H479" s="4">
        <v>437779.54</v>
      </c>
      <c r="I479" s="4">
        <v>297865.2</v>
      </c>
      <c r="J479" s="4">
        <v>139914.34</v>
      </c>
      <c r="K479" s="6">
        <v>0.3196</v>
      </c>
      <c r="L479" s="28">
        <v>8.5299999999999994</v>
      </c>
    </row>
    <row r="480" spans="1:12" x14ac:dyDescent="0.3">
      <c r="A480" t="s">
        <v>193</v>
      </c>
      <c r="B480" s="25">
        <v>45991</v>
      </c>
      <c r="C480" t="s">
        <v>317</v>
      </c>
      <c r="D480" s="4">
        <v>588785.84</v>
      </c>
      <c r="E480" s="4">
        <v>47102.87</v>
      </c>
      <c r="F480" s="4">
        <v>541682.97</v>
      </c>
      <c r="G480" s="6">
        <v>6.4000000000000001E-2</v>
      </c>
      <c r="H480" s="4">
        <v>273186.74</v>
      </c>
      <c r="I480" s="4">
        <v>185876.26</v>
      </c>
      <c r="J480" s="4">
        <v>87310.48</v>
      </c>
      <c r="K480" s="6">
        <v>0.3196</v>
      </c>
      <c r="L480" s="28">
        <v>8.5299999999999994</v>
      </c>
    </row>
    <row r="481" spans="1:12" x14ac:dyDescent="0.3">
      <c r="A481" t="s">
        <v>193</v>
      </c>
      <c r="B481" s="25">
        <v>45991</v>
      </c>
      <c r="C481" t="s">
        <v>316</v>
      </c>
      <c r="D481" s="4">
        <v>1834792.26</v>
      </c>
      <c r="E481" s="4">
        <v>146783.38</v>
      </c>
      <c r="F481" s="4">
        <v>1688008.88</v>
      </c>
      <c r="G481" s="6">
        <v>0.19939999999999999</v>
      </c>
      <c r="H481" s="4">
        <v>851312.78</v>
      </c>
      <c r="I481" s="4">
        <v>579233.22</v>
      </c>
      <c r="J481" s="4">
        <v>272079.56</v>
      </c>
      <c r="K481" s="6">
        <v>0.3196</v>
      </c>
      <c r="L481" s="28">
        <v>8.5299999999999994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240E-570A-48FA-9963-86806F638138}">
  <sheetPr>
    <tabColor theme="6" tint="0.39997558519241921"/>
  </sheetPr>
  <dimension ref="A1:K49"/>
  <sheetViews>
    <sheetView zoomScale="86" workbookViewId="0">
      <selection sqref="A1:E13"/>
    </sheetView>
  </sheetViews>
  <sheetFormatPr defaultRowHeight="14.4" x14ac:dyDescent="0.3"/>
  <cols>
    <col min="1" max="2" width="14.88671875" customWidth="1"/>
    <col min="3" max="3" width="14.88671875" style="4" customWidth="1"/>
    <col min="4" max="4" width="14.88671875" style="26" customWidth="1"/>
    <col min="5" max="7" width="14.88671875" style="4" customWidth="1"/>
    <col min="8" max="8" width="14.88671875" customWidth="1"/>
    <col min="9" max="10" width="14.88671875" style="4" customWidth="1"/>
    <col min="11" max="11" width="14.88671875" customWidth="1"/>
  </cols>
  <sheetData>
    <row r="1" spans="1:11" x14ac:dyDescent="0.3">
      <c r="A1" s="13" t="s">
        <v>22</v>
      </c>
      <c r="B1" s="13" t="s">
        <v>197</v>
      </c>
      <c r="C1" s="21" t="s">
        <v>306</v>
      </c>
      <c r="D1" s="27" t="s">
        <v>305</v>
      </c>
      <c r="E1" s="21" t="s">
        <v>304</v>
      </c>
      <c r="F1" s="21" t="s">
        <v>303</v>
      </c>
      <c r="G1" s="21" t="s">
        <v>302</v>
      </c>
      <c r="H1" s="13" t="s">
        <v>301</v>
      </c>
      <c r="I1" s="21" t="s">
        <v>300</v>
      </c>
      <c r="J1" s="21" t="s">
        <v>299</v>
      </c>
      <c r="K1" s="13" t="s">
        <v>298</v>
      </c>
    </row>
    <row r="2" spans="1:11" x14ac:dyDescent="0.3">
      <c r="A2" t="s">
        <v>186</v>
      </c>
      <c r="B2" s="25">
        <v>45657</v>
      </c>
      <c r="C2" s="4">
        <v>12863419.380000001</v>
      </c>
      <c r="D2" s="26">
        <v>0.24260000000000001</v>
      </c>
      <c r="E2" s="4">
        <v>3120513.11</v>
      </c>
      <c r="F2" s="4">
        <v>140737266.75037959</v>
      </c>
      <c r="G2" s="4">
        <v>150832323.28135681</v>
      </c>
      <c r="H2" s="6">
        <v>-6.6900000000000001E-2</v>
      </c>
      <c r="I2" s="4">
        <v>11994646.01879978</v>
      </c>
      <c r="J2" s="4">
        <v>11521745.515749721</v>
      </c>
      <c r="K2" s="6">
        <v>4.0999999999999995E-2</v>
      </c>
    </row>
    <row r="3" spans="1:11" x14ac:dyDescent="0.3">
      <c r="A3" t="s">
        <v>186</v>
      </c>
      <c r="B3" s="25">
        <v>45688</v>
      </c>
      <c r="C3" s="4">
        <v>11950485.300000001</v>
      </c>
      <c r="D3" s="26">
        <v>0.25319999999999998</v>
      </c>
      <c r="E3" s="4">
        <v>3025572.31</v>
      </c>
      <c r="F3" s="4">
        <v>141019082.54156369</v>
      </c>
      <c r="G3" s="4">
        <v>149959869.05353931</v>
      </c>
      <c r="H3" s="6">
        <v>-5.96E-2</v>
      </c>
      <c r="I3" s="4">
        <v>12036725.29404792</v>
      </c>
      <c r="J3" s="4">
        <v>11782030.385399841</v>
      </c>
      <c r="K3" s="6">
        <v>2.1600000000000001E-2</v>
      </c>
    </row>
    <row r="4" spans="1:11" x14ac:dyDescent="0.3">
      <c r="A4" t="s">
        <v>186</v>
      </c>
      <c r="B4" s="25">
        <v>45716</v>
      </c>
      <c r="C4" s="4">
        <v>12008506.369999999</v>
      </c>
      <c r="D4" s="26">
        <v>0.2359</v>
      </c>
      <c r="E4" s="4">
        <v>2833169.9</v>
      </c>
      <c r="F4" s="4">
        <v>141331470.73142231</v>
      </c>
      <c r="G4" s="4">
        <v>149132294.88198841</v>
      </c>
      <c r="H4" s="6">
        <v>-5.2300000000000006E-2</v>
      </c>
      <c r="I4" s="4">
        <v>12274137.01763718</v>
      </c>
      <c r="J4" s="4">
        <v>11780553.219888549</v>
      </c>
      <c r="K4" s="6">
        <v>4.1900000000000007E-2</v>
      </c>
    </row>
    <row r="5" spans="1:11" x14ac:dyDescent="0.3">
      <c r="A5" t="s">
        <v>186</v>
      </c>
      <c r="B5" s="25">
        <v>45747</v>
      </c>
      <c r="C5" s="4">
        <v>11949467.42</v>
      </c>
      <c r="D5" s="26">
        <v>0.24440000000000001</v>
      </c>
      <c r="E5" s="4">
        <v>2920972.54</v>
      </c>
      <c r="F5" s="4">
        <v>141607755.78694811</v>
      </c>
      <c r="G5" s="4">
        <v>148263272.87429661</v>
      </c>
      <c r="H5" s="6">
        <v>-4.4900000000000002E-2</v>
      </c>
      <c r="I5" s="4">
        <v>11969486.362834319</v>
      </c>
      <c r="J5" s="4">
        <v>11994646.01879978</v>
      </c>
      <c r="K5" s="6">
        <v>-2.0999999999999999E-3</v>
      </c>
    </row>
    <row r="6" spans="1:11" x14ac:dyDescent="0.3">
      <c r="A6" t="s">
        <v>186</v>
      </c>
      <c r="B6" s="25">
        <v>45777</v>
      </c>
      <c r="C6" s="4">
        <v>12134463.26</v>
      </c>
      <c r="D6" s="26">
        <v>0.25729999999999997</v>
      </c>
      <c r="E6" s="4">
        <v>3121669.72</v>
      </c>
      <c r="F6" s="4">
        <v>141778510.9135721</v>
      </c>
      <c r="G6" s="4">
        <v>147667650.602025</v>
      </c>
      <c r="H6" s="6">
        <v>-3.9900000000000005E-2</v>
      </c>
      <c r="I6" s="4">
        <v>12030812.34663837</v>
      </c>
      <c r="J6" s="4">
        <v>12036725.29404792</v>
      </c>
      <c r="K6" s="6">
        <v>-5.0000000000000001E-4</v>
      </c>
    </row>
    <row r="7" spans="1:11" x14ac:dyDescent="0.3">
      <c r="A7" t="s">
        <v>186</v>
      </c>
      <c r="B7" s="25">
        <v>45808</v>
      </c>
      <c r="C7" s="4">
        <v>12007008.890000001</v>
      </c>
      <c r="D7" s="26">
        <v>0.25140000000000001</v>
      </c>
      <c r="E7" s="4">
        <v>3018453.38</v>
      </c>
      <c r="F7" s="4">
        <v>142153505.62056071</v>
      </c>
      <c r="G7" s="4">
        <v>146708433.20884529</v>
      </c>
      <c r="H7" s="6">
        <v>-3.1E-2</v>
      </c>
      <c r="I7" s="4">
        <v>12030313.186572131</v>
      </c>
      <c r="J7" s="4">
        <v>12274137.01763718</v>
      </c>
      <c r="K7" s="6">
        <v>-1.9900000000000001E-2</v>
      </c>
    </row>
    <row r="8" spans="1:11" x14ac:dyDescent="0.3">
      <c r="A8" t="s">
        <v>186</v>
      </c>
      <c r="B8" s="25">
        <v>45838</v>
      </c>
      <c r="C8" s="4">
        <v>11903993.119999999</v>
      </c>
      <c r="D8" s="26">
        <v>0.24660000000000001</v>
      </c>
      <c r="E8" s="4">
        <v>2936041.79</v>
      </c>
      <c r="F8" s="4">
        <v>142503098.9516322</v>
      </c>
      <c r="G8" s="4">
        <v>145656429.04443529</v>
      </c>
      <c r="H8" s="6">
        <v>-2.1600000000000001E-2</v>
      </c>
      <c r="I8" s="4">
        <v>12015155.086493591</v>
      </c>
      <c r="J8" s="4">
        <v>11969486.362834319</v>
      </c>
      <c r="K8" s="6">
        <v>3.8E-3</v>
      </c>
    </row>
    <row r="9" spans="1:11" x14ac:dyDescent="0.3">
      <c r="A9" t="s">
        <v>186</v>
      </c>
      <c r="B9" s="25">
        <v>45869</v>
      </c>
      <c r="C9" s="4">
        <v>11403421.630000001</v>
      </c>
      <c r="D9" s="26">
        <v>0.23580000000000001</v>
      </c>
      <c r="E9" s="4">
        <v>2688835.11</v>
      </c>
      <c r="F9" s="4">
        <v>142863127.7156778</v>
      </c>
      <c r="G9" s="4">
        <v>144082219.3453359</v>
      </c>
      <c r="H9" s="6">
        <v>-8.5000000000000006E-3</v>
      </c>
      <c r="I9" s="4">
        <v>11771474.545806481</v>
      </c>
      <c r="J9" s="4">
        <v>12030812.34663837</v>
      </c>
      <c r="K9" s="6">
        <v>-2.1600000000000001E-2</v>
      </c>
    </row>
    <row r="10" spans="1:11" x14ac:dyDescent="0.3">
      <c r="A10" t="s">
        <v>186</v>
      </c>
      <c r="B10" s="25">
        <v>45900</v>
      </c>
      <c r="C10" s="4">
        <v>11621534.630000001</v>
      </c>
      <c r="D10" s="26">
        <v>0.24079999999999999</v>
      </c>
      <c r="E10" s="4">
        <v>2798908.57</v>
      </c>
      <c r="F10" s="4">
        <v>143183959.65503591</v>
      </c>
      <c r="G10" s="4">
        <v>142787084.1530863</v>
      </c>
      <c r="H10" s="6">
        <v>2.8000000000000004E-3</v>
      </c>
      <c r="I10" s="4">
        <v>11642983.127580769</v>
      </c>
      <c r="J10" s="4">
        <v>12030313.186572131</v>
      </c>
      <c r="K10" s="6">
        <v>-3.2199999999999999E-2</v>
      </c>
    </row>
    <row r="11" spans="1:11" x14ac:dyDescent="0.3">
      <c r="A11" t="s">
        <v>186</v>
      </c>
      <c r="B11" s="25">
        <v>45930</v>
      </c>
      <c r="C11" s="4">
        <v>12474628.289999999</v>
      </c>
      <c r="D11" s="26">
        <v>0.2432</v>
      </c>
      <c r="E11" s="4">
        <v>3033714.05</v>
      </c>
      <c r="F11" s="4">
        <v>143437446.9618797</v>
      </c>
      <c r="G11" s="4">
        <v>142420760.32560441</v>
      </c>
      <c r="H11" s="6">
        <v>7.0999999999999995E-3</v>
      </c>
      <c r="I11" s="4">
        <v>11833194.852498859</v>
      </c>
      <c r="J11" s="4">
        <v>12015155.086493591</v>
      </c>
      <c r="K11" s="6">
        <v>-1.5100000000000001E-2</v>
      </c>
    </row>
    <row r="12" spans="1:11" x14ac:dyDescent="0.3">
      <c r="A12" t="s">
        <v>186</v>
      </c>
      <c r="B12" s="25">
        <v>45961</v>
      </c>
      <c r="C12" s="4">
        <v>12180509</v>
      </c>
      <c r="D12" s="26">
        <v>0.24460000000000001</v>
      </c>
      <c r="E12" s="4">
        <v>2979278.08</v>
      </c>
      <c r="F12" s="4">
        <v>143793708.4840295</v>
      </c>
      <c r="G12" s="4">
        <v>141668511.85061461</v>
      </c>
      <c r="H12" s="6">
        <v>1.4999999999999999E-2</v>
      </c>
      <c r="I12" s="4">
        <v>12092223.974850411</v>
      </c>
      <c r="J12" s="4">
        <v>11771474.545806481</v>
      </c>
      <c r="K12" s="6">
        <v>2.7200000000000002E-2</v>
      </c>
    </row>
    <row r="13" spans="1:11" x14ac:dyDescent="0.3">
      <c r="A13" t="s">
        <v>186</v>
      </c>
      <c r="B13" s="25">
        <v>45991</v>
      </c>
      <c r="C13" s="4">
        <v>11502562.710000001</v>
      </c>
      <c r="D13" s="26">
        <v>0.2369</v>
      </c>
      <c r="E13" s="4">
        <v>2724786.59</v>
      </c>
      <c r="F13" s="4">
        <v>144000000</v>
      </c>
      <c r="G13" s="4">
        <v>140436506.11302501</v>
      </c>
      <c r="H13" s="6">
        <v>2.5399999999999999E-2</v>
      </c>
      <c r="I13" s="4">
        <v>12052566.66820992</v>
      </c>
      <c r="J13" s="4">
        <v>11642983.127580769</v>
      </c>
      <c r="K13" s="6">
        <v>3.5200000000000002E-2</v>
      </c>
    </row>
    <row r="14" spans="1:11" x14ac:dyDescent="0.3">
      <c r="A14" t="s">
        <v>192</v>
      </c>
      <c r="B14" s="25">
        <v>45657</v>
      </c>
      <c r="C14" s="4">
        <v>4357911.38</v>
      </c>
      <c r="D14" s="26">
        <v>0.20619999999999999</v>
      </c>
      <c r="E14" s="4">
        <v>898731.01</v>
      </c>
      <c r="F14" s="4">
        <v>47885722.742516637</v>
      </c>
      <c r="G14" s="4">
        <v>51457079.223136254</v>
      </c>
      <c r="H14" s="6">
        <v>-6.9400000000000003E-2</v>
      </c>
      <c r="I14" s="4">
        <v>4209986.6489273058</v>
      </c>
      <c r="J14" s="4">
        <v>3858928.4450810519</v>
      </c>
      <c r="K14" s="6">
        <v>9.0999999999999998E-2</v>
      </c>
    </row>
    <row r="15" spans="1:11" x14ac:dyDescent="0.3">
      <c r="A15" t="s">
        <v>192</v>
      </c>
      <c r="B15" s="25">
        <v>45688</v>
      </c>
      <c r="C15" s="4">
        <v>3926779.9</v>
      </c>
      <c r="D15" s="26">
        <v>0.24610000000000001</v>
      </c>
      <c r="E15" s="4">
        <v>966531.86</v>
      </c>
      <c r="F15" s="4">
        <v>47998384.541543253</v>
      </c>
      <c r="G15" s="4">
        <v>50966982.662785798</v>
      </c>
      <c r="H15" s="6">
        <v>-5.8200000000000002E-2</v>
      </c>
      <c r="I15" s="4">
        <v>4095514.8102231659</v>
      </c>
      <c r="J15" s="4">
        <v>4043890.122823799</v>
      </c>
      <c r="K15" s="6">
        <v>1.2800000000000001E-2</v>
      </c>
    </row>
    <row r="16" spans="1:11" x14ac:dyDescent="0.3">
      <c r="A16" t="s">
        <v>192</v>
      </c>
      <c r="B16" s="25">
        <v>45716</v>
      </c>
      <c r="C16" s="4">
        <v>4114194.73</v>
      </c>
      <c r="D16" s="26">
        <v>0.21870000000000001</v>
      </c>
      <c r="E16" s="4">
        <v>899686.01</v>
      </c>
      <c r="F16" s="4">
        <v>48040741.274748199</v>
      </c>
      <c r="G16" s="4">
        <v>50762552.669162348</v>
      </c>
      <c r="H16" s="6">
        <v>-5.3600000000000002E-2</v>
      </c>
      <c r="I16" s="4">
        <v>4132962.0053434349</v>
      </c>
      <c r="J16" s="4">
        <v>4194588.3269713856</v>
      </c>
      <c r="K16" s="6">
        <v>-1.47E-2</v>
      </c>
    </row>
    <row r="17" spans="1:11" x14ac:dyDescent="0.3">
      <c r="A17" t="s">
        <v>192</v>
      </c>
      <c r="B17" s="25">
        <v>45747</v>
      </c>
      <c r="C17" s="4">
        <v>4168228.63</v>
      </c>
      <c r="D17" s="26">
        <v>0.20830000000000001</v>
      </c>
      <c r="E17" s="4">
        <v>868356.94</v>
      </c>
      <c r="F17" s="4">
        <v>48119459.187482052</v>
      </c>
      <c r="G17" s="4">
        <v>50558323.766330101</v>
      </c>
      <c r="H17" s="6">
        <v>-4.82E-2</v>
      </c>
      <c r="I17" s="4">
        <v>4069734.4197028889</v>
      </c>
      <c r="J17" s="4">
        <v>4209986.6489273058</v>
      </c>
      <c r="K17" s="6">
        <v>-3.3300000000000003E-2</v>
      </c>
    </row>
    <row r="18" spans="1:11" x14ac:dyDescent="0.3">
      <c r="A18" t="s">
        <v>192</v>
      </c>
      <c r="B18" s="25">
        <v>45777</v>
      </c>
      <c r="C18" s="4">
        <v>4039257.94</v>
      </c>
      <c r="D18" s="26">
        <v>0.2276</v>
      </c>
      <c r="E18" s="4">
        <v>919142.12</v>
      </c>
      <c r="F18" s="4">
        <v>48155198.82354524</v>
      </c>
      <c r="G18" s="4">
        <v>50258253.251413569</v>
      </c>
      <c r="H18" s="6">
        <v>-4.1799999999999997E-2</v>
      </c>
      <c r="I18" s="4">
        <v>4107227.0980488779</v>
      </c>
      <c r="J18" s="4">
        <v>4095514.8102231659</v>
      </c>
      <c r="K18" s="6">
        <v>2.8999999999999998E-3</v>
      </c>
    </row>
    <row r="19" spans="1:11" x14ac:dyDescent="0.3">
      <c r="A19" t="s">
        <v>192</v>
      </c>
      <c r="B19" s="25">
        <v>45808</v>
      </c>
      <c r="C19" s="4">
        <v>4096439.68</v>
      </c>
      <c r="D19" s="26">
        <v>0.224</v>
      </c>
      <c r="E19" s="4">
        <v>917539.3</v>
      </c>
      <c r="F19" s="4">
        <v>48308514.079469703</v>
      </c>
      <c r="G19" s="4">
        <v>49921839.379437223</v>
      </c>
      <c r="H19" s="6">
        <v>-3.2300000000000002E-2</v>
      </c>
      <c r="I19" s="4">
        <v>4101308.7488800762</v>
      </c>
      <c r="J19" s="4">
        <v>4132962.0053434349</v>
      </c>
      <c r="K19" s="6">
        <v>-7.7000000000000002E-3</v>
      </c>
    </row>
    <row r="20" spans="1:11" x14ac:dyDescent="0.3">
      <c r="A20" t="s">
        <v>192</v>
      </c>
      <c r="B20" s="25">
        <v>45838</v>
      </c>
      <c r="C20" s="4">
        <v>3901875.64</v>
      </c>
      <c r="D20" s="26">
        <v>0.2306</v>
      </c>
      <c r="E20" s="4">
        <v>899636.25</v>
      </c>
      <c r="F20" s="4">
        <v>48453521.801471472</v>
      </c>
      <c r="G20" s="4">
        <v>49386010.634286143</v>
      </c>
      <c r="H20" s="6">
        <v>-1.89E-2</v>
      </c>
      <c r="I20" s="4">
        <v>4012524.4201125782</v>
      </c>
      <c r="J20" s="4">
        <v>4069734.4197028889</v>
      </c>
      <c r="K20" s="6">
        <v>-1.41E-2</v>
      </c>
    </row>
    <row r="21" spans="1:11" x14ac:dyDescent="0.3">
      <c r="A21" t="s">
        <v>192</v>
      </c>
      <c r="B21" s="25">
        <v>45869</v>
      </c>
      <c r="C21" s="4">
        <v>3838054.52</v>
      </c>
      <c r="D21" s="26">
        <v>0.2293</v>
      </c>
      <c r="E21" s="4">
        <v>880098.08</v>
      </c>
      <c r="F21" s="4">
        <v>48576265.933916077</v>
      </c>
      <c r="G21" s="4">
        <v>48844953.656702317</v>
      </c>
      <c r="H21" s="6">
        <v>-5.5000000000000005E-3</v>
      </c>
      <c r="I21" s="4">
        <v>3945456.6135428492</v>
      </c>
      <c r="J21" s="4">
        <v>4107227.0980488779</v>
      </c>
      <c r="K21" s="6">
        <v>-3.9399999999999998E-2</v>
      </c>
    </row>
    <row r="22" spans="1:11" x14ac:dyDescent="0.3">
      <c r="A22" t="s">
        <v>192</v>
      </c>
      <c r="B22" s="25">
        <v>45900</v>
      </c>
      <c r="C22" s="4">
        <v>3653907.19</v>
      </c>
      <c r="D22" s="26">
        <v>0.2278</v>
      </c>
      <c r="E22" s="4">
        <v>832282.71</v>
      </c>
      <c r="F22" s="4">
        <v>48680414.591417886</v>
      </c>
      <c r="G22" s="4">
        <v>48129770.679688796</v>
      </c>
      <c r="H22" s="6">
        <v>1.1399999999999999E-2</v>
      </c>
      <c r="I22" s="4">
        <v>3797945.782611066</v>
      </c>
      <c r="J22" s="4">
        <v>4101308.7488800762</v>
      </c>
      <c r="K22" s="6">
        <v>-7.400000000000001E-2</v>
      </c>
    </row>
    <row r="23" spans="1:11" x14ac:dyDescent="0.3">
      <c r="A23" t="s">
        <v>192</v>
      </c>
      <c r="B23" s="25">
        <v>45930</v>
      </c>
      <c r="C23" s="4">
        <v>4385536.5599999996</v>
      </c>
      <c r="D23" s="26">
        <v>0.2437</v>
      </c>
      <c r="E23" s="4">
        <v>1068663.44</v>
      </c>
      <c r="F23" s="4">
        <v>48754234.730880961</v>
      </c>
      <c r="G23" s="4">
        <v>48156962.34130685</v>
      </c>
      <c r="H23" s="6">
        <v>1.24E-2</v>
      </c>
      <c r="I23" s="4">
        <v>3959166.0882175472</v>
      </c>
      <c r="J23" s="4">
        <v>4012524.4201125782</v>
      </c>
      <c r="K23" s="6">
        <v>-1.3300000000000001E-2</v>
      </c>
    </row>
    <row r="24" spans="1:11" x14ac:dyDescent="0.3">
      <c r="A24" t="s">
        <v>192</v>
      </c>
      <c r="B24" s="25">
        <v>45961</v>
      </c>
      <c r="C24" s="4">
        <v>4373419.3</v>
      </c>
      <c r="D24" s="26">
        <v>0.21210000000000001</v>
      </c>
      <c r="E24" s="4">
        <v>927399.49</v>
      </c>
      <c r="F24" s="4">
        <v>48857458.612383083</v>
      </c>
      <c r="G24" s="4">
        <v>48125906.299912483</v>
      </c>
      <c r="H24" s="6">
        <v>1.52E-2</v>
      </c>
      <c r="I24" s="4">
        <v>4137621.015646134</v>
      </c>
      <c r="J24" s="4">
        <v>3945456.6135428492</v>
      </c>
      <c r="K24" s="6">
        <v>4.87E-2</v>
      </c>
    </row>
    <row r="25" spans="1:11" x14ac:dyDescent="0.3">
      <c r="A25" t="s">
        <v>192</v>
      </c>
      <c r="B25" s="25">
        <v>45991</v>
      </c>
      <c r="C25" s="4">
        <v>4141552.7</v>
      </c>
      <c r="D25" s="26">
        <v>0.2198</v>
      </c>
      <c r="E25" s="4">
        <v>910220.61</v>
      </c>
      <c r="F25" s="4">
        <v>48997158.165637448</v>
      </c>
      <c r="G25" s="4">
        <v>47829932.187892221</v>
      </c>
      <c r="H25" s="6">
        <v>2.4399999999999998E-2</v>
      </c>
      <c r="I25" s="4">
        <v>4300169.5183779076</v>
      </c>
      <c r="J25" s="4">
        <v>3797945.782611066</v>
      </c>
      <c r="K25" s="6">
        <v>0.13220000000000001</v>
      </c>
    </row>
    <row r="26" spans="1:11" x14ac:dyDescent="0.3">
      <c r="A26" t="s">
        <v>191</v>
      </c>
      <c r="B26" s="25">
        <v>45657</v>
      </c>
      <c r="C26" s="4">
        <v>3293324.24</v>
      </c>
      <c r="D26" s="26">
        <v>0.17449999999999999</v>
      </c>
      <c r="E26" s="4">
        <v>574605.67000000004</v>
      </c>
      <c r="F26" s="4">
        <v>37220708.296033792</v>
      </c>
      <c r="G26" s="4">
        <v>39598029.43630328</v>
      </c>
      <c r="H26" s="6">
        <v>-0.06</v>
      </c>
      <c r="I26" s="4">
        <v>3100200.2971278802</v>
      </c>
      <c r="J26" s="4">
        <v>3109487.997501424</v>
      </c>
      <c r="K26" s="6">
        <v>-3.0000000000000001E-3</v>
      </c>
    </row>
    <row r="27" spans="1:11" x14ac:dyDescent="0.3">
      <c r="A27" t="s">
        <v>191</v>
      </c>
      <c r="B27" s="25">
        <v>45688</v>
      </c>
      <c r="C27" s="4">
        <v>3235877.12</v>
      </c>
      <c r="D27" s="26">
        <v>0.15440000000000001</v>
      </c>
      <c r="E27" s="4">
        <v>499714.81</v>
      </c>
      <c r="F27" s="4">
        <v>37327035.519157887</v>
      </c>
      <c r="G27" s="4">
        <v>39429838.443382882</v>
      </c>
      <c r="H27" s="6">
        <v>-5.33E-2</v>
      </c>
      <c r="I27" s="4">
        <v>3196167.30617239</v>
      </c>
      <c r="J27" s="4">
        <v>3075532.835076367</v>
      </c>
      <c r="K27" s="6">
        <v>3.9199999999999999E-2</v>
      </c>
    </row>
    <row r="28" spans="1:11" x14ac:dyDescent="0.3">
      <c r="A28" t="s">
        <v>191</v>
      </c>
      <c r="B28" s="25">
        <v>45716</v>
      </c>
      <c r="C28" s="4">
        <v>3387505.59</v>
      </c>
      <c r="D28" s="26">
        <v>0.15690000000000001</v>
      </c>
      <c r="E28" s="4">
        <v>531606.1</v>
      </c>
      <c r="F28" s="4">
        <v>37423728.281571142</v>
      </c>
      <c r="G28" s="4">
        <v>39439611.1810764</v>
      </c>
      <c r="H28" s="6">
        <v>-5.1100000000000007E-2</v>
      </c>
      <c r="I28" s="4">
        <v>3305568.9817590532</v>
      </c>
      <c r="J28" s="4">
        <v>3056982.9863249031</v>
      </c>
      <c r="K28" s="6">
        <v>8.1300000000000011E-2</v>
      </c>
    </row>
    <row r="29" spans="1:11" x14ac:dyDescent="0.3">
      <c r="A29" t="s">
        <v>191</v>
      </c>
      <c r="B29" s="25">
        <v>45747</v>
      </c>
      <c r="C29" s="4">
        <v>3148860.84</v>
      </c>
      <c r="D29" s="26">
        <v>0.16039999999999999</v>
      </c>
      <c r="E29" s="4">
        <v>504929.18</v>
      </c>
      <c r="F29" s="4">
        <v>37443127.041734166</v>
      </c>
      <c r="G29" s="4">
        <v>39259254.727774389</v>
      </c>
      <c r="H29" s="6">
        <v>-4.6300000000000001E-2</v>
      </c>
      <c r="I29" s="4">
        <v>3257414.515413539</v>
      </c>
      <c r="J29" s="4">
        <v>3100200.2971278802</v>
      </c>
      <c r="K29" s="6">
        <v>5.0700000000000002E-2</v>
      </c>
    </row>
    <row r="30" spans="1:11" x14ac:dyDescent="0.3">
      <c r="A30" t="s">
        <v>191</v>
      </c>
      <c r="B30" s="25">
        <v>45777</v>
      </c>
      <c r="C30" s="4">
        <v>3194908.23</v>
      </c>
      <c r="D30" s="26">
        <v>0.159</v>
      </c>
      <c r="E30" s="4">
        <v>507952.4</v>
      </c>
      <c r="F30" s="4">
        <v>37499112.829275742</v>
      </c>
      <c r="G30" s="4">
        <v>39090612.510430299</v>
      </c>
      <c r="H30" s="6">
        <v>-4.07E-2</v>
      </c>
      <c r="I30" s="4">
        <v>3243758.2209021342</v>
      </c>
      <c r="J30" s="4">
        <v>3196167.30617239</v>
      </c>
      <c r="K30" s="6">
        <v>1.49E-2</v>
      </c>
    </row>
    <row r="31" spans="1:11" x14ac:dyDescent="0.3">
      <c r="A31" t="s">
        <v>191</v>
      </c>
      <c r="B31" s="25">
        <v>45808</v>
      </c>
      <c r="C31" s="4">
        <v>3032411.99</v>
      </c>
      <c r="D31" s="26">
        <v>0.1565</v>
      </c>
      <c r="E31" s="4">
        <v>474597.18</v>
      </c>
      <c r="F31" s="4">
        <v>37560838.817669682</v>
      </c>
      <c r="G31" s="4">
        <v>38745807.612608656</v>
      </c>
      <c r="H31" s="6">
        <v>-3.0600000000000002E-2</v>
      </c>
      <c r="I31" s="4">
        <v>3125393.6892103679</v>
      </c>
      <c r="J31" s="4">
        <v>3305568.9817590532</v>
      </c>
      <c r="K31" s="6">
        <v>-5.45E-2</v>
      </c>
    </row>
    <row r="32" spans="1:11" x14ac:dyDescent="0.3">
      <c r="A32" t="s">
        <v>191</v>
      </c>
      <c r="B32" s="25">
        <v>45838</v>
      </c>
      <c r="C32" s="4">
        <v>2969413.46</v>
      </c>
      <c r="D32" s="26">
        <v>0.1512</v>
      </c>
      <c r="E32" s="4">
        <v>448975.55</v>
      </c>
      <c r="F32" s="4">
        <v>37598042.116996586</v>
      </c>
      <c r="G32" s="4">
        <v>38343358.114227623</v>
      </c>
      <c r="H32" s="6">
        <v>-1.9400000000000001E-2</v>
      </c>
      <c r="I32" s="4">
        <v>3065577.8956226832</v>
      </c>
      <c r="J32" s="4">
        <v>3257414.515413539</v>
      </c>
      <c r="K32" s="6">
        <v>-5.8899999999999994E-2</v>
      </c>
    </row>
    <row r="33" spans="1:11" x14ac:dyDescent="0.3">
      <c r="A33" t="s">
        <v>191</v>
      </c>
      <c r="B33" s="25">
        <v>45869</v>
      </c>
      <c r="C33" s="4">
        <v>3130226.65</v>
      </c>
      <c r="D33" s="26">
        <v>0.1573</v>
      </c>
      <c r="E33" s="4">
        <v>492264.66</v>
      </c>
      <c r="F33" s="4">
        <v>37678427.192796767</v>
      </c>
      <c r="G33" s="4">
        <v>38055663.103508547</v>
      </c>
      <c r="H33" s="6">
        <v>-9.8999999999999991E-3</v>
      </c>
      <c r="I33" s="4">
        <v>3044017.3687813641</v>
      </c>
      <c r="J33" s="4">
        <v>3243758.2209021342</v>
      </c>
      <c r="K33" s="6">
        <v>-6.1600000000000002E-2</v>
      </c>
    </row>
    <row r="34" spans="1:11" x14ac:dyDescent="0.3">
      <c r="A34" t="s">
        <v>191</v>
      </c>
      <c r="B34" s="25">
        <v>45900</v>
      </c>
      <c r="C34" s="4">
        <v>3196466.79</v>
      </c>
      <c r="D34" s="26">
        <v>0.1351</v>
      </c>
      <c r="E34" s="4">
        <v>431688.39</v>
      </c>
      <c r="F34" s="4">
        <v>37759943.872362547</v>
      </c>
      <c r="G34" s="4">
        <v>37835168.374081537</v>
      </c>
      <c r="H34" s="6">
        <v>-2E-3</v>
      </c>
      <c r="I34" s="4">
        <v>3098702.3001598618</v>
      </c>
      <c r="J34" s="4">
        <v>3125393.6892103679</v>
      </c>
      <c r="K34" s="6">
        <v>-8.5000000000000006E-3</v>
      </c>
    </row>
    <row r="35" spans="1:11" x14ac:dyDescent="0.3">
      <c r="A35" t="s">
        <v>191</v>
      </c>
      <c r="B35" s="25">
        <v>45930</v>
      </c>
      <c r="C35" s="4">
        <v>3224069.42</v>
      </c>
      <c r="D35" s="26">
        <v>0.14910000000000001</v>
      </c>
      <c r="E35" s="4">
        <v>480812.89</v>
      </c>
      <c r="F35" s="4">
        <v>37820340.984945633</v>
      </c>
      <c r="G35" s="4">
        <v>37688953.679513156</v>
      </c>
      <c r="H35" s="6">
        <v>3.4999999999999996E-3</v>
      </c>
      <c r="I35" s="4">
        <v>3183587.6201511058</v>
      </c>
      <c r="J35" s="4">
        <v>3065577.8956226832</v>
      </c>
      <c r="K35" s="6">
        <v>3.85E-2</v>
      </c>
    </row>
    <row r="36" spans="1:11" x14ac:dyDescent="0.3">
      <c r="A36" t="s">
        <v>191</v>
      </c>
      <c r="B36" s="25">
        <v>45961</v>
      </c>
      <c r="C36" s="4">
        <v>3033891.84</v>
      </c>
      <c r="D36" s="26">
        <v>0.16209999999999999</v>
      </c>
      <c r="E36" s="4">
        <v>491938.53</v>
      </c>
      <c r="F36" s="4">
        <v>37906256.732769273</v>
      </c>
      <c r="G36" s="4">
        <v>37357517.215498693</v>
      </c>
      <c r="H36" s="6">
        <v>1.47E-2</v>
      </c>
      <c r="I36" s="4">
        <v>3151476.0150672011</v>
      </c>
      <c r="J36" s="4">
        <v>3044017.3687813641</v>
      </c>
      <c r="K36" s="6">
        <v>3.5299999999999998E-2</v>
      </c>
    </row>
    <row r="37" spans="1:11" x14ac:dyDescent="0.3">
      <c r="A37" t="s">
        <v>191</v>
      </c>
      <c r="B37" s="25">
        <v>45991</v>
      </c>
      <c r="C37" s="4">
        <v>3091735.81</v>
      </c>
      <c r="D37" s="26">
        <v>0.14549999999999999</v>
      </c>
      <c r="E37" s="4">
        <v>449994.9</v>
      </c>
      <c r="F37" s="4">
        <v>37938691.982560948</v>
      </c>
      <c r="G37" s="4">
        <v>37168911.028598674</v>
      </c>
      <c r="H37" s="6">
        <v>2.07E-2</v>
      </c>
      <c r="I37" s="4">
        <v>3116565.6897243671</v>
      </c>
      <c r="J37" s="4">
        <v>3098702.3001598618</v>
      </c>
      <c r="K37" s="6">
        <v>5.7999999999999996E-3</v>
      </c>
    </row>
    <row r="38" spans="1:11" x14ac:dyDescent="0.3">
      <c r="A38" t="s">
        <v>193</v>
      </c>
      <c r="B38" s="25">
        <v>45657</v>
      </c>
      <c r="C38" s="4">
        <v>5212183.76</v>
      </c>
      <c r="D38" s="26">
        <v>0.316</v>
      </c>
      <c r="E38" s="4">
        <v>1647176.43</v>
      </c>
      <c r="F38" s="4">
        <v>55630835.711829193</v>
      </c>
      <c r="G38" s="4">
        <v>59777214.621917263</v>
      </c>
      <c r="H38" s="6">
        <v>-6.9400000000000003E-2</v>
      </c>
      <c r="I38" s="4">
        <v>4684459.0727445958</v>
      </c>
      <c r="J38" s="4">
        <v>4553329.0731672449</v>
      </c>
      <c r="K38" s="6">
        <v>2.8799999999999999E-2</v>
      </c>
    </row>
    <row r="39" spans="1:11" x14ac:dyDescent="0.3">
      <c r="A39" t="s">
        <v>193</v>
      </c>
      <c r="B39" s="25">
        <v>45688</v>
      </c>
      <c r="C39" s="4">
        <v>4787828.28</v>
      </c>
      <c r="D39" s="26">
        <v>0.32569999999999999</v>
      </c>
      <c r="E39" s="4">
        <v>1559325.63</v>
      </c>
      <c r="F39" s="4">
        <v>55693662.480862603</v>
      </c>
      <c r="G39" s="4">
        <v>59563047.947370604</v>
      </c>
      <c r="H39" s="6">
        <v>-6.5000000000000002E-2</v>
      </c>
      <c r="I39" s="4">
        <v>4745043.1776523599</v>
      </c>
      <c r="J39" s="4">
        <v>4662607.4274996705</v>
      </c>
      <c r="K39" s="6">
        <v>1.77E-2</v>
      </c>
    </row>
    <row r="40" spans="1:11" x14ac:dyDescent="0.3">
      <c r="A40" t="s">
        <v>193</v>
      </c>
      <c r="B40" s="25">
        <v>45716</v>
      </c>
      <c r="C40" s="4">
        <v>4506806.05</v>
      </c>
      <c r="D40" s="26">
        <v>0.31109999999999999</v>
      </c>
      <c r="E40" s="4">
        <v>1401877.79</v>
      </c>
      <c r="F40" s="4">
        <v>55867001.175102912</v>
      </c>
      <c r="G40" s="4">
        <v>58930131.031749643</v>
      </c>
      <c r="H40" s="6">
        <v>-5.2000000000000005E-2</v>
      </c>
      <c r="I40" s="4">
        <v>4835606.0305346921</v>
      </c>
      <c r="J40" s="4">
        <v>4528981.9065922657</v>
      </c>
      <c r="K40" s="6">
        <v>6.7699999999999996E-2</v>
      </c>
    </row>
    <row r="41" spans="1:11" x14ac:dyDescent="0.3">
      <c r="A41" t="s">
        <v>193</v>
      </c>
      <c r="B41" s="25">
        <v>45747</v>
      </c>
      <c r="C41" s="4">
        <v>4632377.95</v>
      </c>
      <c r="D41" s="26">
        <v>0.33410000000000001</v>
      </c>
      <c r="E41" s="4">
        <v>1547686.42</v>
      </c>
      <c r="F41" s="4">
        <v>56045169.557731837</v>
      </c>
      <c r="G41" s="4">
        <v>58445694.380192123</v>
      </c>
      <c r="H41" s="6">
        <v>-4.1100000000000005E-2</v>
      </c>
      <c r="I41" s="4">
        <v>4642337.4277178925</v>
      </c>
      <c r="J41" s="4">
        <v>4684459.0727445958</v>
      </c>
      <c r="K41" s="6">
        <v>-9.0000000000000011E-3</v>
      </c>
    </row>
    <row r="42" spans="1:11" x14ac:dyDescent="0.3">
      <c r="A42" t="s">
        <v>193</v>
      </c>
      <c r="B42" s="25">
        <v>45777</v>
      </c>
      <c r="C42" s="4">
        <v>4900297.08</v>
      </c>
      <c r="D42" s="26">
        <v>0.3458</v>
      </c>
      <c r="E42" s="4">
        <v>1694575.2</v>
      </c>
      <c r="F42" s="4">
        <v>56124199.260751173</v>
      </c>
      <c r="G42" s="4">
        <v>58318784.840181097</v>
      </c>
      <c r="H42" s="6">
        <v>-3.7599999999999995E-2</v>
      </c>
      <c r="I42" s="4">
        <v>4679827.0276873615</v>
      </c>
      <c r="J42" s="4">
        <v>4745043.1776523599</v>
      </c>
      <c r="K42" s="6">
        <v>-1.37E-2</v>
      </c>
    </row>
    <row r="43" spans="1:11" x14ac:dyDescent="0.3">
      <c r="A43" t="s">
        <v>193</v>
      </c>
      <c r="B43" s="25">
        <v>45808</v>
      </c>
      <c r="C43" s="4">
        <v>4878157.21</v>
      </c>
      <c r="D43" s="26">
        <v>0.33339999999999997</v>
      </c>
      <c r="E43" s="4">
        <v>1626316.91</v>
      </c>
      <c r="F43" s="4">
        <v>56284152.723421358</v>
      </c>
      <c r="G43" s="4">
        <v>58040786.216799468</v>
      </c>
      <c r="H43" s="6">
        <v>-3.0299999999999997E-2</v>
      </c>
      <c r="I43" s="4">
        <v>4803610.7484816797</v>
      </c>
      <c r="J43" s="4">
        <v>4835606.0305346921</v>
      </c>
      <c r="K43" s="6">
        <v>-6.6E-3</v>
      </c>
    </row>
    <row r="44" spans="1:11" x14ac:dyDescent="0.3">
      <c r="A44" t="s">
        <v>193</v>
      </c>
      <c r="B44" s="25">
        <v>45838</v>
      </c>
      <c r="C44" s="4">
        <v>5032704.0199999996</v>
      </c>
      <c r="D44" s="26">
        <v>0.31540000000000001</v>
      </c>
      <c r="E44" s="4">
        <v>1587429.99</v>
      </c>
      <c r="F44" s="4">
        <v>56451535.033164188</v>
      </c>
      <c r="G44" s="4">
        <v>57927060.295921497</v>
      </c>
      <c r="H44" s="6">
        <v>-2.5499999999999998E-2</v>
      </c>
      <c r="I44" s="4">
        <v>4937052.770758328</v>
      </c>
      <c r="J44" s="4">
        <v>4642337.4277178925</v>
      </c>
      <c r="K44" s="6">
        <v>6.3500000000000001E-2</v>
      </c>
    </row>
    <row r="45" spans="1:11" x14ac:dyDescent="0.3">
      <c r="A45" t="s">
        <v>193</v>
      </c>
      <c r="B45" s="25">
        <v>45869</v>
      </c>
      <c r="C45" s="4">
        <v>4435140.46</v>
      </c>
      <c r="D45" s="26">
        <v>0.29680000000000001</v>
      </c>
      <c r="E45" s="4">
        <v>1316472.3700000001</v>
      </c>
      <c r="F45" s="4">
        <v>56608434.588964961</v>
      </c>
      <c r="G45" s="4">
        <v>57181602.585125066</v>
      </c>
      <c r="H45" s="6">
        <v>-0.01</v>
      </c>
      <c r="I45" s="4">
        <v>4782000.5634822631</v>
      </c>
      <c r="J45" s="4">
        <v>4679827.0276873615</v>
      </c>
      <c r="K45" s="6">
        <v>2.18E-2</v>
      </c>
    </row>
    <row r="46" spans="1:11" x14ac:dyDescent="0.3">
      <c r="A46" t="s">
        <v>193</v>
      </c>
      <c r="B46" s="25">
        <v>45900</v>
      </c>
      <c r="C46" s="4">
        <v>4771160.66</v>
      </c>
      <c r="D46" s="26">
        <v>0.32169999999999999</v>
      </c>
      <c r="E46" s="4">
        <v>1534937.47</v>
      </c>
      <c r="F46" s="4">
        <v>56743601.191255428</v>
      </c>
      <c r="G46" s="4">
        <v>56822145.099315949</v>
      </c>
      <c r="H46" s="6">
        <v>-1.4000000000000002E-3</v>
      </c>
      <c r="I46" s="4">
        <v>4746335.0448098388</v>
      </c>
      <c r="J46" s="4">
        <v>4803610.7484816797</v>
      </c>
      <c r="K46" s="6">
        <v>-1.1899999999999999E-2</v>
      </c>
    </row>
    <row r="47" spans="1:11" x14ac:dyDescent="0.3">
      <c r="A47" t="s">
        <v>193</v>
      </c>
      <c r="B47" s="25">
        <v>45930</v>
      </c>
      <c r="C47" s="4">
        <v>4865022.3099999996</v>
      </c>
      <c r="D47" s="26">
        <v>0.30509999999999998</v>
      </c>
      <c r="E47" s="4">
        <v>1484237.73</v>
      </c>
      <c r="F47" s="4">
        <v>56862871.246053077</v>
      </c>
      <c r="G47" s="4">
        <v>56574844.304784372</v>
      </c>
      <c r="H47" s="6">
        <v>5.1000000000000004E-3</v>
      </c>
      <c r="I47" s="4">
        <v>4690441.1441302095</v>
      </c>
      <c r="J47" s="4">
        <v>4937052.770758328</v>
      </c>
      <c r="K47" s="6">
        <v>-0.05</v>
      </c>
    </row>
    <row r="48" spans="1:11" x14ac:dyDescent="0.3">
      <c r="A48" t="s">
        <v>193</v>
      </c>
      <c r="B48" s="25">
        <v>45961</v>
      </c>
      <c r="C48" s="4">
        <v>4773197.8600000003</v>
      </c>
      <c r="D48" s="26">
        <v>0.32679999999999998</v>
      </c>
      <c r="E48" s="4">
        <v>1559940.07</v>
      </c>
      <c r="F48" s="4">
        <v>57029993.138877191</v>
      </c>
      <c r="G48" s="4">
        <v>56185088.335203446</v>
      </c>
      <c r="H48" s="6">
        <v>1.4999999999999999E-2</v>
      </c>
      <c r="I48" s="4">
        <v>4803126.9441370778</v>
      </c>
      <c r="J48" s="4">
        <v>4782000.5634822631</v>
      </c>
      <c r="K48" s="6">
        <v>4.4000000000000003E-3</v>
      </c>
    </row>
    <row r="49" spans="1:11" x14ac:dyDescent="0.3">
      <c r="A49" t="s">
        <v>193</v>
      </c>
      <c r="B49" s="25">
        <v>45991</v>
      </c>
      <c r="C49" s="4">
        <v>4269274.2</v>
      </c>
      <c r="D49" s="26">
        <v>0.3196</v>
      </c>
      <c r="E49" s="4">
        <v>1364571.08</v>
      </c>
      <c r="F49" s="4">
        <v>57064149.851801567</v>
      </c>
      <c r="G49" s="4">
        <v>55437662.896534108</v>
      </c>
      <c r="H49" s="6">
        <v>2.9300000000000003E-2</v>
      </c>
      <c r="I49" s="4">
        <v>4635831.460107646</v>
      </c>
      <c r="J49" s="4">
        <v>4746335.0448098388</v>
      </c>
      <c r="K49" s="6">
        <v>-2.3300000000000001E-2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8D88-F39B-4313-A729-E0A923827D7A}">
  <sheetPr>
    <tabColor theme="6" tint="0.39997558519241921"/>
  </sheetPr>
  <dimension ref="A1:H481"/>
  <sheetViews>
    <sheetView topLeftCell="A78" zoomScale="61" workbookViewId="0">
      <selection activeCell="D121" sqref="D112:D121"/>
    </sheetView>
  </sheetViews>
  <sheetFormatPr defaultRowHeight="14.4" x14ac:dyDescent="0.3"/>
  <cols>
    <col min="1" max="3" width="21.5546875" customWidth="1"/>
    <col min="4" max="5" width="15.6640625" style="4" customWidth="1"/>
    <col min="6" max="6" width="15.6640625" style="6" customWidth="1"/>
    <col min="7" max="7" width="15.6640625" style="4" customWidth="1"/>
    <col min="8" max="8" width="15.6640625" style="6" customWidth="1"/>
  </cols>
  <sheetData>
    <row r="1" spans="1:8" x14ac:dyDescent="0.3">
      <c r="A1" s="13" t="s">
        <v>22</v>
      </c>
      <c r="B1" s="13" t="s">
        <v>197</v>
      </c>
      <c r="C1" s="13" t="s">
        <v>333</v>
      </c>
      <c r="D1" s="21" t="s">
        <v>315</v>
      </c>
      <c r="E1" s="21" t="s">
        <v>337</v>
      </c>
      <c r="F1" s="22" t="s">
        <v>336</v>
      </c>
      <c r="G1" s="21" t="s">
        <v>335</v>
      </c>
      <c r="H1" s="22" t="s">
        <v>334</v>
      </c>
    </row>
    <row r="2" spans="1:8" x14ac:dyDescent="0.3">
      <c r="A2" t="s">
        <v>186</v>
      </c>
      <c r="B2" s="25">
        <v>45657</v>
      </c>
      <c r="C2" t="s">
        <v>324</v>
      </c>
      <c r="D2" s="4">
        <v>1393182.45</v>
      </c>
      <c r="E2" s="4">
        <v>1064325.98</v>
      </c>
      <c r="F2" s="6">
        <v>0.76400000000000001</v>
      </c>
      <c r="G2" s="4">
        <v>328856.48</v>
      </c>
      <c r="H2" s="6">
        <v>0.23599999999999999</v>
      </c>
    </row>
    <row r="3" spans="1:8" x14ac:dyDescent="0.3">
      <c r="A3" t="s">
        <v>186</v>
      </c>
      <c r="B3" s="25">
        <v>45657</v>
      </c>
      <c r="C3" t="s">
        <v>323</v>
      </c>
      <c r="D3" s="4">
        <v>2902225.99</v>
      </c>
      <c r="E3" s="4">
        <v>2237703.89</v>
      </c>
      <c r="F3" s="6">
        <v>0.77100000000000002</v>
      </c>
      <c r="G3" s="4">
        <v>664522.09</v>
      </c>
      <c r="H3" s="6">
        <v>0.22900000000000001</v>
      </c>
    </row>
    <row r="4" spans="1:8" x14ac:dyDescent="0.3">
      <c r="A4" t="s">
        <v>186</v>
      </c>
      <c r="B4" s="25">
        <v>45657</v>
      </c>
      <c r="C4" t="s">
        <v>322</v>
      </c>
      <c r="D4" s="4">
        <v>1401568.72</v>
      </c>
      <c r="E4" s="4">
        <v>1090706.42</v>
      </c>
      <c r="F4" s="6">
        <v>0.7782</v>
      </c>
      <c r="G4" s="4">
        <v>310862.3</v>
      </c>
      <c r="H4" s="6">
        <v>0.2218</v>
      </c>
    </row>
    <row r="5" spans="1:8" x14ac:dyDescent="0.3">
      <c r="A5" t="s">
        <v>186</v>
      </c>
      <c r="B5" s="25">
        <v>45657</v>
      </c>
      <c r="C5" t="s">
        <v>321</v>
      </c>
      <c r="D5" s="4">
        <v>1970265.4</v>
      </c>
      <c r="E5" s="4">
        <v>1514850.42</v>
      </c>
      <c r="F5" s="6">
        <v>0.76890000000000003</v>
      </c>
      <c r="G5" s="4">
        <v>455414.97</v>
      </c>
      <c r="H5" s="6">
        <v>0.2311</v>
      </c>
    </row>
    <row r="6" spans="1:8" x14ac:dyDescent="0.3">
      <c r="A6" t="s">
        <v>186</v>
      </c>
      <c r="B6" s="25">
        <v>45657</v>
      </c>
      <c r="C6" t="s">
        <v>320</v>
      </c>
      <c r="D6" s="4">
        <v>1269171.0900000001</v>
      </c>
      <c r="E6" s="4">
        <v>980095.85</v>
      </c>
      <c r="F6" s="6">
        <v>0.7722</v>
      </c>
      <c r="G6" s="4">
        <v>289075.23</v>
      </c>
      <c r="H6" s="6">
        <v>0.2278</v>
      </c>
    </row>
    <row r="7" spans="1:8" x14ac:dyDescent="0.3">
      <c r="A7" t="s">
        <v>186</v>
      </c>
      <c r="B7" s="25">
        <v>45657</v>
      </c>
      <c r="C7" t="s">
        <v>319</v>
      </c>
      <c r="D7" s="4">
        <v>376594.63</v>
      </c>
      <c r="E7" s="4">
        <v>305346.38</v>
      </c>
      <c r="F7" s="6">
        <v>0.81079999999999997</v>
      </c>
      <c r="G7" s="4">
        <v>71248.259999999995</v>
      </c>
      <c r="H7" s="6">
        <v>0.18920000000000001</v>
      </c>
    </row>
    <row r="8" spans="1:8" x14ac:dyDescent="0.3">
      <c r="A8" t="s">
        <v>186</v>
      </c>
      <c r="B8" s="25">
        <v>45657</v>
      </c>
      <c r="C8" t="s">
        <v>268</v>
      </c>
      <c r="D8" s="4">
        <v>1482693.59</v>
      </c>
      <c r="E8" s="4">
        <v>1136154.72</v>
      </c>
      <c r="F8" s="6">
        <v>0.76629999999999998</v>
      </c>
      <c r="G8" s="4">
        <v>346538.86</v>
      </c>
      <c r="H8" s="6">
        <v>0.23369999999999999</v>
      </c>
    </row>
    <row r="9" spans="1:8" x14ac:dyDescent="0.3">
      <c r="A9" t="s">
        <v>186</v>
      </c>
      <c r="B9" s="25">
        <v>45657</v>
      </c>
      <c r="C9" t="s">
        <v>318</v>
      </c>
      <c r="D9" s="4">
        <v>1082404.8400000001</v>
      </c>
      <c r="E9" s="4">
        <v>852698.53</v>
      </c>
      <c r="F9" s="6">
        <v>0.78779999999999994</v>
      </c>
      <c r="G9" s="4">
        <v>229706.32</v>
      </c>
      <c r="H9" s="6">
        <v>0.2122</v>
      </c>
    </row>
    <row r="10" spans="1:8" x14ac:dyDescent="0.3">
      <c r="A10" t="s">
        <v>186</v>
      </c>
      <c r="B10" s="25">
        <v>45657</v>
      </c>
      <c r="C10" t="s">
        <v>317</v>
      </c>
      <c r="D10" s="4">
        <v>1546705.78</v>
      </c>
      <c r="E10" s="4">
        <v>1228282.77</v>
      </c>
      <c r="F10" s="6">
        <v>0.79410000000000003</v>
      </c>
      <c r="G10" s="4">
        <v>318423.01</v>
      </c>
      <c r="H10" s="6">
        <v>0.2059</v>
      </c>
    </row>
    <row r="11" spans="1:8" x14ac:dyDescent="0.3">
      <c r="A11" t="s">
        <v>186</v>
      </c>
      <c r="B11" s="25">
        <v>45657</v>
      </c>
      <c r="C11" t="s">
        <v>316</v>
      </c>
      <c r="D11" s="4">
        <v>2695231.65</v>
      </c>
      <c r="E11" s="4">
        <v>2063791.11</v>
      </c>
      <c r="F11" s="6">
        <v>0.76570000000000005</v>
      </c>
      <c r="G11" s="4">
        <v>631440.55000000005</v>
      </c>
      <c r="H11" s="6">
        <v>0.23430000000000001</v>
      </c>
    </row>
    <row r="12" spans="1:8" x14ac:dyDescent="0.3">
      <c r="A12" t="s">
        <v>186</v>
      </c>
      <c r="B12" s="25">
        <v>45688</v>
      </c>
      <c r="C12" t="s">
        <v>324</v>
      </c>
      <c r="D12" s="4">
        <v>2146029</v>
      </c>
      <c r="E12" s="4">
        <v>1811322.36</v>
      </c>
      <c r="F12" s="6">
        <v>0.84399999999999997</v>
      </c>
      <c r="G12" s="4">
        <v>334706.64</v>
      </c>
      <c r="H12" s="6">
        <v>0.156</v>
      </c>
    </row>
    <row r="13" spans="1:8" x14ac:dyDescent="0.3">
      <c r="A13" t="s">
        <v>186</v>
      </c>
      <c r="B13" s="25">
        <v>45688</v>
      </c>
      <c r="C13" t="s">
        <v>323</v>
      </c>
      <c r="D13" s="4">
        <v>2602816.33</v>
      </c>
      <c r="E13" s="4">
        <v>2178603.73</v>
      </c>
      <c r="F13" s="6">
        <v>0.83699999999999997</v>
      </c>
      <c r="G13" s="4">
        <v>424212.6</v>
      </c>
      <c r="H13" s="6">
        <v>0.16300000000000001</v>
      </c>
    </row>
    <row r="14" spans="1:8" x14ac:dyDescent="0.3">
      <c r="A14" t="s">
        <v>186</v>
      </c>
      <c r="B14" s="25">
        <v>45688</v>
      </c>
      <c r="C14" t="s">
        <v>322</v>
      </c>
      <c r="D14" s="4">
        <v>1801061.27</v>
      </c>
      <c r="E14" s="4">
        <v>1528523.54</v>
      </c>
      <c r="F14" s="6">
        <v>0.84870000000000001</v>
      </c>
      <c r="G14" s="4">
        <v>272537.73</v>
      </c>
      <c r="H14" s="6">
        <v>0.15129999999999999</v>
      </c>
    </row>
    <row r="15" spans="1:8" x14ac:dyDescent="0.3">
      <c r="A15" t="s">
        <v>186</v>
      </c>
      <c r="B15" s="25">
        <v>45688</v>
      </c>
      <c r="C15" t="s">
        <v>321</v>
      </c>
      <c r="D15" s="4">
        <v>1440176.59</v>
      </c>
      <c r="E15" s="4">
        <v>1222703.31</v>
      </c>
      <c r="F15" s="6">
        <v>0.84899999999999998</v>
      </c>
      <c r="G15" s="4">
        <v>217473.29</v>
      </c>
      <c r="H15" s="6">
        <v>0.151</v>
      </c>
    </row>
    <row r="16" spans="1:8" x14ac:dyDescent="0.3">
      <c r="A16" t="s">
        <v>186</v>
      </c>
      <c r="B16" s="25">
        <v>45688</v>
      </c>
      <c r="C16" t="s">
        <v>320</v>
      </c>
      <c r="D16" s="4">
        <v>1358847.1</v>
      </c>
      <c r="E16" s="4">
        <v>1149320.75</v>
      </c>
      <c r="F16" s="6">
        <v>0.8458</v>
      </c>
      <c r="G16" s="4">
        <v>209526.34</v>
      </c>
      <c r="H16" s="6">
        <v>0.1542</v>
      </c>
    </row>
    <row r="17" spans="1:8" x14ac:dyDescent="0.3">
      <c r="A17" t="s">
        <v>186</v>
      </c>
      <c r="B17" s="25">
        <v>45688</v>
      </c>
      <c r="C17" t="s">
        <v>319</v>
      </c>
      <c r="D17" s="4">
        <v>543607.77</v>
      </c>
      <c r="E17" s="4">
        <v>457757.14</v>
      </c>
      <c r="F17" s="6">
        <v>0.84209999999999996</v>
      </c>
      <c r="G17" s="4">
        <v>85850.64</v>
      </c>
      <c r="H17" s="6">
        <v>0.15790000000000001</v>
      </c>
    </row>
    <row r="18" spans="1:8" x14ac:dyDescent="0.3">
      <c r="A18" t="s">
        <v>186</v>
      </c>
      <c r="B18" s="25">
        <v>45688</v>
      </c>
      <c r="C18" t="s">
        <v>268</v>
      </c>
      <c r="D18" s="4">
        <v>477773.15</v>
      </c>
      <c r="E18" s="4">
        <v>410679.84</v>
      </c>
      <c r="F18" s="6">
        <v>0.85960000000000003</v>
      </c>
      <c r="G18" s="4">
        <v>67093.33</v>
      </c>
      <c r="H18" s="6">
        <v>0.1404</v>
      </c>
    </row>
    <row r="19" spans="1:8" x14ac:dyDescent="0.3">
      <c r="A19" t="s">
        <v>186</v>
      </c>
      <c r="B19" s="25">
        <v>45688</v>
      </c>
      <c r="C19" t="s">
        <v>318</v>
      </c>
      <c r="D19" s="4">
        <v>1457039.27</v>
      </c>
      <c r="E19" s="4">
        <v>1244344.2</v>
      </c>
      <c r="F19" s="6">
        <v>0.85399999999999998</v>
      </c>
      <c r="G19" s="4">
        <v>212695.07</v>
      </c>
      <c r="H19" s="6">
        <v>0.14599999999999999</v>
      </c>
    </row>
    <row r="20" spans="1:8" x14ac:dyDescent="0.3">
      <c r="A20" t="s">
        <v>186</v>
      </c>
      <c r="B20" s="25">
        <v>45688</v>
      </c>
      <c r="C20" t="s">
        <v>317</v>
      </c>
      <c r="D20" s="4">
        <v>1075880.67</v>
      </c>
      <c r="E20" s="4">
        <v>897538.23</v>
      </c>
      <c r="F20" s="6">
        <v>0.83420000000000005</v>
      </c>
      <c r="G20" s="4">
        <v>178342.44</v>
      </c>
      <c r="H20" s="6">
        <v>0.1658</v>
      </c>
    </row>
    <row r="21" spans="1:8" x14ac:dyDescent="0.3">
      <c r="A21" t="s">
        <v>186</v>
      </c>
      <c r="B21" s="25">
        <v>45688</v>
      </c>
      <c r="C21" t="s">
        <v>316</v>
      </c>
      <c r="D21" s="4">
        <v>2538554.58</v>
      </c>
      <c r="E21" s="4">
        <v>2115872.7200000002</v>
      </c>
      <c r="F21" s="6">
        <v>0.83350000000000002</v>
      </c>
      <c r="G21" s="4">
        <v>422681.87</v>
      </c>
      <c r="H21" s="6">
        <v>0.16650000000000001</v>
      </c>
    </row>
    <row r="22" spans="1:8" x14ac:dyDescent="0.3">
      <c r="A22" t="s">
        <v>186</v>
      </c>
      <c r="B22" s="25">
        <v>45716</v>
      </c>
      <c r="C22" t="s">
        <v>324</v>
      </c>
      <c r="D22" s="4">
        <v>2317268.5299999998</v>
      </c>
      <c r="E22" s="4">
        <v>1874508.94</v>
      </c>
      <c r="F22" s="6">
        <v>0.80889999999999995</v>
      </c>
      <c r="G22" s="4">
        <v>442759.58</v>
      </c>
      <c r="H22" s="6">
        <v>0.19109999999999999</v>
      </c>
    </row>
    <row r="23" spans="1:8" x14ac:dyDescent="0.3">
      <c r="A23" t="s">
        <v>186</v>
      </c>
      <c r="B23" s="25">
        <v>45716</v>
      </c>
      <c r="C23" t="s">
        <v>323</v>
      </c>
      <c r="D23" s="4">
        <v>2130964.98</v>
      </c>
      <c r="E23" s="4">
        <v>1702732.07</v>
      </c>
      <c r="F23" s="6">
        <v>0.79900000000000004</v>
      </c>
      <c r="G23" s="4">
        <v>428232.9</v>
      </c>
      <c r="H23" s="6">
        <v>0.20100000000000001</v>
      </c>
    </row>
    <row r="24" spans="1:8" x14ac:dyDescent="0.3">
      <c r="A24" t="s">
        <v>186</v>
      </c>
      <c r="B24" s="25">
        <v>45716</v>
      </c>
      <c r="C24" t="s">
        <v>322</v>
      </c>
      <c r="D24" s="4">
        <v>1686282.53</v>
      </c>
      <c r="E24" s="4">
        <v>1337153.3500000001</v>
      </c>
      <c r="F24" s="6">
        <v>0.79300000000000004</v>
      </c>
      <c r="G24" s="4">
        <v>349129.17</v>
      </c>
      <c r="H24" s="6">
        <v>0.20699999999999999</v>
      </c>
    </row>
    <row r="25" spans="1:8" x14ac:dyDescent="0.3">
      <c r="A25" t="s">
        <v>186</v>
      </c>
      <c r="B25" s="25">
        <v>45716</v>
      </c>
      <c r="C25" t="s">
        <v>321</v>
      </c>
      <c r="D25" s="4">
        <v>1486350.21</v>
      </c>
      <c r="E25" s="4">
        <v>1218359.27</v>
      </c>
      <c r="F25" s="6">
        <v>0.81969999999999998</v>
      </c>
      <c r="G25" s="4">
        <v>267990.95</v>
      </c>
      <c r="H25" s="6">
        <v>0.18029999999999999</v>
      </c>
    </row>
    <row r="26" spans="1:8" x14ac:dyDescent="0.3">
      <c r="A26" t="s">
        <v>186</v>
      </c>
      <c r="B26" s="25">
        <v>45716</v>
      </c>
      <c r="C26" t="s">
        <v>320</v>
      </c>
      <c r="D26" s="4">
        <v>1422126.43</v>
      </c>
      <c r="E26" s="4">
        <v>1154843.32</v>
      </c>
      <c r="F26" s="6">
        <v>0.81210000000000004</v>
      </c>
      <c r="G26" s="4">
        <v>267283.11</v>
      </c>
      <c r="H26" s="6">
        <v>0.18790000000000001</v>
      </c>
    </row>
    <row r="27" spans="1:8" x14ac:dyDescent="0.3">
      <c r="A27" t="s">
        <v>186</v>
      </c>
      <c r="B27" s="25">
        <v>45716</v>
      </c>
      <c r="C27" t="s">
        <v>319</v>
      </c>
      <c r="D27" s="4">
        <v>362901.65</v>
      </c>
      <c r="E27" s="4">
        <v>284793.94</v>
      </c>
      <c r="F27" s="6">
        <v>0.78480000000000005</v>
      </c>
      <c r="G27" s="4">
        <v>78107.72</v>
      </c>
      <c r="H27" s="6">
        <v>0.2152</v>
      </c>
    </row>
    <row r="28" spans="1:8" x14ac:dyDescent="0.3">
      <c r="A28" t="s">
        <v>186</v>
      </c>
      <c r="B28" s="25">
        <v>45716</v>
      </c>
      <c r="C28" t="s">
        <v>268</v>
      </c>
      <c r="D28" s="4">
        <v>846361.22</v>
      </c>
      <c r="E28" s="4">
        <v>679888.14</v>
      </c>
      <c r="F28" s="6">
        <v>0.80330000000000001</v>
      </c>
      <c r="G28" s="4">
        <v>166473.07999999999</v>
      </c>
      <c r="H28" s="6">
        <v>0.19670000000000001</v>
      </c>
    </row>
    <row r="29" spans="1:8" x14ac:dyDescent="0.3">
      <c r="A29" t="s">
        <v>186</v>
      </c>
      <c r="B29" s="25">
        <v>45716</v>
      </c>
      <c r="C29" t="s">
        <v>318</v>
      </c>
      <c r="D29" s="4">
        <v>1484014.28</v>
      </c>
      <c r="E29" s="4">
        <v>1181538.1299999999</v>
      </c>
      <c r="F29" s="6">
        <v>0.79620000000000002</v>
      </c>
      <c r="G29" s="4">
        <v>302476.14</v>
      </c>
      <c r="H29" s="6">
        <v>0.20380000000000001</v>
      </c>
    </row>
    <row r="30" spans="1:8" x14ac:dyDescent="0.3">
      <c r="A30" t="s">
        <v>186</v>
      </c>
      <c r="B30" s="25">
        <v>45716</v>
      </c>
      <c r="C30" t="s">
        <v>317</v>
      </c>
      <c r="D30" s="4">
        <v>1348769.06</v>
      </c>
      <c r="E30" s="4">
        <v>1079341.92</v>
      </c>
      <c r="F30" s="6">
        <v>0.80020000000000002</v>
      </c>
      <c r="G30" s="4">
        <v>269427.14</v>
      </c>
      <c r="H30" s="6">
        <v>0.19980000000000001</v>
      </c>
    </row>
    <row r="31" spans="1:8" x14ac:dyDescent="0.3">
      <c r="A31" t="s">
        <v>186</v>
      </c>
      <c r="B31" s="25">
        <v>45716</v>
      </c>
      <c r="C31" t="s">
        <v>316</v>
      </c>
      <c r="D31" s="4">
        <v>2343403.87</v>
      </c>
      <c r="E31" s="4">
        <v>1912008.44</v>
      </c>
      <c r="F31" s="6">
        <v>0.81589999999999996</v>
      </c>
      <c r="G31" s="4">
        <v>431395.44</v>
      </c>
      <c r="H31" s="6">
        <v>0.18410000000000001</v>
      </c>
    </row>
    <row r="32" spans="1:8" x14ac:dyDescent="0.3">
      <c r="A32" t="s">
        <v>186</v>
      </c>
      <c r="B32" s="25">
        <v>45747</v>
      </c>
      <c r="C32" t="s">
        <v>324</v>
      </c>
      <c r="D32" s="4">
        <v>1767425.7</v>
      </c>
      <c r="E32" s="4">
        <v>1468866.1</v>
      </c>
      <c r="F32" s="6">
        <v>0.83109999999999995</v>
      </c>
      <c r="G32" s="4">
        <v>298559.61</v>
      </c>
      <c r="H32" s="6">
        <v>0.16889999999999999</v>
      </c>
    </row>
    <row r="33" spans="1:8" x14ac:dyDescent="0.3">
      <c r="A33" t="s">
        <v>186</v>
      </c>
      <c r="B33" s="25">
        <v>45747</v>
      </c>
      <c r="C33" t="s">
        <v>323</v>
      </c>
      <c r="D33" s="4">
        <v>2257573.33</v>
      </c>
      <c r="E33" s="4">
        <v>1831318.55</v>
      </c>
      <c r="F33" s="6">
        <v>0.81120000000000003</v>
      </c>
      <c r="G33" s="4">
        <v>426254.78</v>
      </c>
      <c r="H33" s="6">
        <v>0.1888</v>
      </c>
    </row>
    <row r="34" spans="1:8" x14ac:dyDescent="0.3">
      <c r="A34" t="s">
        <v>186</v>
      </c>
      <c r="B34" s="25">
        <v>45747</v>
      </c>
      <c r="C34" t="s">
        <v>322</v>
      </c>
      <c r="D34" s="4">
        <v>1702926.31</v>
      </c>
      <c r="E34" s="4">
        <v>1336482.99</v>
      </c>
      <c r="F34" s="6">
        <v>0.78480000000000005</v>
      </c>
      <c r="G34" s="4">
        <v>366443.32</v>
      </c>
      <c r="H34" s="6">
        <v>0.2152</v>
      </c>
    </row>
    <row r="35" spans="1:8" x14ac:dyDescent="0.3">
      <c r="A35" t="s">
        <v>186</v>
      </c>
      <c r="B35" s="25">
        <v>45747</v>
      </c>
      <c r="C35" t="s">
        <v>321</v>
      </c>
      <c r="D35" s="4">
        <v>805621.77</v>
      </c>
      <c r="E35" s="4">
        <v>646923.77</v>
      </c>
      <c r="F35" s="6">
        <v>0.80300000000000005</v>
      </c>
      <c r="G35" s="4">
        <v>158697.99</v>
      </c>
      <c r="H35" s="6">
        <v>0.19700000000000001</v>
      </c>
    </row>
    <row r="36" spans="1:8" x14ac:dyDescent="0.3">
      <c r="A36" t="s">
        <v>186</v>
      </c>
      <c r="B36" s="25">
        <v>45747</v>
      </c>
      <c r="C36" t="s">
        <v>320</v>
      </c>
      <c r="D36" s="4">
        <v>2135867.27</v>
      </c>
      <c r="E36" s="4">
        <v>1761978.86</v>
      </c>
      <c r="F36" s="6">
        <v>0.82489999999999997</v>
      </c>
      <c r="G36" s="4">
        <v>373888.41</v>
      </c>
      <c r="H36" s="6">
        <v>0.17510000000000001</v>
      </c>
    </row>
    <row r="37" spans="1:8" x14ac:dyDescent="0.3">
      <c r="A37" t="s">
        <v>186</v>
      </c>
      <c r="B37" s="25">
        <v>45747</v>
      </c>
      <c r="C37" t="s">
        <v>319</v>
      </c>
      <c r="D37" s="4">
        <v>720808.79</v>
      </c>
      <c r="E37" s="4">
        <v>574959.44999999995</v>
      </c>
      <c r="F37" s="6">
        <v>0.79769999999999996</v>
      </c>
      <c r="G37" s="4">
        <v>145849.34</v>
      </c>
      <c r="H37" s="6">
        <v>0.20230000000000001</v>
      </c>
    </row>
    <row r="38" spans="1:8" x14ac:dyDescent="0.3">
      <c r="A38" t="s">
        <v>186</v>
      </c>
      <c r="B38" s="25">
        <v>45747</v>
      </c>
      <c r="C38" t="s">
        <v>268</v>
      </c>
      <c r="D38" s="4">
        <v>620466.43000000005</v>
      </c>
      <c r="E38" s="4">
        <v>500681.44</v>
      </c>
      <c r="F38" s="6">
        <v>0.80689999999999995</v>
      </c>
      <c r="G38" s="4">
        <v>119784.97</v>
      </c>
      <c r="H38" s="6">
        <v>0.19309999999999999</v>
      </c>
    </row>
    <row r="39" spans="1:8" x14ac:dyDescent="0.3">
      <c r="A39" t="s">
        <v>186</v>
      </c>
      <c r="B39" s="25">
        <v>45747</v>
      </c>
      <c r="C39" t="s">
        <v>318</v>
      </c>
      <c r="D39" s="4">
        <v>1402025.93</v>
      </c>
      <c r="E39" s="4">
        <v>1121787.43</v>
      </c>
      <c r="F39" s="6">
        <v>0.80010000000000003</v>
      </c>
      <c r="G39" s="4">
        <v>280238.51</v>
      </c>
      <c r="H39" s="6">
        <v>0.19989999999999999</v>
      </c>
    </row>
    <row r="40" spans="1:8" x14ac:dyDescent="0.3">
      <c r="A40" t="s">
        <v>186</v>
      </c>
      <c r="B40" s="25">
        <v>45747</v>
      </c>
      <c r="C40" t="s">
        <v>317</v>
      </c>
      <c r="D40" s="4">
        <v>1409572.43</v>
      </c>
      <c r="E40" s="4">
        <v>1153887.5</v>
      </c>
      <c r="F40" s="6">
        <v>0.81859999999999999</v>
      </c>
      <c r="G40" s="4">
        <v>255684.93</v>
      </c>
      <c r="H40" s="6">
        <v>0.18140000000000001</v>
      </c>
    </row>
    <row r="41" spans="1:8" x14ac:dyDescent="0.3">
      <c r="A41" t="s">
        <v>186</v>
      </c>
      <c r="B41" s="25">
        <v>45747</v>
      </c>
      <c r="C41" t="s">
        <v>316</v>
      </c>
      <c r="D41" s="4">
        <v>2241901.75</v>
      </c>
      <c r="E41" s="4">
        <v>1845613.48</v>
      </c>
      <c r="F41" s="6">
        <v>0.82320000000000004</v>
      </c>
      <c r="G41" s="4">
        <v>396288.26</v>
      </c>
      <c r="H41" s="6">
        <v>0.17680000000000001</v>
      </c>
    </row>
    <row r="42" spans="1:8" x14ac:dyDescent="0.3">
      <c r="A42" t="s">
        <v>186</v>
      </c>
      <c r="B42" s="25">
        <v>45777</v>
      </c>
      <c r="C42" t="s">
        <v>324</v>
      </c>
      <c r="D42" s="4">
        <v>2152925.0699999998</v>
      </c>
      <c r="E42" s="4">
        <v>1699257.02</v>
      </c>
      <c r="F42" s="6">
        <v>0.7893</v>
      </c>
      <c r="G42" s="4">
        <v>453668.05</v>
      </c>
      <c r="H42" s="6">
        <v>0.2107</v>
      </c>
    </row>
    <row r="43" spans="1:8" x14ac:dyDescent="0.3">
      <c r="A43" t="s">
        <v>186</v>
      </c>
      <c r="B43" s="25">
        <v>45777</v>
      </c>
      <c r="C43" t="s">
        <v>323</v>
      </c>
      <c r="D43" s="4">
        <v>2617835.0499999998</v>
      </c>
      <c r="E43" s="4">
        <v>2098482.56</v>
      </c>
      <c r="F43" s="6">
        <v>0.80159999999999998</v>
      </c>
      <c r="G43" s="4">
        <v>519352.48</v>
      </c>
      <c r="H43" s="6">
        <v>0.19839999999999999</v>
      </c>
    </row>
    <row r="44" spans="1:8" x14ac:dyDescent="0.3">
      <c r="A44" t="s">
        <v>186</v>
      </c>
      <c r="B44" s="25">
        <v>45777</v>
      </c>
      <c r="C44" t="s">
        <v>322</v>
      </c>
      <c r="D44" s="4">
        <v>1428917.36</v>
      </c>
      <c r="E44" s="4">
        <v>1200139.21</v>
      </c>
      <c r="F44" s="6">
        <v>0.83989999999999998</v>
      </c>
      <c r="G44" s="4">
        <v>228778.16</v>
      </c>
      <c r="H44" s="6">
        <v>0.16009999999999999</v>
      </c>
    </row>
    <row r="45" spans="1:8" x14ac:dyDescent="0.3">
      <c r="A45" t="s">
        <v>186</v>
      </c>
      <c r="B45" s="25">
        <v>45777</v>
      </c>
      <c r="C45" t="s">
        <v>321</v>
      </c>
      <c r="D45" s="4">
        <v>918989.3</v>
      </c>
      <c r="E45" s="4">
        <v>745981.36</v>
      </c>
      <c r="F45" s="6">
        <v>0.81169999999999998</v>
      </c>
      <c r="G45" s="4">
        <v>173007.93</v>
      </c>
      <c r="H45" s="6">
        <v>0.1883</v>
      </c>
    </row>
    <row r="46" spans="1:8" x14ac:dyDescent="0.3">
      <c r="A46" t="s">
        <v>186</v>
      </c>
      <c r="B46" s="25">
        <v>45777</v>
      </c>
      <c r="C46" t="s">
        <v>320</v>
      </c>
      <c r="D46" s="4">
        <v>1557009.04</v>
      </c>
      <c r="E46" s="4">
        <v>1274741.47</v>
      </c>
      <c r="F46" s="6">
        <v>0.81869999999999998</v>
      </c>
      <c r="G46" s="4">
        <v>282267.59000000003</v>
      </c>
      <c r="H46" s="6">
        <v>0.18129999999999999</v>
      </c>
    </row>
    <row r="47" spans="1:8" x14ac:dyDescent="0.3">
      <c r="A47" t="s">
        <v>186</v>
      </c>
      <c r="B47" s="25">
        <v>45777</v>
      </c>
      <c r="C47" t="s">
        <v>319</v>
      </c>
      <c r="D47" s="4">
        <v>1204570.3700000001</v>
      </c>
      <c r="E47" s="4">
        <v>945262.43</v>
      </c>
      <c r="F47" s="6">
        <v>0.78469999999999995</v>
      </c>
      <c r="G47" s="4">
        <v>259307.94</v>
      </c>
      <c r="H47" s="6">
        <v>0.21529999999999999</v>
      </c>
    </row>
    <row r="48" spans="1:8" x14ac:dyDescent="0.3">
      <c r="A48" t="s">
        <v>186</v>
      </c>
      <c r="B48" s="25">
        <v>45777</v>
      </c>
      <c r="C48" t="s">
        <v>268</v>
      </c>
      <c r="D48" s="4">
        <v>748566.59</v>
      </c>
      <c r="E48" s="4">
        <v>615736.75</v>
      </c>
      <c r="F48" s="6">
        <v>0.8226</v>
      </c>
      <c r="G48" s="4">
        <v>132829.85999999999</v>
      </c>
      <c r="H48" s="6">
        <v>0.1774</v>
      </c>
    </row>
    <row r="49" spans="1:8" x14ac:dyDescent="0.3">
      <c r="A49" t="s">
        <v>186</v>
      </c>
      <c r="B49" s="25">
        <v>45777</v>
      </c>
      <c r="C49" t="s">
        <v>318</v>
      </c>
      <c r="D49" s="4">
        <v>1627408.87</v>
      </c>
      <c r="E49" s="4">
        <v>1336090.22</v>
      </c>
      <c r="F49" s="6">
        <v>0.82099999999999995</v>
      </c>
      <c r="G49" s="4">
        <v>291318.64</v>
      </c>
      <c r="H49" s="6">
        <v>0.17899999999999999</v>
      </c>
    </row>
    <row r="50" spans="1:8" x14ac:dyDescent="0.3">
      <c r="A50" t="s">
        <v>186</v>
      </c>
      <c r="B50" s="25">
        <v>45777</v>
      </c>
      <c r="C50" t="s">
        <v>317</v>
      </c>
      <c r="D50" s="4">
        <v>1151799.29</v>
      </c>
      <c r="E50" s="4">
        <v>950546.4</v>
      </c>
      <c r="F50" s="6">
        <v>0.82530000000000003</v>
      </c>
      <c r="G50" s="4">
        <v>201252.89</v>
      </c>
      <c r="H50" s="6">
        <v>0.17469999999999999</v>
      </c>
    </row>
    <row r="51" spans="1:8" x14ac:dyDescent="0.3">
      <c r="A51" t="s">
        <v>186</v>
      </c>
      <c r="B51" s="25">
        <v>45777</v>
      </c>
      <c r="C51" t="s">
        <v>316</v>
      </c>
      <c r="D51" s="4">
        <v>2364046.7599999998</v>
      </c>
      <c r="E51" s="4">
        <v>1878667.42</v>
      </c>
      <c r="F51" s="6">
        <v>0.79469999999999996</v>
      </c>
      <c r="G51" s="4">
        <v>485379.34</v>
      </c>
      <c r="H51" s="6">
        <v>0.20530000000000001</v>
      </c>
    </row>
    <row r="52" spans="1:8" x14ac:dyDescent="0.3">
      <c r="A52" t="s">
        <v>186</v>
      </c>
      <c r="B52" s="25">
        <v>45808</v>
      </c>
      <c r="C52" t="s">
        <v>324</v>
      </c>
      <c r="D52" s="4">
        <v>2112006.61</v>
      </c>
      <c r="E52" s="4">
        <v>1830384.77</v>
      </c>
      <c r="F52" s="6">
        <v>0.86670000000000003</v>
      </c>
      <c r="G52" s="4">
        <v>281621.84000000003</v>
      </c>
      <c r="H52" s="6">
        <v>0.1333</v>
      </c>
    </row>
    <row r="53" spans="1:8" x14ac:dyDescent="0.3">
      <c r="A53" t="s">
        <v>186</v>
      </c>
      <c r="B53" s="25">
        <v>45808</v>
      </c>
      <c r="C53" t="s">
        <v>323</v>
      </c>
      <c r="D53" s="4">
        <v>2435441.2999999998</v>
      </c>
      <c r="E53" s="4">
        <v>2125103.0499999998</v>
      </c>
      <c r="F53" s="6">
        <v>0.87260000000000004</v>
      </c>
      <c r="G53" s="4">
        <v>310338.26</v>
      </c>
      <c r="H53" s="6">
        <v>0.12740000000000001</v>
      </c>
    </row>
    <row r="54" spans="1:8" x14ac:dyDescent="0.3">
      <c r="A54" t="s">
        <v>186</v>
      </c>
      <c r="B54" s="25">
        <v>45808</v>
      </c>
      <c r="C54" t="s">
        <v>322</v>
      </c>
      <c r="D54" s="4">
        <v>1582624.93</v>
      </c>
      <c r="E54" s="4">
        <v>1397668.67</v>
      </c>
      <c r="F54" s="6">
        <v>0.8831</v>
      </c>
      <c r="G54" s="4">
        <v>184956.26</v>
      </c>
      <c r="H54" s="6">
        <v>0.1169</v>
      </c>
    </row>
    <row r="55" spans="1:8" x14ac:dyDescent="0.3">
      <c r="A55" t="s">
        <v>186</v>
      </c>
      <c r="B55" s="25">
        <v>45808</v>
      </c>
      <c r="C55" t="s">
        <v>321</v>
      </c>
      <c r="D55" s="4">
        <v>1488654.18</v>
      </c>
      <c r="E55" s="4">
        <v>1291265.31</v>
      </c>
      <c r="F55" s="6">
        <v>0.86739999999999995</v>
      </c>
      <c r="G55" s="4">
        <v>197388.87</v>
      </c>
      <c r="H55" s="6">
        <v>0.1326</v>
      </c>
    </row>
    <row r="56" spans="1:8" x14ac:dyDescent="0.3">
      <c r="A56" t="s">
        <v>186</v>
      </c>
      <c r="B56" s="25">
        <v>45808</v>
      </c>
      <c r="C56" t="s">
        <v>320</v>
      </c>
      <c r="D56" s="4">
        <v>2267839.12</v>
      </c>
      <c r="E56" s="4">
        <v>1968091.33</v>
      </c>
      <c r="F56" s="6">
        <v>0.86780000000000002</v>
      </c>
      <c r="G56" s="4">
        <v>299747.78999999998</v>
      </c>
      <c r="H56" s="6">
        <v>0.13220000000000001</v>
      </c>
    </row>
    <row r="57" spans="1:8" x14ac:dyDescent="0.3">
      <c r="A57" t="s">
        <v>186</v>
      </c>
      <c r="B57" s="25">
        <v>45808</v>
      </c>
      <c r="C57" t="s">
        <v>319</v>
      </c>
      <c r="D57" s="4">
        <v>425775.13</v>
      </c>
      <c r="E57" s="4">
        <v>375697.19</v>
      </c>
      <c r="F57" s="6">
        <v>0.88239999999999996</v>
      </c>
      <c r="G57" s="4">
        <v>50077.94</v>
      </c>
      <c r="H57" s="6">
        <v>0.1176</v>
      </c>
    </row>
    <row r="58" spans="1:8" x14ac:dyDescent="0.3">
      <c r="A58" t="s">
        <v>186</v>
      </c>
      <c r="B58" s="25">
        <v>45808</v>
      </c>
      <c r="C58" t="s">
        <v>268</v>
      </c>
      <c r="D58" s="4">
        <v>446902.08</v>
      </c>
      <c r="E58" s="4">
        <v>393894.52</v>
      </c>
      <c r="F58" s="6">
        <v>0.88139999999999996</v>
      </c>
      <c r="G58" s="4">
        <v>53007.57</v>
      </c>
      <c r="H58" s="6">
        <v>0.1186</v>
      </c>
    </row>
    <row r="59" spans="1:8" x14ac:dyDescent="0.3">
      <c r="A59" t="s">
        <v>186</v>
      </c>
      <c r="B59" s="25">
        <v>45808</v>
      </c>
      <c r="C59" t="s">
        <v>318</v>
      </c>
      <c r="D59" s="4">
        <v>1171921.02</v>
      </c>
      <c r="E59" s="4">
        <v>1034939.16</v>
      </c>
      <c r="F59" s="6">
        <v>0.8831</v>
      </c>
      <c r="G59" s="4">
        <v>136981.85999999999</v>
      </c>
      <c r="H59" s="6">
        <v>0.1169</v>
      </c>
    </row>
    <row r="60" spans="1:8" x14ac:dyDescent="0.3">
      <c r="A60" t="s">
        <v>186</v>
      </c>
      <c r="B60" s="25">
        <v>45808</v>
      </c>
      <c r="C60" t="s">
        <v>317</v>
      </c>
      <c r="D60" s="4">
        <v>1249506.28</v>
      </c>
      <c r="E60" s="4">
        <v>1094521.6599999999</v>
      </c>
      <c r="F60" s="6">
        <v>0.876</v>
      </c>
      <c r="G60" s="4">
        <v>154984.62</v>
      </c>
      <c r="H60" s="6">
        <v>0.124</v>
      </c>
    </row>
    <row r="61" spans="1:8" x14ac:dyDescent="0.3">
      <c r="A61" t="s">
        <v>186</v>
      </c>
      <c r="B61" s="25">
        <v>45808</v>
      </c>
      <c r="C61" t="s">
        <v>316</v>
      </c>
      <c r="D61" s="4">
        <v>2365257.88</v>
      </c>
      <c r="E61" s="4">
        <v>2047984.32</v>
      </c>
      <c r="F61" s="6">
        <v>0.8659</v>
      </c>
      <c r="G61" s="4">
        <v>317273.57</v>
      </c>
      <c r="H61" s="6">
        <v>0.1341</v>
      </c>
    </row>
    <row r="62" spans="1:8" x14ac:dyDescent="0.3">
      <c r="A62" t="s">
        <v>186</v>
      </c>
      <c r="B62" s="25">
        <v>45838</v>
      </c>
      <c r="C62" t="s">
        <v>324</v>
      </c>
      <c r="D62" s="4">
        <v>1705517.28</v>
      </c>
      <c r="E62" s="4">
        <v>1503118.63</v>
      </c>
      <c r="F62" s="6">
        <v>0.88129999999999997</v>
      </c>
      <c r="G62" s="4">
        <v>202398.66</v>
      </c>
      <c r="H62" s="6">
        <v>0.1187</v>
      </c>
    </row>
    <row r="63" spans="1:8" x14ac:dyDescent="0.3">
      <c r="A63" t="s">
        <v>186</v>
      </c>
      <c r="B63" s="25">
        <v>45838</v>
      </c>
      <c r="C63" t="s">
        <v>323</v>
      </c>
      <c r="D63" s="4">
        <v>2388347.85</v>
      </c>
      <c r="E63" s="4">
        <v>2085440.01</v>
      </c>
      <c r="F63" s="6">
        <v>0.87319999999999998</v>
      </c>
      <c r="G63" s="4">
        <v>302907.83</v>
      </c>
      <c r="H63" s="6">
        <v>0.1268</v>
      </c>
    </row>
    <row r="64" spans="1:8" x14ac:dyDescent="0.3">
      <c r="A64" t="s">
        <v>186</v>
      </c>
      <c r="B64" s="25">
        <v>45838</v>
      </c>
      <c r="C64" t="s">
        <v>322</v>
      </c>
      <c r="D64" s="4">
        <v>1788860.46</v>
      </c>
      <c r="E64" s="4">
        <v>1520466.15</v>
      </c>
      <c r="F64" s="6">
        <v>0.85</v>
      </c>
      <c r="G64" s="4">
        <v>268394.28999999998</v>
      </c>
      <c r="H64" s="6">
        <v>0.15</v>
      </c>
    </row>
    <row r="65" spans="1:8" x14ac:dyDescent="0.3">
      <c r="A65" t="s">
        <v>186</v>
      </c>
      <c r="B65" s="25">
        <v>45838</v>
      </c>
      <c r="C65" t="s">
        <v>321</v>
      </c>
      <c r="D65" s="4">
        <v>1469354.92</v>
      </c>
      <c r="E65" s="4">
        <v>1280047.3500000001</v>
      </c>
      <c r="F65" s="6">
        <v>0.87119999999999997</v>
      </c>
      <c r="G65" s="4">
        <v>189307.56</v>
      </c>
      <c r="H65" s="6">
        <v>0.1288</v>
      </c>
    </row>
    <row r="66" spans="1:8" x14ac:dyDescent="0.3">
      <c r="A66" t="s">
        <v>186</v>
      </c>
      <c r="B66" s="25">
        <v>45838</v>
      </c>
      <c r="C66" t="s">
        <v>320</v>
      </c>
      <c r="D66" s="4">
        <v>1852457.02</v>
      </c>
      <c r="E66" s="4">
        <v>1630865.87</v>
      </c>
      <c r="F66" s="6">
        <v>0.88039999999999996</v>
      </c>
      <c r="G66" s="4">
        <v>221591.13</v>
      </c>
      <c r="H66" s="6">
        <v>0.1196</v>
      </c>
    </row>
    <row r="67" spans="1:8" x14ac:dyDescent="0.3">
      <c r="A67" t="s">
        <v>186</v>
      </c>
      <c r="B67" s="25">
        <v>45838</v>
      </c>
      <c r="C67" t="s">
        <v>319</v>
      </c>
      <c r="D67" s="4">
        <v>492587.5</v>
      </c>
      <c r="E67" s="4">
        <v>434398.55</v>
      </c>
      <c r="F67" s="6">
        <v>0.88190000000000002</v>
      </c>
      <c r="G67" s="4">
        <v>58188.94</v>
      </c>
      <c r="H67" s="6">
        <v>0.1181</v>
      </c>
    </row>
    <row r="68" spans="1:8" x14ac:dyDescent="0.3">
      <c r="A68" t="s">
        <v>186</v>
      </c>
      <c r="B68" s="25">
        <v>45838</v>
      </c>
      <c r="C68" t="s">
        <v>268</v>
      </c>
      <c r="D68" s="4">
        <v>1283734.67</v>
      </c>
      <c r="E68" s="4">
        <v>1101172.81</v>
      </c>
      <c r="F68" s="6">
        <v>0.85780000000000001</v>
      </c>
      <c r="G68" s="4">
        <v>182561.87</v>
      </c>
      <c r="H68" s="6">
        <v>0.14219999999999999</v>
      </c>
    </row>
    <row r="69" spans="1:8" x14ac:dyDescent="0.3">
      <c r="A69" t="s">
        <v>186</v>
      </c>
      <c r="B69" s="25">
        <v>45838</v>
      </c>
      <c r="C69" t="s">
        <v>318</v>
      </c>
      <c r="D69" s="4">
        <v>1163217.6000000001</v>
      </c>
      <c r="E69" s="4">
        <v>1009188.53</v>
      </c>
      <c r="F69" s="6">
        <v>0.86760000000000004</v>
      </c>
      <c r="G69" s="4">
        <v>154029.07</v>
      </c>
      <c r="H69" s="6">
        <v>0.13239999999999999</v>
      </c>
    </row>
    <row r="70" spans="1:8" x14ac:dyDescent="0.3">
      <c r="A70" t="s">
        <v>186</v>
      </c>
      <c r="B70" s="25">
        <v>45838</v>
      </c>
      <c r="C70" t="s">
        <v>317</v>
      </c>
      <c r="D70" s="4">
        <v>1357233.05</v>
      </c>
      <c r="E70" s="4">
        <v>1191574.02</v>
      </c>
      <c r="F70" s="6">
        <v>0.87790000000000001</v>
      </c>
      <c r="G70" s="4">
        <v>165659.04</v>
      </c>
      <c r="H70" s="6">
        <v>0.1221</v>
      </c>
    </row>
    <row r="71" spans="1:8" x14ac:dyDescent="0.3">
      <c r="A71" t="s">
        <v>186</v>
      </c>
      <c r="B71" s="25">
        <v>45838</v>
      </c>
      <c r="C71" t="s">
        <v>316</v>
      </c>
      <c r="D71" s="4">
        <v>2270526.1800000002</v>
      </c>
      <c r="E71" s="4">
        <v>1992425.62</v>
      </c>
      <c r="F71" s="6">
        <v>0.87749999999999995</v>
      </c>
      <c r="G71" s="4">
        <v>278100.56</v>
      </c>
      <c r="H71" s="6">
        <v>0.1225</v>
      </c>
    </row>
    <row r="72" spans="1:8" x14ac:dyDescent="0.3">
      <c r="A72" t="s">
        <v>186</v>
      </c>
      <c r="B72" s="25">
        <v>45869</v>
      </c>
      <c r="C72" t="s">
        <v>324</v>
      </c>
      <c r="D72" s="4">
        <v>1842692.14</v>
      </c>
      <c r="E72" s="4">
        <v>1455381.73</v>
      </c>
      <c r="F72" s="6">
        <v>0.78979999999999995</v>
      </c>
      <c r="G72" s="4">
        <v>387310.41</v>
      </c>
      <c r="H72" s="6">
        <v>0.2102</v>
      </c>
    </row>
    <row r="73" spans="1:8" x14ac:dyDescent="0.3">
      <c r="A73" t="s">
        <v>186</v>
      </c>
      <c r="B73" s="25">
        <v>45869</v>
      </c>
      <c r="C73" t="s">
        <v>323</v>
      </c>
      <c r="D73" s="4">
        <v>2083593.72</v>
      </c>
      <c r="E73" s="4">
        <v>1673035.25</v>
      </c>
      <c r="F73" s="6">
        <v>0.80300000000000005</v>
      </c>
      <c r="G73" s="4">
        <v>410558.46</v>
      </c>
      <c r="H73" s="6">
        <v>0.19700000000000001</v>
      </c>
    </row>
    <row r="74" spans="1:8" x14ac:dyDescent="0.3">
      <c r="A74" t="s">
        <v>186</v>
      </c>
      <c r="B74" s="25">
        <v>45869</v>
      </c>
      <c r="C74" t="s">
        <v>322</v>
      </c>
      <c r="D74" s="4">
        <v>2235315.9900000002</v>
      </c>
      <c r="E74" s="4">
        <v>1829516.94</v>
      </c>
      <c r="F74" s="6">
        <v>0.81850000000000001</v>
      </c>
      <c r="G74" s="4">
        <v>405799.06</v>
      </c>
      <c r="H74" s="6">
        <v>0.18149999999999999</v>
      </c>
    </row>
    <row r="75" spans="1:8" x14ac:dyDescent="0.3">
      <c r="A75" t="s">
        <v>186</v>
      </c>
      <c r="B75" s="25">
        <v>45869</v>
      </c>
      <c r="C75" t="s">
        <v>321</v>
      </c>
      <c r="D75" s="4">
        <v>1299551.8899999999</v>
      </c>
      <c r="E75" s="4">
        <v>1039107.86</v>
      </c>
      <c r="F75" s="6">
        <v>0.79959999999999998</v>
      </c>
      <c r="G75" s="4">
        <v>260444.04</v>
      </c>
      <c r="H75" s="6">
        <v>0.20039999999999999</v>
      </c>
    </row>
    <row r="76" spans="1:8" x14ac:dyDescent="0.3">
      <c r="A76" t="s">
        <v>186</v>
      </c>
      <c r="B76" s="25">
        <v>45869</v>
      </c>
      <c r="C76" t="s">
        <v>320</v>
      </c>
      <c r="D76" s="4">
        <v>1381907.5</v>
      </c>
      <c r="E76" s="4">
        <v>1119994.1100000001</v>
      </c>
      <c r="F76" s="6">
        <v>0.8105</v>
      </c>
      <c r="G76" s="4">
        <v>261913.38</v>
      </c>
      <c r="H76" s="6">
        <v>0.1895</v>
      </c>
    </row>
    <row r="77" spans="1:8" x14ac:dyDescent="0.3">
      <c r="A77" t="s">
        <v>186</v>
      </c>
      <c r="B77" s="25">
        <v>45869</v>
      </c>
      <c r="C77" t="s">
        <v>319</v>
      </c>
      <c r="D77" s="4">
        <v>1167564.26</v>
      </c>
      <c r="E77" s="4">
        <v>949385.05</v>
      </c>
      <c r="F77" s="6">
        <v>0.81310000000000004</v>
      </c>
      <c r="G77" s="4">
        <v>218179.19</v>
      </c>
      <c r="H77" s="6">
        <v>0.18690000000000001</v>
      </c>
    </row>
    <row r="78" spans="1:8" x14ac:dyDescent="0.3">
      <c r="A78" t="s">
        <v>186</v>
      </c>
      <c r="B78" s="25">
        <v>45869</v>
      </c>
      <c r="C78" t="s">
        <v>268</v>
      </c>
      <c r="D78" s="4">
        <v>818504.73</v>
      </c>
      <c r="E78" s="4">
        <v>674932.2</v>
      </c>
      <c r="F78" s="6">
        <v>0.8246</v>
      </c>
      <c r="G78" s="4">
        <v>143572.54999999999</v>
      </c>
      <c r="H78" s="6">
        <v>0.1754</v>
      </c>
    </row>
    <row r="79" spans="1:8" x14ac:dyDescent="0.3">
      <c r="A79" t="s">
        <v>186</v>
      </c>
      <c r="B79" s="25">
        <v>45869</v>
      </c>
      <c r="C79" t="s">
        <v>318</v>
      </c>
      <c r="D79" s="4">
        <v>1062812.67</v>
      </c>
      <c r="E79" s="4">
        <v>868456.83</v>
      </c>
      <c r="F79" s="6">
        <v>0.81710000000000005</v>
      </c>
      <c r="G79" s="4">
        <v>194355.85</v>
      </c>
      <c r="H79" s="6">
        <v>0.18290000000000001</v>
      </c>
    </row>
    <row r="80" spans="1:8" x14ac:dyDescent="0.3">
      <c r="A80" t="s">
        <v>186</v>
      </c>
      <c r="B80" s="25">
        <v>45869</v>
      </c>
      <c r="C80" t="s">
        <v>317</v>
      </c>
      <c r="D80" s="4">
        <v>1017049</v>
      </c>
      <c r="E80" s="4">
        <v>803628.99</v>
      </c>
      <c r="F80" s="6">
        <v>0.79020000000000001</v>
      </c>
      <c r="G80" s="4">
        <v>213420.01</v>
      </c>
      <c r="H80" s="6">
        <v>0.20979999999999999</v>
      </c>
    </row>
    <row r="81" spans="1:8" x14ac:dyDescent="0.3">
      <c r="A81" t="s">
        <v>186</v>
      </c>
      <c r="B81" s="25">
        <v>45869</v>
      </c>
      <c r="C81" t="s">
        <v>316</v>
      </c>
      <c r="D81" s="4">
        <v>2095606.56</v>
      </c>
      <c r="E81" s="4">
        <v>1666349.35</v>
      </c>
      <c r="F81" s="6">
        <v>0.79520000000000002</v>
      </c>
      <c r="G81" s="4">
        <v>429257.21</v>
      </c>
      <c r="H81" s="6">
        <v>0.20480000000000001</v>
      </c>
    </row>
    <row r="82" spans="1:8" x14ac:dyDescent="0.3">
      <c r="A82" t="s">
        <v>186</v>
      </c>
      <c r="B82" s="25">
        <v>45900</v>
      </c>
      <c r="C82" t="s">
        <v>324</v>
      </c>
      <c r="D82" s="4">
        <v>1794943.51</v>
      </c>
      <c r="E82" s="4">
        <v>1578147.54</v>
      </c>
      <c r="F82" s="6">
        <v>0.87919999999999998</v>
      </c>
      <c r="G82" s="4">
        <v>216795.98</v>
      </c>
      <c r="H82" s="6">
        <v>0.1208</v>
      </c>
    </row>
    <row r="83" spans="1:8" x14ac:dyDescent="0.3">
      <c r="A83" t="s">
        <v>186</v>
      </c>
      <c r="B83" s="25">
        <v>45900</v>
      </c>
      <c r="C83" t="s">
        <v>323</v>
      </c>
      <c r="D83" s="4">
        <v>2233256.84</v>
      </c>
      <c r="E83" s="4">
        <v>1955473.82</v>
      </c>
      <c r="F83" s="6">
        <v>0.87560000000000004</v>
      </c>
      <c r="G83" s="4">
        <v>277783.02</v>
      </c>
      <c r="H83" s="6">
        <v>0.1244</v>
      </c>
    </row>
    <row r="84" spans="1:8" x14ac:dyDescent="0.3">
      <c r="A84" t="s">
        <v>186</v>
      </c>
      <c r="B84" s="25">
        <v>45900</v>
      </c>
      <c r="C84" t="s">
        <v>322</v>
      </c>
      <c r="D84" s="4">
        <v>1680864.59</v>
      </c>
      <c r="E84" s="4">
        <v>1478983.4</v>
      </c>
      <c r="F84" s="6">
        <v>0.87990000000000002</v>
      </c>
      <c r="G84" s="4">
        <v>201881.18</v>
      </c>
      <c r="H84" s="6">
        <v>0.1201</v>
      </c>
    </row>
    <row r="85" spans="1:8" x14ac:dyDescent="0.3">
      <c r="A85" t="s">
        <v>186</v>
      </c>
      <c r="B85" s="25">
        <v>45900</v>
      </c>
      <c r="C85" t="s">
        <v>321</v>
      </c>
      <c r="D85" s="4">
        <v>1408078.01</v>
      </c>
      <c r="E85" s="4">
        <v>1231225.01</v>
      </c>
      <c r="F85" s="6">
        <v>0.87439999999999996</v>
      </c>
      <c r="G85" s="4">
        <v>176853.01</v>
      </c>
      <c r="H85" s="6">
        <v>0.12559999999999999</v>
      </c>
    </row>
    <row r="86" spans="1:8" x14ac:dyDescent="0.3">
      <c r="A86" t="s">
        <v>186</v>
      </c>
      <c r="B86" s="25">
        <v>45900</v>
      </c>
      <c r="C86" t="s">
        <v>320</v>
      </c>
      <c r="D86" s="4">
        <v>1717739.15</v>
      </c>
      <c r="E86" s="4">
        <v>1502818.22</v>
      </c>
      <c r="F86" s="6">
        <v>0.87490000000000001</v>
      </c>
      <c r="G86" s="4">
        <v>214920.93</v>
      </c>
      <c r="H86" s="6">
        <v>0.12509999999999999</v>
      </c>
    </row>
    <row r="87" spans="1:8" x14ac:dyDescent="0.3">
      <c r="A87" t="s">
        <v>186</v>
      </c>
      <c r="B87" s="25">
        <v>45900</v>
      </c>
      <c r="C87" t="s">
        <v>319</v>
      </c>
      <c r="D87" s="4">
        <v>809614.92</v>
      </c>
      <c r="E87" s="4">
        <v>717160.83</v>
      </c>
      <c r="F87" s="6">
        <v>0.88580000000000003</v>
      </c>
      <c r="G87" s="4">
        <v>92454.09</v>
      </c>
      <c r="H87" s="6">
        <v>0.1142</v>
      </c>
    </row>
    <row r="88" spans="1:8" x14ac:dyDescent="0.3">
      <c r="A88" t="s">
        <v>186</v>
      </c>
      <c r="B88" s="25">
        <v>45900</v>
      </c>
      <c r="C88" t="s">
        <v>268</v>
      </c>
      <c r="D88" s="4">
        <v>740033</v>
      </c>
      <c r="E88" s="4">
        <v>647683.56000000006</v>
      </c>
      <c r="F88" s="6">
        <v>0.87519999999999998</v>
      </c>
      <c r="G88" s="4">
        <v>92349.45</v>
      </c>
      <c r="H88" s="6">
        <v>0.12479999999999999</v>
      </c>
    </row>
    <row r="89" spans="1:8" x14ac:dyDescent="0.3">
      <c r="A89" t="s">
        <v>186</v>
      </c>
      <c r="B89" s="25">
        <v>45900</v>
      </c>
      <c r="C89" t="s">
        <v>318</v>
      </c>
      <c r="D89" s="4">
        <v>1348996.27</v>
      </c>
      <c r="E89" s="4">
        <v>1177121.8600000001</v>
      </c>
      <c r="F89" s="6">
        <v>0.87260000000000004</v>
      </c>
      <c r="G89" s="4">
        <v>171874.41</v>
      </c>
      <c r="H89" s="6">
        <v>0.12740000000000001</v>
      </c>
    </row>
    <row r="90" spans="1:8" x14ac:dyDescent="0.3">
      <c r="A90" t="s">
        <v>186</v>
      </c>
      <c r="B90" s="25">
        <v>45900</v>
      </c>
      <c r="C90" t="s">
        <v>317</v>
      </c>
      <c r="D90" s="4">
        <v>1317912.7</v>
      </c>
      <c r="E90" s="4">
        <v>1159501.6599999999</v>
      </c>
      <c r="F90" s="6">
        <v>0.87980000000000003</v>
      </c>
      <c r="G90" s="4">
        <v>158411.04</v>
      </c>
      <c r="H90" s="6">
        <v>0.1202</v>
      </c>
    </row>
    <row r="91" spans="1:8" x14ac:dyDescent="0.3">
      <c r="A91" t="s">
        <v>186</v>
      </c>
      <c r="B91" s="25">
        <v>45900</v>
      </c>
      <c r="C91" t="s">
        <v>316</v>
      </c>
      <c r="D91" s="4">
        <v>2025929.66</v>
      </c>
      <c r="E91" s="4">
        <v>1784914.35</v>
      </c>
      <c r="F91" s="6">
        <v>0.88100000000000001</v>
      </c>
      <c r="G91" s="4">
        <v>241015.31</v>
      </c>
      <c r="H91" s="6">
        <v>0.11899999999999999</v>
      </c>
    </row>
    <row r="92" spans="1:8" x14ac:dyDescent="0.3">
      <c r="A92" t="s">
        <v>186</v>
      </c>
      <c r="B92" s="25">
        <v>45930</v>
      </c>
      <c r="C92" t="s">
        <v>324</v>
      </c>
      <c r="D92" s="4">
        <v>1489886.71</v>
      </c>
      <c r="E92" s="4">
        <v>1312377.44</v>
      </c>
      <c r="F92" s="6">
        <v>0.88090000000000002</v>
      </c>
      <c r="G92" s="4">
        <v>177509.28</v>
      </c>
      <c r="H92" s="6">
        <v>0.1191</v>
      </c>
    </row>
    <row r="93" spans="1:8" x14ac:dyDescent="0.3">
      <c r="A93" t="s">
        <v>186</v>
      </c>
      <c r="B93" s="25">
        <v>45930</v>
      </c>
      <c r="C93" t="s">
        <v>323</v>
      </c>
      <c r="D93" s="4">
        <v>2523821.46</v>
      </c>
      <c r="E93" s="4">
        <v>2197248.13</v>
      </c>
      <c r="F93" s="6">
        <v>0.87060000000000004</v>
      </c>
      <c r="G93" s="4">
        <v>326573.34000000003</v>
      </c>
      <c r="H93" s="6">
        <v>0.12939999999999999</v>
      </c>
    </row>
    <row r="94" spans="1:8" x14ac:dyDescent="0.3">
      <c r="A94" t="s">
        <v>186</v>
      </c>
      <c r="B94" s="25">
        <v>45930</v>
      </c>
      <c r="C94" t="s">
        <v>322</v>
      </c>
      <c r="D94" s="4">
        <v>2043622.53</v>
      </c>
      <c r="E94" s="4">
        <v>1728554.34</v>
      </c>
      <c r="F94" s="6">
        <v>0.8458</v>
      </c>
      <c r="G94" s="4">
        <v>315068.19</v>
      </c>
      <c r="H94" s="6">
        <v>0.1542</v>
      </c>
    </row>
    <row r="95" spans="1:8" x14ac:dyDescent="0.3">
      <c r="A95" t="s">
        <v>186</v>
      </c>
      <c r="B95" s="25">
        <v>45930</v>
      </c>
      <c r="C95" t="s">
        <v>321</v>
      </c>
      <c r="D95" s="4">
        <v>1504156.95</v>
      </c>
      <c r="E95" s="4">
        <v>1322654.32</v>
      </c>
      <c r="F95" s="6">
        <v>0.87929999999999997</v>
      </c>
      <c r="G95" s="4">
        <v>181502.62</v>
      </c>
      <c r="H95" s="6">
        <v>0.1207</v>
      </c>
    </row>
    <row r="96" spans="1:8" x14ac:dyDescent="0.3">
      <c r="A96" t="s">
        <v>186</v>
      </c>
      <c r="B96" s="25">
        <v>45930</v>
      </c>
      <c r="C96" t="s">
        <v>320</v>
      </c>
      <c r="D96" s="4">
        <v>1078340.8500000001</v>
      </c>
      <c r="E96" s="4">
        <v>928881.38</v>
      </c>
      <c r="F96" s="6">
        <v>0.86140000000000005</v>
      </c>
      <c r="G96" s="4">
        <v>149459.47</v>
      </c>
      <c r="H96" s="6">
        <v>0.1386</v>
      </c>
    </row>
    <row r="97" spans="1:8" x14ac:dyDescent="0.3">
      <c r="A97" t="s">
        <v>186</v>
      </c>
      <c r="B97" s="25">
        <v>45930</v>
      </c>
      <c r="C97" t="s">
        <v>319</v>
      </c>
      <c r="D97" s="4">
        <v>628049.03</v>
      </c>
      <c r="E97" s="4">
        <v>529395.91</v>
      </c>
      <c r="F97" s="6">
        <v>0.84289999999999998</v>
      </c>
      <c r="G97" s="4">
        <v>98653.1</v>
      </c>
      <c r="H97" s="6">
        <v>0.15709999999999999</v>
      </c>
    </row>
    <row r="98" spans="1:8" x14ac:dyDescent="0.3">
      <c r="A98" t="s">
        <v>186</v>
      </c>
      <c r="B98" s="25">
        <v>45930</v>
      </c>
      <c r="C98" t="s">
        <v>268</v>
      </c>
      <c r="D98" s="4">
        <v>1198450.33</v>
      </c>
      <c r="E98" s="4">
        <v>1022505.08</v>
      </c>
      <c r="F98" s="6">
        <v>0.85319999999999996</v>
      </c>
      <c r="G98" s="4">
        <v>175945.24</v>
      </c>
      <c r="H98" s="6">
        <v>0.14680000000000001</v>
      </c>
    </row>
    <row r="99" spans="1:8" x14ac:dyDescent="0.3">
      <c r="A99" t="s">
        <v>186</v>
      </c>
      <c r="B99" s="25">
        <v>45930</v>
      </c>
      <c r="C99" t="s">
        <v>318</v>
      </c>
      <c r="D99" s="4">
        <v>1524174.62</v>
      </c>
      <c r="E99" s="4">
        <v>1322207.1299999999</v>
      </c>
      <c r="F99" s="6">
        <v>0.86750000000000005</v>
      </c>
      <c r="G99" s="4">
        <v>201967.49</v>
      </c>
      <c r="H99" s="6">
        <v>0.13250000000000001</v>
      </c>
    </row>
    <row r="100" spans="1:8" x14ac:dyDescent="0.3">
      <c r="A100" t="s">
        <v>186</v>
      </c>
      <c r="B100" s="25">
        <v>45930</v>
      </c>
      <c r="C100" t="s">
        <v>317</v>
      </c>
      <c r="D100" s="4">
        <v>1238694.3600000001</v>
      </c>
      <c r="E100" s="4">
        <v>1068157.3500000001</v>
      </c>
      <c r="F100" s="6">
        <v>0.86229999999999996</v>
      </c>
      <c r="G100" s="4">
        <v>170537.01</v>
      </c>
      <c r="H100" s="6">
        <v>0.13769999999999999</v>
      </c>
    </row>
    <row r="101" spans="1:8" x14ac:dyDescent="0.3">
      <c r="A101" t="s">
        <v>186</v>
      </c>
      <c r="B101" s="25">
        <v>45930</v>
      </c>
      <c r="C101" t="s">
        <v>316</v>
      </c>
      <c r="D101" s="4">
        <v>1770281.23</v>
      </c>
      <c r="E101" s="4">
        <v>1559441.31</v>
      </c>
      <c r="F101" s="6">
        <v>0.88090000000000002</v>
      </c>
      <c r="G101" s="4">
        <v>210839.92</v>
      </c>
      <c r="H101" s="6">
        <v>0.1191</v>
      </c>
    </row>
    <row r="102" spans="1:8" x14ac:dyDescent="0.3">
      <c r="A102" t="s">
        <v>186</v>
      </c>
      <c r="B102" s="25">
        <v>45961</v>
      </c>
      <c r="C102" t="s">
        <v>324</v>
      </c>
      <c r="D102" s="4">
        <v>1617579.23</v>
      </c>
      <c r="E102" s="4">
        <v>1335886.17</v>
      </c>
      <c r="F102" s="6">
        <v>0.82589999999999997</v>
      </c>
      <c r="G102" s="4">
        <v>281693.05</v>
      </c>
      <c r="H102" s="6">
        <v>0.1741</v>
      </c>
    </row>
    <row r="103" spans="1:8" x14ac:dyDescent="0.3">
      <c r="A103" t="s">
        <v>186</v>
      </c>
      <c r="B103" s="25">
        <v>45961</v>
      </c>
      <c r="C103" t="s">
        <v>323</v>
      </c>
      <c r="D103" s="4">
        <v>2045173.41</v>
      </c>
      <c r="E103" s="4">
        <v>1689272.1</v>
      </c>
      <c r="F103" s="6">
        <v>0.82599999999999996</v>
      </c>
      <c r="G103" s="4">
        <v>355901.31</v>
      </c>
      <c r="H103" s="6">
        <v>0.17399999999999999</v>
      </c>
    </row>
    <row r="104" spans="1:8" x14ac:dyDescent="0.3">
      <c r="A104" t="s">
        <v>186</v>
      </c>
      <c r="B104" s="25">
        <v>45961</v>
      </c>
      <c r="C104" t="s">
        <v>322</v>
      </c>
      <c r="D104" s="4">
        <v>1064175.95</v>
      </c>
      <c r="E104" s="4">
        <v>882451.94</v>
      </c>
      <c r="F104" s="6">
        <v>0.82920000000000005</v>
      </c>
      <c r="G104" s="4">
        <v>181724.02</v>
      </c>
      <c r="H104" s="6">
        <v>0.17080000000000001</v>
      </c>
    </row>
    <row r="105" spans="1:8" x14ac:dyDescent="0.3">
      <c r="A105" t="s">
        <v>186</v>
      </c>
      <c r="B105" s="25">
        <v>45961</v>
      </c>
      <c r="C105" t="s">
        <v>321</v>
      </c>
      <c r="D105" s="4">
        <v>1273081.82</v>
      </c>
      <c r="E105" s="4">
        <v>1048809.22</v>
      </c>
      <c r="F105" s="6">
        <v>0.82379999999999998</v>
      </c>
      <c r="G105" s="4">
        <v>224272.59</v>
      </c>
      <c r="H105" s="6">
        <v>0.1762</v>
      </c>
    </row>
    <row r="106" spans="1:8" x14ac:dyDescent="0.3">
      <c r="A106" t="s">
        <v>186</v>
      </c>
      <c r="B106" s="25">
        <v>45961</v>
      </c>
      <c r="C106" t="s">
        <v>320</v>
      </c>
      <c r="D106" s="4">
        <v>1849840.46</v>
      </c>
      <c r="E106" s="4">
        <v>1525830.2</v>
      </c>
      <c r="F106" s="6">
        <v>0.82479999999999998</v>
      </c>
      <c r="G106" s="4">
        <v>324010.26</v>
      </c>
      <c r="H106" s="6">
        <v>0.17519999999999999</v>
      </c>
    </row>
    <row r="107" spans="1:8" x14ac:dyDescent="0.3">
      <c r="A107" t="s">
        <v>186</v>
      </c>
      <c r="B107" s="25">
        <v>45961</v>
      </c>
      <c r="C107" t="s">
        <v>319</v>
      </c>
      <c r="D107" s="4">
        <v>605284.41</v>
      </c>
      <c r="E107" s="4">
        <v>501618.73</v>
      </c>
      <c r="F107" s="6">
        <v>0.82869999999999999</v>
      </c>
      <c r="G107" s="4">
        <v>103665.68</v>
      </c>
      <c r="H107" s="6">
        <v>0.17130000000000001</v>
      </c>
    </row>
    <row r="108" spans="1:8" x14ac:dyDescent="0.3">
      <c r="A108" t="s">
        <v>186</v>
      </c>
      <c r="B108" s="25">
        <v>45961</v>
      </c>
      <c r="C108" t="s">
        <v>268</v>
      </c>
      <c r="D108" s="4">
        <v>991218.42</v>
      </c>
      <c r="E108" s="4">
        <v>817374.52</v>
      </c>
      <c r="F108" s="6">
        <v>0.8246</v>
      </c>
      <c r="G108" s="4">
        <v>173843.9</v>
      </c>
      <c r="H108" s="6">
        <v>0.1754</v>
      </c>
    </row>
    <row r="109" spans="1:8" x14ac:dyDescent="0.3">
      <c r="A109" t="s">
        <v>186</v>
      </c>
      <c r="B109" s="25">
        <v>45961</v>
      </c>
      <c r="C109" t="s">
        <v>318</v>
      </c>
      <c r="D109" s="4">
        <v>1508264.54</v>
      </c>
      <c r="E109" s="4">
        <v>1245633.22</v>
      </c>
      <c r="F109" s="6">
        <v>0.82589999999999997</v>
      </c>
      <c r="G109" s="4">
        <v>262631.31</v>
      </c>
      <c r="H109" s="6">
        <v>0.1741</v>
      </c>
    </row>
    <row r="110" spans="1:8" x14ac:dyDescent="0.3">
      <c r="A110" t="s">
        <v>186</v>
      </c>
      <c r="B110" s="25">
        <v>45961</v>
      </c>
      <c r="C110" t="s">
        <v>317</v>
      </c>
      <c r="D110" s="4">
        <v>1535423.53</v>
      </c>
      <c r="E110" s="4">
        <v>1265302.05</v>
      </c>
      <c r="F110" s="6">
        <v>0.82410000000000005</v>
      </c>
      <c r="G110" s="4">
        <v>270121.48</v>
      </c>
      <c r="H110" s="6">
        <v>0.1759</v>
      </c>
    </row>
    <row r="111" spans="1:8" x14ac:dyDescent="0.3">
      <c r="A111" t="s">
        <v>186</v>
      </c>
      <c r="B111" s="25">
        <v>45961</v>
      </c>
      <c r="C111" t="s">
        <v>316</v>
      </c>
      <c r="D111" s="4">
        <v>2421927.9900000002</v>
      </c>
      <c r="E111" s="4">
        <v>1995235.59</v>
      </c>
      <c r="F111" s="6">
        <v>0.82379999999999998</v>
      </c>
      <c r="G111" s="4">
        <v>426692.4</v>
      </c>
      <c r="H111" s="6">
        <v>0.1762</v>
      </c>
    </row>
    <row r="112" spans="1:8" x14ac:dyDescent="0.3">
      <c r="A112" t="s">
        <v>186</v>
      </c>
      <c r="B112" s="25">
        <v>45991</v>
      </c>
      <c r="C112" t="s">
        <v>324</v>
      </c>
      <c r="D112" s="4">
        <v>1835525.84</v>
      </c>
      <c r="E112" s="4">
        <v>1596516.21</v>
      </c>
      <c r="F112" s="6">
        <v>0.86980000000000002</v>
      </c>
      <c r="G112" s="4">
        <v>239009.62</v>
      </c>
      <c r="H112" s="6">
        <v>0.13020000000000001</v>
      </c>
    </row>
    <row r="113" spans="1:8" x14ac:dyDescent="0.3">
      <c r="A113" t="s">
        <v>186</v>
      </c>
      <c r="B113" s="25">
        <v>45991</v>
      </c>
      <c r="C113" t="s">
        <v>323</v>
      </c>
      <c r="D113" s="4">
        <v>2132261.7599999998</v>
      </c>
      <c r="E113" s="4">
        <v>1827988.4</v>
      </c>
      <c r="F113" s="6">
        <v>0.85729999999999995</v>
      </c>
      <c r="G113" s="4">
        <v>304273.37</v>
      </c>
      <c r="H113" s="6">
        <v>0.14269999999999999</v>
      </c>
    </row>
    <row r="114" spans="1:8" x14ac:dyDescent="0.3">
      <c r="A114" t="s">
        <v>186</v>
      </c>
      <c r="B114" s="25">
        <v>45991</v>
      </c>
      <c r="C114" t="s">
        <v>322</v>
      </c>
      <c r="D114" s="4">
        <v>2214779.09</v>
      </c>
      <c r="E114" s="4">
        <v>1890120.1</v>
      </c>
      <c r="F114" s="6">
        <v>0.85340000000000005</v>
      </c>
      <c r="G114" s="4">
        <v>324659</v>
      </c>
      <c r="H114" s="6">
        <v>0.14660000000000001</v>
      </c>
    </row>
    <row r="115" spans="1:8" x14ac:dyDescent="0.3">
      <c r="A115" t="s">
        <v>186</v>
      </c>
      <c r="B115" s="25">
        <v>45991</v>
      </c>
      <c r="C115" t="s">
        <v>321</v>
      </c>
      <c r="D115" s="4">
        <v>1084882.77</v>
      </c>
      <c r="E115" s="4">
        <v>942989.91</v>
      </c>
      <c r="F115" s="6">
        <v>0.86919999999999997</v>
      </c>
      <c r="G115" s="4">
        <v>141892.85999999999</v>
      </c>
      <c r="H115" s="6">
        <v>0.1308</v>
      </c>
    </row>
    <row r="116" spans="1:8" x14ac:dyDescent="0.3">
      <c r="A116" t="s">
        <v>186</v>
      </c>
      <c r="B116" s="25">
        <v>45991</v>
      </c>
      <c r="C116" t="s">
        <v>320</v>
      </c>
      <c r="D116" s="4">
        <v>1732475.18</v>
      </c>
      <c r="E116" s="4">
        <v>1498937.47</v>
      </c>
      <c r="F116" s="6">
        <v>0.86519999999999997</v>
      </c>
      <c r="G116" s="4">
        <v>233537.71</v>
      </c>
      <c r="H116" s="6">
        <v>0.1348</v>
      </c>
    </row>
    <row r="117" spans="1:8" x14ac:dyDescent="0.3">
      <c r="A117" t="s">
        <v>186</v>
      </c>
      <c r="B117" s="25">
        <v>45991</v>
      </c>
      <c r="C117" t="s">
        <v>319</v>
      </c>
      <c r="D117" s="4">
        <v>839182.96</v>
      </c>
      <c r="E117" s="4">
        <v>731403.84</v>
      </c>
      <c r="F117" s="6">
        <v>0.87160000000000004</v>
      </c>
      <c r="G117" s="4">
        <v>107779.13</v>
      </c>
      <c r="H117" s="6">
        <v>0.12839999999999999</v>
      </c>
    </row>
    <row r="118" spans="1:8" x14ac:dyDescent="0.3">
      <c r="A118" t="s">
        <v>186</v>
      </c>
      <c r="B118" s="25">
        <v>45991</v>
      </c>
      <c r="C118" t="s">
        <v>268</v>
      </c>
      <c r="D118" s="4">
        <v>692436.12</v>
      </c>
      <c r="E118" s="4">
        <v>588180.66</v>
      </c>
      <c r="F118" s="6">
        <v>0.84940000000000004</v>
      </c>
      <c r="G118" s="4">
        <v>104255.48</v>
      </c>
      <c r="H118" s="6">
        <v>0.15060000000000001</v>
      </c>
    </row>
    <row r="119" spans="1:8" x14ac:dyDescent="0.3">
      <c r="A119" t="s">
        <v>186</v>
      </c>
      <c r="B119" s="25">
        <v>45991</v>
      </c>
      <c r="C119" t="s">
        <v>318</v>
      </c>
      <c r="D119" s="4">
        <v>1724672.72</v>
      </c>
      <c r="E119" s="4">
        <v>1485063.32</v>
      </c>
      <c r="F119" s="6">
        <v>0.86109999999999998</v>
      </c>
      <c r="G119" s="4">
        <v>239609.4</v>
      </c>
      <c r="H119" s="6">
        <v>0.1389</v>
      </c>
    </row>
    <row r="120" spans="1:8" x14ac:dyDescent="0.3">
      <c r="A120" t="s">
        <v>186</v>
      </c>
      <c r="B120" s="25">
        <v>45991</v>
      </c>
      <c r="C120" t="s">
        <v>317</v>
      </c>
      <c r="D120" s="4">
        <v>1171269.95</v>
      </c>
      <c r="E120" s="4">
        <v>1007253.12</v>
      </c>
      <c r="F120" s="6">
        <v>0.86</v>
      </c>
      <c r="G120" s="4">
        <v>164016.84</v>
      </c>
      <c r="H120" s="6">
        <v>0.14000000000000001</v>
      </c>
    </row>
    <row r="121" spans="1:8" x14ac:dyDescent="0.3">
      <c r="A121" t="s">
        <v>186</v>
      </c>
      <c r="B121" s="25">
        <v>45991</v>
      </c>
      <c r="C121" t="s">
        <v>316</v>
      </c>
      <c r="D121" s="4">
        <v>2437537.89</v>
      </c>
      <c r="E121" s="4">
        <v>2118929.2200000002</v>
      </c>
      <c r="F121" s="6">
        <v>0.86929999999999996</v>
      </c>
      <c r="G121" s="4">
        <v>318608.67</v>
      </c>
      <c r="H121" s="6">
        <v>0.13070000000000001</v>
      </c>
    </row>
    <row r="122" spans="1:8" x14ac:dyDescent="0.3">
      <c r="A122" t="s">
        <v>192</v>
      </c>
      <c r="B122" s="25">
        <v>45657</v>
      </c>
      <c r="C122" t="s">
        <v>324</v>
      </c>
      <c r="D122" s="4">
        <v>440116.73</v>
      </c>
      <c r="E122" s="4">
        <v>331011.78999999998</v>
      </c>
      <c r="F122" s="6">
        <v>0.75209999999999999</v>
      </c>
      <c r="G122" s="4">
        <v>109104.94</v>
      </c>
      <c r="H122" s="6">
        <v>0.24790000000000001</v>
      </c>
    </row>
    <row r="123" spans="1:8" x14ac:dyDescent="0.3">
      <c r="A123" t="s">
        <v>192</v>
      </c>
      <c r="B123" s="25">
        <v>45657</v>
      </c>
      <c r="C123" t="s">
        <v>323</v>
      </c>
      <c r="D123" s="4">
        <v>781736.07</v>
      </c>
      <c r="E123" s="4">
        <v>587943.69999999995</v>
      </c>
      <c r="F123" s="6">
        <v>0.75209999999999999</v>
      </c>
      <c r="G123" s="4">
        <v>193792.37</v>
      </c>
      <c r="H123" s="6">
        <v>0.24790000000000001</v>
      </c>
    </row>
    <row r="124" spans="1:8" x14ac:dyDescent="0.3">
      <c r="A124" t="s">
        <v>192</v>
      </c>
      <c r="B124" s="25">
        <v>45657</v>
      </c>
      <c r="C124" t="s">
        <v>322</v>
      </c>
      <c r="D124" s="4">
        <v>813406.04</v>
      </c>
      <c r="E124" s="4">
        <v>611762.68000000005</v>
      </c>
      <c r="F124" s="6">
        <v>0.75209999999999999</v>
      </c>
      <c r="G124" s="4">
        <v>201643.36</v>
      </c>
      <c r="H124" s="6">
        <v>0.24790000000000001</v>
      </c>
    </row>
    <row r="125" spans="1:8" x14ac:dyDescent="0.3">
      <c r="A125" t="s">
        <v>192</v>
      </c>
      <c r="B125" s="25">
        <v>45657</v>
      </c>
      <c r="C125" t="s">
        <v>321</v>
      </c>
      <c r="D125" s="4">
        <v>447857.66</v>
      </c>
      <c r="E125" s="4">
        <v>336833.74</v>
      </c>
      <c r="F125" s="6">
        <v>0.75209999999999999</v>
      </c>
      <c r="G125" s="4">
        <v>111023.91</v>
      </c>
      <c r="H125" s="6">
        <v>0.24790000000000001</v>
      </c>
    </row>
    <row r="126" spans="1:8" x14ac:dyDescent="0.3">
      <c r="A126" t="s">
        <v>192</v>
      </c>
      <c r="B126" s="25">
        <v>45657</v>
      </c>
      <c r="C126" t="s">
        <v>320</v>
      </c>
      <c r="D126" s="4">
        <v>372905.87</v>
      </c>
      <c r="E126" s="4">
        <v>280462.5</v>
      </c>
      <c r="F126" s="6">
        <v>0.75209999999999999</v>
      </c>
      <c r="G126" s="4">
        <v>92443.36</v>
      </c>
      <c r="H126" s="6">
        <v>0.24790000000000001</v>
      </c>
    </row>
    <row r="127" spans="1:8" x14ac:dyDescent="0.3">
      <c r="A127" t="s">
        <v>192</v>
      </c>
      <c r="B127" s="25">
        <v>45657</v>
      </c>
      <c r="C127" t="s">
        <v>319</v>
      </c>
      <c r="D127" s="4">
        <v>79575.02</v>
      </c>
      <c r="E127" s="4">
        <v>59848.38</v>
      </c>
      <c r="F127" s="6">
        <v>0.75209999999999999</v>
      </c>
      <c r="G127" s="4">
        <v>19726.650000000001</v>
      </c>
      <c r="H127" s="6">
        <v>0.24790000000000001</v>
      </c>
    </row>
    <row r="128" spans="1:8" x14ac:dyDescent="0.3">
      <c r="A128" t="s">
        <v>192</v>
      </c>
      <c r="B128" s="25">
        <v>45657</v>
      </c>
      <c r="C128" t="s">
        <v>268</v>
      </c>
      <c r="D128" s="4">
        <v>417392.28</v>
      </c>
      <c r="E128" s="4">
        <v>313920.73</v>
      </c>
      <c r="F128" s="6">
        <v>0.75209999999999999</v>
      </c>
      <c r="G128" s="4">
        <v>103471.55</v>
      </c>
      <c r="H128" s="6">
        <v>0.24790000000000001</v>
      </c>
    </row>
    <row r="129" spans="1:8" x14ac:dyDescent="0.3">
      <c r="A129" t="s">
        <v>192</v>
      </c>
      <c r="B129" s="25">
        <v>45657</v>
      </c>
      <c r="C129" t="s">
        <v>318</v>
      </c>
      <c r="D129" s="4">
        <v>217307.89</v>
      </c>
      <c r="E129" s="4">
        <v>163437.26999999999</v>
      </c>
      <c r="F129" s="6">
        <v>0.75209999999999999</v>
      </c>
      <c r="G129" s="4">
        <v>53870.63</v>
      </c>
      <c r="H129" s="6">
        <v>0.24790000000000001</v>
      </c>
    </row>
    <row r="130" spans="1:8" x14ac:dyDescent="0.3">
      <c r="A130" t="s">
        <v>192</v>
      </c>
      <c r="B130" s="25">
        <v>45657</v>
      </c>
      <c r="C130" t="s">
        <v>317</v>
      </c>
      <c r="D130" s="4">
        <v>228548.85</v>
      </c>
      <c r="E130" s="4">
        <v>171891.59</v>
      </c>
      <c r="F130" s="6">
        <v>0.75209999999999999</v>
      </c>
      <c r="G130" s="4">
        <v>56657.26</v>
      </c>
      <c r="H130" s="6">
        <v>0.24790000000000001</v>
      </c>
    </row>
    <row r="131" spans="1:8" x14ac:dyDescent="0.3">
      <c r="A131" t="s">
        <v>192</v>
      </c>
      <c r="B131" s="25">
        <v>45657</v>
      </c>
      <c r="C131" t="s">
        <v>316</v>
      </c>
      <c r="D131" s="4">
        <v>746122.89</v>
      </c>
      <c r="E131" s="4">
        <v>561159.03</v>
      </c>
      <c r="F131" s="6">
        <v>0.75209999999999999</v>
      </c>
      <c r="G131" s="4">
        <v>184963.86</v>
      </c>
      <c r="H131" s="6">
        <v>0.24790000000000001</v>
      </c>
    </row>
    <row r="132" spans="1:8" x14ac:dyDescent="0.3">
      <c r="A132" t="s">
        <v>192</v>
      </c>
      <c r="B132" s="25">
        <v>45688</v>
      </c>
      <c r="C132" t="s">
        <v>324</v>
      </c>
      <c r="D132" s="4">
        <v>674978.18</v>
      </c>
      <c r="E132" s="4">
        <v>594993.27</v>
      </c>
      <c r="F132" s="6">
        <v>0.88149999999999995</v>
      </c>
      <c r="G132" s="4">
        <v>79984.91</v>
      </c>
      <c r="H132" s="6">
        <v>0.11849999999999999</v>
      </c>
    </row>
    <row r="133" spans="1:8" x14ac:dyDescent="0.3">
      <c r="A133" t="s">
        <v>192</v>
      </c>
      <c r="B133" s="25">
        <v>45688</v>
      </c>
      <c r="C133" t="s">
        <v>323</v>
      </c>
      <c r="D133" s="4">
        <v>484493.91</v>
      </c>
      <c r="E133" s="4">
        <v>427081.38</v>
      </c>
      <c r="F133" s="6">
        <v>0.88149999999999995</v>
      </c>
      <c r="G133" s="4">
        <v>57412.53</v>
      </c>
      <c r="H133" s="6">
        <v>0.11849999999999999</v>
      </c>
    </row>
    <row r="134" spans="1:8" x14ac:dyDescent="0.3">
      <c r="A134" t="s">
        <v>192</v>
      </c>
      <c r="B134" s="25">
        <v>45688</v>
      </c>
      <c r="C134" t="s">
        <v>322</v>
      </c>
      <c r="D134" s="4">
        <v>718431.55</v>
      </c>
      <c r="E134" s="4">
        <v>633297.41</v>
      </c>
      <c r="F134" s="6">
        <v>0.88149999999999995</v>
      </c>
      <c r="G134" s="4">
        <v>85134.14</v>
      </c>
      <c r="H134" s="6">
        <v>0.11849999999999999</v>
      </c>
    </row>
    <row r="135" spans="1:8" x14ac:dyDescent="0.3">
      <c r="A135" t="s">
        <v>192</v>
      </c>
      <c r="B135" s="25">
        <v>45688</v>
      </c>
      <c r="C135" t="s">
        <v>321</v>
      </c>
      <c r="D135" s="4">
        <v>584537.62</v>
      </c>
      <c r="E135" s="4">
        <v>515269.91</v>
      </c>
      <c r="F135" s="6">
        <v>0.88149999999999995</v>
      </c>
      <c r="G135" s="4">
        <v>69267.710000000006</v>
      </c>
      <c r="H135" s="6">
        <v>0.11849999999999999</v>
      </c>
    </row>
    <row r="136" spans="1:8" x14ac:dyDescent="0.3">
      <c r="A136" t="s">
        <v>192</v>
      </c>
      <c r="B136" s="25">
        <v>45688</v>
      </c>
      <c r="C136" t="s">
        <v>320</v>
      </c>
      <c r="D136" s="4">
        <v>470481.8</v>
      </c>
      <c r="E136" s="4">
        <v>414729.71</v>
      </c>
      <c r="F136" s="6">
        <v>0.88149999999999995</v>
      </c>
      <c r="G136" s="4">
        <v>55752.09</v>
      </c>
      <c r="H136" s="6">
        <v>0.11849999999999999</v>
      </c>
    </row>
    <row r="137" spans="1:8" x14ac:dyDescent="0.3">
      <c r="A137" t="s">
        <v>192</v>
      </c>
      <c r="B137" s="25">
        <v>45688</v>
      </c>
      <c r="C137" t="s">
        <v>319</v>
      </c>
      <c r="D137" s="4">
        <v>151697.62</v>
      </c>
      <c r="E137" s="4">
        <v>133721.45000000001</v>
      </c>
      <c r="F137" s="6">
        <v>0.88149999999999995</v>
      </c>
      <c r="G137" s="4">
        <v>17976.169999999998</v>
      </c>
      <c r="H137" s="6">
        <v>0.11849999999999999</v>
      </c>
    </row>
    <row r="138" spans="1:8" x14ac:dyDescent="0.3">
      <c r="A138" t="s">
        <v>192</v>
      </c>
      <c r="B138" s="25">
        <v>45688</v>
      </c>
      <c r="C138" t="s">
        <v>268</v>
      </c>
      <c r="D138" s="4">
        <v>285640.89</v>
      </c>
      <c r="E138" s="4">
        <v>251792.45</v>
      </c>
      <c r="F138" s="6">
        <v>0.88149999999999995</v>
      </c>
      <c r="G138" s="4">
        <v>33848.449999999997</v>
      </c>
      <c r="H138" s="6">
        <v>0.11849999999999999</v>
      </c>
    </row>
    <row r="139" spans="1:8" x14ac:dyDescent="0.3">
      <c r="A139" t="s">
        <v>192</v>
      </c>
      <c r="B139" s="25">
        <v>45688</v>
      </c>
      <c r="C139" t="s">
        <v>318</v>
      </c>
      <c r="D139" s="4">
        <v>723853.67</v>
      </c>
      <c r="E139" s="4">
        <v>638077.01</v>
      </c>
      <c r="F139" s="6">
        <v>0.88149999999999995</v>
      </c>
      <c r="G139" s="4">
        <v>85776.66</v>
      </c>
      <c r="H139" s="6">
        <v>0.11849999999999999</v>
      </c>
    </row>
    <row r="140" spans="1:8" x14ac:dyDescent="0.3">
      <c r="A140" t="s">
        <v>192</v>
      </c>
      <c r="B140" s="25">
        <v>45688</v>
      </c>
      <c r="C140" t="s">
        <v>317</v>
      </c>
      <c r="D140" s="4">
        <v>143979.14000000001</v>
      </c>
      <c r="E140" s="4">
        <v>126917.61</v>
      </c>
      <c r="F140" s="6">
        <v>0.88149999999999995</v>
      </c>
      <c r="G140" s="4">
        <v>17061.53</v>
      </c>
      <c r="H140" s="6">
        <v>0.11849999999999999</v>
      </c>
    </row>
    <row r="141" spans="1:8" x14ac:dyDescent="0.3">
      <c r="A141" t="s">
        <v>192</v>
      </c>
      <c r="B141" s="25">
        <v>45688</v>
      </c>
      <c r="C141" t="s">
        <v>316</v>
      </c>
      <c r="D141" s="4">
        <v>311744.05</v>
      </c>
      <c r="E141" s="4">
        <v>274802.38</v>
      </c>
      <c r="F141" s="6">
        <v>0.88149999999999995</v>
      </c>
      <c r="G141" s="4">
        <v>36941.67</v>
      </c>
      <c r="H141" s="6">
        <v>0.11849999999999999</v>
      </c>
    </row>
    <row r="142" spans="1:8" x14ac:dyDescent="0.3">
      <c r="A142" t="s">
        <v>192</v>
      </c>
      <c r="B142" s="25">
        <v>45716</v>
      </c>
      <c r="C142" t="s">
        <v>324</v>
      </c>
      <c r="D142" s="4">
        <v>649948.63</v>
      </c>
      <c r="E142" s="4">
        <v>513849.38</v>
      </c>
      <c r="F142" s="6">
        <v>0.79059999999999997</v>
      </c>
      <c r="G142" s="4">
        <v>136099.24</v>
      </c>
      <c r="H142" s="6">
        <v>0.2094</v>
      </c>
    </row>
    <row r="143" spans="1:8" x14ac:dyDescent="0.3">
      <c r="A143" t="s">
        <v>192</v>
      </c>
      <c r="B143" s="25">
        <v>45716</v>
      </c>
      <c r="C143" t="s">
        <v>323</v>
      </c>
      <c r="D143" s="4">
        <v>743392.9</v>
      </c>
      <c r="E143" s="4">
        <v>587726.43000000005</v>
      </c>
      <c r="F143" s="6">
        <v>0.79059999999999997</v>
      </c>
      <c r="G143" s="4">
        <v>155666.47</v>
      </c>
      <c r="H143" s="6">
        <v>0.2094</v>
      </c>
    </row>
    <row r="144" spans="1:8" x14ac:dyDescent="0.3">
      <c r="A144" t="s">
        <v>192</v>
      </c>
      <c r="B144" s="25">
        <v>45716</v>
      </c>
      <c r="C144" t="s">
        <v>322</v>
      </c>
      <c r="D144" s="4">
        <v>825895.22</v>
      </c>
      <c r="E144" s="4">
        <v>652952.76</v>
      </c>
      <c r="F144" s="6">
        <v>0.79059999999999997</v>
      </c>
      <c r="G144" s="4">
        <v>172942.46</v>
      </c>
      <c r="H144" s="6">
        <v>0.2094</v>
      </c>
    </row>
    <row r="145" spans="1:8" x14ac:dyDescent="0.3">
      <c r="A145" t="s">
        <v>192</v>
      </c>
      <c r="B145" s="25">
        <v>45716</v>
      </c>
      <c r="C145" t="s">
        <v>321</v>
      </c>
      <c r="D145" s="4">
        <v>335274.65999999997</v>
      </c>
      <c r="E145" s="4">
        <v>265068.15000000002</v>
      </c>
      <c r="F145" s="6">
        <v>0.79059999999999997</v>
      </c>
      <c r="G145" s="4">
        <v>70206.509999999995</v>
      </c>
      <c r="H145" s="6">
        <v>0.2094</v>
      </c>
    </row>
    <row r="146" spans="1:8" x14ac:dyDescent="0.3">
      <c r="A146" t="s">
        <v>192</v>
      </c>
      <c r="B146" s="25">
        <v>45716</v>
      </c>
      <c r="C146" t="s">
        <v>320</v>
      </c>
      <c r="D146" s="4">
        <v>315252.28999999998</v>
      </c>
      <c r="E146" s="4">
        <v>249238.46</v>
      </c>
      <c r="F146" s="6">
        <v>0.79059999999999997</v>
      </c>
      <c r="G146" s="4">
        <v>66013.83</v>
      </c>
      <c r="H146" s="6">
        <v>0.2094</v>
      </c>
    </row>
    <row r="147" spans="1:8" x14ac:dyDescent="0.3">
      <c r="A147" t="s">
        <v>192</v>
      </c>
      <c r="B147" s="25">
        <v>45716</v>
      </c>
      <c r="C147" t="s">
        <v>319</v>
      </c>
      <c r="D147" s="4">
        <v>113009.69</v>
      </c>
      <c r="E147" s="4">
        <v>89345.46</v>
      </c>
      <c r="F147" s="6">
        <v>0.79059999999999997</v>
      </c>
      <c r="G147" s="4">
        <v>23664.23</v>
      </c>
      <c r="H147" s="6">
        <v>0.2094</v>
      </c>
    </row>
    <row r="148" spans="1:8" x14ac:dyDescent="0.3">
      <c r="A148" t="s">
        <v>192</v>
      </c>
      <c r="B148" s="25">
        <v>45716</v>
      </c>
      <c r="C148" t="s">
        <v>268</v>
      </c>
      <c r="D148" s="4">
        <v>258445.68</v>
      </c>
      <c r="E148" s="4">
        <v>204327.15</v>
      </c>
      <c r="F148" s="6">
        <v>0.79059999999999997</v>
      </c>
      <c r="G148" s="4">
        <v>54118.53</v>
      </c>
      <c r="H148" s="6">
        <v>0.2094</v>
      </c>
    </row>
    <row r="149" spans="1:8" x14ac:dyDescent="0.3">
      <c r="A149" t="s">
        <v>192</v>
      </c>
      <c r="B149" s="25">
        <v>45716</v>
      </c>
      <c r="C149" t="s">
        <v>318</v>
      </c>
      <c r="D149" s="4">
        <v>657750.13</v>
      </c>
      <c r="E149" s="4">
        <v>520017.25</v>
      </c>
      <c r="F149" s="6">
        <v>0.79059999999999997</v>
      </c>
      <c r="G149" s="4">
        <v>137732.88</v>
      </c>
      <c r="H149" s="6">
        <v>0.2094</v>
      </c>
    </row>
    <row r="150" spans="1:8" x14ac:dyDescent="0.3">
      <c r="A150" t="s">
        <v>192</v>
      </c>
      <c r="B150" s="25">
        <v>45716</v>
      </c>
      <c r="C150" t="s">
        <v>317</v>
      </c>
      <c r="D150" s="4">
        <v>373928.49</v>
      </c>
      <c r="E150" s="4">
        <v>295627.87</v>
      </c>
      <c r="F150" s="6">
        <v>0.79059999999999997</v>
      </c>
      <c r="G150" s="4">
        <v>78300.63</v>
      </c>
      <c r="H150" s="6">
        <v>0.2094</v>
      </c>
    </row>
    <row r="151" spans="1:8" x14ac:dyDescent="0.3">
      <c r="A151" t="s">
        <v>192</v>
      </c>
      <c r="B151" s="25">
        <v>45716</v>
      </c>
      <c r="C151" t="s">
        <v>316</v>
      </c>
      <c r="D151" s="4">
        <v>417222.35</v>
      </c>
      <c r="E151" s="4">
        <v>329855.99</v>
      </c>
      <c r="F151" s="6">
        <v>0.79059999999999997</v>
      </c>
      <c r="G151" s="4">
        <v>87366.36</v>
      </c>
      <c r="H151" s="6">
        <v>0.2094</v>
      </c>
    </row>
    <row r="152" spans="1:8" x14ac:dyDescent="0.3">
      <c r="A152" t="s">
        <v>192</v>
      </c>
      <c r="B152" s="25">
        <v>45747</v>
      </c>
      <c r="C152" t="s">
        <v>324</v>
      </c>
      <c r="D152" s="4">
        <v>322197.27</v>
      </c>
      <c r="E152" s="4">
        <v>250959.46</v>
      </c>
      <c r="F152" s="6">
        <v>0.77890000000000004</v>
      </c>
      <c r="G152" s="4">
        <v>71237.820000000007</v>
      </c>
      <c r="H152" s="6">
        <v>0.22109999999999999</v>
      </c>
    </row>
    <row r="153" spans="1:8" x14ac:dyDescent="0.3">
      <c r="A153" t="s">
        <v>192</v>
      </c>
      <c r="B153" s="25">
        <v>45747</v>
      </c>
      <c r="C153" t="s">
        <v>323</v>
      </c>
      <c r="D153" s="4">
        <v>501290.17</v>
      </c>
      <c r="E153" s="4">
        <v>390454.91</v>
      </c>
      <c r="F153" s="6">
        <v>0.77890000000000004</v>
      </c>
      <c r="G153" s="4">
        <v>110835.26</v>
      </c>
      <c r="H153" s="6">
        <v>0.22109999999999999</v>
      </c>
    </row>
    <row r="154" spans="1:8" x14ac:dyDescent="0.3">
      <c r="A154" t="s">
        <v>192</v>
      </c>
      <c r="B154" s="25">
        <v>45747</v>
      </c>
      <c r="C154" t="s">
        <v>322</v>
      </c>
      <c r="D154" s="4">
        <v>936102.68</v>
      </c>
      <c r="E154" s="4">
        <v>729130.38</v>
      </c>
      <c r="F154" s="6">
        <v>0.77890000000000004</v>
      </c>
      <c r="G154" s="4">
        <v>206972.3</v>
      </c>
      <c r="H154" s="6">
        <v>0.22109999999999999</v>
      </c>
    </row>
    <row r="155" spans="1:8" x14ac:dyDescent="0.3">
      <c r="A155" t="s">
        <v>192</v>
      </c>
      <c r="B155" s="25">
        <v>45747</v>
      </c>
      <c r="C155" t="s">
        <v>321</v>
      </c>
      <c r="D155" s="4">
        <v>301939.69</v>
      </c>
      <c r="E155" s="4">
        <v>235180.82</v>
      </c>
      <c r="F155" s="6">
        <v>0.77890000000000004</v>
      </c>
      <c r="G155" s="4">
        <v>66758.86</v>
      </c>
      <c r="H155" s="6">
        <v>0.22109999999999999</v>
      </c>
    </row>
    <row r="156" spans="1:8" x14ac:dyDescent="0.3">
      <c r="A156" t="s">
        <v>192</v>
      </c>
      <c r="B156" s="25">
        <v>45747</v>
      </c>
      <c r="C156" t="s">
        <v>320</v>
      </c>
      <c r="D156" s="4">
        <v>333653.75</v>
      </c>
      <c r="E156" s="4">
        <v>259882.91</v>
      </c>
      <c r="F156" s="6">
        <v>0.77890000000000004</v>
      </c>
      <c r="G156" s="4">
        <v>73770.84</v>
      </c>
      <c r="H156" s="6">
        <v>0.22109999999999999</v>
      </c>
    </row>
    <row r="157" spans="1:8" x14ac:dyDescent="0.3">
      <c r="A157" t="s">
        <v>192</v>
      </c>
      <c r="B157" s="25">
        <v>45747</v>
      </c>
      <c r="C157" t="s">
        <v>319</v>
      </c>
      <c r="D157" s="4">
        <v>277253.44</v>
      </c>
      <c r="E157" s="4">
        <v>215952.71</v>
      </c>
      <c r="F157" s="6">
        <v>0.77890000000000004</v>
      </c>
      <c r="G157" s="4">
        <v>61300.74</v>
      </c>
      <c r="H157" s="6">
        <v>0.22109999999999999</v>
      </c>
    </row>
    <row r="158" spans="1:8" x14ac:dyDescent="0.3">
      <c r="A158" t="s">
        <v>192</v>
      </c>
      <c r="B158" s="25">
        <v>45747</v>
      </c>
      <c r="C158" t="s">
        <v>268</v>
      </c>
      <c r="D158" s="4">
        <v>261400.84</v>
      </c>
      <c r="E158" s="4">
        <v>203605.11</v>
      </c>
      <c r="F158" s="6">
        <v>0.77890000000000004</v>
      </c>
      <c r="G158" s="4">
        <v>57795.72</v>
      </c>
      <c r="H158" s="6">
        <v>0.22109999999999999</v>
      </c>
    </row>
    <row r="159" spans="1:8" x14ac:dyDescent="0.3">
      <c r="A159" t="s">
        <v>192</v>
      </c>
      <c r="B159" s="25">
        <v>45747</v>
      </c>
      <c r="C159" t="s">
        <v>318</v>
      </c>
      <c r="D159" s="4">
        <v>621012.61</v>
      </c>
      <c r="E159" s="4">
        <v>483706.72</v>
      </c>
      <c r="F159" s="6">
        <v>0.77890000000000004</v>
      </c>
      <c r="G159" s="4">
        <v>137305.89000000001</v>
      </c>
      <c r="H159" s="6">
        <v>0.22109999999999999</v>
      </c>
    </row>
    <row r="160" spans="1:8" x14ac:dyDescent="0.3">
      <c r="A160" t="s">
        <v>192</v>
      </c>
      <c r="B160" s="25">
        <v>45747</v>
      </c>
      <c r="C160" t="s">
        <v>317</v>
      </c>
      <c r="D160" s="4">
        <v>282061.46000000002</v>
      </c>
      <c r="E160" s="4">
        <v>219697.67</v>
      </c>
      <c r="F160" s="6">
        <v>0.77890000000000004</v>
      </c>
      <c r="G160" s="4">
        <v>62363.79</v>
      </c>
      <c r="H160" s="6">
        <v>0.22109999999999999</v>
      </c>
    </row>
    <row r="161" spans="1:8" x14ac:dyDescent="0.3">
      <c r="A161" t="s">
        <v>192</v>
      </c>
      <c r="B161" s="25">
        <v>45747</v>
      </c>
      <c r="C161" t="s">
        <v>316</v>
      </c>
      <c r="D161" s="4">
        <v>577825.07999999996</v>
      </c>
      <c r="E161" s="4">
        <v>450067.95</v>
      </c>
      <c r="F161" s="6">
        <v>0.77890000000000004</v>
      </c>
      <c r="G161" s="4">
        <v>127757.12</v>
      </c>
      <c r="H161" s="6">
        <v>0.22109999999999999</v>
      </c>
    </row>
    <row r="162" spans="1:8" x14ac:dyDescent="0.3">
      <c r="A162" t="s">
        <v>192</v>
      </c>
      <c r="B162" s="25">
        <v>45777</v>
      </c>
      <c r="C162" t="s">
        <v>324</v>
      </c>
      <c r="D162" s="4">
        <v>428662.98</v>
      </c>
      <c r="E162" s="4">
        <v>378080.75</v>
      </c>
      <c r="F162" s="6">
        <v>0.88200000000000001</v>
      </c>
      <c r="G162" s="4">
        <v>50582.23</v>
      </c>
      <c r="H162" s="6">
        <v>0.11799999999999999</v>
      </c>
    </row>
    <row r="163" spans="1:8" x14ac:dyDescent="0.3">
      <c r="A163" t="s">
        <v>192</v>
      </c>
      <c r="B163" s="25">
        <v>45777</v>
      </c>
      <c r="C163" t="s">
        <v>323</v>
      </c>
      <c r="D163" s="4">
        <v>563981.27</v>
      </c>
      <c r="E163" s="4">
        <v>497431.48</v>
      </c>
      <c r="F163" s="6">
        <v>0.88200000000000001</v>
      </c>
      <c r="G163" s="4">
        <v>66549.789999999994</v>
      </c>
      <c r="H163" s="6">
        <v>0.11799999999999999</v>
      </c>
    </row>
    <row r="164" spans="1:8" x14ac:dyDescent="0.3">
      <c r="A164" t="s">
        <v>192</v>
      </c>
      <c r="B164" s="25">
        <v>45777</v>
      </c>
      <c r="C164" t="s">
        <v>322</v>
      </c>
      <c r="D164" s="4">
        <v>792306.68</v>
      </c>
      <c r="E164" s="4">
        <v>698814.5</v>
      </c>
      <c r="F164" s="6">
        <v>0.88200000000000001</v>
      </c>
      <c r="G164" s="4">
        <v>93492.19</v>
      </c>
      <c r="H164" s="6">
        <v>0.11799999999999999</v>
      </c>
    </row>
    <row r="165" spans="1:8" x14ac:dyDescent="0.3">
      <c r="A165" t="s">
        <v>192</v>
      </c>
      <c r="B165" s="25">
        <v>45777</v>
      </c>
      <c r="C165" t="s">
        <v>321</v>
      </c>
      <c r="D165" s="4">
        <v>259813.49</v>
      </c>
      <c r="E165" s="4">
        <v>229155.5</v>
      </c>
      <c r="F165" s="6">
        <v>0.88200000000000001</v>
      </c>
      <c r="G165" s="4">
        <v>30657.99</v>
      </c>
      <c r="H165" s="6">
        <v>0.11799999999999999</v>
      </c>
    </row>
    <row r="166" spans="1:8" x14ac:dyDescent="0.3">
      <c r="A166" t="s">
        <v>192</v>
      </c>
      <c r="B166" s="25">
        <v>45777</v>
      </c>
      <c r="C166" t="s">
        <v>320</v>
      </c>
      <c r="D166" s="4">
        <v>706551.06</v>
      </c>
      <c r="E166" s="4">
        <v>623178.04</v>
      </c>
      <c r="F166" s="6">
        <v>0.88200000000000001</v>
      </c>
      <c r="G166" s="4">
        <v>83373.03</v>
      </c>
      <c r="H166" s="6">
        <v>0.11799999999999999</v>
      </c>
    </row>
    <row r="167" spans="1:8" x14ac:dyDescent="0.3">
      <c r="A167" t="s">
        <v>192</v>
      </c>
      <c r="B167" s="25">
        <v>45777</v>
      </c>
      <c r="C167" t="s">
        <v>319</v>
      </c>
      <c r="D167" s="4">
        <v>106591.25</v>
      </c>
      <c r="E167" s="4">
        <v>94013.48</v>
      </c>
      <c r="F167" s="6">
        <v>0.88200000000000001</v>
      </c>
      <c r="G167" s="4">
        <v>12577.77</v>
      </c>
      <c r="H167" s="6">
        <v>0.11799999999999999</v>
      </c>
    </row>
    <row r="168" spans="1:8" x14ac:dyDescent="0.3">
      <c r="A168" t="s">
        <v>192</v>
      </c>
      <c r="B168" s="25">
        <v>45777</v>
      </c>
      <c r="C168" t="s">
        <v>268</v>
      </c>
      <c r="D168" s="4">
        <v>303447.76</v>
      </c>
      <c r="E168" s="4">
        <v>267640.93</v>
      </c>
      <c r="F168" s="6">
        <v>0.88200000000000001</v>
      </c>
      <c r="G168" s="4">
        <v>35806.839999999997</v>
      </c>
      <c r="H168" s="6">
        <v>0.11799999999999999</v>
      </c>
    </row>
    <row r="169" spans="1:8" x14ac:dyDescent="0.3">
      <c r="A169" t="s">
        <v>192</v>
      </c>
      <c r="B169" s="25">
        <v>45777</v>
      </c>
      <c r="C169" t="s">
        <v>318</v>
      </c>
      <c r="D169" s="4">
        <v>615595.74</v>
      </c>
      <c r="E169" s="4">
        <v>542955.43999999994</v>
      </c>
      <c r="F169" s="6">
        <v>0.88200000000000001</v>
      </c>
      <c r="G169" s="4">
        <v>72640.3</v>
      </c>
      <c r="H169" s="6">
        <v>0.11799999999999999</v>
      </c>
    </row>
    <row r="170" spans="1:8" x14ac:dyDescent="0.3">
      <c r="A170" t="s">
        <v>192</v>
      </c>
      <c r="B170" s="25">
        <v>45777</v>
      </c>
      <c r="C170" t="s">
        <v>317</v>
      </c>
      <c r="D170" s="4">
        <v>415413.04</v>
      </c>
      <c r="E170" s="4">
        <v>366394.3</v>
      </c>
      <c r="F170" s="6">
        <v>0.88200000000000001</v>
      </c>
      <c r="G170" s="4">
        <v>49018.74</v>
      </c>
      <c r="H170" s="6">
        <v>0.11799999999999999</v>
      </c>
    </row>
    <row r="171" spans="1:8" x14ac:dyDescent="0.3">
      <c r="A171" t="s">
        <v>192</v>
      </c>
      <c r="B171" s="25">
        <v>45777</v>
      </c>
      <c r="C171" t="s">
        <v>316</v>
      </c>
      <c r="D171" s="4">
        <v>527276.73</v>
      </c>
      <c r="E171" s="4">
        <v>465058.08</v>
      </c>
      <c r="F171" s="6">
        <v>0.88200000000000001</v>
      </c>
      <c r="G171" s="4">
        <v>62218.65</v>
      </c>
      <c r="H171" s="6">
        <v>0.11799999999999999</v>
      </c>
    </row>
    <row r="172" spans="1:8" x14ac:dyDescent="0.3">
      <c r="A172" t="s">
        <v>192</v>
      </c>
      <c r="B172" s="25">
        <v>45808</v>
      </c>
      <c r="C172" t="s">
        <v>324</v>
      </c>
      <c r="D172" s="4">
        <v>534826.98</v>
      </c>
      <c r="E172" s="4">
        <v>473214.91</v>
      </c>
      <c r="F172" s="6">
        <v>0.88480000000000003</v>
      </c>
      <c r="G172" s="4">
        <v>61612.07</v>
      </c>
      <c r="H172" s="6">
        <v>0.1152</v>
      </c>
    </row>
    <row r="173" spans="1:8" x14ac:dyDescent="0.3">
      <c r="A173" t="s">
        <v>192</v>
      </c>
      <c r="B173" s="25">
        <v>45808</v>
      </c>
      <c r="C173" t="s">
        <v>323</v>
      </c>
      <c r="D173" s="4">
        <v>675694.24</v>
      </c>
      <c r="E173" s="4">
        <v>597854.27</v>
      </c>
      <c r="F173" s="6">
        <v>0.88480000000000003</v>
      </c>
      <c r="G173" s="4">
        <v>77839.98</v>
      </c>
      <c r="H173" s="6">
        <v>0.1152</v>
      </c>
    </row>
    <row r="174" spans="1:8" x14ac:dyDescent="0.3">
      <c r="A174" t="s">
        <v>192</v>
      </c>
      <c r="B174" s="25">
        <v>45808</v>
      </c>
      <c r="C174" t="s">
        <v>322</v>
      </c>
      <c r="D174" s="4">
        <v>839030.31</v>
      </c>
      <c r="E174" s="4">
        <v>742374.02</v>
      </c>
      <c r="F174" s="6">
        <v>0.88480000000000003</v>
      </c>
      <c r="G174" s="4">
        <v>96656.29</v>
      </c>
      <c r="H174" s="6">
        <v>0.1152</v>
      </c>
    </row>
    <row r="175" spans="1:8" x14ac:dyDescent="0.3">
      <c r="A175" t="s">
        <v>192</v>
      </c>
      <c r="B175" s="25">
        <v>45808</v>
      </c>
      <c r="C175" t="s">
        <v>321</v>
      </c>
      <c r="D175" s="4">
        <v>320033.40000000002</v>
      </c>
      <c r="E175" s="4">
        <v>283165.55</v>
      </c>
      <c r="F175" s="6">
        <v>0.88480000000000003</v>
      </c>
      <c r="G175" s="4">
        <v>36867.85</v>
      </c>
      <c r="H175" s="6">
        <v>0.1152</v>
      </c>
    </row>
    <row r="176" spans="1:8" x14ac:dyDescent="0.3">
      <c r="A176" t="s">
        <v>192</v>
      </c>
      <c r="B176" s="25">
        <v>45808</v>
      </c>
      <c r="C176" t="s">
        <v>320</v>
      </c>
      <c r="D176" s="4">
        <v>442991.94</v>
      </c>
      <c r="E176" s="4">
        <v>391959.27</v>
      </c>
      <c r="F176" s="6">
        <v>0.88480000000000003</v>
      </c>
      <c r="G176" s="4">
        <v>51032.67</v>
      </c>
      <c r="H176" s="6">
        <v>0.1152</v>
      </c>
    </row>
    <row r="177" spans="1:8" x14ac:dyDescent="0.3">
      <c r="A177" t="s">
        <v>192</v>
      </c>
      <c r="B177" s="25">
        <v>45808</v>
      </c>
      <c r="C177" t="s">
        <v>319</v>
      </c>
      <c r="D177" s="4">
        <v>93545.22</v>
      </c>
      <c r="E177" s="4">
        <v>82768.81</v>
      </c>
      <c r="F177" s="6">
        <v>0.88480000000000003</v>
      </c>
      <c r="G177" s="4">
        <v>10776.41</v>
      </c>
      <c r="H177" s="6">
        <v>0.1152</v>
      </c>
    </row>
    <row r="178" spans="1:8" x14ac:dyDescent="0.3">
      <c r="A178" t="s">
        <v>192</v>
      </c>
      <c r="B178" s="25">
        <v>45808</v>
      </c>
      <c r="C178" t="s">
        <v>268</v>
      </c>
      <c r="D178" s="4">
        <v>224850.88</v>
      </c>
      <c r="E178" s="4">
        <v>198948.06</v>
      </c>
      <c r="F178" s="6">
        <v>0.88480000000000003</v>
      </c>
      <c r="G178" s="4">
        <v>25902.82</v>
      </c>
      <c r="H178" s="6">
        <v>0.1152</v>
      </c>
    </row>
    <row r="179" spans="1:8" x14ac:dyDescent="0.3">
      <c r="A179" t="s">
        <v>192</v>
      </c>
      <c r="B179" s="25">
        <v>45808</v>
      </c>
      <c r="C179" t="s">
        <v>318</v>
      </c>
      <c r="D179" s="4">
        <v>850939.86</v>
      </c>
      <c r="E179" s="4">
        <v>752911.59</v>
      </c>
      <c r="F179" s="6">
        <v>0.88480000000000003</v>
      </c>
      <c r="G179" s="4">
        <v>98028.27</v>
      </c>
      <c r="H179" s="6">
        <v>0.1152</v>
      </c>
    </row>
    <row r="180" spans="1:8" x14ac:dyDescent="0.3">
      <c r="A180" t="s">
        <v>192</v>
      </c>
      <c r="B180" s="25">
        <v>45808</v>
      </c>
      <c r="C180" t="s">
        <v>317</v>
      </c>
      <c r="D180" s="4">
        <v>309396.49</v>
      </c>
      <c r="E180" s="4">
        <v>273754.01</v>
      </c>
      <c r="F180" s="6">
        <v>0.88480000000000003</v>
      </c>
      <c r="G180" s="4">
        <v>35642.480000000003</v>
      </c>
      <c r="H180" s="6">
        <v>0.1152</v>
      </c>
    </row>
    <row r="181" spans="1:8" x14ac:dyDescent="0.3">
      <c r="A181" t="s">
        <v>192</v>
      </c>
      <c r="B181" s="25">
        <v>45808</v>
      </c>
      <c r="C181" t="s">
        <v>316</v>
      </c>
      <c r="D181" s="4">
        <v>417317.15</v>
      </c>
      <c r="E181" s="4">
        <v>369242.22</v>
      </c>
      <c r="F181" s="6">
        <v>0.88480000000000003</v>
      </c>
      <c r="G181" s="4">
        <v>48074.94</v>
      </c>
      <c r="H181" s="6">
        <v>0.1152</v>
      </c>
    </row>
    <row r="182" spans="1:8" x14ac:dyDescent="0.3">
      <c r="A182" t="s">
        <v>192</v>
      </c>
      <c r="B182" s="25">
        <v>45838</v>
      </c>
      <c r="C182" t="s">
        <v>324</v>
      </c>
      <c r="D182" s="4">
        <v>243661.05</v>
      </c>
      <c r="E182" s="4">
        <v>202384.87</v>
      </c>
      <c r="F182" s="6">
        <v>0.8306</v>
      </c>
      <c r="G182" s="4">
        <v>41276.18</v>
      </c>
      <c r="H182" s="6">
        <v>0.1694</v>
      </c>
    </row>
    <row r="183" spans="1:8" x14ac:dyDescent="0.3">
      <c r="A183" t="s">
        <v>192</v>
      </c>
      <c r="B183" s="25">
        <v>45838</v>
      </c>
      <c r="C183" t="s">
        <v>323</v>
      </c>
      <c r="D183" s="4">
        <v>640996.93999999994</v>
      </c>
      <c r="E183" s="4">
        <v>532412.06000000006</v>
      </c>
      <c r="F183" s="6">
        <v>0.8306</v>
      </c>
      <c r="G183" s="4">
        <v>108584.88</v>
      </c>
      <c r="H183" s="6">
        <v>0.1694</v>
      </c>
    </row>
    <row r="184" spans="1:8" x14ac:dyDescent="0.3">
      <c r="A184" t="s">
        <v>192</v>
      </c>
      <c r="B184" s="25">
        <v>45838</v>
      </c>
      <c r="C184" t="s">
        <v>322</v>
      </c>
      <c r="D184" s="4">
        <v>1181420.98</v>
      </c>
      <c r="E184" s="4">
        <v>981288.26</v>
      </c>
      <c r="F184" s="6">
        <v>0.8306</v>
      </c>
      <c r="G184" s="4">
        <v>200132.71</v>
      </c>
      <c r="H184" s="6">
        <v>0.1694</v>
      </c>
    </row>
    <row r="185" spans="1:8" x14ac:dyDescent="0.3">
      <c r="A185" t="s">
        <v>192</v>
      </c>
      <c r="B185" s="25">
        <v>45838</v>
      </c>
      <c r="C185" t="s">
        <v>321</v>
      </c>
      <c r="D185" s="4">
        <v>446691.11</v>
      </c>
      <c r="E185" s="4">
        <v>371021.64</v>
      </c>
      <c r="F185" s="6">
        <v>0.8306</v>
      </c>
      <c r="G185" s="4">
        <v>75669.47</v>
      </c>
      <c r="H185" s="6">
        <v>0.1694</v>
      </c>
    </row>
    <row r="186" spans="1:8" x14ac:dyDescent="0.3">
      <c r="A186" t="s">
        <v>192</v>
      </c>
      <c r="B186" s="25">
        <v>45838</v>
      </c>
      <c r="C186" t="s">
        <v>320</v>
      </c>
      <c r="D186" s="4">
        <v>276795.84000000003</v>
      </c>
      <c r="E186" s="4">
        <v>229906.62</v>
      </c>
      <c r="F186" s="6">
        <v>0.8306</v>
      </c>
      <c r="G186" s="4">
        <v>46889.21</v>
      </c>
      <c r="H186" s="6">
        <v>0.1694</v>
      </c>
    </row>
    <row r="187" spans="1:8" x14ac:dyDescent="0.3">
      <c r="A187" t="s">
        <v>192</v>
      </c>
      <c r="B187" s="25">
        <v>45838</v>
      </c>
      <c r="C187" t="s">
        <v>319</v>
      </c>
      <c r="D187" s="4">
        <v>58694.06</v>
      </c>
      <c r="E187" s="4">
        <v>48751.28</v>
      </c>
      <c r="F187" s="6">
        <v>0.8306</v>
      </c>
      <c r="G187" s="4">
        <v>9942.77</v>
      </c>
      <c r="H187" s="6">
        <v>0.1694</v>
      </c>
    </row>
    <row r="188" spans="1:8" x14ac:dyDescent="0.3">
      <c r="A188" t="s">
        <v>192</v>
      </c>
      <c r="B188" s="25">
        <v>45838</v>
      </c>
      <c r="C188" t="s">
        <v>268</v>
      </c>
      <c r="D188" s="4">
        <v>681483.45</v>
      </c>
      <c r="E188" s="4">
        <v>566040.16</v>
      </c>
      <c r="F188" s="6">
        <v>0.8306</v>
      </c>
      <c r="G188" s="4">
        <v>115443.3</v>
      </c>
      <c r="H188" s="6">
        <v>0.1694</v>
      </c>
    </row>
    <row r="189" spans="1:8" x14ac:dyDescent="0.3">
      <c r="A189" t="s">
        <v>192</v>
      </c>
      <c r="B189" s="25">
        <v>45838</v>
      </c>
      <c r="C189" t="s">
        <v>318</v>
      </c>
      <c r="D189" s="4">
        <v>424801.31</v>
      </c>
      <c r="E189" s="4">
        <v>352839.97</v>
      </c>
      <c r="F189" s="6">
        <v>0.8306</v>
      </c>
      <c r="G189" s="4">
        <v>71961.34</v>
      </c>
      <c r="H189" s="6">
        <v>0.1694</v>
      </c>
    </row>
    <row r="190" spans="1:8" x14ac:dyDescent="0.3">
      <c r="A190" t="s">
        <v>192</v>
      </c>
      <c r="B190" s="25">
        <v>45838</v>
      </c>
      <c r="C190" t="s">
        <v>317</v>
      </c>
      <c r="D190" s="4">
        <v>255665.38</v>
      </c>
      <c r="E190" s="4">
        <v>212355.67</v>
      </c>
      <c r="F190" s="6">
        <v>0.8306</v>
      </c>
      <c r="G190" s="4">
        <v>43309.72</v>
      </c>
      <c r="H190" s="6">
        <v>0.1694</v>
      </c>
    </row>
    <row r="191" spans="1:8" x14ac:dyDescent="0.3">
      <c r="A191" t="s">
        <v>192</v>
      </c>
      <c r="B191" s="25">
        <v>45838</v>
      </c>
      <c r="C191" t="s">
        <v>316</v>
      </c>
      <c r="D191" s="4">
        <v>462031.7</v>
      </c>
      <c r="E191" s="4">
        <v>383763.53</v>
      </c>
      <c r="F191" s="6">
        <v>0.8306</v>
      </c>
      <c r="G191" s="4">
        <v>78268.17</v>
      </c>
      <c r="H191" s="6">
        <v>0.1694</v>
      </c>
    </row>
    <row r="192" spans="1:8" x14ac:dyDescent="0.3">
      <c r="A192" t="s">
        <v>192</v>
      </c>
      <c r="B192" s="25">
        <v>45869</v>
      </c>
      <c r="C192" t="s">
        <v>324</v>
      </c>
      <c r="D192" s="4">
        <v>218759.9</v>
      </c>
      <c r="E192" s="4">
        <v>188767.92</v>
      </c>
      <c r="F192" s="6">
        <v>0.8629</v>
      </c>
      <c r="G192" s="4">
        <v>29991.98</v>
      </c>
      <c r="H192" s="6">
        <v>0.1371</v>
      </c>
    </row>
    <row r="193" spans="1:8" x14ac:dyDescent="0.3">
      <c r="A193" t="s">
        <v>192</v>
      </c>
      <c r="B193" s="25">
        <v>45869</v>
      </c>
      <c r="C193" t="s">
        <v>323</v>
      </c>
      <c r="D193" s="4">
        <v>568921.06000000006</v>
      </c>
      <c r="E193" s="4">
        <v>490921.98</v>
      </c>
      <c r="F193" s="6">
        <v>0.8629</v>
      </c>
      <c r="G193" s="4">
        <v>77999.08</v>
      </c>
      <c r="H193" s="6">
        <v>0.1371</v>
      </c>
    </row>
    <row r="194" spans="1:8" x14ac:dyDescent="0.3">
      <c r="A194" t="s">
        <v>192</v>
      </c>
      <c r="B194" s="25">
        <v>45869</v>
      </c>
      <c r="C194" t="s">
        <v>322</v>
      </c>
      <c r="D194" s="4">
        <v>1053018.29</v>
      </c>
      <c r="E194" s="4">
        <v>908649.48</v>
      </c>
      <c r="F194" s="6">
        <v>0.8629</v>
      </c>
      <c r="G194" s="4">
        <v>144368.81</v>
      </c>
      <c r="H194" s="6">
        <v>0.1371</v>
      </c>
    </row>
    <row r="195" spans="1:8" x14ac:dyDescent="0.3">
      <c r="A195" t="s">
        <v>192</v>
      </c>
      <c r="B195" s="25">
        <v>45869</v>
      </c>
      <c r="C195" t="s">
        <v>321</v>
      </c>
      <c r="D195" s="4">
        <v>308664.7</v>
      </c>
      <c r="E195" s="4">
        <v>266346.77</v>
      </c>
      <c r="F195" s="6">
        <v>0.8629</v>
      </c>
      <c r="G195" s="4">
        <v>42317.93</v>
      </c>
      <c r="H195" s="6">
        <v>0.1371</v>
      </c>
    </row>
    <row r="196" spans="1:8" x14ac:dyDescent="0.3">
      <c r="A196" t="s">
        <v>192</v>
      </c>
      <c r="B196" s="25">
        <v>45869</v>
      </c>
      <c r="C196" t="s">
        <v>320</v>
      </c>
      <c r="D196" s="4">
        <v>507285.16</v>
      </c>
      <c r="E196" s="4">
        <v>437736.36</v>
      </c>
      <c r="F196" s="6">
        <v>0.8629</v>
      </c>
      <c r="G196" s="4">
        <v>69548.789999999994</v>
      </c>
      <c r="H196" s="6">
        <v>0.1371</v>
      </c>
    </row>
    <row r="197" spans="1:8" x14ac:dyDescent="0.3">
      <c r="A197" t="s">
        <v>192</v>
      </c>
      <c r="B197" s="25">
        <v>45869</v>
      </c>
      <c r="C197" t="s">
        <v>319</v>
      </c>
      <c r="D197" s="4">
        <v>472512.51</v>
      </c>
      <c r="E197" s="4">
        <v>407731.04</v>
      </c>
      <c r="F197" s="6">
        <v>0.8629</v>
      </c>
      <c r="G197" s="4">
        <v>64781.46</v>
      </c>
      <c r="H197" s="6">
        <v>0.1371</v>
      </c>
    </row>
    <row r="198" spans="1:8" x14ac:dyDescent="0.3">
      <c r="A198" t="s">
        <v>192</v>
      </c>
      <c r="B198" s="25">
        <v>45869</v>
      </c>
      <c r="C198" t="s">
        <v>268</v>
      </c>
      <c r="D198" s="4">
        <v>433653</v>
      </c>
      <c r="E198" s="4">
        <v>374199.18</v>
      </c>
      <c r="F198" s="6">
        <v>0.8629</v>
      </c>
      <c r="G198" s="4">
        <v>59453.83</v>
      </c>
      <c r="H198" s="6">
        <v>0.1371</v>
      </c>
    </row>
    <row r="199" spans="1:8" x14ac:dyDescent="0.3">
      <c r="A199" t="s">
        <v>192</v>
      </c>
      <c r="B199" s="25">
        <v>45869</v>
      </c>
      <c r="C199" t="s">
        <v>318</v>
      </c>
      <c r="D199" s="4">
        <v>502486.49</v>
      </c>
      <c r="E199" s="4">
        <v>433595.6</v>
      </c>
      <c r="F199" s="6">
        <v>0.8629</v>
      </c>
      <c r="G199" s="4">
        <v>68890.899999999994</v>
      </c>
      <c r="H199" s="6">
        <v>0.1371</v>
      </c>
    </row>
    <row r="200" spans="1:8" x14ac:dyDescent="0.3">
      <c r="A200" t="s">
        <v>192</v>
      </c>
      <c r="B200" s="25">
        <v>45869</v>
      </c>
      <c r="C200" t="s">
        <v>317</v>
      </c>
      <c r="D200" s="4">
        <v>137800.17000000001</v>
      </c>
      <c r="E200" s="4">
        <v>118907.77</v>
      </c>
      <c r="F200" s="6">
        <v>0.8629</v>
      </c>
      <c r="G200" s="4">
        <v>18892.400000000001</v>
      </c>
      <c r="H200" s="6">
        <v>0.1371</v>
      </c>
    </row>
    <row r="201" spans="1:8" x14ac:dyDescent="0.3">
      <c r="A201" t="s">
        <v>192</v>
      </c>
      <c r="B201" s="25">
        <v>45869</v>
      </c>
      <c r="C201" t="s">
        <v>316</v>
      </c>
      <c r="D201" s="4">
        <v>360176.91</v>
      </c>
      <c r="E201" s="4">
        <v>310796.65000000002</v>
      </c>
      <c r="F201" s="6">
        <v>0.8629</v>
      </c>
      <c r="G201" s="4">
        <v>49380.25</v>
      </c>
      <c r="H201" s="6">
        <v>0.1371</v>
      </c>
    </row>
    <row r="202" spans="1:8" x14ac:dyDescent="0.3">
      <c r="A202" t="s">
        <v>192</v>
      </c>
      <c r="B202" s="25">
        <v>45900</v>
      </c>
      <c r="C202" t="s">
        <v>324</v>
      </c>
      <c r="D202" s="4">
        <v>339135.96</v>
      </c>
      <c r="E202" s="4">
        <v>304476.27</v>
      </c>
      <c r="F202" s="6">
        <v>0.89780000000000004</v>
      </c>
      <c r="G202" s="4">
        <v>34659.699999999997</v>
      </c>
      <c r="H202" s="6">
        <v>0.1022</v>
      </c>
    </row>
    <row r="203" spans="1:8" x14ac:dyDescent="0.3">
      <c r="A203" t="s">
        <v>192</v>
      </c>
      <c r="B203" s="25">
        <v>45900</v>
      </c>
      <c r="C203" t="s">
        <v>323</v>
      </c>
      <c r="D203" s="4">
        <v>514053.28</v>
      </c>
      <c r="E203" s="4">
        <v>461517.03</v>
      </c>
      <c r="F203" s="6">
        <v>0.89780000000000004</v>
      </c>
      <c r="G203" s="4">
        <v>52536.25</v>
      </c>
      <c r="H203" s="6">
        <v>0.1022</v>
      </c>
    </row>
    <row r="204" spans="1:8" x14ac:dyDescent="0.3">
      <c r="A204" t="s">
        <v>192</v>
      </c>
      <c r="B204" s="25">
        <v>45900</v>
      </c>
      <c r="C204" t="s">
        <v>322</v>
      </c>
      <c r="D204" s="4">
        <v>852000.26</v>
      </c>
      <c r="E204" s="4">
        <v>764925.83</v>
      </c>
      <c r="F204" s="6">
        <v>0.89780000000000004</v>
      </c>
      <c r="G204" s="4">
        <v>87074.43</v>
      </c>
      <c r="H204" s="6">
        <v>0.1022</v>
      </c>
    </row>
    <row r="205" spans="1:8" x14ac:dyDescent="0.3">
      <c r="A205" t="s">
        <v>192</v>
      </c>
      <c r="B205" s="25">
        <v>45900</v>
      </c>
      <c r="C205" t="s">
        <v>321</v>
      </c>
      <c r="D205" s="4">
        <v>176445.54</v>
      </c>
      <c r="E205" s="4">
        <v>158412.81</v>
      </c>
      <c r="F205" s="6">
        <v>0.89780000000000004</v>
      </c>
      <c r="G205" s="4">
        <v>18032.73</v>
      </c>
      <c r="H205" s="6">
        <v>0.1022</v>
      </c>
    </row>
    <row r="206" spans="1:8" x14ac:dyDescent="0.3">
      <c r="A206" t="s">
        <v>192</v>
      </c>
      <c r="B206" s="25">
        <v>45900</v>
      </c>
      <c r="C206" t="s">
        <v>320</v>
      </c>
      <c r="D206" s="4">
        <v>454243.71</v>
      </c>
      <c r="E206" s="4">
        <v>407820</v>
      </c>
      <c r="F206" s="6">
        <v>0.89780000000000004</v>
      </c>
      <c r="G206" s="4">
        <v>46423.71</v>
      </c>
      <c r="H206" s="6">
        <v>0.1022</v>
      </c>
    </row>
    <row r="207" spans="1:8" x14ac:dyDescent="0.3">
      <c r="A207" t="s">
        <v>192</v>
      </c>
      <c r="B207" s="25">
        <v>45900</v>
      </c>
      <c r="C207" t="s">
        <v>319</v>
      </c>
      <c r="D207" s="4">
        <v>315990.96999999997</v>
      </c>
      <c r="E207" s="4">
        <v>283696.69</v>
      </c>
      <c r="F207" s="6">
        <v>0.89780000000000004</v>
      </c>
      <c r="G207" s="4">
        <v>32294.28</v>
      </c>
      <c r="H207" s="6">
        <v>0.1022</v>
      </c>
    </row>
    <row r="208" spans="1:8" x14ac:dyDescent="0.3">
      <c r="A208" t="s">
        <v>192</v>
      </c>
      <c r="B208" s="25">
        <v>45900</v>
      </c>
      <c r="C208" t="s">
        <v>268</v>
      </c>
      <c r="D208" s="4">
        <v>367177.48</v>
      </c>
      <c r="E208" s="4">
        <v>329651.95</v>
      </c>
      <c r="F208" s="6">
        <v>0.89780000000000004</v>
      </c>
      <c r="G208" s="4">
        <v>37525.54</v>
      </c>
      <c r="H208" s="6">
        <v>0.1022</v>
      </c>
    </row>
    <row r="209" spans="1:8" x14ac:dyDescent="0.3">
      <c r="A209" t="s">
        <v>192</v>
      </c>
      <c r="B209" s="25">
        <v>45900</v>
      </c>
      <c r="C209" t="s">
        <v>318</v>
      </c>
      <c r="D209" s="4">
        <v>351869.08</v>
      </c>
      <c r="E209" s="4">
        <v>315908.06</v>
      </c>
      <c r="F209" s="6">
        <v>0.89780000000000004</v>
      </c>
      <c r="G209" s="4">
        <v>35961.019999999997</v>
      </c>
      <c r="H209" s="6">
        <v>0.1022</v>
      </c>
    </row>
    <row r="210" spans="1:8" x14ac:dyDescent="0.3">
      <c r="A210" t="s">
        <v>192</v>
      </c>
      <c r="B210" s="25">
        <v>45900</v>
      </c>
      <c r="C210" t="s">
        <v>317</v>
      </c>
      <c r="D210" s="4">
        <v>467806.15</v>
      </c>
      <c r="E210" s="4">
        <v>419996.36</v>
      </c>
      <c r="F210" s="6">
        <v>0.89780000000000004</v>
      </c>
      <c r="G210" s="4">
        <v>47809.79</v>
      </c>
      <c r="H210" s="6">
        <v>0.1022</v>
      </c>
    </row>
    <row r="211" spans="1:8" x14ac:dyDescent="0.3">
      <c r="A211" t="s">
        <v>192</v>
      </c>
      <c r="B211" s="25">
        <v>45900</v>
      </c>
      <c r="C211" t="s">
        <v>316</v>
      </c>
      <c r="D211" s="4">
        <v>498928.77</v>
      </c>
      <c r="E211" s="4">
        <v>447938.25</v>
      </c>
      <c r="F211" s="6">
        <v>0.89780000000000004</v>
      </c>
      <c r="G211" s="4">
        <v>50990.52</v>
      </c>
      <c r="H211" s="6">
        <v>0.1022</v>
      </c>
    </row>
    <row r="212" spans="1:8" x14ac:dyDescent="0.3">
      <c r="A212" t="s">
        <v>192</v>
      </c>
      <c r="B212" s="25">
        <v>45930</v>
      </c>
      <c r="C212" t="s">
        <v>324</v>
      </c>
      <c r="D212" s="4">
        <v>203715.22</v>
      </c>
      <c r="E212" s="4">
        <v>166313.10999999999</v>
      </c>
      <c r="F212" s="6">
        <v>0.81640000000000001</v>
      </c>
      <c r="G212" s="4">
        <v>37402.120000000003</v>
      </c>
      <c r="H212" s="6">
        <v>0.18360000000000001</v>
      </c>
    </row>
    <row r="213" spans="1:8" x14ac:dyDescent="0.3">
      <c r="A213" t="s">
        <v>192</v>
      </c>
      <c r="B213" s="25">
        <v>45930</v>
      </c>
      <c r="C213" t="s">
        <v>323</v>
      </c>
      <c r="D213" s="4">
        <v>612828.44999999995</v>
      </c>
      <c r="E213" s="4">
        <v>500313.15</v>
      </c>
      <c r="F213" s="6">
        <v>0.81640000000000001</v>
      </c>
      <c r="G213" s="4">
        <v>112515.3</v>
      </c>
      <c r="H213" s="6">
        <v>0.18360000000000001</v>
      </c>
    </row>
    <row r="214" spans="1:8" x14ac:dyDescent="0.3">
      <c r="A214" t="s">
        <v>192</v>
      </c>
      <c r="B214" s="25">
        <v>45930</v>
      </c>
      <c r="C214" t="s">
        <v>322</v>
      </c>
      <c r="D214" s="4">
        <v>1116112.51</v>
      </c>
      <c r="E214" s="4">
        <v>911194.25</v>
      </c>
      <c r="F214" s="6">
        <v>0.81640000000000001</v>
      </c>
      <c r="G214" s="4">
        <v>204918.26</v>
      </c>
      <c r="H214" s="6">
        <v>0.18360000000000001</v>
      </c>
    </row>
    <row r="215" spans="1:8" x14ac:dyDescent="0.3">
      <c r="A215" t="s">
        <v>192</v>
      </c>
      <c r="B215" s="25">
        <v>45930</v>
      </c>
      <c r="C215" t="s">
        <v>321</v>
      </c>
      <c r="D215" s="4">
        <v>202727.85</v>
      </c>
      <c r="E215" s="4">
        <v>165507.01999999999</v>
      </c>
      <c r="F215" s="6">
        <v>0.81640000000000001</v>
      </c>
      <c r="G215" s="4">
        <v>37220.83</v>
      </c>
      <c r="H215" s="6">
        <v>0.18360000000000001</v>
      </c>
    </row>
    <row r="216" spans="1:8" x14ac:dyDescent="0.3">
      <c r="A216" t="s">
        <v>192</v>
      </c>
      <c r="B216" s="25">
        <v>45930</v>
      </c>
      <c r="C216" t="s">
        <v>320</v>
      </c>
      <c r="D216" s="4">
        <v>370200.83</v>
      </c>
      <c r="E216" s="4">
        <v>302231.96000000002</v>
      </c>
      <c r="F216" s="6">
        <v>0.81640000000000001</v>
      </c>
      <c r="G216" s="4">
        <v>67968.87</v>
      </c>
      <c r="H216" s="6">
        <v>0.18360000000000001</v>
      </c>
    </row>
    <row r="217" spans="1:8" x14ac:dyDescent="0.3">
      <c r="A217" t="s">
        <v>192</v>
      </c>
      <c r="B217" s="25">
        <v>45930</v>
      </c>
      <c r="C217" t="s">
        <v>319</v>
      </c>
      <c r="D217" s="4">
        <v>402427.14</v>
      </c>
      <c r="E217" s="4">
        <v>328541.51</v>
      </c>
      <c r="F217" s="6">
        <v>0.81640000000000001</v>
      </c>
      <c r="G217" s="4">
        <v>73885.62</v>
      </c>
      <c r="H217" s="6">
        <v>0.18360000000000001</v>
      </c>
    </row>
    <row r="218" spans="1:8" x14ac:dyDescent="0.3">
      <c r="A218" t="s">
        <v>192</v>
      </c>
      <c r="B218" s="25">
        <v>45930</v>
      </c>
      <c r="C218" t="s">
        <v>268</v>
      </c>
      <c r="D218" s="4">
        <v>548770.41</v>
      </c>
      <c r="E218" s="4">
        <v>448016.16</v>
      </c>
      <c r="F218" s="6">
        <v>0.81640000000000001</v>
      </c>
      <c r="G218" s="4">
        <v>100754.25</v>
      </c>
      <c r="H218" s="6">
        <v>0.18360000000000001</v>
      </c>
    </row>
    <row r="219" spans="1:8" x14ac:dyDescent="0.3">
      <c r="A219" t="s">
        <v>192</v>
      </c>
      <c r="B219" s="25">
        <v>45930</v>
      </c>
      <c r="C219" t="s">
        <v>318</v>
      </c>
      <c r="D219" s="4">
        <v>414121.92</v>
      </c>
      <c r="E219" s="4">
        <v>338089.14</v>
      </c>
      <c r="F219" s="6">
        <v>0.81640000000000001</v>
      </c>
      <c r="G219" s="4">
        <v>76032.78</v>
      </c>
      <c r="H219" s="6">
        <v>0.18360000000000001</v>
      </c>
    </row>
    <row r="220" spans="1:8" x14ac:dyDescent="0.3">
      <c r="A220" t="s">
        <v>192</v>
      </c>
      <c r="B220" s="25">
        <v>45930</v>
      </c>
      <c r="C220" t="s">
        <v>317</v>
      </c>
      <c r="D220" s="4">
        <v>424780.4</v>
      </c>
      <c r="E220" s="4">
        <v>346790.72</v>
      </c>
      <c r="F220" s="6">
        <v>0.81640000000000001</v>
      </c>
      <c r="G220" s="4">
        <v>77989.679999999993</v>
      </c>
      <c r="H220" s="6">
        <v>0.18360000000000001</v>
      </c>
    </row>
    <row r="221" spans="1:8" x14ac:dyDescent="0.3">
      <c r="A221" t="s">
        <v>192</v>
      </c>
      <c r="B221" s="25">
        <v>45930</v>
      </c>
      <c r="C221" t="s">
        <v>316</v>
      </c>
      <c r="D221" s="4">
        <v>271521.93</v>
      </c>
      <c r="E221" s="4">
        <v>221670.5</v>
      </c>
      <c r="F221" s="6">
        <v>0.81640000000000001</v>
      </c>
      <c r="G221" s="4">
        <v>49851.43</v>
      </c>
      <c r="H221" s="6">
        <v>0.18360000000000001</v>
      </c>
    </row>
    <row r="222" spans="1:8" x14ac:dyDescent="0.3">
      <c r="A222" t="s">
        <v>192</v>
      </c>
      <c r="B222" s="25">
        <v>45961</v>
      </c>
      <c r="C222" t="s">
        <v>324</v>
      </c>
      <c r="D222" s="4">
        <v>414757.3</v>
      </c>
      <c r="E222" s="4">
        <v>343501.99</v>
      </c>
      <c r="F222" s="6">
        <v>0.82820000000000005</v>
      </c>
      <c r="G222" s="4">
        <v>71255.3</v>
      </c>
      <c r="H222" s="6">
        <v>0.17180000000000001</v>
      </c>
    </row>
    <row r="223" spans="1:8" x14ac:dyDescent="0.3">
      <c r="A223" t="s">
        <v>192</v>
      </c>
      <c r="B223" s="25">
        <v>45961</v>
      </c>
      <c r="C223" t="s">
        <v>323</v>
      </c>
      <c r="D223" s="4">
        <v>544626.89</v>
      </c>
      <c r="E223" s="4">
        <v>451059.99</v>
      </c>
      <c r="F223" s="6">
        <v>0.82820000000000005</v>
      </c>
      <c r="G223" s="4">
        <v>93566.9</v>
      </c>
      <c r="H223" s="6">
        <v>0.17180000000000001</v>
      </c>
    </row>
    <row r="224" spans="1:8" x14ac:dyDescent="0.3">
      <c r="A224" t="s">
        <v>192</v>
      </c>
      <c r="B224" s="25">
        <v>45961</v>
      </c>
      <c r="C224" t="s">
        <v>322</v>
      </c>
      <c r="D224" s="4">
        <v>718991.58</v>
      </c>
      <c r="E224" s="4">
        <v>595468.82999999996</v>
      </c>
      <c r="F224" s="6">
        <v>0.82820000000000005</v>
      </c>
      <c r="G224" s="4">
        <v>123522.75</v>
      </c>
      <c r="H224" s="6">
        <v>0.17180000000000001</v>
      </c>
    </row>
    <row r="225" spans="1:8" x14ac:dyDescent="0.3">
      <c r="A225" t="s">
        <v>192</v>
      </c>
      <c r="B225" s="25">
        <v>45961</v>
      </c>
      <c r="C225" t="s">
        <v>321</v>
      </c>
      <c r="D225" s="4">
        <v>231847.4</v>
      </c>
      <c r="E225" s="4">
        <v>192016.01</v>
      </c>
      <c r="F225" s="6">
        <v>0.82820000000000005</v>
      </c>
      <c r="G225" s="4">
        <v>39831.379999999997</v>
      </c>
      <c r="H225" s="6">
        <v>0.17180000000000001</v>
      </c>
    </row>
    <row r="226" spans="1:8" x14ac:dyDescent="0.3">
      <c r="A226" t="s">
        <v>192</v>
      </c>
      <c r="B226" s="25">
        <v>45961</v>
      </c>
      <c r="C226" t="s">
        <v>320</v>
      </c>
      <c r="D226" s="4">
        <v>495813.52</v>
      </c>
      <c r="E226" s="4">
        <v>410632.76</v>
      </c>
      <c r="F226" s="6">
        <v>0.82820000000000005</v>
      </c>
      <c r="G226" s="4">
        <v>85180.76</v>
      </c>
      <c r="H226" s="6">
        <v>0.17180000000000001</v>
      </c>
    </row>
    <row r="227" spans="1:8" x14ac:dyDescent="0.3">
      <c r="A227" t="s">
        <v>192</v>
      </c>
      <c r="B227" s="25">
        <v>45961</v>
      </c>
      <c r="C227" t="s">
        <v>319</v>
      </c>
      <c r="D227" s="4">
        <v>149438.75</v>
      </c>
      <c r="E227" s="4">
        <v>123765.17</v>
      </c>
      <c r="F227" s="6">
        <v>0.82820000000000005</v>
      </c>
      <c r="G227" s="4">
        <v>25673.58</v>
      </c>
      <c r="H227" s="6">
        <v>0.17180000000000001</v>
      </c>
    </row>
    <row r="228" spans="1:8" x14ac:dyDescent="0.3">
      <c r="A228" t="s">
        <v>192</v>
      </c>
      <c r="B228" s="25">
        <v>45961</v>
      </c>
      <c r="C228" t="s">
        <v>268</v>
      </c>
      <c r="D228" s="4">
        <v>409356</v>
      </c>
      <c r="E228" s="4">
        <v>339028.64</v>
      </c>
      <c r="F228" s="6">
        <v>0.82820000000000005</v>
      </c>
      <c r="G228" s="4">
        <v>70327.360000000001</v>
      </c>
      <c r="H228" s="6">
        <v>0.17180000000000001</v>
      </c>
    </row>
    <row r="229" spans="1:8" x14ac:dyDescent="0.3">
      <c r="A229" t="s">
        <v>192</v>
      </c>
      <c r="B229" s="25">
        <v>45961</v>
      </c>
      <c r="C229" t="s">
        <v>318</v>
      </c>
      <c r="D229" s="4">
        <v>584756.43000000005</v>
      </c>
      <c r="E229" s="4">
        <v>484295.27</v>
      </c>
      <c r="F229" s="6">
        <v>0.82820000000000005</v>
      </c>
      <c r="G229" s="4">
        <v>100461.15</v>
      </c>
      <c r="H229" s="6">
        <v>0.17180000000000001</v>
      </c>
    </row>
    <row r="230" spans="1:8" x14ac:dyDescent="0.3">
      <c r="A230" t="s">
        <v>192</v>
      </c>
      <c r="B230" s="25">
        <v>45961</v>
      </c>
      <c r="C230" t="s">
        <v>317</v>
      </c>
      <c r="D230" s="4">
        <v>229817.75</v>
      </c>
      <c r="E230" s="4">
        <v>190335.06</v>
      </c>
      <c r="F230" s="6">
        <v>0.82820000000000005</v>
      </c>
      <c r="G230" s="4">
        <v>39482.69</v>
      </c>
      <c r="H230" s="6">
        <v>0.17180000000000001</v>
      </c>
    </row>
    <row r="231" spans="1:8" x14ac:dyDescent="0.3">
      <c r="A231" t="s">
        <v>192</v>
      </c>
      <c r="B231" s="25">
        <v>45961</v>
      </c>
      <c r="C231" t="s">
        <v>316</v>
      </c>
      <c r="D231" s="4">
        <v>614160.93000000005</v>
      </c>
      <c r="E231" s="4">
        <v>508648.09</v>
      </c>
      <c r="F231" s="6">
        <v>0.82820000000000005</v>
      </c>
      <c r="G231" s="4">
        <v>105512.85</v>
      </c>
      <c r="H231" s="6">
        <v>0.17180000000000001</v>
      </c>
    </row>
    <row r="232" spans="1:8" x14ac:dyDescent="0.3">
      <c r="A232" t="s">
        <v>192</v>
      </c>
      <c r="B232" s="25">
        <v>45991</v>
      </c>
      <c r="C232" t="s">
        <v>324</v>
      </c>
      <c r="D232" s="4">
        <v>189631.33</v>
      </c>
      <c r="E232" s="4">
        <v>157830.15</v>
      </c>
      <c r="F232" s="6">
        <v>0.83230000000000004</v>
      </c>
      <c r="G232" s="4">
        <v>31801.17</v>
      </c>
      <c r="H232" s="6">
        <v>0.16769999999999999</v>
      </c>
    </row>
    <row r="233" spans="1:8" x14ac:dyDescent="0.3">
      <c r="A233" t="s">
        <v>192</v>
      </c>
      <c r="B233" s="25">
        <v>45991</v>
      </c>
      <c r="C233" t="s">
        <v>323</v>
      </c>
      <c r="D233" s="4">
        <v>818286.96</v>
      </c>
      <c r="E233" s="4">
        <v>681060.24</v>
      </c>
      <c r="F233" s="6">
        <v>0.83230000000000004</v>
      </c>
      <c r="G233" s="4">
        <v>137226.72</v>
      </c>
      <c r="H233" s="6">
        <v>0.16769999999999999</v>
      </c>
    </row>
    <row r="234" spans="1:8" x14ac:dyDescent="0.3">
      <c r="A234" t="s">
        <v>192</v>
      </c>
      <c r="B234" s="25">
        <v>45991</v>
      </c>
      <c r="C234" t="s">
        <v>322</v>
      </c>
      <c r="D234" s="4">
        <v>1071847.3999999999</v>
      </c>
      <c r="E234" s="4">
        <v>892098.59</v>
      </c>
      <c r="F234" s="6">
        <v>0.83230000000000004</v>
      </c>
      <c r="G234" s="4">
        <v>179748.81</v>
      </c>
      <c r="H234" s="6">
        <v>0.16769999999999999</v>
      </c>
    </row>
    <row r="235" spans="1:8" x14ac:dyDescent="0.3">
      <c r="A235" t="s">
        <v>192</v>
      </c>
      <c r="B235" s="25">
        <v>45991</v>
      </c>
      <c r="C235" t="s">
        <v>321</v>
      </c>
      <c r="D235" s="4">
        <v>160919.13</v>
      </c>
      <c r="E235" s="4">
        <v>133932.99</v>
      </c>
      <c r="F235" s="6">
        <v>0.83230000000000004</v>
      </c>
      <c r="G235" s="4">
        <v>26986.14</v>
      </c>
      <c r="H235" s="6">
        <v>0.16769999999999999</v>
      </c>
    </row>
    <row r="236" spans="1:8" x14ac:dyDescent="0.3">
      <c r="A236" t="s">
        <v>192</v>
      </c>
      <c r="B236" s="25">
        <v>45991</v>
      </c>
      <c r="C236" t="s">
        <v>320</v>
      </c>
      <c r="D236" s="4">
        <v>408673.04</v>
      </c>
      <c r="E236" s="4">
        <v>340138.57</v>
      </c>
      <c r="F236" s="6">
        <v>0.83230000000000004</v>
      </c>
      <c r="G236" s="4">
        <v>68534.47</v>
      </c>
      <c r="H236" s="6">
        <v>0.16769999999999999</v>
      </c>
    </row>
    <row r="237" spans="1:8" x14ac:dyDescent="0.3">
      <c r="A237" t="s">
        <v>192</v>
      </c>
      <c r="B237" s="25">
        <v>45991</v>
      </c>
      <c r="C237" t="s">
        <v>319</v>
      </c>
      <c r="D237" s="4">
        <v>47422.28</v>
      </c>
      <c r="E237" s="4">
        <v>39469.57</v>
      </c>
      <c r="F237" s="6">
        <v>0.83230000000000004</v>
      </c>
      <c r="G237" s="4">
        <v>7952.72</v>
      </c>
      <c r="H237" s="6">
        <v>0.16769999999999999</v>
      </c>
    </row>
    <row r="238" spans="1:8" x14ac:dyDescent="0.3">
      <c r="A238" t="s">
        <v>192</v>
      </c>
      <c r="B238" s="25">
        <v>45991</v>
      </c>
      <c r="C238" t="s">
        <v>268</v>
      </c>
      <c r="D238" s="4">
        <v>402967.92</v>
      </c>
      <c r="E238" s="4">
        <v>335390.2</v>
      </c>
      <c r="F238" s="6">
        <v>0.83230000000000004</v>
      </c>
      <c r="G238" s="4">
        <v>67577.72</v>
      </c>
      <c r="H238" s="6">
        <v>0.16769999999999999</v>
      </c>
    </row>
    <row r="239" spans="1:8" x14ac:dyDescent="0.3">
      <c r="A239" t="s">
        <v>192</v>
      </c>
      <c r="B239" s="25">
        <v>45991</v>
      </c>
      <c r="C239" t="s">
        <v>318</v>
      </c>
      <c r="D239" s="4">
        <v>541274.04</v>
      </c>
      <c r="E239" s="4">
        <v>450502.38</v>
      </c>
      <c r="F239" s="6">
        <v>0.83230000000000004</v>
      </c>
      <c r="G239" s="4">
        <v>90771.66</v>
      </c>
      <c r="H239" s="6">
        <v>0.16769999999999999</v>
      </c>
    </row>
    <row r="240" spans="1:8" x14ac:dyDescent="0.3">
      <c r="A240" t="s">
        <v>192</v>
      </c>
      <c r="B240" s="25">
        <v>45991</v>
      </c>
      <c r="C240" t="s">
        <v>317</v>
      </c>
      <c r="D240" s="4">
        <v>390755.8</v>
      </c>
      <c r="E240" s="4">
        <v>325226.05</v>
      </c>
      <c r="F240" s="6">
        <v>0.83230000000000004</v>
      </c>
      <c r="G240" s="4">
        <v>65529.75</v>
      </c>
      <c r="H240" s="6">
        <v>0.16769999999999999</v>
      </c>
    </row>
    <row r="241" spans="1:8" x14ac:dyDescent="0.3">
      <c r="A241" t="s">
        <v>192</v>
      </c>
      <c r="B241" s="25">
        <v>45991</v>
      </c>
      <c r="C241" t="s">
        <v>316</v>
      </c>
      <c r="D241" s="4">
        <v>320594.86</v>
      </c>
      <c r="E241" s="4">
        <v>266831.09999999998</v>
      </c>
      <c r="F241" s="6">
        <v>0.83230000000000004</v>
      </c>
      <c r="G241" s="4">
        <v>53763.76</v>
      </c>
      <c r="H241" s="6">
        <v>0.16769999999999999</v>
      </c>
    </row>
    <row r="242" spans="1:8" x14ac:dyDescent="0.3">
      <c r="A242" t="s">
        <v>191</v>
      </c>
      <c r="B242" s="25">
        <v>45657</v>
      </c>
      <c r="C242" t="s">
        <v>324</v>
      </c>
      <c r="D242" s="4">
        <v>170487.1</v>
      </c>
      <c r="E242" s="4">
        <v>146380.22</v>
      </c>
      <c r="F242" s="6">
        <v>0.85860000000000003</v>
      </c>
      <c r="G242" s="4">
        <v>24106.880000000001</v>
      </c>
      <c r="H242" s="6">
        <v>0.1414</v>
      </c>
    </row>
    <row r="243" spans="1:8" x14ac:dyDescent="0.3">
      <c r="A243" t="s">
        <v>191</v>
      </c>
      <c r="B243" s="25">
        <v>45657</v>
      </c>
      <c r="C243" t="s">
        <v>323</v>
      </c>
      <c r="D243" s="4">
        <v>546894.63</v>
      </c>
      <c r="E243" s="4">
        <v>469563.73</v>
      </c>
      <c r="F243" s="6">
        <v>0.85860000000000003</v>
      </c>
      <c r="G243" s="4">
        <v>77330.899999999994</v>
      </c>
      <c r="H243" s="6">
        <v>0.1414</v>
      </c>
    </row>
    <row r="244" spans="1:8" x14ac:dyDescent="0.3">
      <c r="A244" t="s">
        <v>191</v>
      </c>
      <c r="B244" s="25">
        <v>45657</v>
      </c>
      <c r="C244" t="s">
        <v>322</v>
      </c>
      <c r="D244" s="4">
        <v>348266.4</v>
      </c>
      <c r="E244" s="4">
        <v>299021.53000000003</v>
      </c>
      <c r="F244" s="6">
        <v>0.85860000000000003</v>
      </c>
      <c r="G244" s="4">
        <v>49244.87</v>
      </c>
      <c r="H244" s="6">
        <v>0.1414</v>
      </c>
    </row>
    <row r="245" spans="1:8" x14ac:dyDescent="0.3">
      <c r="A245" t="s">
        <v>191</v>
      </c>
      <c r="B245" s="25">
        <v>45657</v>
      </c>
      <c r="C245" t="s">
        <v>321</v>
      </c>
      <c r="D245" s="4">
        <v>333433.46000000002</v>
      </c>
      <c r="E245" s="4">
        <v>286285.96999999997</v>
      </c>
      <c r="F245" s="6">
        <v>0.85860000000000003</v>
      </c>
      <c r="G245" s="4">
        <v>47147.49</v>
      </c>
      <c r="H245" s="6">
        <v>0.1414</v>
      </c>
    </row>
    <row r="246" spans="1:8" x14ac:dyDescent="0.3">
      <c r="A246" t="s">
        <v>191</v>
      </c>
      <c r="B246" s="25">
        <v>45657</v>
      </c>
      <c r="C246" t="s">
        <v>320</v>
      </c>
      <c r="D246" s="4">
        <v>252619.11</v>
      </c>
      <c r="E246" s="4">
        <v>216898.77</v>
      </c>
      <c r="F246" s="6">
        <v>0.85860000000000003</v>
      </c>
      <c r="G246" s="4">
        <v>35720.339999999997</v>
      </c>
      <c r="H246" s="6">
        <v>0.1414</v>
      </c>
    </row>
    <row r="247" spans="1:8" x14ac:dyDescent="0.3">
      <c r="A247" t="s">
        <v>191</v>
      </c>
      <c r="B247" s="25">
        <v>45657</v>
      </c>
      <c r="C247" t="s">
        <v>319</v>
      </c>
      <c r="D247" s="4">
        <v>209330.5</v>
      </c>
      <c r="E247" s="4">
        <v>179731.17</v>
      </c>
      <c r="F247" s="6">
        <v>0.85860000000000003</v>
      </c>
      <c r="G247" s="4">
        <v>29599.33</v>
      </c>
      <c r="H247" s="6">
        <v>0.1414</v>
      </c>
    </row>
    <row r="248" spans="1:8" x14ac:dyDescent="0.3">
      <c r="A248" t="s">
        <v>191</v>
      </c>
      <c r="B248" s="25">
        <v>45657</v>
      </c>
      <c r="C248" t="s">
        <v>268</v>
      </c>
      <c r="D248" s="4">
        <v>214162.18</v>
      </c>
      <c r="E248" s="4">
        <v>183879.65</v>
      </c>
      <c r="F248" s="6">
        <v>0.85860000000000003</v>
      </c>
      <c r="G248" s="4">
        <v>30282.53</v>
      </c>
      <c r="H248" s="6">
        <v>0.1414</v>
      </c>
    </row>
    <row r="249" spans="1:8" x14ac:dyDescent="0.3">
      <c r="A249" t="s">
        <v>191</v>
      </c>
      <c r="B249" s="25">
        <v>45657</v>
      </c>
      <c r="C249" t="s">
        <v>318</v>
      </c>
      <c r="D249" s="4">
        <v>372362.35</v>
      </c>
      <c r="E249" s="4">
        <v>319710.31</v>
      </c>
      <c r="F249" s="6">
        <v>0.85860000000000003</v>
      </c>
      <c r="G249" s="4">
        <v>52652.04</v>
      </c>
      <c r="H249" s="6">
        <v>0.1414</v>
      </c>
    </row>
    <row r="250" spans="1:8" x14ac:dyDescent="0.3">
      <c r="A250" t="s">
        <v>191</v>
      </c>
      <c r="B250" s="25">
        <v>45657</v>
      </c>
      <c r="C250" t="s">
        <v>317</v>
      </c>
      <c r="D250" s="4">
        <v>624065.19999999995</v>
      </c>
      <c r="E250" s="4">
        <v>535822.38</v>
      </c>
      <c r="F250" s="6">
        <v>0.85860000000000003</v>
      </c>
      <c r="G250" s="4">
        <v>88242.82</v>
      </c>
      <c r="H250" s="6">
        <v>0.1414</v>
      </c>
    </row>
    <row r="251" spans="1:8" x14ac:dyDescent="0.3">
      <c r="A251" t="s">
        <v>191</v>
      </c>
      <c r="B251" s="25">
        <v>45657</v>
      </c>
      <c r="C251" t="s">
        <v>316</v>
      </c>
      <c r="D251" s="4">
        <v>375695.21</v>
      </c>
      <c r="E251" s="4">
        <v>322571.90999999997</v>
      </c>
      <c r="F251" s="6">
        <v>0.85860000000000003</v>
      </c>
      <c r="G251" s="4">
        <v>53123.3</v>
      </c>
      <c r="H251" s="6">
        <v>0.1414</v>
      </c>
    </row>
    <row r="252" spans="1:8" x14ac:dyDescent="0.3">
      <c r="A252" t="s">
        <v>191</v>
      </c>
      <c r="B252" s="25">
        <v>45688</v>
      </c>
      <c r="C252" t="s">
        <v>324</v>
      </c>
      <c r="D252" s="4">
        <v>422750.18</v>
      </c>
      <c r="E252" s="4">
        <v>349698.95</v>
      </c>
      <c r="F252" s="6">
        <v>0.82720000000000005</v>
      </c>
      <c r="G252" s="4">
        <v>73051.23</v>
      </c>
      <c r="H252" s="6">
        <v>0.17280000000000001</v>
      </c>
    </row>
    <row r="253" spans="1:8" x14ac:dyDescent="0.3">
      <c r="A253" t="s">
        <v>191</v>
      </c>
      <c r="B253" s="25">
        <v>45688</v>
      </c>
      <c r="C253" t="s">
        <v>323</v>
      </c>
      <c r="D253" s="4">
        <v>610413.6</v>
      </c>
      <c r="E253" s="4">
        <v>504934.13</v>
      </c>
      <c r="F253" s="6">
        <v>0.82720000000000005</v>
      </c>
      <c r="G253" s="4">
        <v>105479.47</v>
      </c>
      <c r="H253" s="6">
        <v>0.17280000000000001</v>
      </c>
    </row>
    <row r="254" spans="1:8" x14ac:dyDescent="0.3">
      <c r="A254" t="s">
        <v>191</v>
      </c>
      <c r="B254" s="25">
        <v>45688</v>
      </c>
      <c r="C254" t="s">
        <v>322</v>
      </c>
      <c r="D254" s="4">
        <v>432281.21</v>
      </c>
      <c r="E254" s="4">
        <v>357583.02</v>
      </c>
      <c r="F254" s="6">
        <v>0.82720000000000005</v>
      </c>
      <c r="G254" s="4">
        <v>74698.19</v>
      </c>
      <c r="H254" s="6">
        <v>0.17280000000000001</v>
      </c>
    </row>
    <row r="255" spans="1:8" x14ac:dyDescent="0.3">
      <c r="A255" t="s">
        <v>191</v>
      </c>
      <c r="B255" s="25">
        <v>45688</v>
      </c>
      <c r="C255" t="s">
        <v>321</v>
      </c>
      <c r="D255" s="4">
        <v>153322.09</v>
      </c>
      <c r="E255" s="4">
        <v>126828.03</v>
      </c>
      <c r="F255" s="6">
        <v>0.82720000000000005</v>
      </c>
      <c r="G255" s="4">
        <v>26494.06</v>
      </c>
      <c r="H255" s="6">
        <v>0.17280000000000001</v>
      </c>
    </row>
    <row r="256" spans="1:8" x14ac:dyDescent="0.3">
      <c r="A256" t="s">
        <v>191</v>
      </c>
      <c r="B256" s="25">
        <v>45688</v>
      </c>
      <c r="C256" t="s">
        <v>320</v>
      </c>
      <c r="D256" s="4">
        <v>358913.23</v>
      </c>
      <c r="E256" s="4">
        <v>296893.02</v>
      </c>
      <c r="F256" s="6">
        <v>0.82720000000000005</v>
      </c>
      <c r="G256" s="4">
        <v>62020.21</v>
      </c>
      <c r="H256" s="6">
        <v>0.17280000000000001</v>
      </c>
    </row>
    <row r="257" spans="1:8" x14ac:dyDescent="0.3">
      <c r="A257" t="s">
        <v>191</v>
      </c>
      <c r="B257" s="25">
        <v>45688</v>
      </c>
      <c r="C257" t="s">
        <v>319</v>
      </c>
      <c r="D257" s="4">
        <v>87127.75</v>
      </c>
      <c r="E257" s="4">
        <v>72072.08</v>
      </c>
      <c r="F257" s="6">
        <v>0.82720000000000005</v>
      </c>
      <c r="G257" s="4">
        <v>15055.68</v>
      </c>
      <c r="H257" s="6">
        <v>0.17280000000000001</v>
      </c>
    </row>
    <row r="258" spans="1:8" x14ac:dyDescent="0.3">
      <c r="A258" t="s">
        <v>191</v>
      </c>
      <c r="B258" s="25">
        <v>45688</v>
      </c>
      <c r="C258" t="s">
        <v>268</v>
      </c>
      <c r="D258" s="4">
        <v>103284.29</v>
      </c>
      <c r="E258" s="4">
        <v>85436.77</v>
      </c>
      <c r="F258" s="6">
        <v>0.82720000000000005</v>
      </c>
      <c r="G258" s="4">
        <v>17847.53</v>
      </c>
      <c r="H258" s="6">
        <v>0.17280000000000001</v>
      </c>
    </row>
    <row r="259" spans="1:8" x14ac:dyDescent="0.3">
      <c r="A259" t="s">
        <v>191</v>
      </c>
      <c r="B259" s="25">
        <v>45688</v>
      </c>
      <c r="C259" t="s">
        <v>318</v>
      </c>
      <c r="D259" s="4">
        <v>285297.01</v>
      </c>
      <c r="E259" s="4">
        <v>235997.69</v>
      </c>
      <c r="F259" s="6">
        <v>0.82720000000000005</v>
      </c>
      <c r="G259" s="4">
        <v>49299.32</v>
      </c>
      <c r="H259" s="6">
        <v>0.17280000000000001</v>
      </c>
    </row>
    <row r="260" spans="1:8" x14ac:dyDescent="0.3">
      <c r="A260" t="s">
        <v>191</v>
      </c>
      <c r="B260" s="25">
        <v>45688</v>
      </c>
      <c r="C260" t="s">
        <v>317</v>
      </c>
      <c r="D260" s="4">
        <v>435253.18</v>
      </c>
      <c r="E260" s="4">
        <v>360041.43</v>
      </c>
      <c r="F260" s="6">
        <v>0.82720000000000005</v>
      </c>
      <c r="G260" s="4">
        <v>75211.75</v>
      </c>
      <c r="H260" s="6">
        <v>0.17280000000000001</v>
      </c>
    </row>
    <row r="261" spans="1:8" x14ac:dyDescent="0.3">
      <c r="A261" t="s">
        <v>191</v>
      </c>
      <c r="B261" s="25">
        <v>45688</v>
      </c>
      <c r="C261" t="s">
        <v>316</v>
      </c>
      <c r="D261" s="4">
        <v>332136.2</v>
      </c>
      <c r="E261" s="4">
        <v>274743.07</v>
      </c>
      <c r="F261" s="6">
        <v>0.82720000000000005</v>
      </c>
      <c r="G261" s="4">
        <v>57393.14</v>
      </c>
      <c r="H261" s="6">
        <v>0.17280000000000001</v>
      </c>
    </row>
    <row r="262" spans="1:8" x14ac:dyDescent="0.3">
      <c r="A262" t="s">
        <v>191</v>
      </c>
      <c r="B262" s="25">
        <v>45716</v>
      </c>
      <c r="C262" t="s">
        <v>324</v>
      </c>
      <c r="D262" s="4">
        <v>440121.8</v>
      </c>
      <c r="E262" s="4">
        <v>334844.67</v>
      </c>
      <c r="F262" s="6">
        <v>0.76080000000000003</v>
      </c>
      <c r="G262" s="4">
        <v>105277.13</v>
      </c>
      <c r="H262" s="6">
        <v>0.2392</v>
      </c>
    </row>
    <row r="263" spans="1:8" x14ac:dyDescent="0.3">
      <c r="A263" t="s">
        <v>191</v>
      </c>
      <c r="B263" s="25">
        <v>45716</v>
      </c>
      <c r="C263" t="s">
        <v>323</v>
      </c>
      <c r="D263" s="4">
        <v>597414.84</v>
      </c>
      <c r="E263" s="4">
        <v>454513.21</v>
      </c>
      <c r="F263" s="6">
        <v>0.76080000000000003</v>
      </c>
      <c r="G263" s="4">
        <v>142901.63</v>
      </c>
      <c r="H263" s="6">
        <v>0.2392</v>
      </c>
    </row>
    <row r="264" spans="1:8" x14ac:dyDescent="0.3">
      <c r="A264" t="s">
        <v>191</v>
      </c>
      <c r="B264" s="25">
        <v>45716</v>
      </c>
      <c r="C264" t="s">
        <v>322</v>
      </c>
      <c r="D264" s="4">
        <v>466007.38</v>
      </c>
      <c r="E264" s="4">
        <v>354538.41</v>
      </c>
      <c r="F264" s="6">
        <v>0.76080000000000003</v>
      </c>
      <c r="G264" s="4">
        <v>111468.96</v>
      </c>
      <c r="H264" s="6">
        <v>0.2392</v>
      </c>
    </row>
    <row r="265" spans="1:8" x14ac:dyDescent="0.3">
      <c r="A265" t="s">
        <v>191</v>
      </c>
      <c r="B265" s="25">
        <v>45716</v>
      </c>
      <c r="C265" t="s">
        <v>321</v>
      </c>
      <c r="D265" s="4">
        <v>118414.61</v>
      </c>
      <c r="E265" s="4">
        <v>90089.84</v>
      </c>
      <c r="F265" s="6">
        <v>0.76080000000000003</v>
      </c>
      <c r="G265" s="4">
        <v>28324.78</v>
      </c>
      <c r="H265" s="6">
        <v>0.2392</v>
      </c>
    </row>
    <row r="266" spans="1:8" x14ac:dyDescent="0.3">
      <c r="A266" t="s">
        <v>191</v>
      </c>
      <c r="B266" s="25">
        <v>45716</v>
      </c>
      <c r="C266" t="s">
        <v>320</v>
      </c>
      <c r="D266" s="4">
        <v>261401.26</v>
      </c>
      <c r="E266" s="4">
        <v>198874.08</v>
      </c>
      <c r="F266" s="6">
        <v>0.76080000000000003</v>
      </c>
      <c r="G266" s="4">
        <v>62527.18</v>
      </c>
      <c r="H266" s="6">
        <v>0.2392</v>
      </c>
    </row>
    <row r="267" spans="1:8" x14ac:dyDescent="0.3">
      <c r="A267" t="s">
        <v>191</v>
      </c>
      <c r="B267" s="25">
        <v>45716</v>
      </c>
      <c r="C267" t="s">
        <v>319</v>
      </c>
      <c r="D267" s="4">
        <v>178910.94</v>
      </c>
      <c r="E267" s="4">
        <v>136115.44</v>
      </c>
      <c r="F267" s="6">
        <v>0.76080000000000003</v>
      </c>
      <c r="G267" s="4">
        <v>42795.5</v>
      </c>
      <c r="H267" s="6">
        <v>0.2392</v>
      </c>
    </row>
    <row r="268" spans="1:8" x14ac:dyDescent="0.3">
      <c r="A268" t="s">
        <v>191</v>
      </c>
      <c r="B268" s="25">
        <v>45716</v>
      </c>
      <c r="C268" t="s">
        <v>268</v>
      </c>
      <c r="D268" s="4">
        <v>211419.6</v>
      </c>
      <c r="E268" s="4">
        <v>160848.04</v>
      </c>
      <c r="F268" s="6">
        <v>0.76080000000000003</v>
      </c>
      <c r="G268" s="4">
        <v>50571.57</v>
      </c>
      <c r="H268" s="6">
        <v>0.2392</v>
      </c>
    </row>
    <row r="269" spans="1:8" x14ac:dyDescent="0.3">
      <c r="A269" t="s">
        <v>191</v>
      </c>
      <c r="B269" s="25">
        <v>45716</v>
      </c>
      <c r="C269" t="s">
        <v>318</v>
      </c>
      <c r="D269" s="4">
        <v>388193.29</v>
      </c>
      <c r="E269" s="4">
        <v>295337.45</v>
      </c>
      <c r="F269" s="6">
        <v>0.76080000000000003</v>
      </c>
      <c r="G269" s="4">
        <v>92855.83</v>
      </c>
      <c r="H269" s="6">
        <v>0.2392</v>
      </c>
    </row>
    <row r="270" spans="1:8" x14ac:dyDescent="0.3">
      <c r="A270" t="s">
        <v>191</v>
      </c>
      <c r="B270" s="25">
        <v>45716</v>
      </c>
      <c r="C270" t="s">
        <v>317</v>
      </c>
      <c r="D270" s="4">
        <v>414849.25</v>
      </c>
      <c r="E270" s="4">
        <v>315617.31</v>
      </c>
      <c r="F270" s="6">
        <v>0.76080000000000003</v>
      </c>
      <c r="G270" s="4">
        <v>99231.94</v>
      </c>
      <c r="H270" s="6">
        <v>0.2392</v>
      </c>
    </row>
    <row r="271" spans="1:8" x14ac:dyDescent="0.3">
      <c r="A271" t="s">
        <v>191</v>
      </c>
      <c r="B271" s="25">
        <v>45716</v>
      </c>
      <c r="C271" t="s">
        <v>316</v>
      </c>
      <c r="D271" s="4">
        <v>372073.06</v>
      </c>
      <c r="E271" s="4">
        <v>283073.19</v>
      </c>
      <c r="F271" s="6">
        <v>0.76080000000000003</v>
      </c>
      <c r="G271" s="4">
        <v>88999.88</v>
      </c>
      <c r="H271" s="6">
        <v>0.2392</v>
      </c>
    </row>
    <row r="272" spans="1:8" x14ac:dyDescent="0.3">
      <c r="A272" t="s">
        <v>191</v>
      </c>
      <c r="B272" s="25">
        <v>45747</v>
      </c>
      <c r="C272" t="s">
        <v>324</v>
      </c>
      <c r="D272" s="4">
        <v>134578.94</v>
      </c>
      <c r="E272" s="4">
        <v>103854.57</v>
      </c>
      <c r="F272" s="6">
        <v>0.77170000000000005</v>
      </c>
      <c r="G272" s="4">
        <v>30724.37</v>
      </c>
      <c r="H272" s="6">
        <v>0.2283</v>
      </c>
    </row>
    <row r="273" spans="1:8" x14ac:dyDescent="0.3">
      <c r="A273" t="s">
        <v>191</v>
      </c>
      <c r="B273" s="25">
        <v>45747</v>
      </c>
      <c r="C273" t="s">
        <v>323</v>
      </c>
      <c r="D273" s="4">
        <v>663819.32999999996</v>
      </c>
      <c r="E273" s="4">
        <v>512269.38</v>
      </c>
      <c r="F273" s="6">
        <v>0.77170000000000005</v>
      </c>
      <c r="G273" s="4">
        <v>151549.95000000001</v>
      </c>
      <c r="H273" s="6">
        <v>0.2283</v>
      </c>
    </row>
    <row r="274" spans="1:8" x14ac:dyDescent="0.3">
      <c r="A274" t="s">
        <v>191</v>
      </c>
      <c r="B274" s="25">
        <v>45747</v>
      </c>
      <c r="C274" t="s">
        <v>322</v>
      </c>
      <c r="D274" s="4">
        <v>567656.19999999995</v>
      </c>
      <c r="E274" s="4">
        <v>438060.29</v>
      </c>
      <c r="F274" s="6">
        <v>0.77170000000000005</v>
      </c>
      <c r="G274" s="4">
        <v>129595.91</v>
      </c>
      <c r="H274" s="6">
        <v>0.2283</v>
      </c>
    </row>
    <row r="275" spans="1:8" x14ac:dyDescent="0.3">
      <c r="A275" t="s">
        <v>191</v>
      </c>
      <c r="B275" s="25">
        <v>45747</v>
      </c>
      <c r="C275" t="s">
        <v>321</v>
      </c>
      <c r="D275" s="4">
        <v>209282.46</v>
      </c>
      <c r="E275" s="4">
        <v>161503.26999999999</v>
      </c>
      <c r="F275" s="6">
        <v>0.77170000000000005</v>
      </c>
      <c r="G275" s="4">
        <v>47779.19</v>
      </c>
      <c r="H275" s="6">
        <v>0.2283</v>
      </c>
    </row>
    <row r="276" spans="1:8" x14ac:dyDescent="0.3">
      <c r="A276" t="s">
        <v>191</v>
      </c>
      <c r="B276" s="25">
        <v>45747</v>
      </c>
      <c r="C276" t="s">
        <v>320</v>
      </c>
      <c r="D276" s="4">
        <v>380402.9</v>
      </c>
      <c r="E276" s="4">
        <v>293556.92</v>
      </c>
      <c r="F276" s="6">
        <v>0.77170000000000005</v>
      </c>
      <c r="G276" s="4">
        <v>86845.98</v>
      </c>
      <c r="H276" s="6">
        <v>0.2283</v>
      </c>
    </row>
    <row r="277" spans="1:8" x14ac:dyDescent="0.3">
      <c r="A277" t="s">
        <v>191</v>
      </c>
      <c r="B277" s="25">
        <v>45747</v>
      </c>
      <c r="C277" t="s">
        <v>319</v>
      </c>
      <c r="D277" s="4">
        <v>230080.44</v>
      </c>
      <c r="E277" s="4">
        <v>177553.07</v>
      </c>
      <c r="F277" s="6">
        <v>0.77170000000000005</v>
      </c>
      <c r="G277" s="4">
        <v>52527.360000000001</v>
      </c>
      <c r="H277" s="6">
        <v>0.2283</v>
      </c>
    </row>
    <row r="278" spans="1:8" x14ac:dyDescent="0.3">
      <c r="A278" t="s">
        <v>191</v>
      </c>
      <c r="B278" s="25">
        <v>45747</v>
      </c>
      <c r="C278" t="s">
        <v>268</v>
      </c>
      <c r="D278" s="4">
        <v>103823.91</v>
      </c>
      <c r="E278" s="4">
        <v>80120.91</v>
      </c>
      <c r="F278" s="6">
        <v>0.77170000000000005</v>
      </c>
      <c r="G278" s="4">
        <v>23703</v>
      </c>
      <c r="H278" s="6">
        <v>0.2283</v>
      </c>
    </row>
    <row r="279" spans="1:8" x14ac:dyDescent="0.3">
      <c r="A279" t="s">
        <v>191</v>
      </c>
      <c r="B279" s="25">
        <v>45747</v>
      </c>
      <c r="C279" t="s">
        <v>318</v>
      </c>
      <c r="D279" s="4">
        <v>329254.40999999997</v>
      </c>
      <c r="E279" s="4">
        <v>254085.63</v>
      </c>
      <c r="F279" s="6">
        <v>0.77170000000000005</v>
      </c>
      <c r="G279" s="4">
        <v>75168.78</v>
      </c>
      <c r="H279" s="6">
        <v>0.2283</v>
      </c>
    </row>
    <row r="280" spans="1:8" x14ac:dyDescent="0.3">
      <c r="A280" t="s">
        <v>191</v>
      </c>
      <c r="B280" s="25">
        <v>45747</v>
      </c>
      <c r="C280" t="s">
        <v>317</v>
      </c>
      <c r="D280" s="4">
        <v>308997.38</v>
      </c>
      <c r="E280" s="4">
        <v>238453.28</v>
      </c>
      <c r="F280" s="6">
        <v>0.77170000000000005</v>
      </c>
      <c r="G280" s="4">
        <v>70544.100000000006</v>
      </c>
      <c r="H280" s="6">
        <v>0.2283</v>
      </c>
    </row>
    <row r="281" spans="1:8" x14ac:dyDescent="0.3">
      <c r="A281" t="s">
        <v>191</v>
      </c>
      <c r="B281" s="25">
        <v>45747</v>
      </c>
      <c r="C281" t="s">
        <v>316</v>
      </c>
      <c r="D281" s="4">
        <v>241630.14</v>
      </c>
      <c r="E281" s="4">
        <v>186465.98</v>
      </c>
      <c r="F281" s="6">
        <v>0.77170000000000005</v>
      </c>
      <c r="G281" s="4">
        <v>55164.160000000003</v>
      </c>
      <c r="H281" s="6">
        <v>0.2283</v>
      </c>
    </row>
    <row r="282" spans="1:8" x14ac:dyDescent="0.3">
      <c r="A282" t="s">
        <v>191</v>
      </c>
      <c r="B282" s="25">
        <v>45777</v>
      </c>
      <c r="C282" t="s">
        <v>324</v>
      </c>
      <c r="D282" s="4">
        <v>192434.59</v>
      </c>
      <c r="E282" s="4">
        <v>156834.19</v>
      </c>
      <c r="F282" s="6">
        <v>0.81499999999999995</v>
      </c>
      <c r="G282" s="4">
        <v>35600.400000000001</v>
      </c>
      <c r="H282" s="6">
        <v>0.185</v>
      </c>
    </row>
    <row r="283" spans="1:8" x14ac:dyDescent="0.3">
      <c r="A283" t="s">
        <v>191</v>
      </c>
      <c r="B283" s="25">
        <v>45777</v>
      </c>
      <c r="C283" t="s">
        <v>323</v>
      </c>
      <c r="D283" s="4">
        <v>727082.44</v>
      </c>
      <c r="E283" s="4">
        <v>592572.18999999994</v>
      </c>
      <c r="F283" s="6">
        <v>0.81499999999999995</v>
      </c>
      <c r="G283" s="4">
        <v>134510.25</v>
      </c>
      <c r="H283" s="6">
        <v>0.185</v>
      </c>
    </row>
    <row r="284" spans="1:8" x14ac:dyDescent="0.3">
      <c r="A284" t="s">
        <v>191</v>
      </c>
      <c r="B284" s="25">
        <v>45777</v>
      </c>
      <c r="C284" t="s">
        <v>322</v>
      </c>
      <c r="D284" s="4">
        <v>317612.61</v>
      </c>
      <c r="E284" s="4">
        <v>258854.28</v>
      </c>
      <c r="F284" s="6">
        <v>0.81499999999999995</v>
      </c>
      <c r="G284" s="4">
        <v>58758.33</v>
      </c>
      <c r="H284" s="6">
        <v>0.185</v>
      </c>
    </row>
    <row r="285" spans="1:8" x14ac:dyDescent="0.3">
      <c r="A285" t="s">
        <v>191</v>
      </c>
      <c r="B285" s="25">
        <v>45777</v>
      </c>
      <c r="C285" t="s">
        <v>321</v>
      </c>
      <c r="D285" s="4">
        <v>287546.99</v>
      </c>
      <c r="E285" s="4">
        <v>234350.8</v>
      </c>
      <c r="F285" s="6">
        <v>0.81499999999999995</v>
      </c>
      <c r="G285" s="4">
        <v>53196.19</v>
      </c>
      <c r="H285" s="6">
        <v>0.185</v>
      </c>
    </row>
    <row r="286" spans="1:8" x14ac:dyDescent="0.3">
      <c r="A286" t="s">
        <v>191</v>
      </c>
      <c r="B286" s="25">
        <v>45777</v>
      </c>
      <c r="C286" t="s">
        <v>320</v>
      </c>
      <c r="D286" s="4">
        <v>93448.3</v>
      </c>
      <c r="E286" s="4">
        <v>76160.37</v>
      </c>
      <c r="F286" s="6">
        <v>0.81499999999999995</v>
      </c>
      <c r="G286" s="4">
        <v>17287.939999999999</v>
      </c>
      <c r="H286" s="6">
        <v>0.185</v>
      </c>
    </row>
    <row r="287" spans="1:8" x14ac:dyDescent="0.3">
      <c r="A287" t="s">
        <v>191</v>
      </c>
      <c r="B287" s="25">
        <v>45777</v>
      </c>
      <c r="C287" t="s">
        <v>319</v>
      </c>
      <c r="D287" s="4">
        <v>303734.53000000003</v>
      </c>
      <c r="E287" s="4">
        <v>247543.64</v>
      </c>
      <c r="F287" s="6">
        <v>0.81499999999999995</v>
      </c>
      <c r="G287" s="4">
        <v>56190.89</v>
      </c>
      <c r="H287" s="6">
        <v>0.185</v>
      </c>
    </row>
    <row r="288" spans="1:8" x14ac:dyDescent="0.3">
      <c r="A288" t="s">
        <v>191</v>
      </c>
      <c r="B288" s="25">
        <v>45777</v>
      </c>
      <c r="C288" t="s">
        <v>268</v>
      </c>
      <c r="D288" s="4">
        <v>177795.87</v>
      </c>
      <c r="E288" s="4">
        <v>144903.64000000001</v>
      </c>
      <c r="F288" s="6">
        <v>0.81499999999999995</v>
      </c>
      <c r="G288" s="4">
        <v>32892.239999999998</v>
      </c>
      <c r="H288" s="6">
        <v>0.185</v>
      </c>
    </row>
    <row r="289" spans="1:8" x14ac:dyDescent="0.3">
      <c r="A289" t="s">
        <v>191</v>
      </c>
      <c r="B289" s="25">
        <v>45777</v>
      </c>
      <c r="C289" t="s">
        <v>318</v>
      </c>
      <c r="D289" s="4">
        <v>438171.63</v>
      </c>
      <c r="E289" s="4">
        <v>357109.88</v>
      </c>
      <c r="F289" s="6">
        <v>0.81499999999999995</v>
      </c>
      <c r="G289" s="4">
        <v>81061.75</v>
      </c>
      <c r="H289" s="6">
        <v>0.185</v>
      </c>
    </row>
    <row r="290" spans="1:8" x14ac:dyDescent="0.3">
      <c r="A290" t="s">
        <v>191</v>
      </c>
      <c r="B290" s="25">
        <v>45777</v>
      </c>
      <c r="C290" t="s">
        <v>317</v>
      </c>
      <c r="D290" s="4">
        <v>444898.12</v>
      </c>
      <c r="E290" s="4">
        <v>362591.97</v>
      </c>
      <c r="F290" s="6">
        <v>0.81499999999999995</v>
      </c>
      <c r="G290" s="4">
        <v>82306.149999999994</v>
      </c>
      <c r="H290" s="6">
        <v>0.185</v>
      </c>
    </row>
    <row r="291" spans="1:8" x14ac:dyDescent="0.3">
      <c r="A291" t="s">
        <v>191</v>
      </c>
      <c r="B291" s="25">
        <v>45777</v>
      </c>
      <c r="C291" t="s">
        <v>316</v>
      </c>
      <c r="D291" s="4">
        <v>318405.05</v>
      </c>
      <c r="E291" s="4">
        <v>259500.12</v>
      </c>
      <c r="F291" s="6">
        <v>0.81499999999999995</v>
      </c>
      <c r="G291" s="4">
        <v>58904.93</v>
      </c>
      <c r="H291" s="6">
        <v>0.185</v>
      </c>
    </row>
    <row r="292" spans="1:8" x14ac:dyDescent="0.3">
      <c r="A292" t="s">
        <v>191</v>
      </c>
      <c r="B292" s="25">
        <v>45808</v>
      </c>
      <c r="C292" t="s">
        <v>324</v>
      </c>
      <c r="D292" s="4">
        <v>205095.63</v>
      </c>
      <c r="E292" s="4">
        <v>182391.54</v>
      </c>
      <c r="F292" s="6">
        <v>0.88929999999999998</v>
      </c>
      <c r="G292" s="4">
        <v>22704.09</v>
      </c>
      <c r="H292" s="6">
        <v>0.11070000000000001</v>
      </c>
    </row>
    <row r="293" spans="1:8" x14ac:dyDescent="0.3">
      <c r="A293" t="s">
        <v>191</v>
      </c>
      <c r="B293" s="25">
        <v>45808</v>
      </c>
      <c r="C293" t="s">
        <v>323</v>
      </c>
      <c r="D293" s="4">
        <v>620947.16</v>
      </c>
      <c r="E293" s="4">
        <v>552208.31000000006</v>
      </c>
      <c r="F293" s="6">
        <v>0.88929999999999998</v>
      </c>
      <c r="G293" s="4">
        <v>68738.850000000006</v>
      </c>
      <c r="H293" s="6">
        <v>0.11070000000000001</v>
      </c>
    </row>
    <row r="294" spans="1:8" x14ac:dyDescent="0.3">
      <c r="A294" t="s">
        <v>191</v>
      </c>
      <c r="B294" s="25">
        <v>45808</v>
      </c>
      <c r="C294" t="s">
        <v>322</v>
      </c>
      <c r="D294" s="4">
        <v>562807.75</v>
      </c>
      <c r="E294" s="4">
        <v>500504.93</v>
      </c>
      <c r="F294" s="6">
        <v>0.88929999999999998</v>
      </c>
      <c r="G294" s="4">
        <v>62302.82</v>
      </c>
      <c r="H294" s="6">
        <v>0.11070000000000001</v>
      </c>
    </row>
    <row r="295" spans="1:8" x14ac:dyDescent="0.3">
      <c r="A295" t="s">
        <v>191</v>
      </c>
      <c r="B295" s="25">
        <v>45808</v>
      </c>
      <c r="C295" t="s">
        <v>321</v>
      </c>
      <c r="D295" s="4">
        <v>227391.22</v>
      </c>
      <c r="E295" s="4">
        <v>202219.01</v>
      </c>
      <c r="F295" s="6">
        <v>0.88929999999999998</v>
      </c>
      <c r="G295" s="4">
        <v>25172.21</v>
      </c>
      <c r="H295" s="6">
        <v>0.11070000000000001</v>
      </c>
    </row>
    <row r="296" spans="1:8" x14ac:dyDescent="0.3">
      <c r="A296" t="s">
        <v>191</v>
      </c>
      <c r="B296" s="25">
        <v>45808</v>
      </c>
      <c r="C296" t="s">
        <v>320</v>
      </c>
      <c r="D296" s="4">
        <v>413833.92</v>
      </c>
      <c r="E296" s="4">
        <v>368022.5</v>
      </c>
      <c r="F296" s="6">
        <v>0.88929999999999998</v>
      </c>
      <c r="G296" s="4">
        <v>45811.41</v>
      </c>
      <c r="H296" s="6">
        <v>0.11070000000000001</v>
      </c>
    </row>
    <row r="297" spans="1:8" x14ac:dyDescent="0.3">
      <c r="A297" t="s">
        <v>191</v>
      </c>
      <c r="B297" s="25">
        <v>45808</v>
      </c>
      <c r="C297" t="s">
        <v>319</v>
      </c>
      <c r="D297" s="4">
        <v>255985.81</v>
      </c>
      <c r="E297" s="4">
        <v>227648.18</v>
      </c>
      <c r="F297" s="6">
        <v>0.88929999999999998</v>
      </c>
      <c r="G297" s="4">
        <v>28337.63</v>
      </c>
      <c r="H297" s="6">
        <v>0.11070000000000001</v>
      </c>
    </row>
    <row r="298" spans="1:8" x14ac:dyDescent="0.3">
      <c r="A298" t="s">
        <v>191</v>
      </c>
      <c r="B298" s="25">
        <v>45808</v>
      </c>
      <c r="C298" t="s">
        <v>268</v>
      </c>
      <c r="D298" s="4">
        <v>145807.1</v>
      </c>
      <c r="E298" s="4">
        <v>129666.26</v>
      </c>
      <c r="F298" s="6">
        <v>0.88929999999999998</v>
      </c>
      <c r="G298" s="4">
        <v>16140.85</v>
      </c>
      <c r="H298" s="6">
        <v>0.11070000000000001</v>
      </c>
    </row>
    <row r="299" spans="1:8" x14ac:dyDescent="0.3">
      <c r="A299" t="s">
        <v>191</v>
      </c>
      <c r="B299" s="25">
        <v>45808</v>
      </c>
      <c r="C299" t="s">
        <v>318</v>
      </c>
      <c r="D299" s="4">
        <v>217628.47</v>
      </c>
      <c r="E299" s="4">
        <v>193537</v>
      </c>
      <c r="F299" s="6">
        <v>0.88929999999999998</v>
      </c>
      <c r="G299" s="4">
        <v>24091.47</v>
      </c>
      <c r="H299" s="6">
        <v>0.11070000000000001</v>
      </c>
    </row>
    <row r="300" spans="1:8" x14ac:dyDescent="0.3">
      <c r="A300" t="s">
        <v>191</v>
      </c>
      <c r="B300" s="25">
        <v>45808</v>
      </c>
      <c r="C300" t="s">
        <v>317</v>
      </c>
      <c r="D300" s="4">
        <v>478720.57</v>
      </c>
      <c r="E300" s="4">
        <v>425726.2</v>
      </c>
      <c r="F300" s="6">
        <v>0.88929999999999998</v>
      </c>
      <c r="G300" s="4">
        <v>52994.37</v>
      </c>
      <c r="H300" s="6">
        <v>0.11070000000000001</v>
      </c>
    </row>
    <row r="301" spans="1:8" x14ac:dyDescent="0.3">
      <c r="A301" t="s">
        <v>191</v>
      </c>
      <c r="B301" s="25">
        <v>45808</v>
      </c>
      <c r="C301" t="s">
        <v>316</v>
      </c>
      <c r="D301" s="4">
        <v>329765.7</v>
      </c>
      <c r="E301" s="4">
        <v>293260.64</v>
      </c>
      <c r="F301" s="6">
        <v>0.88929999999999998</v>
      </c>
      <c r="G301" s="4">
        <v>36505.06</v>
      </c>
      <c r="H301" s="6">
        <v>0.11070000000000001</v>
      </c>
    </row>
    <row r="302" spans="1:8" x14ac:dyDescent="0.3">
      <c r="A302" t="s">
        <v>191</v>
      </c>
      <c r="B302" s="25">
        <v>45838</v>
      </c>
      <c r="C302" t="s">
        <v>324</v>
      </c>
      <c r="D302" s="4">
        <v>88412.9</v>
      </c>
      <c r="E302" s="4">
        <v>78369.2</v>
      </c>
      <c r="F302" s="6">
        <v>0.88639999999999997</v>
      </c>
      <c r="G302" s="4">
        <v>10043.709999999999</v>
      </c>
      <c r="H302" s="6">
        <v>0.11360000000000001</v>
      </c>
    </row>
    <row r="303" spans="1:8" x14ac:dyDescent="0.3">
      <c r="A303" t="s">
        <v>191</v>
      </c>
      <c r="B303" s="25">
        <v>45838</v>
      </c>
      <c r="C303" t="s">
        <v>323</v>
      </c>
      <c r="D303" s="4">
        <v>587321.42000000004</v>
      </c>
      <c r="E303" s="4">
        <v>520601.7</v>
      </c>
      <c r="F303" s="6">
        <v>0.88639999999999997</v>
      </c>
      <c r="G303" s="4">
        <v>66719.710000000006</v>
      </c>
      <c r="H303" s="6">
        <v>0.11360000000000001</v>
      </c>
    </row>
    <row r="304" spans="1:8" x14ac:dyDescent="0.3">
      <c r="A304" t="s">
        <v>191</v>
      </c>
      <c r="B304" s="25">
        <v>45838</v>
      </c>
      <c r="C304" t="s">
        <v>322</v>
      </c>
      <c r="D304" s="4">
        <v>400899.84000000003</v>
      </c>
      <c r="E304" s="4">
        <v>355357.61</v>
      </c>
      <c r="F304" s="6">
        <v>0.88639999999999997</v>
      </c>
      <c r="G304" s="4">
        <v>45542.22</v>
      </c>
      <c r="H304" s="6">
        <v>0.11360000000000001</v>
      </c>
    </row>
    <row r="305" spans="1:8" x14ac:dyDescent="0.3">
      <c r="A305" t="s">
        <v>191</v>
      </c>
      <c r="B305" s="25">
        <v>45838</v>
      </c>
      <c r="C305" t="s">
        <v>321</v>
      </c>
      <c r="D305" s="4">
        <v>318076.36</v>
      </c>
      <c r="E305" s="4">
        <v>281942.88</v>
      </c>
      <c r="F305" s="6">
        <v>0.88639999999999997</v>
      </c>
      <c r="G305" s="4">
        <v>36133.47</v>
      </c>
      <c r="H305" s="6">
        <v>0.11360000000000001</v>
      </c>
    </row>
    <row r="306" spans="1:8" x14ac:dyDescent="0.3">
      <c r="A306" t="s">
        <v>191</v>
      </c>
      <c r="B306" s="25">
        <v>45838</v>
      </c>
      <c r="C306" t="s">
        <v>320</v>
      </c>
      <c r="D306" s="4">
        <v>383109.64</v>
      </c>
      <c r="E306" s="4">
        <v>339588.38</v>
      </c>
      <c r="F306" s="6">
        <v>0.88639999999999997</v>
      </c>
      <c r="G306" s="4">
        <v>43521.25</v>
      </c>
      <c r="H306" s="6">
        <v>0.11360000000000001</v>
      </c>
    </row>
    <row r="307" spans="1:8" x14ac:dyDescent="0.3">
      <c r="A307" t="s">
        <v>191</v>
      </c>
      <c r="B307" s="25">
        <v>45838</v>
      </c>
      <c r="C307" t="s">
        <v>319</v>
      </c>
      <c r="D307" s="4">
        <v>143858.03</v>
      </c>
      <c r="E307" s="4">
        <v>127515.75</v>
      </c>
      <c r="F307" s="6">
        <v>0.88639999999999997</v>
      </c>
      <c r="G307" s="4">
        <v>16342.27</v>
      </c>
      <c r="H307" s="6">
        <v>0.11360000000000001</v>
      </c>
    </row>
    <row r="308" spans="1:8" x14ac:dyDescent="0.3">
      <c r="A308" t="s">
        <v>191</v>
      </c>
      <c r="B308" s="25">
        <v>45838</v>
      </c>
      <c r="C308" t="s">
        <v>268</v>
      </c>
      <c r="D308" s="4">
        <v>241925.77</v>
      </c>
      <c r="E308" s="4">
        <v>214443</v>
      </c>
      <c r="F308" s="6">
        <v>0.88639999999999997</v>
      </c>
      <c r="G308" s="4">
        <v>27482.77</v>
      </c>
      <c r="H308" s="6">
        <v>0.11360000000000001</v>
      </c>
    </row>
    <row r="309" spans="1:8" x14ac:dyDescent="0.3">
      <c r="A309" t="s">
        <v>191</v>
      </c>
      <c r="B309" s="25">
        <v>45838</v>
      </c>
      <c r="C309" t="s">
        <v>318</v>
      </c>
      <c r="D309" s="4">
        <v>233872.3</v>
      </c>
      <c r="E309" s="4">
        <v>207304.41</v>
      </c>
      <c r="F309" s="6">
        <v>0.88639999999999997</v>
      </c>
      <c r="G309" s="4">
        <v>26567.89</v>
      </c>
      <c r="H309" s="6">
        <v>0.11360000000000001</v>
      </c>
    </row>
    <row r="310" spans="1:8" x14ac:dyDescent="0.3">
      <c r="A310" t="s">
        <v>191</v>
      </c>
      <c r="B310" s="25">
        <v>45838</v>
      </c>
      <c r="C310" t="s">
        <v>317</v>
      </c>
      <c r="D310" s="4">
        <v>326910.71999999997</v>
      </c>
      <c r="E310" s="4">
        <v>289773.65999999997</v>
      </c>
      <c r="F310" s="6">
        <v>0.88639999999999997</v>
      </c>
      <c r="G310" s="4">
        <v>37137.06</v>
      </c>
      <c r="H310" s="6">
        <v>0.11360000000000001</v>
      </c>
    </row>
    <row r="311" spans="1:8" x14ac:dyDescent="0.3">
      <c r="A311" t="s">
        <v>191</v>
      </c>
      <c r="B311" s="25">
        <v>45838</v>
      </c>
      <c r="C311" t="s">
        <v>316</v>
      </c>
      <c r="D311" s="4">
        <v>249444.66</v>
      </c>
      <c r="E311" s="4">
        <v>221107.75</v>
      </c>
      <c r="F311" s="6">
        <v>0.88639999999999997</v>
      </c>
      <c r="G311" s="4">
        <v>28336.91</v>
      </c>
      <c r="H311" s="6">
        <v>0.11360000000000001</v>
      </c>
    </row>
    <row r="312" spans="1:8" x14ac:dyDescent="0.3">
      <c r="A312" t="s">
        <v>191</v>
      </c>
      <c r="B312" s="25">
        <v>45869</v>
      </c>
      <c r="C312" t="s">
        <v>324</v>
      </c>
      <c r="D312" s="4">
        <v>432949.54</v>
      </c>
      <c r="E312" s="4">
        <v>335146.23999999999</v>
      </c>
      <c r="F312" s="6">
        <v>0.77410000000000001</v>
      </c>
      <c r="G312" s="4">
        <v>97803.3</v>
      </c>
      <c r="H312" s="6">
        <v>0.22589999999999999</v>
      </c>
    </row>
    <row r="313" spans="1:8" x14ac:dyDescent="0.3">
      <c r="A313" t="s">
        <v>191</v>
      </c>
      <c r="B313" s="25">
        <v>45869</v>
      </c>
      <c r="C313" t="s">
        <v>323</v>
      </c>
      <c r="D313" s="4">
        <v>314026.94</v>
      </c>
      <c r="E313" s="4">
        <v>243088.25</v>
      </c>
      <c r="F313" s="6">
        <v>0.77410000000000001</v>
      </c>
      <c r="G313" s="4">
        <v>70938.679999999993</v>
      </c>
      <c r="H313" s="6">
        <v>0.22589999999999999</v>
      </c>
    </row>
    <row r="314" spans="1:8" x14ac:dyDescent="0.3">
      <c r="A314" t="s">
        <v>191</v>
      </c>
      <c r="B314" s="25">
        <v>45869</v>
      </c>
      <c r="C314" t="s">
        <v>322</v>
      </c>
      <c r="D314" s="4">
        <v>475946.77</v>
      </c>
      <c r="E314" s="4">
        <v>368430.4</v>
      </c>
      <c r="F314" s="6">
        <v>0.77410000000000001</v>
      </c>
      <c r="G314" s="4">
        <v>107516.38</v>
      </c>
      <c r="H314" s="6">
        <v>0.22589999999999999</v>
      </c>
    </row>
    <row r="315" spans="1:8" x14ac:dyDescent="0.3">
      <c r="A315" t="s">
        <v>191</v>
      </c>
      <c r="B315" s="25">
        <v>45869</v>
      </c>
      <c r="C315" t="s">
        <v>321</v>
      </c>
      <c r="D315" s="4">
        <v>276473.08</v>
      </c>
      <c r="E315" s="4">
        <v>214017.81</v>
      </c>
      <c r="F315" s="6">
        <v>0.77410000000000001</v>
      </c>
      <c r="G315" s="4">
        <v>62455.27</v>
      </c>
      <c r="H315" s="6">
        <v>0.22589999999999999</v>
      </c>
    </row>
    <row r="316" spans="1:8" x14ac:dyDescent="0.3">
      <c r="A316" t="s">
        <v>191</v>
      </c>
      <c r="B316" s="25">
        <v>45869</v>
      </c>
      <c r="C316" t="s">
        <v>320</v>
      </c>
      <c r="D316" s="4">
        <v>223047.53</v>
      </c>
      <c r="E316" s="4">
        <v>172661.09</v>
      </c>
      <c r="F316" s="6">
        <v>0.77410000000000001</v>
      </c>
      <c r="G316" s="4">
        <v>50386.44</v>
      </c>
      <c r="H316" s="6">
        <v>0.22589999999999999</v>
      </c>
    </row>
    <row r="317" spans="1:8" x14ac:dyDescent="0.3">
      <c r="A317" t="s">
        <v>191</v>
      </c>
      <c r="B317" s="25">
        <v>45869</v>
      </c>
      <c r="C317" t="s">
        <v>319</v>
      </c>
      <c r="D317" s="4">
        <v>243244.98</v>
      </c>
      <c r="E317" s="4">
        <v>188295.94</v>
      </c>
      <c r="F317" s="6">
        <v>0.77410000000000001</v>
      </c>
      <c r="G317" s="4">
        <v>54949.04</v>
      </c>
      <c r="H317" s="6">
        <v>0.22589999999999999</v>
      </c>
    </row>
    <row r="318" spans="1:8" x14ac:dyDescent="0.3">
      <c r="A318" t="s">
        <v>191</v>
      </c>
      <c r="B318" s="25">
        <v>45869</v>
      </c>
      <c r="C318" t="s">
        <v>268</v>
      </c>
      <c r="D318" s="4">
        <v>32440.41</v>
      </c>
      <c r="E318" s="4">
        <v>25112.12</v>
      </c>
      <c r="F318" s="6">
        <v>0.77410000000000001</v>
      </c>
      <c r="G318" s="4">
        <v>7328.29</v>
      </c>
      <c r="H318" s="6">
        <v>0.22589999999999999</v>
      </c>
    </row>
    <row r="319" spans="1:8" x14ac:dyDescent="0.3">
      <c r="A319" t="s">
        <v>191</v>
      </c>
      <c r="B319" s="25">
        <v>45869</v>
      </c>
      <c r="C319" t="s">
        <v>318</v>
      </c>
      <c r="D319" s="4">
        <v>421234.47</v>
      </c>
      <c r="E319" s="4">
        <v>326077.59999999998</v>
      </c>
      <c r="F319" s="6">
        <v>0.77410000000000001</v>
      </c>
      <c r="G319" s="4">
        <v>95156.87</v>
      </c>
      <c r="H319" s="6">
        <v>0.22589999999999999</v>
      </c>
    </row>
    <row r="320" spans="1:8" x14ac:dyDescent="0.3">
      <c r="A320" t="s">
        <v>191</v>
      </c>
      <c r="B320" s="25">
        <v>45869</v>
      </c>
      <c r="C320" t="s">
        <v>317</v>
      </c>
      <c r="D320" s="4">
        <v>367410.53</v>
      </c>
      <c r="E320" s="4">
        <v>284412.49</v>
      </c>
      <c r="F320" s="6">
        <v>0.77410000000000001</v>
      </c>
      <c r="G320" s="4">
        <v>82998.039999999994</v>
      </c>
      <c r="H320" s="6">
        <v>0.22589999999999999</v>
      </c>
    </row>
    <row r="321" spans="1:8" x14ac:dyDescent="0.3">
      <c r="A321" t="s">
        <v>191</v>
      </c>
      <c r="B321" s="25">
        <v>45869</v>
      </c>
      <c r="C321" t="s">
        <v>316</v>
      </c>
      <c r="D321" s="4">
        <v>215854.25</v>
      </c>
      <c r="E321" s="4">
        <v>167092.78</v>
      </c>
      <c r="F321" s="6">
        <v>0.77410000000000001</v>
      </c>
      <c r="G321" s="4">
        <v>48761.48</v>
      </c>
      <c r="H321" s="6">
        <v>0.22589999999999999</v>
      </c>
    </row>
    <row r="322" spans="1:8" x14ac:dyDescent="0.3">
      <c r="A322" t="s">
        <v>191</v>
      </c>
      <c r="B322" s="25">
        <v>45900</v>
      </c>
      <c r="C322" t="s">
        <v>324</v>
      </c>
      <c r="D322" s="4">
        <v>247163.67</v>
      </c>
      <c r="E322" s="4">
        <v>208976.88</v>
      </c>
      <c r="F322" s="6">
        <v>0.84550000000000003</v>
      </c>
      <c r="G322" s="4">
        <v>38186.79</v>
      </c>
      <c r="H322" s="6">
        <v>0.1545</v>
      </c>
    </row>
    <row r="323" spans="1:8" x14ac:dyDescent="0.3">
      <c r="A323" t="s">
        <v>191</v>
      </c>
      <c r="B323" s="25">
        <v>45900</v>
      </c>
      <c r="C323" t="s">
        <v>323</v>
      </c>
      <c r="D323" s="4">
        <v>578803.12</v>
      </c>
      <c r="E323" s="4">
        <v>489378.04</v>
      </c>
      <c r="F323" s="6">
        <v>0.84550000000000003</v>
      </c>
      <c r="G323" s="4">
        <v>89425.08</v>
      </c>
      <c r="H323" s="6">
        <v>0.1545</v>
      </c>
    </row>
    <row r="324" spans="1:8" x14ac:dyDescent="0.3">
      <c r="A324" t="s">
        <v>191</v>
      </c>
      <c r="B324" s="25">
        <v>45900</v>
      </c>
      <c r="C324" t="s">
        <v>322</v>
      </c>
      <c r="D324" s="4">
        <v>454491.94</v>
      </c>
      <c r="E324" s="4">
        <v>384272.94</v>
      </c>
      <c r="F324" s="6">
        <v>0.84550000000000003</v>
      </c>
      <c r="G324" s="4">
        <v>70219</v>
      </c>
      <c r="H324" s="6">
        <v>0.1545</v>
      </c>
    </row>
    <row r="325" spans="1:8" x14ac:dyDescent="0.3">
      <c r="A325" t="s">
        <v>191</v>
      </c>
      <c r="B325" s="25">
        <v>45900</v>
      </c>
      <c r="C325" t="s">
        <v>321</v>
      </c>
      <c r="D325" s="4">
        <v>342735.7</v>
      </c>
      <c r="E325" s="4">
        <v>289783.03000000003</v>
      </c>
      <c r="F325" s="6">
        <v>0.84550000000000003</v>
      </c>
      <c r="G325" s="4">
        <v>52952.67</v>
      </c>
      <c r="H325" s="6">
        <v>0.1545</v>
      </c>
    </row>
    <row r="326" spans="1:8" x14ac:dyDescent="0.3">
      <c r="A326" t="s">
        <v>191</v>
      </c>
      <c r="B326" s="25">
        <v>45900</v>
      </c>
      <c r="C326" t="s">
        <v>320</v>
      </c>
      <c r="D326" s="4">
        <v>508895.7</v>
      </c>
      <c r="E326" s="4">
        <v>430271.31</v>
      </c>
      <c r="F326" s="6">
        <v>0.84550000000000003</v>
      </c>
      <c r="G326" s="4">
        <v>78624.39</v>
      </c>
      <c r="H326" s="6">
        <v>0.1545</v>
      </c>
    </row>
    <row r="327" spans="1:8" x14ac:dyDescent="0.3">
      <c r="A327" t="s">
        <v>191</v>
      </c>
      <c r="B327" s="25">
        <v>45900</v>
      </c>
      <c r="C327" t="s">
        <v>319</v>
      </c>
      <c r="D327" s="4">
        <v>38677.919999999998</v>
      </c>
      <c r="E327" s="4">
        <v>32702.18</v>
      </c>
      <c r="F327" s="6">
        <v>0.84550000000000003</v>
      </c>
      <c r="G327" s="4">
        <v>5975.74</v>
      </c>
      <c r="H327" s="6">
        <v>0.1545</v>
      </c>
    </row>
    <row r="328" spans="1:8" x14ac:dyDescent="0.3">
      <c r="A328" t="s">
        <v>191</v>
      </c>
      <c r="B328" s="25">
        <v>45900</v>
      </c>
      <c r="C328" t="s">
        <v>268</v>
      </c>
      <c r="D328" s="4">
        <v>294260.34000000003</v>
      </c>
      <c r="E328" s="4">
        <v>248797.12</v>
      </c>
      <c r="F328" s="6">
        <v>0.84550000000000003</v>
      </c>
      <c r="G328" s="4">
        <v>45463.22</v>
      </c>
      <c r="H328" s="6">
        <v>0.1545</v>
      </c>
    </row>
    <row r="329" spans="1:8" x14ac:dyDescent="0.3">
      <c r="A329" t="s">
        <v>191</v>
      </c>
      <c r="B329" s="25">
        <v>45900</v>
      </c>
      <c r="C329" t="s">
        <v>318</v>
      </c>
      <c r="D329" s="4">
        <v>484619.8</v>
      </c>
      <c r="E329" s="4">
        <v>409746.04</v>
      </c>
      <c r="F329" s="6">
        <v>0.84550000000000003</v>
      </c>
      <c r="G329" s="4">
        <v>74873.759999999995</v>
      </c>
      <c r="H329" s="6">
        <v>0.1545</v>
      </c>
    </row>
    <row r="330" spans="1:8" x14ac:dyDescent="0.3">
      <c r="A330" t="s">
        <v>191</v>
      </c>
      <c r="B330" s="25">
        <v>45900</v>
      </c>
      <c r="C330" t="s">
        <v>317</v>
      </c>
      <c r="D330" s="4">
        <v>264224.8</v>
      </c>
      <c r="E330" s="4">
        <v>223402.07</v>
      </c>
      <c r="F330" s="6">
        <v>0.84550000000000003</v>
      </c>
      <c r="G330" s="4">
        <v>40822.730000000003</v>
      </c>
      <c r="H330" s="6">
        <v>0.1545</v>
      </c>
    </row>
    <row r="331" spans="1:8" x14ac:dyDescent="0.3">
      <c r="A331" t="s">
        <v>191</v>
      </c>
      <c r="B331" s="25">
        <v>45900</v>
      </c>
      <c r="C331" t="s">
        <v>316</v>
      </c>
      <c r="D331" s="4">
        <v>230479.8</v>
      </c>
      <c r="E331" s="4">
        <v>194870.67</v>
      </c>
      <c r="F331" s="6">
        <v>0.84550000000000003</v>
      </c>
      <c r="G331" s="4">
        <v>35609.129999999997</v>
      </c>
      <c r="H331" s="6">
        <v>0.1545</v>
      </c>
    </row>
    <row r="332" spans="1:8" x14ac:dyDescent="0.3">
      <c r="A332" t="s">
        <v>191</v>
      </c>
      <c r="B332" s="25">
        <v>45930</v>
      </c>
      <c r="C332" t="s">
        <v>324</v>
      </c>
      <c r="D332" s="4">
        <v>223377.7</v>
      </c>
      <c r="E332" s="4">
        <v>194651.33</v>
      </c>
      <c r="F332" s="6">
        <v>0.87139999999999995</v>
      </c>
      <c r="G332" s="4">
        <v>28726.37</v>
      </c>
      <c r="H332" s="6">
        <v>0.12859999999999999</v>
      </c>
    </row>
    <row r="333" spans="1:8" x14ac:dyDescent="0.3">
      <c r="A333" t="s">
        <v>191</v>
      </c>
      <c r="B333" s="25">
        <v>45930</v>
      </c>
      <c r="C333" t="s">
        <v>323</v>
      </c>
      <c r="D333" s="4">
        <v>579242.48</v>
      </c>
      <c r="E333" s="4">
        <v>504751.9</v>
      </c>
      <c r="F333" s="6">
        <v>0.87139999999999995</v>
      </c>
      <c r="G333" s="4">
        <v>74490.58</v>
      </c>
      <c r="H333" s="6">
        <v>0.12859999999999999</v>
      </c>
    </row>
    <row r="334" spans="1:8" x14ac:dyDescent="0.3">
      <c r="A334" t="s">
        <v>191</v>
      </c>
      <c r="B334" s="25">
        <v>45930</v>
      </c>
      <c r="C334" t="s">
        <v>322</v>
      </c>
      <c r="D334" s="4">
        <v>543986.55000000005</v>
      </c>
      <c r="E334" s="4">
        <v>474029.88</v>
      </c>
      <c r="F334" s="6">
        <v>0.87139999999999995</v>
      </c>
      <c r="G334" s="4">
        <v>69956.67</v>
      </c>
      <c r="H334" s="6">
        <v>0.12859999999999999</v>
      </c>
    </row>
    <row r="335" spans="1:8" x14ac:dyDescent="0.3">
      <c r="A335" t="s">
        <v>191</v>
      </c>
      <c r="B335" s="25">
        <v>45930</v>
      </c>
      <c r="C335" t="s">
        <v>321</v>
      </c>
      <c r="D335" s="4">
        <v>331597.59999999998</v>
      </c>
      <c r="E335" s="4">
        <v>288954.14</v>
      </c>
      <c r="F335" s="6">
        <v>0.87139999999999995</v>
      </c>
      <c r="G335" s="4">
        <v>42643.45</v>
      </c>
      <c r="H335" s="6">
        <v>0.12859999999999999</v>
      </c>
    </row>
    <row r="336" spans="1:8" x14ac:dyDescent="0.3">
      <c r="A336" t="s">
        <v>191</v>
      </c>
      <c r="B336" s="25">
        <v>45930</v>
      </c>
      <c r="C336" t="s">
        <v>320</v>
      </c>
      <c r="D336" s="4">
        <v>305778.55</v>
      </c>
      <c r="E336" s="4">
        <v>266455.43</v>
      </c>
      <c r="F336" s="6">
        <v>0.87139999999999995</v>
      </c>
      <c r="G336" s="4">
        <v>39323.120000000003</v>
      </c>
      <c r="H336" s="6">
        <v>0.12859999999999999</v>
      </c>
    </row>
    <row r="337" spans="1:8" x14ac:dyDescent="0.3">
      <c r="A337" t="s">
        <v>191</v>
      </c>
      <c r="B337" s="25">
        <v>45930</v>
      </c>
      <c r="C337" t="s">
        <v>319</v>
      </c>
      <c r="D337" s="4">
        <v>47156</v>
      </c>
      <c r="E337" s="4">
        <v>41091.74</v>
      </c>
      <c r="F337" s="6">
        <v>0.87139999999999995</v>
      </c>
      <c r="G337" s="4">
        <v>6064.26</v>
      </c>
      <c r="H337" s="6">
        <v>0.12859999999999999</v>
      </c>
    </row>
    <row r="338" spans="1:8" x14ac:dyDescent="0.3">
      <c r="A338" t="s">
        <v>191</v>
      </c>
      <c r="B338" s="25">
        <v>45930</v>
      </c>
      <c r="C338" t="s">
        <v>268</v>
      </c>
      <c r="D338" s="4">
        <v>298510.07</v>
      </c>
      <c r="E338" s="4">
        <v>260121.67</v>
      </c>
      <c r="F338" s="6">
        <v>0.87139999999999995</v>
      </c>
      <c r="G338" s="4">
        <v>38388.39</v>
      </c>
      <c r="H338" s="6">
        <v>0.12859999999999999</v>
      </c>
    </row>
    <row r="339" spans="1:8" x14ac:dyDescent="0.3">
      <c r="A339" t="s">
        <v>191</v>
      </c>
      <c r="B339" s="25">
        <v>45930</v>
      </c>
      <c r="C339" t="s">
        <v>318</v>
      </c>
      <c r="D339" s="4">
        <v>403411.11</v>
      </c>
      <c r="E339" s="4">
        <v>351532.44</v>
      </c>
      <c r="F339" s="6">
        <v>0.87139999999999995</v>
      </c>
      <c r="G339" s="4">
        <v>51878.67</v>
      </c>
      <c r="H339" s="6">
        <v>0.12859999999999999</v>
      </c>
    </row>
    <row r="340" spans="1:8" x14ac:dyDescent="0.3">
      <c r="A340" t="s">
        <v>191</v>
      </c>
      <c r="B340" s="25">
        <v>45930</v>
      </c>
      <c r="C340" t="s">
        <v>317</v>
      </c>
      <c r="D340" s="4">
        <v>304586.02</v>
      </c>
      <c r="E340" s="4">
        <v>265416.26</v>
      </c>
      <c r="F340" s="6">
        <v>0.87139999999999995</v>
      </c>
      <c r="G340" s="4">
        <v>39169.760000000002</v>
      </c>
      <c r="H340" s="6">
        <v>0.12859999999999999</v>
      </c>
    </row>
    <row r="341" spans="1:8" x14ac:dyDescent="0.3">
      <c r="A341" t="s">
        <v>191</v>
      </c>
      <c r="B341" s="25">
        <v>45930</v>
      </c>
      <c r="C341" t="s">
        <v>316</v>
      </c>
      <c r="D341" s="4">
        <v>164643.47</v>
      </c>
      <c r="E341" s="4">
        <v>143470.32</v>
      </c>
      <c r="F341" s="6">
        <v>0.87139999999999995</v>
      </c>
      <c r="G341" s="4">
        <v>21173.15</v>
      </c>
      <c r="H341" s="6">
        <v>0.12859999999999999</v>
      </c>
    </row>
    <row r="342" spans="1:8" x14ac:dyDescent="0.3">
      <c r="A342" t="s">
        <v>191</v>
      </c>
      <c r="B342" s="25">
        <v>45961</v>
      </c>
      <c r="C342" t="s">
        <v>324</v>
      </c>
      <c r="D342" s="4">
        <v>426402.86</v>
      </c>
      <c r="E342" s="4">
        <v>355875.83</v>
      </c>
      <c r="F342" s="6">
        <v>0.83460000000000001</v>
      </c>
      <c r="G342" s="4">
        <v>70527.03</v>
      </c>
      <c r="H342" s="6">
        <v>0.16539999999999999</v>
      </c>
    </row>
    <row r="343" spans="1:8" x14ac:dyDescent="0.3">
      <c r="A343" t="s">
        <v>191</v>
      </c>
      <c r="B343" s="25">
        <v>45961</v>
      </c>
      <c r="C343" t="s">
        <v>323</v>
      </c>
      <c r="D343" s="4">
        <v>544870.11</v>
      </c>
      <c r="E343" s="4">
        <v>454748.59</v>
      </c>
      <c r="F343" s="6">
        <v>0.83460000000000001</v>
      </c>
      <c r="G343" s="4">
        <v>90121.52</v>
      </c>
      <c r="H343" s="6">
        <v>0.16539999999999999</v>
      </c>
    </row>
    <row r="344" spans="1:8" x14ac:dyDescent="0.3">
      <c r="A344" t="s">
        <v>191</v>
      </c>
      <c r="B344" s="25">
        <v>45961</v>
      </c>
      <c r="C344" t="s">
        <v>322</v>
      </c>
      <c r="D344" s="4">
        <v>270334.95</v>
      </c>
      <c r="E344" s="4">
        <v>225621.55</v>
      </c>
      <c r="F344" s="6">
        <v>0.83460000000000001</v>
      </c>
      <c r="G344" s="4">
        <v>44713.4</v>
      </c>
      <c r="H344" s="6">
        <v>0.16539999999999999</v>
      </c>
    </row>
    <row r="345" spans="1:8" x14ac:dyDescent="0.3">
      <c r="A345" t="s">
        <v>191</v>
      </c>
      <c r="B345" s="25">
        <v>45961</v>
      </c>
      <c r="C345" t="s">
        <v>321</v>
      </c>
      <c r="D345" s="4">
        <v>215488.7</v>
      </c>
      <c r="E345" s="4">
        <v>179846.87</v>
      </c>
      <c r="F345" s="6">
        <v>0.83460000000000001</v>
      </c>
      <c r="G345" s="4">
        <v>35641.83</v>
      </c>
      <c r="H345" s="6">
        <v>0.16539999999999999</v>
      </c>
    </row>
    <row r="346" spans="1:8" x14ac:dyDescent="0.3">
      <c r="A346" t="s">
        <v>191</v>
      </c>
      <c r="B346" s="25">
        <v>45961</v>
      </c>
      <c r="C346" t="s">
        <v>320</v>
      </c>
      <c r="D346" s="4">
        <v>349064.97</v>
      </c>
      <c r="E346" s="4">
        <v>291329.62</v>
      </c>
      <c r="F346" s="6">
        <v>0.83460000000000001</v>
      </c>
      <c r="G346" s="4">
        <v>57735.35</v>
      </c>
      <c r="H346" s="6">
        <v>0.16539999999999999</v>
      </c>
    </row>
    <row r="347" spans="1:8" x14ac:dyDescent="0.3">
      <c r="A347" t="s">
        <v>191</v>
      </c>
      <c r="B347" s="25">
        <v>45961</v>
      </c>
      <c r="C347" t="s">
        <v>319</v>
      </c>
      <c r="D347" s="4">
        <v>280492.62</v>
      </c>
      <c r="E347" s="4">
        <v>234099.14</v>
      </c>
      <c r="F347" s="6">
        <v>0.83460000000000001</v>
      </c>
      <c r="G347" s="4">
        <v>46393.48</v>
      </c>
      <c r="H347" s="6">
        <v>0.16539999999999999</v>
      </c>
    </row>
    <row r="348" spans="1:8" x14ac:dyDescent="0.3">
      <c r="A348" t="s">
        <v>191</v>
      </c>
      <c r="B348" s="25">
        <v>45961</v>
      </c>
      <c r="C348" t="s">
        <v>268</v>
      </c>
      <c r="D348" s="4">
        <v>90207.33</v>
      </c>
      <c r="E348" s="4">
        <v>75287.039999999994</v>
      </c>
      <c r="F348" s="6">
        <v>0.83460000000000001</v>
      </c>
      <c r="G348" s="4">
        <v>14920.29</v>
      </c>
      <c r="H348" s="6">
        <v>0.16539999999999999</v>
      </c>
    </row>
    <row r="349" spans="1:8" x14ac:dyDescent="0.3">
      <c r="A349" t="s">
        <v>191</v>
      </c>
      <c r="B349" s="25">
        <v>45961</v>
      </c>
      <c r="C349" t="s">
        <v>318</v>
      </c>
      <c r="D349" s="4">
        <v>286891.95</v>
      </c>
      <c r="E349" s="4">
        <v>239440.03</v>
      </c>
      <c r="F349" s="6">
        <v>0.83460000000000001</v>
      </c>
      <c r="G349" s="4">
        <v>47451.93</v>
      </c>
      <c r="H349" s="6">
        <v>0.16539999999999999</v>
      </c>
    </row>
    <row r="350" spans="1:8" x14ac:dyDescent="0.3">
      <c r="A350" t="s">
        <v>191</v>
      </c>
      <c r="B350" s="25">
        <v>45961</v>
      </c>
      <c r="C350" t="s">
        <v>317</v>
      </c>
      <c r="D350" s="4">
        <v>312930.25</v>
      </c>
      <c r="E350" s="4">
        <v>261171.59</v>
      </c>
      <c r="F350" s="6">
        <v>0.83460000000000001</v>
      </c>
      <c r="G350" s="4">
        <v>51758.66</v>
      </c>
      <c r="H350" s="6">
        <v>0.16539999999999999</v>
      </c>
    </row>
    <row r="351" spans="1:8" x14ac:dyDescent="0.3">
      <c r="A351" t="s">
        <v>191</v>
      </c>
      <c r="B351" s="25">
        <v>45961</v>
      </c>
      <c r="C351" t="s">
        <v>316</v>
      </c>
      <c r="D351" s="4">
        <v>309464.3</v>
      </c>
      <c r="E351" s="4">
        <v>258278.9</v>
      </c>
      <c r="F351" s="6">
        <v>0.83460000000000001</v>
      </c>
      <c r="G351" s="4">
        <v>51185.39</v>
      </c>
      <c r="H351" s="6">
        <v>0.16539999999999999</v>
      </c>
    </row>
    <row r="352" spans="1:8" x14ac:dyDescent="0.3">
      <c r="A352" t="s">
        <v>191</v>
      </c>
      <c r="B352" s="25">
        <v>45991</v>
      </c>
      <c r="C352" t="s">
        <v>324</v>
      </c>
      <c r="D352" s="4">
        <v>458021.91</v>
      </c>
      <c r="E352" s="4">
        <v>396921.79</v>
      </c>
      <c r="F352" s="6">
        <v>0.86660000000000004</v>
      </c>
      <c r="G352" s="4">
        <v>61100.12</v>
      </c>
      <c r="H352" s="6">
        <v>0.13339999999999999</v>
      </c>
    </row>
    <row r="353" spans="1:8" x14ac:dyDescent="0.3">
      <c r="A353" t="s">
        <v>191</v>
      </c>
      <c r="B353" s="25">
        <v>45991</v>
      </c>
      <c r="C353" t="s">
        <v>323</v>
      </c>
      <c r="D353" s="4">
        <v>521898.64</v>
      </c>
      <c r="E353" s="4">
        <v>452277.37</v>
      </c>
      <c r="F353" s="6">
        <v>0.86660000000000004</v>
      </c>
      <c r="G353" s="4">
        <v>69621.279999999999</v>
      </c>
      <c r="H353" s="6">
        <v>0.13339999999999999</v>
      </c>
    </row>
    <row r="354" spans="1:8" x14ac:dyDescent="0.3">
      <c r="A354" t="s">
        <v>191</v>
      </c>
      <c r="B354" s="25">
        <v>45991</v>
      </c>
      <c r="C354" t="s">
        <v>322</v>
      </c>
      <c r="D354" s="4">
        <v>416306.42</v>
      </c>
      <c r="E354" s="4">
        <v>360771.15</v>
      </c>
      <c r="F354" s="6">
        <v>0.86660000000000004</v>
      </c>
      <c r="G354" s="4">
        <v>55535.28</v>
      </c>
      <c r="H354" s="6">
        <v>0.13339999999999999</v>
      </c>
    </row>
    <row r="355" spans="1:8" x14ac:dyDescent="0.3">
      <c r="A355" t="s">
        <v>191</v>
      </c>
      <c r="B355" s="25">
        <v>45991</v>
      </c>
      <c r="C355" t="s">
        <v>321</v>
      </c>
      <c r="D355" s="4">
        <v>121076.47</v>
      </c>
      <c r="E355" s="4">
        <v>104924.87</v>
      </c>
      <c r="F355" s="6">
        <v>0.86660000000000004</v>
      </c>
      <c r="G355" s="4">
        <v>16151.6</v>
      </c>
      <c r="H355" s="6">
        <v>0.13339999999999999</v>
      </c>
    </row>
    <row r="356" spans="1:8" x14ac:dyDescent="0.3">
      <c r="A356" t="s">
        <v>191</v>
      </c>
      <c r="B356" s="25">
        <v>45991</v>
      </c>
      <c r="C356" t="s">
        <v>320</v>
      </c>
      <c r="D356" s="4">
        <v>209190.59</v>
      </c>
      <c r="E356" s="4">
        <v>181284.57</v>
      </c>
      <c r="F356" s="6">
        <v>0.86660000000000004</v>
      </c>
      <c r="G356" s="4">
        <v>27906.02</v>
      </c>
      <c r="H356" s="6">
        <v>0.13339999999999999</v>
      </c>
    </row>
    <row r="357" spans="1:8" x14ac:dyDescent="0.3">
      <c r="A357" t="s">
        <v>191</v>
      </c>
      <c r="B357" s="25">
        <v>45991</v>
      </c>
      <c r="C357" t="s">
        <v>319</v>
      </c>
      <c r="D357" s="4">
        <v>234600.66</v>
      </c>
      <c r="E357" s="4">
        <v>203304.93</v>
      </c>
      <c r="F357" s="6">
        <v>0.86660000000000004</v>
      </c>
      <c r="G357" s="4">
        <v>31295.73</v>
      </c>
      <c r="H357" s="6">
        <v>0.13339999999999999</v>
      </c>
    </row>
    <row r="358" spans="1:8" x14ac:dyDescent="0.3">
      <c r="A358" t="s">
        <v>191</v>
      </c>
      <c r="B358" s="25">
        <v>45991</v>
      </c>
      <c r="C358" t="s">
        <v>268</v>
      </c>
      <c r="D358" s="4">
        <v>103188.65</v>
      </c>
      <c r="E358" s="4">
        <v>89423.29</v>
      </c>
      <c r="F358" s="6">
        <v>0.86660000000000004</v>
      </c>
      <c r="G358" s="4">
        <v>13765.37</v>
      </c>
      <c r="H358" s="6">
        <v>0.13339999999999999</v>
      </c>
    </row>
    <row r="359" spans="1:8" x14ac:dyDescent="0.3">
      <c r="A359" t="s">
        <v>191</v>
      </c>
      <c r="B359" s="25">
        <v>45991</v>
      </c>
      <c r="C359" t="s">
        <v>318</v>
      </c>
      <c r="D359" s="4">
        <v>315356.08</v>
      </c>
      <c r="E359" s="4">
        <v>273287.58</v>
      </c>
      <c r="F359" s="6">
        <v>0.86660000000000004</v>
      </c>
      <c r="G359" s="4">
        <v>42068.5</v>
      </c>
      <c r="H359" s="6">
        <v>0.13339999999999999</v>
      </c>
    </row>
    <row r="360" spans="1:8" x14ac:dyDescent="0.3">
      <c r="A360" t="s">
        <v>191</v>
      </c>
      <c r="B360" s="25">
        <v>45991</v>
      </c>
      <c r="C360" t="s">
        <v>317</v>
      </c>
      <c r="D360" s="4">
        <v>238831.18</v>
      </c>
      <c r="E360" s="4">
        <v>206971.1</v>
      </c>
      <c r="F360" s="6">
        <v>0.86660000000000004</v>
      </c>
      <c r="G360" s="4">
        <v>31860.080000000002</v>
      </c>
      <c r="H360" s="6">
        <v>0.13339999999999999</v>
      </c>
    </row>
    <row r="361" spans="1:8" x14ac:dyDescent="0.3">
      <c r="A361" t="s">
        <v>191</v>
      </c>
      <c r="B361" s="25">
        <v>45991</v>
      </c>
      <c r="C361" t="s">
        <v>316</v>
      </c>
      <c r="D361" s="4">
        <v>428934.15</v>
      </c>
      <c r="E361" s="4">
        <v>371714.33</v>
      </c>
      <c r="F361" s="6">
        <v>0.86660000000000004</v>
      </c>
      <c r="G361" s="4">
        <v>57219.82</v>
      </c>
      <c r="H361" s="6">
        <v>0.13339999999999999</v>
      </c>
    </row>
    <row r="362" spans="1:8" x14ac:dyDescent="0.3">
      <c r="A362" t="s">
        <v>193</v>
      </c>
      <c r="B362" s="25">
        <v>45657</v>
      </c>
      <c r="C362" t="s">
        <v>324</v>
      </c>
      <c r="D362" s="4">
        <v>782578.62</v>
      </c>
      <c r="E362" s="4">
        <v>586933.97</v>
      </c>
      <c r="F362" s="6">
        <v>0.75</v>
      </c>
      <c r="G362" s="4">
        <v>195644.66</v>
      </c>
      <c r="H362" s="6">
        <v>0.25</v>
      </c>
    </row>
    <row r="363" spans="1:8" x14ac:dyDescent="0.3">
      <c r="A363" t="s">
        <v>193</v>
      </c>
      <c r="B363" s="25">
        <v>45657</v>
      </c>
      <c r="C363" t="s">
        <v>323</v>
      </c>
      <c r="D363" s="4">
        <v>1573595.29</v>
      </c>
      <c r="E363" s="4">
        <v>1180196.46</v>
      </c>
      <c r="F363" s="6">
        <v>0.75</v>
      </c>
      <c r="G363" s="4">
        <v>393398.82</v>
      </c>
      <c r="H363" s="6">
        <v>0.25</v>
      </c>
    </row>
    <row r="364" spans="1:8" x14ac:dyDescent="0.3">
      <c r="A364" t="s">
        <v>193</v>
      </c>
      <c r="B364" s="25">
        <v>45657</v>
      </c>
      <c r="C364" t="s">
        <v>322</v>
      </c>
      <c r="D364" s="4">
        <v>239896.28</v>
      </c>
      <c r="E364" s="4">
        <v>179922.21</v>
      </c>
      <c r="F364" s="6">
        <v>0.75</v>
      </c>
      <c r="G364" s="4">
        <v>59974.07</v>
      </c>
      <c r="H364" s="6">
        <v>0.25</v>
      </c>
    </row>
    <row r="365" spans="1:8" x14ac:dyDescent="0.3">
      <c r="A365" t="s">
        <v>193</v>
      </c>
      <c r="B365" s="25">
        <v>45657</v>
      </c>
      <c r="C365" t="s">
        <v>321</v>
      </c>
      <c r="D365" s="4">
        <v>1188974.28</v>
      </c>
      <c r="E365" s="4">
        <v>891730.71</v>
      </c>
      <c r="F365" s="6">
        <v>0.75</v>
      </c>
      <c r="G365" s="4">
        <v>297243.57</v>
      </c>
      <c r="H365" s="6">
        <v>0.25</v>
      </c>
    </row>
    <row r="366" spans="1:8" x14ac:dyDescent="0.3">
      <c r="A366" t="s">
        <v>193</v>
      </c>
      <c r="B366" s="25">
        <v>45657</v>
      </c>
      <c r="C366" t="s">
        <v>320</v>
      </c>
      <c r="D366" s="4">
        <v>643646.11</v>
      </c>
      <c r="E366" s="4">
        <v>482734.58</v>
      </c>
      <c r="F366" s="6">
        <v>0.75</v>
      </c>
      <c r="G366" s="4">
        <v>160911.53</v>
      </c>
      <c r="H366" s="6">
        <v>0.25</v>
      </c>
    </row>
    <row r="367" spans="1:8" x14ac:dyDescent="0.3">
      <c r="A367" t="s">
        <v>193</v>
      </c>
      <c r="B367" s="25">
        <v>45657</v>
      </c>
      <c r="C367" t="s">
        <v>319</v>
      </c>
      <c r="D367" s="4">
        <v>87689.11</v>
      </c>
      <c r="E367" s="4">
        <v>65766.83</v>
      </c>
      <c r="F367" s="6">
        <v>0.75</v>
      </c>
      <c r="G367" s="4">
        <v>21922.28</v>
      </c>
      <c r="H367" s="6">
        <v>0.25</v>
      </c>
    </row>
    <row r="368" spans="1:8" x14ac:dyDescent="0.3">
      <c r="A368" t="s">
        <v>193</v>
      </c>
      <c r="B368" s="25">
        <v>45657</v>
      </c>
      <c r="C368" t="s">
        <v>268</v>
      </c>
      <c r="D368" s="4">
        <v>851139.13</v>
      </c>
      <c r="E368" s="4">
        <v>638354.34</v>
      </c>
      <c r="F368" s="6">
        <v>0.75</v>
      </c>
      <c r="G368" s="4">
        <v>212784.78</v>
      </c>
      <c r="H368" s="6">
        <v>0.25</v>
      </c>
    </row>
    <row r="369" spans="1:8" x14ac:dyDescent="0.3">
      <c r="A369" t="s">
        <v>193</v>
      </c>
      <c r="B369" s="25">
        <v>45657</v>
      </c>
      <c r="C369" t="s">
        <v>318</v>
      </c>
      <c r="D369" s="4">
        <v>492734.6</v>
      </c>
      <c r="E369" s="4">
        <v>369550.95</v>
      </c>
      <c r="F369" s="6">
        <v>0.75</v>
      </c>
      <c r="G369" s="4">
        <v>123183.65</v>
      </c>
      <c r="H369" s="6">
        <v>0.25</v>
      </c>
    </row>
    <row r="370" spans="1:8" x14ac:dyDescent="0.3">
      <c r="A370" t="s">
        <v>193</v>
      </c>
      <c r="B370" s="25">
        <v>45657</v>
      </c>
      <c r="C370" t="s">
        <v>317</v>
      </c>
      <c r="D370" s="4">
        <v>694091.73</v>
      </c>
      <c r="E370" s="4">
        <v>520568.8</v>
      </c>
      <c r="F370" s="6">
        <v>0.75</v>
      </c>
      <c r="G370" s="4">
        <v>173522.93</v>
      </c>
      <c r="H370" s="6">
        <v>0.25</v>
      </c>
    </row>
    <row r="371" spans="1:8" x14ac:dyDescent="0.3">
      <c r="A371" t="s">
        <v>193</v>
      </c>
      <c r="B371" s="25">
        <v>45657</v>
      </c>
      <c r="C371" t="s">
        <v>316</v>
      </c>
      <c r="D371" s="4">
        <v>1573413.55</v>
      </c>
      <c r="E371" s="4">
        <v>1180060.17</v>
      </c>
      <c r="F371" s="6">
        <v>0.75</v>
      </c>
      <c r="G371" s="4">
        <v>393353.39</v>
      </c>
      <c r="H371" s="6">
        <v>0.25</v>
      </c>
    </row>
    <row r="372" spans="1:8" x14ac:dyDescent="0.3">
      <c r="A372" t="s">
        <v>193</v>
      </c>
      <c r="B372" s="25">
        <v>45688</v>
      </c>
      <c r="C372" t="s">
        <v>324</v>
      </c>
      <c r="D372" s="4">
        <v>1048300.64</v>
      </c>
      <c r="E372" s="4">
        <v>866630.14</v>
      </c>
      <c r="F372" s="6">
        <v>0.82669999999999999</v>
      </c>
      <c r="G372" s="4">
        <v>181670.5</v>
      </c>
      <c r="H372" s="6">
        <v>0.17330000000000001</v>
      </c>
    </row>
    <row r="373" spans="1:8" x14ac:dyDescent="0.3">
      <c r="A373" t="s">
        <v>193</v>
      </c>
      <c r="B373" s="25">
        <v>45688</v>
      </c>
      <c r="C373" t="s">
        <v>323</v>
      </c>
      <c r="D373" s="4">
        <v>1507908.82</v>
      </c>
      <c r="E373" s="4">
        <v>1246588.22</v>
      </c>
      <c r="F373" s="6">
        <v>0.82669999999999999</v>
      </c>
      <c r="G373" s="4">
        <v>261320.6</v>
      </c>
      <c r="H373" s="6">
        <v>0.17330000000000001</v>
      </c>
    </row>
    <row r="374" spans="1:8" x14ac:dyDescent="0.3">
      <c r="A374" t="s">
        <v>193</v>
      </c>
      <c r="B374" s="25">
        <v>45688</v>
      </c>
      <c r="C374" t="s">
        <v>322</v>
      </c>
      <c r="D374" s="4">
        <v>650348.51</v>
      </c>
      <c r="E374" s="4">
        <v>537643.11</v>
      </c>
      <c r="F374" s="6">
        <v>0.82669999999999999</v>
      </c>
      <c r="G374" s="4">
        <v>112705.4</v>
      </c>
      <c r="H374" s="6">
        <v>0.17330000000000001</v>
      </c>
    </row>
    <row r="375" spans="1:8" x14ac:dyDescent="0.3">
      <c r="A375" t="s">
        <v>193</v>
      </c>
      <c r="B375" s="25">
        <v>45688</v>
      </c>
      <c r="C375" t="s">
        <v>321</v>
      </c>
      <c r="D375" s="4">
        <v>702316.88</v>
      </c>
      <c r="E375" s="4">
        <v>580605.37</v>
      </c>
      <c r="F375" s="6">
        <v>0.82669999999999999</v>
      </c>
      <c r="G375" s="4">
        <v>121711.52</v>
      </c>
      <c r="H375" s="6">
        <v>0.17330000000000001</v>
      </c>
    </row>
    <row r="376" spans="1:8" x14ac:dyDescent="0.3">
      <c r="A376" t="s">
        <v>193</v>
      </c>
      <c r="B376" s="25">
        <v>45688</v>
      </c>
      <c r="C376" t="s">
        <v>320</v>
      </c>
      <c r="D376" s="4">
        <v>529452.06999999995</v>
      </c>
      <c r="E376" s="4">
        <v>437698.02</v>
      </c>
      <c r="F376" s="6">
        <v>0.82669999999999999</v>
      </c>
      <c r="G376" s="4">
        <v>91754.04</v>
      </c>
      <c r="H376" s="6">
        <v>0.17330000000000001</v>
      </c>
    </row>
    <row r="377" spans="1:8" x14ac:dyDescent="0.3">
      <c r="A377" t="s">
        <v>193</v>
      </c>
      <c r="B377" s="25">
        <v>45688</v>
      </c>
      <c r="C377" t="s">
        <v>319</v>
      </c>
      <c r="D377" s="4">
        <v>304782.40000000002</v>
      </c>
      <c r="E377" s="4">
        <v>251963.61</v>
      </c>
      <c r="F377" s="6">
        <v>0.82669999999999999</v>
      </c>
      <c r="G377" s="4">
        <v>52818.79</v>
      </c>
      <c r="H377" s="6">
        <v>0.17330000000000001</v>
      </c>
    </row>
    <row r="378" spans="1:8" x14ac:dyDescent="0.3">
      <c r="A378" t="s">
        <v>193</v>
      </c>
      <c r="B378" s="25">
        <v>45688</v>
      </c>
      <c r="C378" t="s">
        <v>268</v>
      </c>
      <c r="D378" s="4">
        <v>88847.97</v>
      </c>
      <c r="E378" s="4">
        <v>73450.62</v>
      </c>
      <c r="F378" s="6">
        <v>0.82669999999999999</v>
      </c>
      <c r="G378" s="4">
        <v>15397.35</v>
      </c>
      <c r="H378" s="6">
        <v>0.17330000000000001</v>
      </c>
    </row>
    <row r="379" spans="1:8" x14ac:dyDescent="0.3">
      <c r="A379" t="s">
        <v>193</v>
      </c>
      <c r="B379" s="25">
        <v>45688</v>
      </c>
      <c r="C379" t="s">
        <v>318</v>
      </c>
      <c r="D379" s="4">
        <v>447888.59</v>
      </c>
      <c r="E379" s="4">
        <v>370269.5</v>
      </c>
      <c r="F379" s="6">
        <v>0.82669999999999999</v>
      </c>
      <c r="G379" s="4">
        <v>77619.09</v>
      </c>
      <c r="H379" s="6">
        <v>0.17330000000000001</v>
      </c>
    </row>
    <row r="380" spans="1:8" x14ac:dyDescent="0.3">
      <c r="A380" t="s">
        <v>193</v>
      </c>
      <c r="B380" s="25">
        <v>45688</v>
      </c>
      <c r="C380" t="s">
        <v>317</v>
      </c>
      <c r="D380" s="4">
        <v>496648.35</v>
      </c>
      <c r="E380" s="4">
        <v>410579.19</v>
      </c>
      <c r="F380" s="6">
        <v>0.82669999999999999</v>
      </c>
      <c r="G380" s="4">
        <v>86069.16</v>
      </c>
      <c r="H380" s="6">
        <v>0.17330000000000001</v>
      </c>
    </row>
    <row r="381" spans="1:8" x14ac:dyDescent="0.3">
      <c r="A381" t="s">
        <v>193</v>
      </c>
      <c r="B381" s="25">
        <v>45688</v>
      </c>
      <c r="C381" t="s">
        <v>316</v>
      </c>
      <c r="D381" s="4">
        <v>1894674.33</v>
      </c>
      <c r="E381" s="4">
        <v>1566327.27</v>
      </c>
      <c r="F381" s="6">
        <v>0.82669999999999999</v>
      </c>
      <c r="G381" s="4">
        <v>328347.06</v>
      </c>
      <c r="H381" s="6">
        <v>0.17330000000000001</v>
      </c>
    </row>
    <row r="382" spans="1:8" x14ac:dyDescent="0.3">
      <c r="A382" t="s">
        <v>193</v>
      </c>
      <c r="B382" s="25">
        <v>45716</v>
      </c>
      <c r="C382" t="s">
        <v>324</v>
      </c>
      <c r="D382" s="4">
        <v>1227198.1000000001</v>
      </c>
      <c r="E382" s="4">
        <v>1025814.89</v>
      </c>
      <c r="F382" s="6">
        <v>0.83589999999999998</v>
      </c>
      <c r="G382" s="4">
        <v>201383.21</v>
      </c>
      <c r="H382" s="6">
        <v>0.1641</v>
      </c>
    </row>
    <row r="383" spans="1:8" x14ac:dyDescent="0.3">
      <c r="A383" t="s">
        <v>193</v>
      </c>
      <c r="B383" s="25">
        <v>45716</v>
      </c>
      <c r="C383" t="s">
        <v>323</v>
      </c>
      <c r="D383" s="4">
        <v>790157.24</v>
      </c>
      <c r="E383" s="4">
        <v>660492.43000000005</v>
      </c>
      <c r="F383" s="6">
        <v>0.83589999999999998</v>
      </c>
      <c r="G383" s="4">
        <v>129664.8</v>
      </c>
      <c r="H383" s="6">
        <v>0.1641</v>
      </c>
    </row>
    <row r="384" spans="1:8" x14ac:dyDescent="0.3">
      <c r="A384" t="s">
        <v>193</v>
      </c>
      <c r="B384" s="25">
        <v>45716</v>
      </c>
      <c r="C384" t="s">
        <v>322</v>
      </c>
      <c r="D384" s="4">
        <v>394379.93</v>
      </c>
      <c r="E384" s="4">
        <v>329662.18</v>
      </c>
      <c r="F384" s="6">
        <v>0.83589999999999998</v>
      </c>
      <c r="G384" s="4">
        <v>64717.75</v>
      </c>
      <c r="H384" s="6">
        <v>0.1641</v>
      </c>
    </row>
    <row r="385" spans="1:8" x14ac:dyDescent="0.3">
      <c r="A385" t="s">
        <v>193</v>
      </c>
      <c r="B385" s="25">
        <v>45716</v>
      </c>
      <c r="C385" t="s">
        <v>321</v>
      </c>
      <c r="D385" s="4">
        <v>1032660.94</v>
      </c>
      <c r="E385" s="4">
        <v>863201.28000000003</v>
      </c>
      <c r="F385" s="6">
        <v>0.83589999999999998</v>
      </c>
      <c r="G385" s="4">
        <v>169459.66</v>
      </c>
      <c r="H385" s="6">
        <v>0.1641</v>
      </c>
    </row>
    <row r="386" spans="1:8" x14ac:dyDescent="0.3">
      <c r="A386" t="s">
        <v>193</v>
      </c>
      <c r="B386" s="25">
        <v>45716</v>
      </c>
      <c r="C386" t="s">
        <v>320</v>
      </c>
      <c r="D386" s="4">
        <v>845472.88</v>
      </c>
      <c r="E386" s="4">
        <v>706730.78</v>
      </c>
      <c r="F386" s="6">
        <v>0.83589999999999998</v>
      </c>
      <c r="G386" s="4">
        <v>138742.1</v>
      </c>
      <c r="H386" s="6">
        <v>0.1641</v>
      </c>
    </row>
    <row r="387" spans="1:8" x14ac:dyDescent="0.3">
      <c r="A387" t="s">
        <v>193</v>
      </c>
      <c r="B387" s="25">
        <v>45716</v>
      </c>
      <c r="C387" t="s">
        <v>319</v>
      </c>
      <c r="D387" s="4">
        <v>70981.02</v>
      </c>
      <c r="E387" s="4">
        <v>59333.04</v>
      </c>
      <c r="F387" s="6">
        <v>0.83589999999999998</v>
      </c>
      <c r="G387" s="4">
        <v>11647.99</v>
      </c>
      <c r="H387" s="6">
        <v>0.1641</v>
      </c>
    </row>
    <row r="388" spans="1:8" x14ac:dyDescent="0.3">
      <c r="A388" t="s">
        <v>193</v>
      </c>
      <c r="B388" s="25">
        <v>45716</v>
      </c>
      <c r="C388" t="s">
        <v>268</v>
      </c>
      <c r="D388" s="4">
        <v>376495.94</v>
      </c>
      <c r="E388" s="4">
        <v>314712.95</v>
      </c>
      <c r="F388" s="6">
        <v>0.83589999999999998</v>
      </c>
      <c r="G388" s="4">
        <v>61782.98</v>
      </c>
      <c r="H388" s="6">
        <v>0.1641</v>
      </c>
    </row>
    <row r="389" spans="1:8" x14ac:dyDescent="0.3">
      <c r="A389" t="s">
        <v>193</v>
      </c>
      <c r="B389" s="25">
        <v>45716</v>
      </c>
      <c r="C389" t="s">
        <v>318</v>
      </c>
      <c r="D389" s="4">
        <v>438070.86</v>
      </c>
      <c r="E389" s="4">
        <v>366183.43</v>
      </c>
      <c r="F389" s="6">
        <v>0.83589999999999998</v>
      </c>
      <c r="G389" s="4">
        <v>71887.429999999993</v>
      </c>
      <c r="H389" s="6">
        <v>0.1641</v>
      </c>
    </row>
    <row r="390" spans="1:8" x14ac:dyDescent="0.3">
      <c r="A390" t="s">
        <v>193</v>
      </c>
      <c r="B390" s="25">
        <v>45716</v>
      </c>
      <c r="C390" t="s">
        <v>317</v>
      </c>
      <c r="D390" s="4">
        <v>559991.31999999995</v>
      </c>
      <c r="E390" s="4">
        <v>468096.74</v>
      </c>
      <c r="F390" s="6">
        <v>0.83589999999999998</v>
      </c>
      <c r="G390" s="4">
        <v>91894.57</v>
      </c>
      <c r="H390" s="6">
        <v>0.1641</v>
      </c>
    </row>
    <row r="391" spans="1:8" x14ac:dyDescent="0.3">
      <c r="A391" t="s">
        <v>193</v>
      </c>
      <c r="B391" s="25">
        <v>45716</v>
      </c>
      <c r="C391" t="s">
        <v>316</v>
      </c>
      <c r="D391" s="4">
        <v>1554108.46</v>
      </c>
      <c r="E391" s="4">
        <v>1299079.26</v>
      </c>
      <c r="F391" s="6">
        <v>0.83589999999999998</v>
      </c>
      <c r="G391" s="4">
        <v>255029.2</v>
      </c>
      <c r="H391" s="6">
        <v>0.1641</v>
      </c>
    </row>
    <row r="392" spans="1:8" x14ac:dyDescent="0.3">
      <c r="A392" t="s">
        <v>193</v>
      </c>
      <c r="B392" s="25">
        <v>45747</v>
      </c>
      <c r="C392" t="s">
        <v>324</v>
      </c>
      <c r="D392" s="4">
        <v>1310649.49</v>
      </c>
      <c r="E392" s="4">
        <v>1114052.07</v>
      </c>
      <c r="F392" s="6">
        <v>0.85</v>
      </c>
      <c r="G392" s="4">
        <v>196597.42</v>
      </c>
      <c r="H392" s="6">
        <v>0.15</v>
      </c>
    </row>
    <row r="393" spans="1:8" x14ac:dyDescent="0.3">
      <c r="A393" t="s">
        <v>193</v>
      </c>
      <c r="B393" s="25">
        <v>45747</v>
      </c>
      <c r="C393" t="s">
        <v>323</v>
      </c>
      <c r="D393" s="4">
        <v>1092463.83</v>
      </c>
      <c r="E393" s="4">
        <v>928594.26</v>
      </c>
      <c r="F393" s="6">
        <v>0.85</v>
      </c>
      <c r="G393" s="4">
        <v>163869.57</v>
      </c>
      <c r="H393" s="6">
        <v>0.15</v>
      </c>
    </row>
    <row r="394" spans="1:8" x14ac:dyDescent="0.3">
      <c r="A394" t="s">
        <v>193</v>
      </c>
      <c r="B394" s="25">
        <v>45747</v>
      </c>
      <c r="C394" t="s">
        <v>322</v>
      </c>
      <c r="D394" s="4">
        <v>199167.43</v>
      </c>
      <c r="E394" s="4">
        <v>169292.32</v>
      </c>
      <c r="F394" s="6">
        <v>0.85</v>
      </c>
      <c r="G394" s="4">
        <v>29875.11</v>
      </c>
      <c r="H394" s="6">
        <v>0.15</v>
      </c>
    </row>
    <row r="395" spans="1:8" x14ac:dyDescent="0.3">
      <c r="A395" t="s">
        <v>193</v>
      </c>
      <c r="B395" s="25">
        <v>45747</v>
      </c>
      <c r="C395" t="s">
        <v>321</v>
      </c>
      <c r="D395" s="4">
        <v>294399.62</v>
      </c>
      <c r="E395" s="4">
        <v>250239.68</v>
      </c>
      <c r="F395" s="6">
        <v>0.85</v>
      </c>
      <c r="G395" s="4">
        <v>44159.94</v>
      </c>
      <c r="H395" s="6">
        <v>0.15</v>
      </c>
    </row>
    <row r="396" spans="1:8" x14ac:dyDescent="0.3">
      <c r="A396" t="s">
        <v>193</v>
      </c>
      <c r="B396" s="25">
        <v>45747</v>
      </c>
      <c r="C396" t="s">
        <v>320</v>
      </c>
      <c r="D396" s="4">
        <v>1421810.62</v>
      </c>
      <c r="E396" s="4">
        <v>1208539.03</v>
      </c>
      <c r="F396" s="6">
        <v>0.85</v>
      </c>
      <c r="G396" s="4">
        <v>213271.59</v>
      </c>
      <c r="H396" s="6">
        <v>0.15</v>
      </c>
    </row>
    <row r="397" spans="1:8" x14ac:dyDescent="0.3">
      <c r="A397" t="s">
        <v>193</v>
      </c>
      <c r="B397" s="25">
        <v>45747</v>
      </c>
      <c r="C397" t="s">
        <v>319</v>
      </c>
      <c r="D397" s="4">
        <v>213474.91</v>
      </c>
      <c r="E397" s="4">
        <v>181453.67</v>
      </c>
      <c r="F397" s="6">
        <v>0.85</v>
      </c>
      <c r="G397" s="4">
        <v>32021.24</v>
      </c>
      <c r="H397" s="6">
        <v>0.15</v>
      </c>
    </row>
    <row r="398" spans="1:8" x14ac:dyDescent="0.3">
      <c r="A398" t="s">
        <v>193</v>
      </c>
      <c r="B398" s="25">
        <v>45747</v>
      </c>
      <c r="C398" t="s">
        <v>268</v>
      </c>
      <c r="D398" s="4">
        <v>255241.68</v>
      </c>
      <c r="E398" s="4">
        <v>216955.42</v>
      </c>
      <c r="F398" s="6">
        <v>0.85</v>
      </c>
      <c r="G398" s="4">
        <v>38286.25</v>
      </c>
      <c r="H398" s="6">
        <v>0.15</v>
      </c>
    </row>
    <row r="399" spans="1:8" x14ac:dyDescent="0.3">
      <c r="A399" t="s">
        <v>193</v>
      </c>
      <c r="B399" s="25">
        <v>45747</v>
      </c>
      <c r="C399" t="s">
        <v>318</v>
      </c>
      <c r="D399" s="4">
        <v>451758.91</v>
      </c>
      <c r="E399" s="4">
        <v>383995.08</v>
      </c>
      <c r="F399" s="6">
        <v>0.85</v>
      </c>
      <c r="G399" s="4">
        <v>67763.839999999997</v>
      </c>
      <c r="H399" s="6">
        <v>0.15</v>
      </c>
    </row>
    <row r="400" spans="1:8" x14ac:dyDescent="0.3">
      <c r="A400" t="s">
        <v>193</v>
      </c>
      <c r="B400" s="25">
        <v>45747</v>
      </c>
      <c r="C400" t="s">
        <v>317</v>
      </c>
      <c r="D400" s="4">
        <v>818513.59</v>
      </c>
      <c r="E400" s="4">
        <v>695736.55</v>
      </c>
      <c r="F400" s="6">
        <v>0.85</v>
      </c>
      <c r="G400" s="4">
        <v>122777.04</v>
      </c>
      <c r="H400" s="6">
        <v>0.15</v>
      </c>
    </row>
    <row r="401" spans="1:8" x14ac:dyDescent="0.3">
      <c r="A401" t="s">
        <v>193</v>
      </c>
      <c r="B401" s="25">
        <v>45747</v>
      </c>
      <c r="C401" t="s">
        <v>316</v>
      </c>
      <c r="D401" s="4">
        <v>1422446.53</v>
      </c>
      <c r="E401" s="4">
        <v>1209079.55</v>
      </c>
      <c r="F401" s="6">
        <v>0.85</v>
      </c>
      <c r="G401" s="4">
        <v>213366.98</v>
      </c>
      <c r="H401" s="6">
        <v>0.15</v>
      </c>
    </row>
    <row r="402" spans="1:8" x14ac:dyDescent="0.3">
      <c r="A402" t="s">
        <v>193</v>
      </c>
      <c r="B402" s="25">
        <v>45777</v>
      </c>
      <c r="C402" t="s">
        <v>324</v>
      </c>
      <c r="D402" s="4">
        <v>1531827.5</v>
      </c>
      <c r="E402" s="4">
        <v>1164342.08</v>
      </c>
      <c r="F402" s="6">
        <v>0.7601</v>
      </c>
      <c r="G402" s="4">
        <v>367485.42</v>
      </c>
      <c r="H402" s="6">
        <v>0.2399</v>
      </c>
    </row>
    <row r="403" spans="1:8" x14ac:dyDescent="0.3">
      <c r="A403" t="s">
        <v>193</v>
      </c>
      <c r="B403" s="25">
        <v>45777</v>
      </c>
      <c r="C403" t="s">
        <v>323</v>
      </c>
      <c r="D403" s="4">
        <v>1326771.3400000001</v>
      </c>
      <c r="E403" s="4">
        <v>1008478.89</v>
      </c>
      <c r="F403" s="6">
        <v>0.7601</v>
      </c>
      <c r="G403" s="4">
        <v>318292.44</v>
      </c>
      <c r="H403" s="6">
        <v>0.2399</v>
      </c>
    </row>
    <row r="404" spans="1:8" x14ac:dyDescent="0.3">
      <c r="A404" t="s">
        <v>193</v>
      </c>
      <c r="B404" s="25">
        <v>45777</v>
      </c>
      <c r="C404" t="s">
        <v>322</v>
      </c>
      <c r="D404" s="4">
        <v>318998.07</v>
      </c>
      <c r="E404" s="4">
        <v>242470.43</v>
      </c>
      <c r="F404" s="6">
        <v>0.7601</v>
      </c>
      <c r="G404" s="4">
        <v>76527.64</v>
      </c>
      <c r="H404" s="6">
        <v>0.2399</v>
      </c>
    </row>
    <row r="405" spans="1:8" x14ac:dyDescent="0.3">
      <c r="A405" t="s">
        <v>193</v>
      </c>
      <c r="B405" s="25">
        <v>45777</v>
      </c>
      <c r="C405" t="s">
        <v>321</v>
      </c>
      <c r="D405" s="4">
        <v>371628.82</v>
      </c>
      <c r="E405" s="4">
        <v>282475.06</v>
      </c>
      <c r="F405" s="6">
        <v>0.7601</v>
      </c>
      <c r="G405" s="4">
        <v>89153.75</v>
      </c>
      <c r="H405" s="6">
        <v>0.2399</v>
      </c>
    </row>
    <row r="406" spans="1:8" x14ac:dyDescent="0.3">
      <c r="A406" t="s">
        <v>193</v>
      </c>
      <c r="B406" s="25">
        <v>45777</v>
      </c>
      <c r="C406" t="s">
        <v>320</v>
      </c>
      <c r="D406" s="4">
        <v>757009.68</v>
      </c>
      <c r="E406" s="4">
        <v>575403.06000000006</v>
      </c>
      <c r="F406" s="6">
        <v>0.7601</v>
      </c>
      <c r="G406" s="4">
        <v>181606.62</v>
      </c>
      <c r="H406" s="6">
        <v>0.2399</v>
      </c>
    </row>
    <row r="407" spans="1:8" x14ac:dyDescent="0.3">
      <c r="A407" t="s">
        <v>193</v>
      </c>
      <c r="B407" s="25">
        <v>45777</v>
      </c>
      <c r="C407" t="s">
        <v>319</v>
      </c>
      <c r="D407" s="4">
        <v>794244.59</v>
      </c>
      <c r="E407" s="4">
        <v>603705.31000000006</v>
      </c>
      <c r="F407" s="6">
        <v>0.7601</v>
      </c>
      <c r="G407" s="4">
        <v>190539.28</v>
      </c>
      <c r="H407" s="6">
        <v>0.2399</v>
      </c>
    </row>
    <row r="408" spans="1:8" x14ac:dyDescent="0.3">
      <c r="A408" t="s">
        <v>193</v>
      </c>
      <c r="B408" s="25">
        <v>45777</v>
      </c>
      <c r="C408" t="s">
        <v>268</v>
      </c>
      <c r="D408" s="4">
        <v>267322.96000000002</v>
      </c>
      <c r="E408" s="4">
        <v>203192.18</v>
      </c>
      <c r="F408" s="6">
        <v>0.7601</v>
      </c>
      <c r="G408" s="4">
        <v>64130.78</v>
      </c>
      <c r="H408" s="6">
        <v>0.2399</v>
      </c>
    </row>
    <row r="409" spans="1:8" x14ac:dyDescent="0.3">
      <c r="A409" t="s">
        <v>193</v>
      </c>
      <c r="B409" s="25">
        <v>45777</v>
      </c>
      <c r="C409" t="s">
        <v>318</v>
      </c>
      <c r="D409" s="4">
        <v>573641.5</v>
      </c>
      <c r="E409" s="4">
        <v>436024.9</v>
      </c>
      <c r="F409" s="6">
        <v>0.7601</v>
      </c>
      <c r="G409" s="4">
        <v>137616.59</v>
      </c>
      <c r="H409" s="6">
        <v>0.2399</v>
      </c>
    </row>
    <row r="410" spans="1:8" x14ac:dyDescent="0.3">
      <c r="A410" t="s">
        <v>193</v>
      </c>
      <c r="B410" s="25">
        <v>45777</v>
      </c>
      <c r="C410" t="s">
        <v>317</v>
      </c>
      <c r="D410" s="4">
        <v>291488.13</v>
      </c>
      <c r="E410" s="4">
        <v>221560.13</v>
      </c>
      <c r="F410" s="6">
        <v>0.7601</v>
      </c>
      <c r="G410" s="4">
        <v>69928</v>
      </c>
      <c r="H410" s="6">
        <v>0.2399</v>
      </c>
    </row>
    <row r="411" spans="1:8" x14ac:dyDescent="0.3">
      <c r="A411" t="s">
        <v>193</v>
      </c>
      <c r="B411" s="25">
        <v>45777</v>
      </c>
      <c r="C411" t="s">
        <v>316</v>
      </c>
      <c r="D411" s="4">
        <v>1518364.98</v>
      </c>
      <c r="E411" s="4">
        <v>1154109.22</v>
      </c>
      <c r="F411" s="6">
        <v>0.7601</v>
      </c>
      <c r="G411" s="4">
        <v>364255.76</v>
      </c>
      <c r="H411" s="6">
        <v>0.2399</v>
      </c>
    </row>
    <row r="412" spans="1:8" x14ac:dyDescent="0.3">
      <c r="A412" t="s">
        <v>193</v>
      </c>
      <c r="B412" s="25">
        <v>45808</v>
      </c>
      <c r="C412" t="s">
        <v>324</v>
      </c>
      <c r="D412" s="4">
        <v>1372084</v>
      </c>
      <c r="E412" s="4">
        <v>1174778.32</v>
      </c>
      <c r="F412" s="6">
        <v>0.85619999999999996</v>
      </c>
      <c r="G412" s="4">
        <v>197305.68</v>
      </c>
      <c r="H412" s="6">
        <v>0.14380000000000001</v>
      </c>
    </row>
    <row r="413" spans="1:8" x14ac:dyDescent="0.3">
      <c r="A413" t="s">
        <v>193</v>
      </c>
      <c r="B413" s="25">
        <v>45808</v>
      </c>
      <c r="C413" t="s">
        <v>323</v>
      </c>
      <c r="D413" s="4">
        <v>1138799.8999999999</v>
      </c>
      <c r="E413" s="4">
        <v>975040.47</v>
      </c>
      <c r="F413" s="6">
        <v>0.85619999999999996</v>
      </c>
      <c r="G413" s="4">
        <v>163759.43</v>
      </c>
      <c r="H413" s="6">
        <v>0.14380000000000001</v>
      </c>
    </row>
    <row r="414" spans="1:8" x14ac:dyDescent="0.3">
      <c r="A414" t="s">
        <v>193</v>
      </c>
      <c r="B414" s="25">
        <v>45808</v>
      </c>
      <c r="C414" t="s">
        <v>322</v>
      </c>
      <c r="D414" s="4">
        <v>180786.87</v>
      </c>
      <c r="E414" s="4">
        <v>154789.72</v>
      </c>
      <c r="F414" s="6">
        <v>0.85619999999999996</v>
      </c>
      <c r="G414" s="4">
        <v>25997.15</v>
      </c>
      <c r="H414" s="6">
        <v>0.14380000000000001</v>
      </c>
    </row>
    <row r="415" spans="1:8" x14ac:dyDescent="0.3">
      <c r="A415" t="s">
        <v>193</v>
      </c>
      <c r="B415" s="25">
        <v>45808</v>
      </c>
      <c r="C415" t="s">
        <v>321</v>
      </c>
      <c r="D415" s="4">
        <v>941229.56</v>
      </c>
      <c r="E415" s="4">
        <v>805880.75</v>
      </c>
      <c r="F415" s="6">
        <v>0.85619999999999996</v>
      </c>
      <c r="G415" s="4">
        <v>135348.81</v>
      </c>
      <c r="H415" s="6">
        <v>0.14380000000000001</v>
      </c>
    </row>
    <row r="416" spans="1:8" x14ac:dyDescent="0.3">
      <c r="A416" t="s">
        <v>193</v>
      </c>
      <c r="B416" s="25">
        <v>45808</v>
      </c>
      <c r="C416" t="s">
        <v>320</v>
      </c>
      <c r="D416" s="4">
        <v>1411013.26</v>
      </c>
      <c r="E416" s="4">
        <v>1208109.56</v>
      </c>
      <c r="F416" s="6">
        <v>0.85619999999999996</v>
      </c>
      <c r="G416" s="4">
        <v>202903.71</v>
      </c>
      <c r="H416" s="6">
        <v>0.14380000000000001</v>
      </c>
    </row>
    <row r="417" spans="1:8" x14ac:dyDescent="0.3">
      <c r="A417" t="s">
        <v>193</v>
      </c>
      <c r="B417" s="25">
        <v>45808</v>
      </c>
      <c r="C417" t="s">
        <v>319</v>
      </c>
      <c r="D417" s="4">
        <v>76244.100000000006</v>
      </c>
      <c r="E417" s="4">
        <v>65280.2</v>
      </c>
      <c r="F417" s="6">
        <v>0.85619999999999996</v>
      </c>
      <c r="G417" s="4">
        <v>10963.9</v>
      </c>
      <c r="H417" s="6">
        <v>0.14380000000000001</v>
      </c>
    </row>
    <row r="418" spans="1:8" x14ac:dyDescent="0.3">
      <c r="A418" t="s">
        <v>193</v>
      </c>
      <c r="B418" s="25">
        <v>45808</v>
      </c>
      <c r="C418" t="s">
        <v>268</v>
      </c>
      <c r="D418" s="4">
        <v>76244.100000000006</v>
      </c>
      <c r="E418" s="4">
        <v>65280.2</v>
      </c>
      <c r="F418" s="6">
        <v>0.85619999999999996</v>
      </c>
      <c r="G418" s="4">
        <v>10963.9</v>
      </c>
      <c r="H418" s="6">
        <v>0.14380000000000001</v>
      </c>
    </row>
    <row r="419" spans="1:8" x14ac:dyDescent="0.3">
      <c r="A419" t="s">
        <v>193</v>
      </c>
      <c r="B419" s="25">
        <v>45808</v>
      </c>
      <c r="C419" t="s">
        <v>318</v>
      </c>
      <c r="D419" s="4">
        <v>103352.69</v>
      </c>
      <c r="E419" s="4">
        <v>88490.57</v>
      </c>
      <c r="F419" s="6">
        <v>0.85619999999999996</v>
      </c>
      <c r="G419" s="4">
        <v>14862.12</v>
      </c>
      <c r="H419" s="6">
        <v>0.14380000000000001</v>
      </c>
    </row>
    <row r="420" spans="1:8" x14ac:dyDescent="0.3">
      <c r="A420" t="s">
        <v>193</v>
      </c>
      <c r="B420" s="25">
        <v>45808</v>
      </c>
      <c r="C420" t="s">
        <v>317</v>
      </c>
      <c r="D420" s="4">
        <v>461389.22</v>
      </c>
      <c r="E420" s="4">
        <v>395041.45</v>
      </c>
      <c r="F420" s="6">
        <v>0.85619999999999996</v>
      </c>
      <c r="G420" s="4">
        <v>66347.77</v>
      </c>
      <c r="H420" s="6">
        <v>0.14380000000000001</v>
      </c>
    </row>
    <row r="421" spans="1:8" x14ac:dyDescent="0.3">
      <c r="A421" t="s">
        <v>193</v>
      </c>
      <c r="B421" s="25">
        <v>45808</v>
      </c>
      <c r="C421" t="s">
        <v>316</v>
      </c>
      <c r="D421" s="4">
        <v>1618175.03</v>
      </c>
      <c r="E421" s="4">
        <v>1385481.46</v>
      </c>
      <c r="F421" s="6">
        <v>0.85619999999999996</v>
      </c>
      <c r="G421" s="4">
        <v>232693.57</v>
      </c>
      <c r="H421" s="6">
        <v>0.14380000000000001</v>
      </c>
    </row>
    <row r="422" spans="1:8" x14ac:dyDescent="0.3">
      <c r="A422" t="s">
        <v>193</v>
      </c>
      <c r="B422" s="25">
        <v>45838</v>
      </c>
      <c r="C422" t="s">
        <v>324</v>
      </c>
      <c r="D422" s="4">
        <v>1373443.33</v>
      </c>
      <c r="E422" s="4">
        <v>1222364.56</v>
      </c>
      <c r="F422" s="6">
        <v>0.89</v>
      </c>
      <c r="G422" s="4">
        <v>151078.76999999999</v>
      </c>
      <c r="H422" s="6">
        <v>0.11</v>
      </c>
    </row>
    <row r="423" spans="1:8" x14ac:dyDescent="0.3">
      <c r="A423" t="s">
        <v>193</v>
      </c>
      <c r="B423" s="25">
        <v>45838</v>
      </c>
      <c r="C423" t="s">
        <v>323</v>
      </c>
      <c r="D423" s="4">
        <v>1160029.49</v>
      </c>
      <c r="E423" s="4">
        <v>1032426.25</v>
      </c>
      <c r="F423" s="6">
        <v>0.89</v>
      </c>
      <c r="G423" s="4">
        <v>127603.24</v>
      </c>
      <c r="H423" s="6">
        <v>0.11</v>
      </c>
    </row>
    <row r="424" spans="1:8" x14ac:dyDescent="0.3">
      <c r="A424" t="s">
        <v>193</v>
      </c>
      <c r="B424" s="25">
        <v>45838</v>
      </c>
      <c r="C424" t="s">
        <v>322</v>
      </c>
      <c r="D424" s="4">
        <v>206539.64</v>
      </c>
      <c r="E424" s="4">
        <v>183820.28</v>
      </c>
      <c r="F424" s="6">
        <v>0.89</v>
      </c>
      <c r="G424" s="4">
        <v>22719.360000000001</v>
      </c>
      <c r="H424" s="6">
        <v>0.11</v>
      </c>
    </row>
    <row r="425" spans="1:8" x14ac:dyDescent="0.3">
      <c r="A425" t="s">
        <v>193</v>
      </c>
      <c r="B425" s="25">
        <v>45838</v>
      </c>
      <c r="C425" t="s">
        <v>321</v>
      </c>
      <c r="D425" s="4">
        <v>704587.45</v>
      </c>
      <c r="E425" s="4">
        <v>627082.82999999996</v>
      </c>
      <c r="F425" s="6">
        <v>0.89</v>
      </c>
      <c r="G425" s="4">
        <v>77504.62</v>
      </c>
      <c r="H425" s="6">
        <v>0.11</v>
      </c>
    </row>
    <row r="426" spans="1:8" x14ac:dyDescent="0.3">
      <c r="A426" t="s">
        <v>193</v>
      </c>
      <c r="B426" s="25">
        <v>45838</v>
      </c>
      <c r="C426" t="s">
        <v>320</v>
      </c>
      <c r="D426" s="4">
        <v>1192551.54</v>
      </c>
      <c r="E426" s="4">
        <v>1061370.8700000001</v>
      </c>
      <c r="F426" s="6">
        <v>0.89</v>
      </c>
      <c r="G426" s="4">
        <v>131180.67000000001</v>
      </c>
      <c r="H426" s="6">
        <v>0.11</v>
      </c>
    </row>
    <row r="427" spans="1:8" x14ac:dyDescent="0.3">
      <c r="A427" t="s">
        <v>193</v>
      </c>
      <c r="B427" s="25">
        <v>45838</v>
      </c>
      <c r="C427" t="s">
        <v>319</v>
      </c>
      <c r="D427" s="4">
        <v>290035.40999999997</v>
      </c>
      <c r="E427" s="4">
        <v>258131.52</v>
      </c>
      <c r="F427" s="6">
        <v>0.89</v>
      </c>
      <c r="G427" s="4">
        <v>31903.9</v>
      </c>
      <c r="H427" s="6">
        <v>0.11</v>
      </c>
    </row>
    <row r="428" spans="1:8" x14ac:dyDescent="0.3">
      <c r="A428" t="s">
        <v>193</v>
      </c>
      <c r="B428" s="25">
        <v>45838</v>
      </c>
      <c r="C428" t="s">
        <v>268</v>
      </c>
      <c r="D428" s="4">
        <v>360325.45</v>
      </c>
      <c r="E428" s="4">
        <v>320689.65000000002</v>
      </c>
      <c r="F428" s="6">
        <v>0.89</v>
      </c>
      <c r="G428" s="4">
        <v>39635.800000000003</v>
      </c>
      <c r="H428" s="6">
        <v>0.11</v>
      </c>
    </row>
    <row r="429" spans="1:8" x14ac:dyDescent="0.3">
      <c r="A429" t="s">
        <v>193</v>
      </c>
      <c r="B429" s="25">
        <v>45838</v>
      </c>
      <c r="C429" t="s">
        <v>318</v>
      </c>
      <c r="D429" s="4">
        <v>504543.99</v>
      </c>
      <c r="E429" s="4">
        <v>449044.15</v>
      </c>
      <c r="F429" s="6">
        <v>0.89</v>
      </c>
      <c r="G429" s="4">
        <v>55499.839999999997</v>
      </c>
      <c r="H429" s="6">
        <v>0.11</v>
      </c>
    </row>
    <row r="430" spans="1:8" x14ac:dyDescent="0.3">
      <c r="A430" t="s">
        <v>193</v>
      </c>
      <c r="B430" s="25">
        <v>45838</v>
      </c>
      <c r="C430" t="s">
        <v>317</v>
      </c>
      <c r="D430" s="4">
        <v>774656.95</v>
      </c>
      <c r="E430" s="4">
        <v>689444.69</v>
      </c>
      <c r="F430" s="6">
        <v>0.89</v>
      </c>
      <c r="G430" s="4">
        <v>85212.26</v>
      </c>
      <c r="H430" s="6">
        <v>0.11</v>
      </c>
    </row>
    <row r="431" spans="1:8" x14ac:dyDescent="0.3">
      <c r="A431" t="s">
        <v>193</v>
      </c>
      <c r="B431" s="25">
        <v>45838</v>
      </c>
      <c r="C431" t="s">
        <v>316</v>
      </c>
      <c r="D431" s="4">
        <v>1559049.82</v>
      </c>
      <c r="E431" s="4">
        <v>1387554.34</v>
      </c>
      <c r="F431" s="6">
        <v>0.89</v>
      </c>
      <c r="G431" s="4">
        <v>171495.48</v>
      </c>
      <c r="H431" s="6">
        <v>0.11</v>
      </c>
    </row>
    <row r="432" spans="1:8" x14ac:dyDescent="0.3">
      <c r="A432" t="s">
        <v>193</v>
      </c>
      <c r="B432" s="25">
        <v>45869</v>
      </c>
      <c r="C432" t="s">
        <v>324</v>
      </c>
      <c r="D432" s="4">
        <v>1190982.7</v>
      </c>
      <c r="E432" s="4">
        <v>931467.57</v>
      </c>
      <c r="F432" s="6">
        <v>0.78210000000000002</v>
      </c>
      <c r="G432" s="4">
        <v>259515.13</v>
      </c>
      <c r="H432" s="6">
        <v>0.21790000000000001</v>
      </c>
    </row>
    <row r="433" spans="1:8" x14ac:dyDescent="0.3">
      <c r="A433" t="s">
        <v>193</v>
      </c>
      <c r="B433" s="25">
        <v>45869</v>
      </c>
      <c r="C433" t="s">
        <v>323</v>
      </c>
      <c r="D433" s="4">
        <v>1200645.72</v>
      </c>
      <c r="E433" s="4">
        <v>939025.02</v>
      </c>
      <c r="F433" s="6">
        <v>0.78210000000000002</v>
      </c>
      <c r="G433" s="4">
        <v>261620.7</v>
      </c>
      <c r="H433" s="6">
        <v>0.21790000000000001</v>
      </c>
    </row>
    <row r="434" spans="1:8" x14ac:dyDescent="0.3">
      <c r="A434" t="s">
        <v>193</v>
      </c>
      <c r="B434" s="25">
        <v>45869</v>
      </c>
      <c r="C434" t="s">
        <v>322</v>
      </c>
      <c r="D434" s="4">
        <v>706350.93</v>
      </c>
      <c r="E434" s="4">
        <v>552437.06000000006</v>
      </c>
      <c r="F434" s="6">
        <v>0.78210000000000002</v>
      </c>
      <c r="G434" s="4">
        <v>153913.87</v>
      </c>
      <c r="H434" s="6">
        <v>0.21790000000000001</v>
      </c>
    </row>
    <row r="435" spans="1:8" x14ac:dyDescent="0.3">
      <c r="A435" t="s">
        <v>193</v>
      </c>
      <c r="B435" s="25">
        <v>45869</v>
      </c>
      <c r="C435" t="s">
        <v>321</v>
      </c>
      <c r="D435" s="4">
        <v>714414.11</v>
      </c>
      <c r="E435" s="4">
        <v>558743.28</v>
      </c>
      <c r="F435" s="6">
        <v>0.78210000000000002</v>
      </c>
      <c r="G435" s="4">
        <v>155670.84</v>
      </c>
      <c r="H435" s="6">
        <v>0.21790000000000001</v>
      </c>
    </row>
    <row r="436" spans="1:8" x14ac:dyDescent="0.3">
      <c r="A436" t="s">
        <v>193</v>
      </c>
      <c r="B436" s="25">
        <v>45869</v>
      </c>
      <c r="C436" t="s">
        <v>320</v>
      </c>
      <c r="D436" s="4">
        <v>651574.81000000006</v>
      </c>
      <c r="E436" s="4">
        <v>509596.66</v>
      </c>
      <c r="F436" s="6">
        <v>0.78210000000000002</v>
      </c>
      <c r="G436" s="4">
        <v>141978.15</v>
      </c>
      <c r="H436" s="6">
        <v>0.21790000000000001</v>
      </c>
    </row>
    <row r="437" spans="1:8" x14ac:dyDescent="0.3">
      <c r="A437" t="s">
        <v>193</v>
      </c>
      <c r="B437" s="25">
        <v>45869</v>
      </c>
      <c r="C437" t="s">
        <v>319</v>
      </c>
      <c r="D437" s="4">
        <v>451806.77</v>
      </c>
      <c r="E437" s="4">
        <v>353358.07</v>
      </c>
      <c r="F437" s="6">
        <v>0.78210000000000002</v>
      </c>
      <c r="G437" s="4">
        <v>98448.69</v>
      </c>
      <c r="H437" s="6">
        <v>0.21790000000000001</v>
      </c>
    </row>
    <row r="438" spans="1:8" x14ac:dyDescent="0.3">
      <c r="A438" t="s">
        <v>193</v>
      </c>
      <c r="B438" s="25">
        <v>45869</v>
      </c>
      <c r="C438" t="s">
        <v>268</v>
      </c>
      <c r="D438" s="4">
        <v>352411.32</v>
      </c>
      <c r="E438" s="4">
        <v>275620.90000000002</v>
      </c>
      <c r="F438" s="6">
        <v>0.78210000000000002</v>
      </c>
      <c r="G438" s="4">
        <v>76790.429999999993</v>
      </c>
      <c r="H438" s="6">
        <v>0.21790000000000001</v>
      </c>
    </row>
    <row r="439" spans="1:8" x14ac:dyDescent="0.3">
      <c r="A439" t="s">
        <v>193</v>
      </c>
      <c r="B439" s="25">
        <v>45869</v>
      </c>
      <c r="C439" t="s">
        <v>318</v>
      </c>
      <c r="D439" s="4">
        <v>139091.71</v>
      </c>
      <c r="E439" s="4">
        <v>108783.63</v>
      </c>
      <c r="F439" s="6">
        <v>0.78210000000000002</v>
      </c>
      <c r="G439" s="4">
        <v>30308.080000000002</v>
      </c>
      <c r="H439" s="6">
        <v>0.21790000000000001</v>
      </c>
    </row>
    <row r="440" spans="1:8" x14ac:dyDescent="0.3">
      <c r="A440" t="s">
        <v>193</v>
      </c>
      <c r="B440" s="25">
        <v>45869</v>
      </c>
      <c r="C440" t="s">
        <v>317</v>
      </c>
      <c r="D440" s="4">
        <v>511838.3</v>
      </c>
      <c r="E440" s="4">
        <v>400308.73</v>
      </c>
      <c r="F440" s="6">
        <v>0.78210000000000002</v>
      </c>
      <c r="G440" s="4">
        <v>111529.57</v>
      </c>
      <c r="H440" s="6">
        <v>0.21790000000000001</v>
      </c>
    </row>
    <row r="441" spans="1:8" x14ac:dyDescent="0.3">
      <c r="A441" t="s">
        <v>193</v>
      </c>
      <c r="B441" s="25">
        <v>45869</v>
      </c>
      <c r="C441" t="s">
        <v>316</v>
      </c>
      <c r="D441" s="4">
        <v>1519575.4</v>
      </c>
      <c r="E441" s="4">
        <v>1188459.92</v>
      </c>
      <c r="F441" s="6">
        <v>0.78210000000000002</v>
      </c>
      <c r="G441" s="4">
        <v>331115.48</v>
      </c>
      <c r="H441" s="6">
        <v>0.21790000000000001</v>
      </c>
    </row>
    <row r="442" spans="1:8" x14ac:dyDescent="0.3">
      <c r="A442" t="s">
        <v>193</v>
      </c>
      <c r="B442" s="25">
        <v>45900</v>
      </c>
      <c r="C442" t="s">
        <v>324</v>
      </c>
      <c r="D442" s="4">
        <v>1208643.8799999999</v>
      </c>
      <c r="E442" s="4">
        <v>1064694.3899999999</v>
      </c>
      <c r="F442" s="6">
        <v>0.88090000000000002</v>
      </c>
      <c r="G442" s="4">
        <v>143949.49</v>
      </c>
      <c r="H442" s="6">
        <v>0.1191</v>
      </c>
    </row>
    <row r="443" spans="1:8" x14ac:dyDescent="0.3">
      <c r="A443" t="s">
        <v>193</v>
      </c>
      <c r="B443" s="25">
        <v>45900</v>
      </c>
      <c r="C443" t="s">
        <v>323</v>
      </c>
      <c r="D443" s="4">
        <v>1140400.44</v>
      </c>
      <c r="E443" s="4">
        <v>1004578.75</v>
      </c>
      <c r="F443" s="6">
        <v>0.88090000000000002</v>
      </c>
      <c r="G443" s="4">
        <v>135821.69</v>
      </c>
      <c r="H443" s="6">
        <v>0.1191</v>
      </c>
    </row>
    <row r="444" spans="1:8" x14ac:dyDescent="0.3">
      <c r="A444" t="s">
        <v>193</v>
      </c>
      <c r="B444" s="25">
        <v>45900</v>
      </c>
      <c r="C444" t="s">
        <v>322</v>
      </c>
      <c r="D444" s="4">
        <v>374372.39</v>
      </c>
      <c r="E444" s="4">
        <v>329784.63</v>
      </c>
      <c r="F444" s="6">
        <v>0.88090000000000002</v>
      </c>
      <c r="G444" s="4">
        <v>44587.75</v>
      </c>
      <c r="H444" s="6">
        <v>0.1191</v>
      </c>
    </row>
    <row r="445" spans="1:8" x14ac:dyDescent="0.3">
      <c r="A445" t="s">
        <v>193</v>
      </c>
      <c r="B445" s="25">
        <v>45900</v>
      </c>
      <c r="C445" t="s">
        <v>321</v>
      </c>
      <c r="D445" s="4">
        <v>888896.77</v>
      </c>
      <c r="E445" s="4">
        <v>783029.17</v>
      </c>
      <c r="F445" s="6">
        <v>0.88090000000000002</v>
      </c>
      <c r="G445" s="4">
        <v>105867.61</v>
      </c>
      <c r="H445" s="6">
        <v>0.1191</v>
      </c>
    </row>
    <row r="446" spans="1:8" x14ac:dyDescent="0.3">
      <c r="A446" t="s">
        <v>193</v>
      </c>
      <c r="B446" s="25">
        <v>45900</v>
      </c>
      <c r="C446" t="s">
        <v>320</v>
      </c>
      <c r="D446" s="4">
        <v>754599.74</v>
      </c>
      <c r="E446" s="4">
        <v>664726.91</v>
      </c>
      <c r="F446" s="6">
        <v>0.88090000000000002</v>
      </c>
      <c r="G446" s="4">
        <v>89872.83</v>
      </c>
      <c r="H446" s="6">
        <v>0.1191</v>
      </c>
    </row>
    <row r="447" spans="1:8" x14ac:dyDescent="0.3">
      <c r="A447" t="s">
        <v>193</v>
      </c>
      <c r="B447" s="25">
        <v>45900</v>
      </c>
      <c r="C447" t="s">
        <v>319</v>
      </c>
      <c r="D447" s="4">
        <v>454946.03</v>
      </c>
      <c r="E447" s="4">
        <v>400761.96</v>
      </c>
      <c r="F447" s="6">
        <v>0.88090000000000002</v>
      </c>
      <c r="G447" s="4">
        <v>54184.07</v>
      </c>
      <c r="H447" s="6">
        <v>0.1191</v>
      </c>
    </row>
    <row r="448" spans="1:8" x14ac:dyDescent="0.3">
      <c r="A448" t="s">
        <v>193</v>
      </c>
      <c r="B448" s="25">
        <v>45900</v>
      </c>
      <c r="C448" t="s">
        <v>268</v>
      </c>
      <c r="D448" s="4">
        <v>78595.179999999993</v>
      </c>
      <c r="E448" s="4">
        <v>69234.490000000005</v>
      </c>
      <c r="F448" s="6">
        <v>0.88090000000000002</v>
      </c>
      <c r="G448" s="4">
        <v>9360.69</v>
      </c>
      <c r="H448" s="6">
        <v>0.1191</v>
      </c>
    </row>
    <row r="449" spans="1:8" x14ac:dyDescent="0.3">
      <c r="A449" t="s">
        <v>193</v>
      </c>
      <c r="B449" s="25">
        <v>45900</v>
      </c>
      <c r="C449" t="s">
        <v>318</v>
      </c>
      <c r="D449" s="4">
        <v>512507.39</v>
      </c>
      <c r="E449" s="4">
        <v>451467.76</v>
      </c>
      <c r="F449" s="6">
        <v>0.88090000000000002</v>
      </c>
      <c r="G449" s="4">
        <v>61039.63</v>
      </c>
      <c r="H449" s="6">
        <v>0.1191</v>
      </c>
    </row>
    <row r="450" spans="1:8" x14ac:dyDescent="0.3">
      <c r="A450" t="s">
        <v>193</v>
      </c>
      <c r="B450" s="25">
        <v>45900</v>
      </c>
      <c r="C450" t="s">
        <v>317</v>
      </c>
      <c r="D450" s="4">
        <v>585881.75</v>
      </c>
      <c r="E450" s="4">
        <v>516103.23</v>
      </c>
      <c r="F450" s="6">
        <v>0.88090000000000002</v>
      </c>
      <c r="G450" s="4">
        <v>69778.52</v>
      </c>
      <c r="H450" s="6">
        <v>0.1191</v>
      </c>
    </row>
    <row r="451" spans="1:8" x14ac:dyDescent="0.3">
      <c r="A451" t="s">
        <v>193</v>
      </c>
      <c r="B451" s="25">
        <v>45900</v>
      </c>
      <c r="C451" t="s">
        <v>316</v>
      </c>
      <c r="D451" s="4">
        <v>1296521.0900000001</v>
      </c>
      <c r="E451" s="4">
        <v>1142105.43</v>
      </c>
      <c r="F451" s="6">
        <v>0.88090000000000002</v>
      </c>
      <c r="G451" s="4">
        <v>154415.66</v>
      </c>
      <c r="H451" s="6">
        <v>0.1191</v>
      </c>
    </row>
    <row r="452" spans="1:8" x14ac:dyDescent="0.3">
      <c r="A452" t="s">
        <v>193</v>
      </c>
      <c r="B452" s="25">
        <v>45930</v>
      </c>
      <c r="C452" t="s">
        <v>324</v>
      </c>
      <c r="D452" s="4">
        <v>1062793.79</v>
      </c>
      <c r="E452" s="4">
        <v>951413</v>
      </c>
      <c r="F452" s="6">
        <v>0.8952</v>
      </c>
      <c r="G452" s="4">
        <v>111380.79</v>
      </c>
      <c r="H452" s="6">
        <v>0.1048</v>
      </c>
    </row>
    <row r="453" spans="1:8" x14ac:dyDescent="0.3">
      <c r="A453" t="s">
        <v>193</v>
      </c>
      <c r="B453" s="25">
        <v>45930</v>
      </c>
      <c r="C453" t="s">
        <v>323</v>
      </c>
      <c r="D453" s="4">
        <v>1331750.53</v>
      </c>
      <c r="E453" s="4">
        <v>1192183.08</v>
      </c>
      <c r="F453" s="6">
        <v>0.8952</v>
      </c>
      <c r="G453" s="4">
        <v>139567.46</v>
      </c>
      <c r="H453" s="6">
        <v>0.1048</v>
      </c>
    </row>
    <row r="454" spans="1:8" x14ac:dyDescent="0.3">
      <c r="A454" t="s">
        <v>193</v>
      </c>
      <c r="B454" s="25">
        <v>45930</v>
      </c>
      <c r="C454" t="s">
        <v>322</v>
      </c>
      <c r="D454" s="4">
        <v>383523.47</v>
      </c>
      <c r="E454" s="4">
        <v>343330.21</v>
      </c>
      <c r="F454" s="6">
        <v>0.8952</v>
      </c>
      <c r="G454" s="4">
        <v>40193.26</v>
      </c>
      <c r="H454" s="6">
        <v>0.1048</v>
      </c>
    </row>
    <row r="455" spans="1:8" x14ac:dyDescent="0.3">
      <c r="A455" t="s">
        <v>193</v>
      </c>
      <c r="B455" s="25">
        <v>45930</v>
      </c>
      <c r="C455" t="s">
        <v>321</v>
      </c>
      <c r="D455" s="4">
        <v>969831.5</v>
      </c>
      <c r="E455" s="4">
        <v>868193.16</v>
      </c>
      <c r="F455" s="6">
        <v>0.8952</v>
      </c>
      <c r="G455" s="4">
        <v>101638.34</v>
      </c>
      <c r="H455" s="6">
        <v>0.1048</v>
      </c>
    </row>
    <row r="456" spans="1:8" x14ac:dyDescent="0.3">
      <c r="A456" t="s">
        <v>193</v>
      </c>
      <c r="B456" s="25">
        <v>45930</v>
      </c>
      <c r="C456" t="s">
        <v>320</v>
      </c>
      <c r="D456" s="4">
        <v>402361.47</v>
      </c>
      <c r="E456" s="4">
        <v>360193.99</v>
      </c>
      <c r="F456" s="6">
        <v>0.8952</v>
      </c>
      <c r="G456" s="4">
        <v>42167.48</v>
      </c>
      <c r="H456" s="6">
        <v>0.1048</v>
      </c>
    </row>
    <row r="457" spans="1:8" x14ac:dyDescent="0.3">
      <c r="A457" t="s">
        <v>193</v>
      </c>
      <c r="B457" s="25">
        <v>45930</v>
      </c>
      <c r="C457" t="s">
        <v>319</v>
      </c>
      <c r="D457" s="4">
        <v>178465.89</v>
      </c>
      <c r="E457" s="4">
        <v>159762.66</v>
      </c>
      <c r="F457" s="6">
        <v>0.8952</v>
      </c>
      <c r="G457" s="4">
        <v>18703.22</v>
      </c>
      <c r="H457" s="6">
        <v>0.1048</v>
      </c>
    </row>
    <row r="458" spans="1:8" x14ac:dyDescent="0.3">
      <c r="A458" t="s">
        <v>193</v>
      </c>
      <c r="B458" s="25">
        <v>45930</v>
      </c>
      <c r="C458" t="s">
        <v>268</v>
      </c>
      <c r="D458" s="4">
        <v>351169.85</v>
      </c>
      <c r="E458" s="4">
        <v>314367.25</v>
      </c>
      <c r="F458" s="6">
        <v>0.8952</v>
      </c>
      <c r="G458" s="4">
        <v>36802.6</v>
      </c>
      <c r="H458" s="6">
        <v>0.1048</v>
      </c>
    </row>
    <row r="459" spans="1:8" x14ac:dyDescent="0.3">
      <c r="A459" t="s">
        <v>193</v>
      </c>
      <c r="B459" s="25">
        <v>45930</v>
      </c>
      <c r="C459" t="s">
        <v>318</v>
      </c>
      <c r="D459" s="4">
        <v>706641.59</v>
      </c>
      <c r="E459" s="4">
        <v>632585.55000000005</v>
      </c>
      <c r="F459" s="6">
        <v>0.8952</v>
      </c>
      <c r="G459" s="4">
        <v>74056.039999999994</v>
      </c>
      <c r="H459" s="6">
        <v>0.1048</v>
      </c>
    </row>
    <row r="460" spans="1:8" x14ac:dyDescent="0.3">
      <c r="A460" t="s">
        <v>193</v>
      </c>
      <c r="B460" s="25">
        <v>45930</v>
      </c>
      <c r="C460" t="s">
        <v>317</v>
      </c>
      <c r="D460" s="4">
        <v>509327.94</v>
      </c>
      <c r="E460" s="4">
        <v>455950.37</v>
      </c>
      <c r="F460" s="6">
        <v>0.8952</v>
      </c>
      <c r="G460" s="4">
        <v>53377.57</v>
      </c>
      <c r="H460" s="6">
        <v>0.1048</v>
      </c>
    </row>
    <row r="461" spans="1:8" x14ac:dyDescent="0.3">
      <c r="A461" t="s">
        <v>193</v>
      </c>
      <c r="B461" s="25">
        <v>45930</v>
      </c>
      <c r="C461" t="s">
        <v>316</v>
      </c>
      <c r="D461" s="4">
        <v>1334115.83</v>
      </c>
      <c r="E461" s="4">
        <v>1194300.49</v>
      </c>
      <c r="F461" s="6">
        <v>0.8952</v>
      </c>
      <c r="G461" s="4">
        <v>139815.34</v>
      </c>
      <c r="H461" s="6">
        <v>0.1048</v>
      </c>
    </row>
    <row r="462" spans="1:8" x14ac:dyDescent="0.3">
      <c r="A462" t="s">
        <v>193</v>
      </c>
      <c r="B462" s="25">
        <v>45961</v>
      </c>
      <c r="C462" t="s">
        <v>324</v>
      </c>
      <c r="D462" s="4">
        <v>776419.07</v>
      </c>
      <c r="E462" s="4">
        <v>636508.35</v>
      </c>
      <c r="F462" s="6">
        <v>0.81979999999999997</v>
      </c>
      <c r="G462" s="4">
        <v>139910.72</v>
      </c>
      <c r="H462" s="6">
        <v>0.1802</v>
      </c>
    </row>
    <row r="463" spans="1:8" x14ac:dyDescent="0.3">
      <c r="A463" t="s">
        <v>193</v>
      </c>
      <c r="B463" s="25">
        <v>45961</v>
      </c>
      <c r="C463" t="s">
        <v>323</v>
      </c>
      <c r="D463" s="4">
        <v>955676.41</v>
      </c>
      <c r="E463" s="4">
        <v>783463.52</v>
      </c>
      <c r="F463" s="6">
        <v>0.81979999999999997</v>
      </c>
      <c r="G463" s="4">
        <v>172212.89</v>
      </c>
      <c r="H463" s="6">
        <v>0.1802</v>
      </c>
    </row>
    <row r="464" spans="1:8" x14ac:dyDescent="0.3">
      <c r="A464" t="s">
        <v>193</v>
      </c>
      <c r="B464" s="25">
        <v>45961</v>
      </c>
      <c r="C464" t="s">
        <v>322</v>
      </c>
      <c r="D464" s="4">
        <v>74849.42</v>
      </c>
      <c r="E464" s="4">
        <v>61361.56</v>
      </c>
      <c r="F464" s="6">
        <v>0.81979999999999997</v>
      </c>
      <c r="G464" s="4">
        <v>13487.87</v>
      </c>
      <c r="H464" s="6">
        <v>0.1802</v>
      </c>
    </row>
    <row r="465" spans="1:8" x14ac:dyDescent="0.3">
      <c r="A465" t="s">
        <v>193</v>
      </c>
      <c r="B465" s="25">
        <v>45961</v>
      </c>
      <c r="C465" t="s">
        <v>321</v>
      </c>
      <c r="D465" s="4">
        <v>825745.72</v>
      </c>
      <c r="E465" s="4">
        <v>676946.34</v>
      </c>
      <c r="F465" s="6">
        <v>0.81979999999999997</v>
      </c>
      <c r="G465" s="4">
        <v>148799.38</v>
      </c>
      <c r="H465" s="6">
        <v>0.1802</v>
      </c>
    </row>
    <row r="466" spans="1:8" x14ac:dyDescent="0.3">
      <c r="A466" t="s">
        <v>193</v>
      </c>
      <c r="B466" s="25">
        <v>45961</v>
      </c>
      <c r="C466" t="s">
        <v>320</v>
      </c>
      <c r="D466" s="4">
        <v>1004961.97</v>
      </c>
      <c r="E466" s="4">
        <v>823867.82</v>
      </c>
      <c r="F466" s="6">
        <v>0.81979999999999997</v>
      </c>
      <c r="G466" s="4">
        <v>181094.15</v>
      </c>
      <c r="H466" s="6">
        <v>0.1802</v>
      </c>
    </row>
    <row r="467" spans="1:8" x14ac:dyDescent="0.3">
      <c r="A467" t="s">
        <v>193</v>
      </c>
      <c r="B467" s="25">
        <v>45961</v>
      </c>
      <c r="C467" t="s">
        <v>319</v>
      </c>
      <c r="D467" s="4">
        <v>175353.04</v>
      </c>
      <c r="E467" s="4">
        <v>143754.42000000001</v>
      </c>
      <c r="F467" s="6">
        <v>0.81979999999999997</v>
      </c>
      <c r="G467" s="4">
        <v>31598.62</v>
      </c>
      <c r="H467" s="6">
        <v>0.1802</v>
      </c>
    </row>
    <row r="468" spans="1:8" x14ac:dyDescent="0.3">
      <c r="A468" t="s">
        <v>193</v>
      </c>
      <c r="B468" s="25">
        <v>45961</v>
      </c>
      <c r="C468" t="s">
        <v>268</v>
      </c>
      <c r="D468" s="4">
        <v>491655.09</v>
      </c>
      <c r="E468" s="4">
        <v>403058.84</v>
      </c>
      <c r="F468" s="6">
        <v>0.81979999999999997</v>
      </c>
      <c r="G468" s="4">
        <v>88596.25</v>
      </c>
      <c r="H468" s="6">
        <v>0.1802</v>
      </c>
    </row>
    <row r="469" spans="1:8" x14ac:dyDescent="0.3">
      <c r="A469" t="s">
        <v>193</v>
      </c>
      <c r="B469" s="25">
        <v>45961</v>
      </c>
      <c r="C469" t="s">
        <v>318</v>
      </c>
      <c r="D469" s="4">
        <v>636616.16</v>
      </c>
      <c r="E469" s="4">
        <v>521897.92</v>
      </c>
      <c r="F469" s="6">
        <v>0.81979999999999997</v>
      </c>
      <c r="G469" s="4">
        <v>114718.23</v>
      </c>
      <c r="H469" s="6">
        <v>0.1802</v>
      </c>
    </row>
    <row r="470" spans="1:8" x14ac:dyDescent="0.3">
      <c r="A470" t="s">
        <v>193</v>
      </c>
      <c r="B470" s="25">
        <v>45961</v>
      </c>
      <c r="C470" t="s">
        <v>317</v>
      </c>
      <c r="D470" s="4">
        <v>992675.53</v>
      </c>
      <c r="E470" s="4">
        <v>813795.4</v>
      </c>
      <c r="F470" s="6">
        <v>0.81979999999999997</v>
      </c>
      <c r="G470" s="4">
        <v>178880.13</v>
      </c>
      <c r="H470" s="6">
        <v>0.1802</v>
      </c>
    </row>
    <row r="471" spans="1:8" x14ac:dyDescent="0.3">
      <c r="A471" t="s">
        <v>193</v>
      </c>
      <c r="B471" s="25">
        <v>45961</v>
      </c>
      <c r="C471" t="s">
        <v>316</v>
      </c>
      <c r="D471" s="4">
        <v>1498302.76</v>
      </c>
      <c r="E471" s="4">
        <v>1228308.6000000001</v>
      </c>
      <c r="F471" s="6">
        <v>0.81979999999999997</v>
      </c>
      <c r="G471" s="4">
        <v>269994.15999999997</v>
      </c>
      <c r="H471" s="6">
        <v>0.1802</v>
      </c>
    </row>
    <row r="472" spans="1:8" x14ac:dyDescent="0.3">
      <c r="A472" t="s">
        <v>193</v>
      </c>
      <c r="B472" s="25">
        <v>45991</v>
      </c>
      <c r="C472" t="s">
        <v>324</v>
      </c>
      <c r="D472" s="4">
        <v>1187872.6000000001</v>
      </c>
      <c r="E472" s="4">
        <v>1041764.27</v>
      </c>
      <c r="F472" s="6">
        <v>0.877</v>
      </c>
      <c r="G472" s="4">
        <v>146108.32999999999</v>
      </c>
      <c r="H472" s="6">
        <v>0.123</v>
      </c>
    </row>
    <row r="473" spans="1:8" x14ac:dyDescent="0.3">
      <c r="A473" t="s">
        <v>193</v>
      </c>
      <c r="B473" s="25">
        <v>45991</v>
      </c>
      <c r="C473" t="s">
        <v>323</v>
      </c>
      <c r="D473" s="4">
        <v>792076.16</v>
      </c>
      <c r="E473" s="4">
        <v>694650.79</v>
      </c>
      <c r="F473" s="6">
        <v>0.877</v>
      </c>
      <c r="G473" s="4">
        <v>97425.37</v>
      </c>
      <c r="H473" s="6">
        <v>0.123</v>
      </c>
    </row>
    <row r="474" spans="1:8" x14ac:dyDescent="0.3">
      <c r="A474" t="s">
        <v>193</v>
      </c>
      <c r="B474" s="25">
        <v>45991</v>
      </c>
      <c r="C474" t="s">
        <v>322</v>
      </c>
      <c r="D474" s="4">
        <v>726625.27</v>
      </c>
      <c r="E474" s="4">
        <v>637250.36</v>
      </c>
      <c r="F474" s="6">
        <v>0.877</v>
      </c>
      <c r="G474" s="4">
        <v>89374.91</v>
      </c>
      <c r="H474" s="6">
        <v>0.123</v>
      </c>
    </row>
    <row r="475" spans="1:8" x14ac:dyDescent="0.3">
      <c r="A475" t="s">
        <v>193</v>
      </c>
      <c r="B475" s="25">
        <v>45991</v>
      </c>
      <c r="C475" t="s">
        <v>321</v>
      </c>
      <c r="D475" s="4">
        <v>802887.17</v>
      </c>
      <c r="E475" s="4">
        <v>704132.05</v>
      </c>
      <c r="F475" s="6">
        <v>0.877</v>
      </c>
      <c r="G475" s="4">
        <v>98755.12</v>
      </c>
      <c r="H475" s="6">
        <v>0.123</v>
      </c>
    </row>
    <row r="476" spans="1:8" x14ac:dyDescent="0.3">
      <c r="A476" t="s">
        <v>193</v>
      </c>
      <c r="B476" s="25">
        <v>45991</v>
      </c>
      <c r="C476" t="s">
        <v>320</v>
      </c>
      <c r="D476" s="4">
        <v>1114611.55</v>
      </c>
      <c r="E476" s="4">
        <v>977514.33</v>
      </c>
      <c r="F476" s="6">
        <v>0.877</v>
      </c>
      <c r="G476" s="4">
        <v>137097.22</v>
      </c>
      <c r="H476" s="6">
        <v>0.123</v>
      </c>
    </row>
    <row r="477" spans="1:8" x14ac:dyDescent="0.3">
      <c r="A477" t="s">
        <v>193</v>
      </c>
      <c r="B477" s="25">
        <v>45991</v>
      </c>
      <c r="C477" t="s">
        <v>319</v>
      </c>
      <c r="D477" s="4">
        <v>557160.02</v>
      </c>
      <c r="E477" s="4">
        <v>488629.34</v>
      </c>
      <c r="F477" s="6">
        <v>0.877</v>
      </c>
      <c r="G477" s="4">
        <v>68530.679999999993</v>
      </c>
      <c r="H477" s="6">
        <v>0.123</v>
      </c>
    </row>
    <row r="478" spans="1:8" x14ac:dyDescent="0.3">
      <c r="A478" t="s">
        <v>193</v>
      </c>
      <c r="B478" s="25">
        <v>45991</v>
      </c>
      <c r="C478" t="s">
        <v>268</v>
      </c>
      <c r="D478" s="4">
        <v>186279.55</v>
      </c>
      <c r="E478" s="4">
        <v>163367.17000000001</v>
      </c>
      <c r="F478" s="6">
        <v>0.877</v>
      </c>
      <c r="G478" s="4">
        <v>22912.39</v>
      </c>
      <c r="H478" s="6">
        <v>0.123</v>
      </c>
    </row>
    <row r="479" spans="1:8" x14ac:dyDescent="0.3">
      <c r="A479" t="s">
        <v>193</v>
      </c>
      <c r="B479" s="25">
        <v>45991</v>
      </c>
      <c r="C479" t="s">
        <v>318</v>
      </c>
      <c r="D479" s="4">
        <v>868042.6</v>
      </c>
      <c r="E479" s="4">
        <v>761273.36</v>
      </c>
      <c r="F479" s="6">
        <v>0.877</v>
      </c>
      <c r="G479" s="4">
        <v>106769.24</v>
      </c>
      <c r="H479" s="6">
        <v>0.123</v>
      </c>
    </row>
    <row r="480" spans="1:8" x14ac:dyDescent="0.3">
      <c r="A480" t="s">
        <v>193</v>
      </c>
      <c r="B480" s="25">
        <v>45991</v>
      </c>
      <c r="C480" t="s">
        <v>317</v>
      </c>
      <c r="D480" s="4">
        <v>541682.97</v>
      </c>
      <c r="E480" s="4">
        <v>475055.97</v>
      </c>
      <c r="F480" s="6">
        <v>0.877</v>
      </c>
      <c r="G480" s="4">
        <v>66627.009999999995</v>
      </c>
      <c r="H480" s="6">
        <v>0.123</v>
      </c>
    </row>
    <row r="481" spans="1:8" x14ac:dyDescent="0.3">
      <c r="A481" t="s">
        <v>193</v>
      </c>
      <c r="B481" s="25">
        <v>45991</v>
      </c>
      <c r="C481" t="s">
        <v>316</v>
      </c>
      <c r="D481" s="4">
        <v>1688008.88</v>
      </c>
      <c r="E481" s="4">
        <v>1480383.79</v>
      </c>
      <c r="F481" s="6">
        <v>0.877</v>
      </c>
      <c r="G481" s="4">
        <v>207625.09</v>
      </c>
      <c r="H481" s="6">
        <v>0.123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D600-6469-40A1-B5F1-4D195A55731F}">
  <sheetPr>
    <tabColor theme="6" tint="0.39997558519241921"/>
  </sheetPr>
  <dimension ref="A1:K1201"/>
  <sheetViews>
    <sheetView zoomScale="68" workbookViewId="0">
      <selection activeCell="G2" sqref="G2:G1201"/>
    </sheetView>
  </sheetViews>
  <sheetFormatPr defaultRowHeight="14.4" x14ac:dyDescent="0.3"/>
  <cols>
    <col min="1" max="9" width="18.44140625" customWidth="1"/>
    <col min="10" max="10" width="18.44140625" style="29" customWidth="1"/>
    <col min="11" max="11" width="18.44140625" customWidth="1"/>
  </cols>
  <sheetData>
    <row r="1" spans="1:11" x14ac:dyDescent="0.3">
      <c r="A1" s="13" t="s">
        <v>22</v>
      </c>
      <c r="B1" s="13" t="s">
        <v>197</v>
      </c>
      <c r="C1" s="13" t="s">
        <v>367</v>
      </c>
      <c r="D1" s="13" t="s">
        <v>333</v>
      </c>
      <c r="E1" s="13" t="s">
        <v>11</v>
      </c>
      <c r="F1" s="13" t="s">
        <v>21</v>
      </c>
      <c r="G1" s="13" t="s">
        <v>366</v>
      </c>
      <c r="H1" s="13" t="s">
        <v>328</v>
      </c>
      <c r="I1" s="13" t="s">
        <v>327</v>
      </c>
      <c r="J1" s="30" t="s">
        <v>326</v>
      </c>
      <c r="K1" s="13" t="s">
        <v>365</v>
      </c>
    </row>
    <row r="2" spans="1:11" x14ac:dyDescent="0.3">
      <c r="A2" t="s">
        <v>193</v>
      </c>
      <c r="B2" s="25">
        <v>45657</v>
      </c>
      <c r="C2">
        <v>356980</v>
      </c>
      <c r="D2" t="s">
        <v>322</v>
      </c>
      <c r="E2" t="s">
        <v>351</v>
      </c>
      <c r="F2">
        <v>270172.62</v>
      </c>
      <c r="G2" s="29">
        <v>3.3241E-2</v>
      </c>
      <c r="H2">
        <v>1755756.49</v>
      </c>
      <c r="I2">
        <v>851231.86</v>
      </c>
      <c r="J2" s="29">
        <v>0.32650000000000001</v>
      </c>
      <c r="K2">
        <v>7.37</v>
      </c>
    </row>
    <row r="3" spans="1:11" x14ac:dyDescent="0.3">
      <c r="A3" t="s">
        <v>193</v>
      </c>
      <c r="B3" s="25">
        <v>45688</v>
      </c>
      <c r="C3">
        <v>356980</v>
      </c>
      <c r="D3" t="s">
        <v>322</v>
      </c>
      <c r="E3" t="s">
        <v>351</v>
      </c>
      <c r="F3">
        <v>260897.63</v>
      </c>
      <c r="G3" s="29">
        <v>3.4009999999999999E-2</v>
      </c>
      <c r="H3">
        <v>1695481.63</v>
      </c>
      <c r="I3">
        <v>822009.19</v>
      </c>
      <c r="J3" s="29">
        <v>0.32650000000000001</v>
      </c>
      <c r="K3">
        <v>7.31</v>
      </c>
    </row>
    <row r="4" spans="1:11" x14ac:dyDescent="0.3">
      <c r="A4" t="s">
        <v>193</v>
      </c>
      <c r="B4" s="25">
        <v>45716</v>
      </c>
      <c r="C4">
        <v>356980</v>
      </c>
      <c r="D4" t="s">
        <v>322</v>
      </c>
      <c r="E4" t="s">
        <v>351</v>
      </c>
      <c r="F4">
        <v>296972.61</v>
      </c>
      <c r="G4" s="29">
        <v>4.0739999999999998E-2</v>
      </c>
      <c r="H4">
        <v>1929920.17</v>
      </c>
      <c r="I4">
        <v>935670.49</v>
      </c>
      <c r="J4" s="29">
        <v>0.32650000000000001</v>
      </c>
      <c r="K4">
        <v>7.93</v>
      </c>
    </row>
    <row r="5" spans="1:11" x14ac:dyDescent="0.3">
      <c r="A5" t="s">
        <v>193</v>
      </c>
      <c r="B5" s="25">
        <v>45747</v>
      </c>
      <c r="C5">
        <v>356980</v>
      </c>
      <c r="D5" t="s">
        <v>322</v>
      </c>
      <c r="E5" t="s">
        <v>351</v>
      </c>
      <c r="F5">
        <v>305012.03999999998</v>
      </c>
      <c r="G5" s="29">
        <v>4.0777000000000001E-2</v>
      </c>
      <c r="H5">
        <v>1982165.55</v>
      </c>
      <c r="I5">
        <v>961000.27</v>
      </c>
      <c r="J5" s="29">
        <v>0.32650000000000001</v>
      </c>
      <c r="K5">
        <v>7.6</v>
      </c>
    </row>
    <row r="6" spans="1:11" x14ac:dyDescent="0.3">
      <c r="A6" t="s">
        <v>193</v>
      </c>
      <c r="B6" s="25">
        <v>45777</v>
      </c>
      <c r="C6">
        <v>356980</v>
      </c>
      <c r="D6" t="s">
        <v>322</v>
      </c>
      <c r="E6" t="s">
        <v>351</v>
      </c>
      <c r="F6">
        <v>256366.18</v>
      </c>
      <c r="G6" s="29">
        <v>3.3073999999999999E-2</v>
      </c>
      <c r="H6">
        <v>1666033.31</v>
      </c>
      <c r="I6">
        <v>807731.95</v>
      </c>
      <c r="J6" s="29">
        <v>0.32650000000000001</v>
      </c>
      <c r="K6">
        <v>7.28</v>
      </c>
    </row>
    <row r="7" spans="1:11" x14ac:dyDescent="0.3">
      <c r="A7" t="s">
        <v>193</v>
      </c>
      <c r="B7" s="25">
        <v>45808</v>
      </c>
      <c r="C7">
        <v>356980</v>
      </c>
      <c r="D7" t="s">
        <v>322</v>
      </c>
      <c r="E7" t="s">
        <v>351</v>
      </c>
      <c r="F7">
        <v>273244.88</v>
      </c>
      <c r="G7" s="29">
        <v>3.7027999999999998E-2</v>
      </c>
      <c r="H7">
        <v>1775722.02</v>
      </c>
      <c r="I7">
        <v>860911.61</v>
      </c>
      <c r="J7" s="29">
        <v>0.32650000000000001</v>
      </c>
      <c r="K7">
        <v>7.73</v>
      </c>
    </row>
    <row r="8" spans="1:11" x14ac:dyDescent="0.3">
      <c r="A8" t="s">
        <v>193</v>
      </c>
      <c r="B8" s="25">
        <v>45838</v>
      </c>
      <c r="C8">
        <v>356980</v>
      </c>
      <c r="D8" t="s">
        <v>322</v>
      </c>
      <c r="E8" t="s">
        <v>351</v>
      </c>
      <c r="F8">
        <v>294179.21000000002</v>
      </c>
      <c r="G8" s="29">
        <v>3.6202999999999999E-2</v>
      </c>
      <c r="H8">
        <v>1911766.84</v>
      </c>
      <c r="I8">
        <v>926869.33</v>
      </c>
      <c r="J8" s="29">
        <v>0.32650000000000001</v>
      </c>
      <c r="K8">
        <v>8.2899999999999991</v>
      </c>
    </row>
    <row r="9" spans="1:11" x14ac:dyDescent="0.3">
      <c r="A9" t="s">
        <v>193</v>
      </c>
      <c r="B9" s="25">
        <v>45869</v>
      </c>
      <c r="C9">
        <v>356980</v>
      </c>
      <c r="D9" t="s">
        <v>322</v>
      </c>
      <c r="E9" t="s">
        <v>351</v>
      </c>
      <c r="F9">
        <v>295242.51</v>
      </c>
      <c r="G9" s="29">
        <v>3.9689999999999996E-2</v>
      </c>
      <c r="H9">
        <v>1918676.88</v>
      </c>
      <c r="I9">
        <v>930219.48</v>
      </c>
      <c r="J9" s="29">
        <v>0.32650000000000001</v>
      </c>
      <c r="K9">
        <v>7.82</v>
      </c>
    </row>
    <row r="10" spans="1:11" x14ac:dyDescent="0.3">
      <c r="A10" t="s">
        <v>193</v>
      </c>
      <c r="B10" s="25">
        <v>45900</v>
      </c>
      <c r="C10">
        <v>356980</v>
      </c>
      <c r="D10" t="s">
        <v>322</v>
      </c>
      <c r="E10" t="s">
        <v>351</v>
      </c>
      <c r="F10">
        <v>264224.75</v>
      </c>
      <c r="G10" s="29">
        <v>3.6218E-2</v>
      </c>
      <c r="H10">
        <v>1717103.41</v>
      </c>
      <c r="I10">
        <v>832491.94</v>
      </c>
      <c r="J10" s="29">
        <v>0.32650000000000001</v>
      </c>
      <c r="K10">
        <v>8.06</v>
      </c>
    </row>
    <row r="11" spans="1:11" x14ac:dyDescent="0.3">
      <c r="A11" t="s">
        <v>193</v>
      </c>
      <c r="B11" s="25">
        <v>45930</v>
      </c>
      <c r="C11">
        <v>356980</v>
      </c>
      <c r="D11" t="s">
        <v>322</v>
      </c>
      <c r="E11" t="s">
        <v>351</v>
      </c>
      <c r="F11">
        <v>278497.78000000003</v>
      </c>
      <c r="G11" s="29">
        <v>3.8519999999999999E-2</v>
      </c>
      <c r="H11">
        <v>1809858.76</v>
      </c>
      <c r="I11">
        <v>877461.9</v>
      </c>
      <c r="J11" s="29">
        <v>0.32650000000000001</v>
      </c>
      <c r="K11">
        <v>8.3699999999999992</v>
      </c>
    </row>
    <row r="12" spans="1:11" x14ac:dyDescent="0.3">
      <c r="A12" t="s">
        <v>193</v>
      </c>
      <c r="B12" s="25">
        <v>45961</v>
      </c>
      <c r="C12">
        <v>356980</v>
      </c>
      <c r="D12" t="s">
        <v>322</v>
      </c>
      <c r="E12" t="s">
        <v>351</v>
      </c>
      <c r="F12">
        <v>207407.31</v>
      </c>
      <c r="G12" s="29">
        <v>2.7906E-2</v>
      </c>
      <c r="H12">
        <v>1347866.89</v>
      </c>
      <c r="I12">
        <v>653477.43000000005</v>
      </c>
      <c r="J12" s="29">
        <v>0.32650000000000001</v>
      </c>
      <c r="K12">
        <v>7.98</v>
      </c>
    </row>
    <row r="13" spans="1:11" x14ac:dyDescent="0.3">
      <c r="A13" t="s">
        <v>193</v>
      </c>
      <c r="B13" s="25">
        <v>45991</v>
      </c>
      <c r="C13">
        <v>356980</v>
      </c>
      <c r="D13" t="s">
        <v>322</v>
      </c>
      <c r="E13" t="s">
        <v>351</v>
      </c>
      <c r="F13">
        <v>280587.86</v>
      </c>
      <c r="G13" s="29">
        <v>3.3146000000000002E-2</v>
      </c>
      <c r="H13">
        <v>1823441.43</v>
      </c>
      <c r="I13">
        <v>884047.1</v>
      </c>
      <c r="J13" s="29">
        <v>0.32650000000000001</v>
      </c>
      <c r="K13">
        <v>7.04</v>
      </c>
    </row>
    <row r="14" spans="1:11" x14ac:dyDescent="0.3">
      <c r="A14" t="s">
        <v>193</v>
      </c>
      <c r="B14" s="25">
        <v>45657</v>
      </c>
      <c r="C14">
        <v>637915</v>
      </c>
      <c r="D14" t="s">
        <v>322</v>
      </c>
      <c r="E14" t="s">
        <v>363</v>
      </c>
      <c r="F14">
        <v>12.99</v>
      </c>
      <c r="G14" s="29">
        <v>1.9999999999999999E-6</v>
      </c>
      <c r="H14">
        <v>100.59</v>
      </c>
      <c r="I14">
        <v>49.47</v>
      </c>
      <c r="J14" s="29">
        <v>0.3296</v>
      </c>
      <c r="K14">
        <v>6.39</v>
      </c>
    </row>
    <row r="15" spans="1:11" x14ac:dyDescent="0.3">
      <c r="A15" t="s">
        <v>193</v>
      </c>
      <c r="B15" s="25">
        <v>45688</v>
      </c>
      <c r="C15">
        <v>637915</v>
      </c>
      <c r="D15" t="s">
        <v>322</v>
      </c>
      <c r="E15" t="s">
        <v>363</v>
      </c>
      <c r="F15">
        <v>16.489999999999998</v>
      </c>
      <c r="G15" s="29">
        <v>1.9999999999999999E-6</v>
      </c>
      <c r="H15">
        <v>127.72</v>
      </c>
      <c r="I15">
        <v>62.81</v>
      </c>
      <c r="J15" s="29">
        <v>0.3296</v>
      </c>
      <c r="K15">
        <v>6.15</v>
      </c>
    </row>
    <row r="16" spans="1:11" x14ac:dyDescent="0.3">
      <c r="A16" t="s">
        <v>193</v>
      </c>
      <c r="B16" s="25">
        <v>45716</v>
      </c>
      <c r="C16">
        <v>637915</v>
      </c>
      <c r="D16" t="s">
        <v>322</v>
      </c>
      <c r="E16" t="s">
        <v>363</v>
      </c>
      <c r="F16">
        <v>12.44</v>
      </c>
      <c r="G16" s="29">
        <v>1.9999999999999999E-6</v>
      </c>
      <c r="H16">
        <v>96.37</v>
      </c>
      <c r="I16">
        <v>47.39</v>
      </c>
      <c r="J16" s="29">
        <v>0.3296</v>
      </c>
      <c r="K16">
        <v>7.24</v>
      </c>
    </row>
    <row r="17" spans="1:11" x14ac:dyDescent="0.3">
      <c r="A17" t="s">
        <v>193</v>
      </c>
      <c r="B17" s="25">
        <v>45747</v>
      </c>
      <c r="C17">
        <v>637915</v>
      </c>
      <c r="D17" t="s">
        <v>322</v>
      </c>
      <c r="E17" t="s">
        <v>363</v>
      </c>
      <c r="F17">
        <v>15.2</v>
      </c>
      <c r="G17" s="29">
        <v>1.9999999999999999E-6</v>
      </c>
      <c r="H17">
        <v>117.77</v>
      </c>
      <c r="I17">
        <v>57.91</v>
      </c>
      <c r="J17" s="29">
        <v>0.3296</v>
      </c>
      <c r="K17">
        <v>6.83</v>
      </c>
    </row>
    <row r="18" spans="1:11" x14ac:dyDescent="0.3">
      <c r="A18" t="s">
        <v>193</v>
      </c>
      <c r="B18" s="25">
        <v>45777</v>
      </c>
      <c r="C18">
        <v>637915</v>
      </c>
      <c r="D18" t="s">
        <v>322</v>
      </c>
      <c r="E18" t="s">
        <v>363</v>
      </c>
      <c r="F18">
        <v>13.5</v>
      </c>
      <c r="G18" s="29">
        <v>1.9999999999999999E-6</v>
      </c>
      <c r="H18">
        <v>104.59</v>
      </c>
      <c r="I18">
        <v>51.43</v>
      </c>
      <c r="J18" s="29">
        <v>0.3296</v>
      </c>
      <c r="K18">
        <v>6.65</v>
      </c>
    </row>
    <row r="19" spans="1:11" x14ac:dyDescent="0.3">
      <c r="A19" t="s">
        <v>193</v>
      </c>
      <c r="B19" s="25">
        <v>45808</v>
      </c>
      <c r="C19">
        <v>637915</v>
      </c>
      <c r="D19" t="s">
        <v>322</v>
      </c>
      <c r="E19" t="s">
        <v>363</v>
      </c>
      <c r="F19">
        <v>14.17</v>
      </c>
      <c r="G19" s="29">
        <v>1.9999999999999999E-6</v>
      </c>
      <c r="H19">
        <v>109.74</v>
      </c>
      <c r="I19">
        <v>53.96</v>
      </c>
      <c r="J19" s="29">
        <v>0.3296</v>
      </c>
      <c r="K19">
        <v>6.08</v>
      </c>
    </row>
    <row r="20" spans="1:11" x14ac:dyDescent="0.3">
      <c r="A20" t="s">
        <v>193</v>
      </c>
      <c r="B20" s="25">
        <v>45838</v>
      </c>
      <c r="C20">
        <v>637915</v>
      </c>
      <c r="D20" t="s">
        <v>322</v>
      </c>
      <c r="E20" t="s">
        <v>363</v>
      </c>
      <c r="F20">
        <v>13.42</v>
      </c>
      <c r="G20" s="29">
        <v>1.9999999999999999E-6</v>
      </c>
      <c r="H20">
        <v>103.97</v>
      </c>
      <c r="I20">
        <v>51.13</v>
      </c>
      <c r="J20" s="29">
        <v>0.3296</v>
      </c>
      <c r="K20">
        <v>6.22</v>
      </c>
    </row>
    <row r="21" spans="1:11" x14ac:dyDescent="0.3">
      <c r="A21" t="s">
        <v>193</v>
      </c>
      <c r="B21" s="25">
        <v>45869</v>
      </c>
      <c r="C21">
        <v>637915</v>
      </c>
      <c r="D21" t="s">
        <v>322</v>
      </c>
      <c r="E21" t="s">
        <v>363</v>
      </c>
      <c r="F21">
        <v>14.44</v>
      </c>
      <c r="G21" s="29">
        <v>1.9999999999999999E-6</v>
      </c>
      <c r="H21">
        <v>111.88</v>
      </c>
      <c r="I21">
        <v>55.02</v>
      </c>
      <c r="J21" s="29">
        <v>0.3296</v>
      </c>
      <c r="K21">
        <v>6.25</v>
      </c>
    </row>
    <row r="22" spans="1:11" x14ac:dyDescent="0.3">
      <c r="A22" t="s">
        <v>193</v>
      </c>
      <c r="B22" s="25">
        <v>45900</v>
      </c>
      <c r="C22">
        <v>637915</v>
      </c>
      <c r="D22" t="s">
        <v>322</v>
      </c>
      <c r="E22" t="s">
        <v>363</v>
      </c>
      <c r="F22">
        <v>13.68</v>
      </c>
      <c r="G22" s="29">
        <v>1.9999999999999999E-6</v>
      </c>
      <c r="H22">
        <v>106</v>
      </c>
      <c r="I22">
        <v>52.13</v>
      </c>
      <c r="J22" s="29">
        <v>0.3296</v>
      </c>
      <c r="K22">
        <v>6.52</v>
      </c>
    </row>
    <row r="23" spans="1:11" x14ac:dyDescent="0.3">
      <c r="A23" t="s">
        <v>193</v>
      </c>
      <c r="B23" s="25">
        <v>45930</v>
      </c>
      <c r="C23">
        <v>637915</v>
      </c>
      <c r="D23" t="s">
        <v>322</v>
      </c>
      <c r="E23" t="s">
        <v>363</v>
      </c>
      <c r="F23">
        <v>16.04</v>
      </c>
      <c r="G23" s="29">
        <v>1.9999999999999999E-6</v>
      </c>
      <c r="H23">
        <v>124.28</v>
      </c>
      <c r="I23">
        <v>61.11</v>
      </c>
      <c r="J23" s="29">
        <v>0.3296</v>
      </c>
      <c r="K23">
        <v>6.31</v>
      </c>
    </row>
    <row r="24" spans="1:11" x14ac:dyDescent="0.3">
      <c r="A24" t="s">
        <v>193</v>
      </c>
      <c r="B24" s="25">
        <v>45961</v>
      </c>
      <c r="C24">
        <v>637915</v>
      </c>
      <c r="D24" t="s">
        <v>322</v>
      </c>
      <c r="E24" t="s">
        <v>363</v>
      </c>
      <c r="F24">
        <v>16.22</v>
      </c>
      <c r="G24" s="29">
        <v>1.9999999999999999E-6</v>
      </c>
      <c r="H24">
        <v>125.63</v>
      </c>
      <c r="I24">
        <v>61.78</v>
      </c>
      <c r="J24" s="29">
        <v>0.3296</v>
      </c>
      <c r="K24">
        <v>6.84</v>
      </c>
    </row>
    <row r="25" spans="1:11" x14ac:dyDescent="0.3">
      <c r="A25" t="s">
        <v>193</v>
      </c>
      <c r="B25" s="25">
        <v>45991</v>
      </c>
      <c r="C25">
        <v>637915</v>
      </c>
      <c r="D25" t="s">
        <v>322</v>
      </c>
      <c r="E25" t="s">
        <v>363</v>
      </c>
      <c r="F25">
        <v>14.3</v>
      </c>
      <c r="G25" s="29">
        <v>1.9999999999999999E-6</v>
      </c>
      <c r="H25">
        <v>110.75</v>
      </c>
      <c r="I25">
        <v>54.46</v>
      </c>
      <c r="J25" s="29">
        <v>0.3296</v>
      </c>
      <c r="K25">
        <v>6.31</v>
      </c>
    </row>
    <row r="26" spans="1:11" x14ac:dyDescent="0.3">
      <c r="A26" t="s">
        <v>193</v>
      </c>
      <c r="B26" s="25">
        <v>45657</v>
      </c>
      <c r="C26">
        <v>188414</v>
      </c>
      <c r="D26" t="s">
        <v>323</v>
      </c>
      <c r="E26" t="s">
        <v>342</v>
      </c>
      <c r="F26">
        <v>140331.70000000001</v>
      </c>
      <c r="G26" s="29">
        <v>1.7266E-2</v>
      </c>
      <c r="H26">
        <v>1063623.58</v>
      </c>
      <c r="I26">
        <v>435831.1</v>
      </c>
      <c r="J26" s="29">
        <v>0.29070000000000001</v>
      </c>
      <c r="K26">
        <v>5.93</v>
      </c>
    </row>
    <row r="27" spans="1:11" x14ac:dyDescent="0.3">
      <c r="A27" t="s">
        <v>193</v>
      </c>
      <c r="B27" s="25">
        <v>45688</v>
      </c>
      <c r="C27">
        <v>188414</v>
      </c>
      <c r="D27" t="s">
        <v>323</v>
      </c>
      <c r="E27" t="s">
        <v>342</v>
      </c>
      <c r="F27">
        <v>165656.74</v>
      </c>
      <c r="G27" s="29">
        <v>2.1595E-2</v>
      </c>
      <c r="H27">
        <v>1255571.05</v>
      </c>
      <c r="I27">
        <v>514483.62</v>
      </c>
      <c r="J27" s="29">
        <v>0.29070000000000001</v>
      </c>
      <c r="K27">
        <v>7.17</v>
      </c>
    </row>
    <row r="28" spans="1:11" x14ac:dyDescent="0.3">
      <c r="A28" t="s">
        <v>193</v>
      </c>
      <c r="B28" s="25">
        <v>45716</v>
      </c>
      <c r="C28">
        <v>188414</v>
      </c>
      <c r="D28" t="s">
        <v>323</v>
      </c>
      <c r="E28" t="s">
        <v>342</v>
      </c>
      <c r="F28">
        <v>130026.03</v>
      </c>
      <c r="G28" s="29">
        <v>1.7837000000000002E-2</v>
      </c>
      <c r="H28">
        <v>985513.29</v>
      </c>
      <c r="I28">
        <v>403824.57</v>
      </c>
      <c r="J28" s="29">
        <v>0.29070000000000001</v>
      </c>
      <c r="K28">
        <v>7.54</v>
      </c>
    </row>
    <row r="29" spans="1:11" x14ac:dyDescent="0.3">
      <c r="A29" t="s">
        <v>193</v>
      </c>
      <c r="B29" s="25">
        <v>45747</v>
      </c>
      <c r="C29">
        <v>188414</v>
      </c>
      <c r="D29" t="s">
        <v>323</v>
      </c>
      <c r="E29" t="s">
        <v>342</v>
      </c>
      <c r="F29">
        <v>147858.4</v>
      </c>
      <c r="G29" s="29">
        <v>1.9767E-2</v>
      </c>
      <c r="H29">
        <v>1120671.1599999999</v>
      </c>
      <c r="I29">
        <v>459206.95</v>
      </c>
      <c r="J29" s="29">
        <v>0.29070000000000001</v>
      </c>
      <c r="K29">
        <v>6.24</v>
      </c>
    </row>
    <row r="30" spans="1:11" x14ac:dyDescent="0.3">
      <c r="A30" t="s">
        <v>193</v>
      </c>
      <c r="B30" s="25">
        <v>45777</v>
      </c>
      <c r="C30">
        <v>188414</v>
      </c>
      <c r="D30" t="s">
        <v>323</v>
      </c>
      <c r="E30" t="s">
        <v>342</v>
      </c>
      <c r="F30">
        <v>127885.55</v>
      </c>
      <c r="G30" s="29">
        <v>1.6499E-2</v>
      </c>
      <c r="H30">
        <v>969289.79</v>
      </c>
      <c r="I30">
        <v>397176.82</v>
      </c>
      <c r="J30" s="29">
        <v>0.29070000000000001</v>
      </c>
      <c r="K30">
        <v>6.57</v>
      </c>
    </row>
    <row r="31" spans="1:11" x14ac:dyDescent="0.3">
      <c r="A31" t="s">
        <v>193</v>
      </c>
      <c r="B31" s="25">
        <v>45808</v>
      </c>
      <c r="C31">
        <v>188414</v>
      </c>
      <c r="D31" t="s">
        <v>323</v>
      </c>
      <c r="E31" t="s">
        <v>342</v>
      </c>
      <c r="F31">
        <v>151653.57999999999</v>
      </c>
      <c r="G31" s="29">
        <v>2.0551E-2</v>
      </c>
      <c r="H31">
        <v>1149436.1200000001</v>
      </c>
      <c r="I31">
        <v>470993.7</v>
      </c>
      <c r="J31" s="29">
        <v>0.29070000000000001</v>
      </c>
      <c r="K31">
        <v>7.38</v>
      </c>
    </row>
    <row r="32" spans="1:11" x14ac:dyDescent="0.3">
      <c r="A32" t="s">
        <v>193</v>
      </c>
      <c r="B32" s="25">
        <v>45838</v>
      </c>
      <c r="C32">
        <v>188414</v>
      </c>
      <c r="D32" t="s">
        <v>323</v>
      </c>
      <c r="E32" t="s">
        <v>342</v>
      </c>
      <c r="F32">
        <v>179273.67</v>
      </c>
      <c r="G32" s="29">
        <v>2.2061999999999998E-2</v>
      </c>
      <c r="H32">
        <v>1358778.54</v>
      </c>
      <c r="I32">
        <v>556773.98</v>
      </c>
      <c r="J32" s="29">
        <v>0.29070000000000001</v>
      </c>
      <c r="K32">
        <v>6.47</v>
      </c>
    </row>
    <row r="33" spans="1:11" x14ac:dyDescent="0.3">
      <c r="A33" t="s">
        <v>193</v>
      </c>
      <c r="B33" s="25">
        <v>45869</v>
      </c>
      <c r="C33">
        <v>188414</v>
      </c>
      <c r="D33" t="s">
        <v>323</v>
      </c>
      <c r="E33" t="s">
        <v>342</v>
      </c>
      <c r="F33">
        <v>143504.41</v>
      </c>
      <c r="G33" s="29">
        <v>1.9292E-2</v>
      </c>
      <c r="H33">
        <v>1087670.69</v>
      </c>
      <c r="I33">
        <v>445684.65</v>
      </c>
      <c r="J33" s="29">
        <v>0.29070000000000001</v>
      </c>
      <c r="K33">
        <v>6.93</v>
      </c>
    </row>
    <row r="34" spans="1:11" x14ac:dyDescent="0.3">
      <c r="A34" t="s">
        <v>193</v>
      </c>
      <c r="B34" s="25">
        <v>45900</v>
      </c>
      <c r="C34">
        <v>188414</v>
      </c>
      <c r="D34" t="s">
        <v>323</v>
      </c>
      <c r="E34" t="s">
        <v>342</v>
      </c>
      <c r="F34">
        <v>132444.21</v>
      </c>
      <c r="G34" s="29">
        <v>1.8154999999999998E-2</v>
      </c>
      <c r="H34">
        <v>1003841.52</v>
      </c>
      <c r="I34">
        <v>411334.76</v>
      </c>
      <c r="J34" s="29">
        <v>0.29070000000000001</v>
      </c>
      <c r="K34">
        <v>7.13</v>
      </c>
    </row>
    <row r="35" spans="1:11" x14ac:dyDescent="0.3">
      <c r="A35" t="s">
        <v>193</v>
      </c>
      <c r="B35" s="25">
        <v>45930</v>
      </c>
      <c r="C35">
        <v>188414</v>
      </c>
      <c r="D35" t="s">
        <v>323</v>
      </c>
      <c r="E35" t="s">
        <v>342</v>
      </c>
      <c r="F35">
        <v>192503.18</v>
      </c>
      <c r="G35" s="29">
        <v>2.6625999999999997E-2</v>
      </c>
      <c r="H35">
        <v>1459049.68</v>
      </c>
      <c r="I35">
        <v>597861.15</v>
      </c>
      <c r="J35" s="29">
        <v>0.29070000000000001</v>
      </c>
      <c r="K35">
        <v>7.23</v>
      </c>
    </row>
    <row r="36" spans="1:11" x14ac:dyDescent="0.3">
      <c r="A36" t="s">
        <v>193</v>
      </c>
      <c r="B36" s="25">
        <v>45961</v>
      </c>
      <c r="C36">
        <v>188414</v>
      </c>
      <c r="D36" t="s">
        <v>323</v>
      </c>
      <c r="E36" t="s">
        <v>342</v>
      </c>
      <c r="F36">
        <v>156973.85999999999</v>
      </c>
      <c r="G36" s="29">
        <v>2.1120999999999997E-2</v>
      </c>
      <c r="H36">
        <v>1189760.44</v>
      </c>
      <c r="I36">
        <v>487517.02</v>
      </c>
      <c r="J36" s="29">
        <v>0.29070000000000001</v>
      </c>
      <c r="K36">
        <v>6.94</v>
      </c>
    </row>
    <row r="37" spans="1:11" x14ac:dyDescent="0.3">
      <c r="A37" t="s">
        <v>193</v>
      </c>
      <c r="B37" s="25">
        <v>45991</v>
      </c>
      <c r="C37">
        <v>188414</v>
      </c>
      <c r="D37" t="s">
        <v>323</v>
      </c>
      <c r="E37" t="s">
        <v>342</v>
      </c>
      <c r="F37">
        <v>134463.70000000001</v>
      </c>
      <c r="G37" s="29">
        <v>1.5883999999999999E-2</v>
      </c>
      <c r="H37">
        <v>1019147.96</v>
      </c>
      <c r="I37">
        <v>417606.74</v>
      </c>
      <c r="J37" s="29">
        <v>0.29070000000000001</v>
      </c>
      <c r="K37">
        <v>7.19</v>
      </c>
    </row>
    <row r="38" spans="1:11" x14ac:dyDescent="0.3">
      <c r="A38" t="s">
        <v>193</v>
      </c>
      <c r="B38" s="25">
        <v>45657</v>
      </c>
      <c r="C38">
        <v>681157</v>
      </c>
      <c r="D38" t="s">
        <v>320</v>
      </c>
      <c r="E38" t="s">
        <v>360</v>
      </c>
      <c r="F38">
        <v>15456.06</v>
      </c>
      <c r="G38" s="29">
        <v>1.902E-3</v>
      </c>
      <c r="H38">
        <v>116256.19</v>
      </c>
      <c r="I38">
        <v>54590.43</v>
      </c>
      <c r="J38" s="29">
        <v>0.31950000000000001</v>
      </c>
      <c r="K38">
        <v>6.63</v>
      </c>
    </row>
    <row r="39" spans="1:11" x14ac:dyDescent="0.3">
      <c r="A39" t="s">
        <v>193</v>
      </c>
      <c r="B39" s="25">
        <v>45688</v>
      </c>
      <c r="C39">
        <v>681157</v>
      </c>
      <c r="D39" t="s">
        <v>320</v>
      </c>
      <c r="E39" t="s">
        <v>360</v>
      </c>
      <c r="F39">
        <v>17890.310000000001</v>
      </c>
      <c r="G39" s="29">
        <v>2.3319999999999999E-3</v>
      </c>
      <c r="H39">
        <v>134565.91</v>
      </c>
      <c r="I39">
        <v>63188.12</v>
      </c>
      <c r="J39" s="29">
        <v>0.31950000000000001</v>
      </c>
      <c r="K39">
        <v>6.89</v>
      </c>
    </row>
    <row r="40" spans="1:11" x14ac:dyDescent="0.3">
      <c r="A40" t="s">
        <v>193</v>
      </c>
      <c r="B40" s="25">
        <v>45716</v>
      </c>
      <c r="C40">
        <v>681157</v>
      </c>
      <c r="D40" t="s">
        <v>320</v>
      </c>
      <c r="E40" t="s">
        <v>360</v>
      </c>
      <c r="F40">
        <v>16648.740000000002</v>
      </c>
      <c r="G40" s="29">
        <v>2.284E-3</v>
      </c>
      <c r="H40">
        <v>125227.16</v>
      </c>
      <c r="I40">
        <v>58802.93</v>
      </c>
      <c r="J40" s="29">
        <v>0.31950000000000001</v>
      </c>
      <c r="K40">
        <v>6.69</v>
      </c>
    </row>
    <row r="41" spans="1:11" x14ac:dyDescent="0.3">
      <c r="A41" t="s">
        <v>193</v>
      </c>
      <c r="B41" s="25">
        <v>45747</v>
      </c>
      <c r="C41">
        <v>681157</v>
      </c>
      <c r="D41" t="s">
        <v>320</v>
      </c>
      <c r="E41" t="s">
        <v>360</v>
      </c>
      <c r="F41">
        <v>18926.54</v>
      </c>
      <c r="G41" s="29">
        <v>2.5300000000000001E-3</v>
      </c>
      <c r="H41">
        <v>142360.15</v>
      </c>
      <c r="I41">
        <v>66848.070000000007</v>
      </c>
      <c r="J41" s="29">
        <v>0.31950000000000001</v>
      </c>
      <c r="K41">
        <v>6.96</v>
      </c>
    </row>
    <row r="42" spans="1:11" x14ac:dyDescent="0.3">
      <c r="A42" t="s">
        <v>193</v>
      </c>
      <c r="B42" s="25">
        <v>45777</v>
      </c>
      <c r="C42">
        <v>681157</v>
      </c>
      <c r="D42" t="s">
        <v>320</v>
      </c>
      <c r="E42" t="s">
        <v>360</v>
      </c>
      <c r="F42">
        <v>19876.23</v>
      </c>
      <c r="G42" s="29">
        <v>2.5640000000000003E-3</v>
      </c>
      <c r="H42">
        <v>149503.44</v>
      </c>
      <c r="I42">
        <v>70202.34</v>
      </c>
      <c r="J42" s="29">
        <v>0.31950000000000001</v>
      </c>
      <c r="K42">
        <v>7.04</v>
      </c>
    </row>
    <row r="43" spans="1:11" x14ac:dyDescent="0.3">
      <c r="A43" t="s">
        <v>193</v>
      </c>
      <c r="B43" s="25">
        <v>45808</v>
      </c>
      <c r="C43">
        <v>681157</v>
      </c>
      <c r="D43" t="s">
        <v>320</v>
      </c>
      <c r="E43" t="s">
        <v>360</v>
      </c>
      <c r="F43">
        <v>16047.69</v>
      </c>
      <c r="G43" s="29">
        <v>2.1749999999999999E-3</v>
      </c>
      <c r="H43">
        <v>120706.22</v>
      </c>
      <c r="I43">
        <v>56680.03</v>
      </c>
      <c r="J43" s="29">
        <v>0.31950000000000001</v>
      </c>
      <c r="K43">
        <v>6.75</v>
      </c>
    </row>
    <row r="44" spans="1:11" x14ac:dyDescent="0.3">
      <c r="A44" t="s">
        <v>193</v>
      </c>
      <c r="B44" s="25">
        <v>45838</v>
      </c>
      <c r="C44">
        <v>681157</v>
      </c>
      <c r="D44" t="s">
        <v>320</v>
      </c>
      <c r="E44" t="s">
        <v>360</v>
      </c>
      <c r="F44">
        <v>16357.56</v>
      </c>
      <c r="G44" s="29">
        <v>2.013E-3</v>
      </c>
      <c r="H44">
        <v>123037.01</v>
      </c>
      <c r="I44">
        <v>57774.5</v>
      </c>
      <c r="J44" s="29">
        <v>0.31950000000000001</v>
      </c>
      <c r="K44">
        <v>6.55</v>
      </c>
    </row>
    <row r="45" spans="1:11" x14ac:dyDescent="0.3">
      <c r="A45" t="s">
        <v>193</v>
      </c>
      <c r="B45" s="25">
        <v>45869</v>
      </c>
      <c r="C45">
        <v>681157</v>
      </c>
      <c r="D45" t="s">
        <v>320</v>
      </c>
      <c r="E45" t="s">
        <v>360</v>
      </c>
      <c r="F45">
        <v>15234.2</v>
      </c>
      <c r="G45" s="29">
        <v>2.0479999999999999E-3</v>
      </c>
      <c r="H45">
        <v>114587.36</v>
      </c>
      <c r="I45">
        <v>53806.79</v>
      </c>
      <c r="J45" s="29">
        <v>0.31950000000000001</v>
      </c>
      <c r="K45">
        <v>5.84</v>
      </c>
    </row>
    <row r="46" spans="1:11" x14ac:dyDescent="0.3">
      <c r="A46" t="s">
        <v>193</v>
      </c>
      <c r="B46" s="25">
        <v>45900</v>
      </c>
      <c r="C46">
        <v>681157</v>
      </c>
      <c r="D46" t="s">
        <v>320</v>
      </c>
      <c r="E46" t="s">
        <v>360</v>
      </c>
      <c r="F46">
        <v>16788.240000000002</v>
      </c>
      <c r="G46" s="29">
        <v>2.3010000000000001E-3</v>
      </c>
      <c r="H46">
        <v>126276.41</v>
      </c>
      <c r="I46">
        <v>59295.62</v>
      </c>
      <c r="J46" s="29">
        <v>0.31950000000000001</v>
      </c>
      <c r="K46">
        <v>6.83</v>
      </c>
    </row>
    <row r="47" spans="1:11" x14ac:dyDescent="0.3">
      <c r="A47" t="s">
        <v>193</v>
      </c>
      <c r="B47" s="25">
        <v>45930</v>
      </c>
      <c r="C47">
        <v>681157</v>
      </c>
      <c r="D47" t="s">
        <v>320</v>
      </c>
      <c r="E47" t="s">
        <v>360</v>
      </c>
      <c r="F47">
        <v>17253.46</v>
      </c>
      <c r="G47" s="29">
        <v>2.3860000000000001E-3</v>
      </c>
      <c r="H47">
        <v>129775.67999999999</v>
      </c>
      <c r="I47">
        <v>60938.77</v>
      </c>
      <c r="J47" s="29">
        <v>0.31950000000000001</v>
      </c>
      <c r="K47">
        <v>6.89</v>
      </c>
    </row>
    <row r="48" spans="1:11" x14ac:dyDescent="0.3">
      <c r="A48" t="s">
        <v>193</v>
      </c>
      <c r="B48" s="25">
        <v>45961</v>
      </c>
      <c r="C48">
        <v>681157</v>
      </c>
      <c r="D48" t="s">
        <v>320</v>
      </c>
      <c r="E48" t="s">
        <v>360</v>
      </c>
      <c r="F48">
        <v>17581.169999999998</v>
      </c>
      <c r="G48" s="29">
        <v>2.366E-3</v>
      </c>
      <c r="H48">
        <v>132240.63</v>
      </c>
      <c r="I48">
        <v>62096.24</v>
      </c>
      <c r="J48" s="29">
        <v>0.31950000000000001</v>
      </c>
      <c r="K48">
        <v>6.85</v>
      </c>
    </row>
    <row r="49" spans="1:11" x14ac:dyDescent="0.3">
      <c r="A49" t="s">
        <v>193</v>
      </c>
      <c r="B49" s="25">
        <v>45991</v>
      </c>
      <c r="C49">
        <v>681157</v>
      </c>
      <c r="D49" t="s">
        <v>320</v>
      </c>
      <c r="E49" t="s">
        <v>360</v>
      </c>
      <c r="F49">
        <v>17231.400000000001</v>
      </c>
      <c r="G49" s="29">
        <v>2.036E-3</v>
      </c>
      <c r="H49">
        <v>129609.77</v>
      </c>
      <c r="I49">
        <v>60860.87</v>
      </c>
      <c r="J49" s="29">
        <v>0.31950000000000001</v>
      </c>
      <c r="K49">
        <v>7.13</v>
      </c>
    </row>
    <row r="50" spans="1:11" x14ac:dyDescent="0.3">
      <c r="A50" t="s">
        <v>193</v>
      </c>
      <c r="B50" s="25">
        <v>45657</v>
      </c>
      <c r="C50">
        <v>645890</v>
      </c>
      <c r="D50" t="s">
        <v>323</v>
      </c>
      <c r="E50" t="s">
        <v>342</v>
      </c>
      <c r="F50">
        <v>146426.07</v>
      </c>
      <c r="G50" s="29">
        <v>1.8016000000000001E-2</v>
      </c>
      <c r="H50">
        <v>1125159.3500000001</v>
      </c>
      <c r="I50">
        <v>551688.14</v>
      </c>
      <c r="J50" s="29">
        <v>0.32900000000000001</v>
      </c>
      <c r="K50">
        <v>6.84</v>
      </c>
    </row>
    <row r="51" spans="1:11" x14ac:dyDescent="0.3">
      <c r="A51" t="s">
        <v>193</v>
      </c>
      <c r="B51" s="25">
        <v>45688</v>
      </c>
      <c r="C51">
        <v>645890</v>
      </c>
      <c r="D51" t="s">
        <v>323</v>
      </c>
      <c r="E51" t="s">
        <v>342</v>
      </c>
      <c r="F51">
        <v>138641.95000000001</v>
      </c>
      <c r="G51" s="29">
        <v>1.8072999999999999E-2</v>
      </c>
      <c r="H51">
        <v>1065345.03</v>
      </c>
      <c r="I51">
        <v>522359.99</v>
      </c>
      <c r="J51" s="29">
        <v>0.32900000000000001</v>
      </c>
      <c r="K51">
        <v>6.58</v>
      </c>
    </row>
    <row r="52" spans="1:11" x14ac:dyDescent="0.3">
      <c r="A52" t="s">
        <v>193</v>
      </c>
      <c r="B52" s="25">
        <v>45716</v>
      </c>
      <c r="C52">
        <v>645890</v>
      </c>
      <c r="D52" t="s">
        <v>323</v>
      </c>
      <c r="E52" t="s">
        <v>342</v>
      </c>
      <c r="F52">
        <v>144040.01999999999</v>
      </c>
      <c r="G52" s="29">
        <v>1.976E-2</v>
      </c>
      <c r="H52">
        <v>1106824.5900000001</v>
      </c>
      <c r="I52">
        <v>542698.25</v>
      </c>
      <c r="J52" s="29">
        <v>0.32900000000000001</v>
      </c>
      <c r="K52">
        <v>6.75</v>
      </c>
    </row>
    <row r="53" spans="1:11" x14ac:dyDescent="0.3">
      <c r="A53" t="s">
        <v>193</v>
      </c>
      <c r="B53" s="25">
        <v>45747</v>
      </c>
      <c r="C53">
        <v>645890</v>
      </c>
      <c r="D53" t="s">
        <v>323</v>
      </c>
      <c r="E53" t="s">
        <v>342</v>
      </c>
      <c r="F53">
        <v>127997.9</v>
      </c>
      <c r="G53" s="29">
        <v>1.7112000000000002E-2</v>
      </c>
      <c r="H53">
        <v>983554.61</v>
      </c>
      <c r="I53">
        <v>482256.5</v>
      </c>
      <c r="J53" s="29">
        <v>0.32900000000000001</v>
      </c>
      <c r="K53">
        <v>6.7</v>
      </c>
    </row>
    <row r="54" spans="1:11" x14ac:dyDescent="0.3">
      <c r="A54" t="s">
        <v>193</v>
      </c>
      <c r="B54" s="25">
        <v>45777</v>
      </c>
      <c r="C54">
        <v>645890</v>
      </c>
      <c r="D54" t="s">
        <v>323</v>
      </c>
      <c r="E54" t="s">
        <v>342</v>
      </c>
      <c r="F54">
        <v>131591.39000000001</v>
      </c>
      <c r="G54" s="29">
        <v>1.6976999999999999E-2</v>
      </c>
      <c r="H54">
        <v>1011167.57</v>
      </c>
      <c r="I54">
        <v>495795.69</v>
      </c>
      <c r="J54" s="29">
        <v>0.32900000000000001</v>
      </c>
      <c r="K54">
        <v>7.03</v>
      </c>
    </row>
    <row r="55" spans="1:11" x14ac:dyDescent="0.3">
      <c r="A55" t="s">
        <v>193</v>
      </c>
      <c r="B55" s="25">
        <v>45808</v>
      </c>
      <c r="C55">
        <v>645890</v>
      </c>
      <c r="D55" t="s">
        <v>323</v>
      </c>
      <c r="E55" t="s">
        <v>342</v>
      </c>
      <c r="F55">
        <v>140358.49</v>
      </c>
      <c r="G55" s="29">
        <v>1.9021E-2</v>
      </c>
      <c r="H55">
        <v>1078535.21</v>
      </c>
      <c r="I55">
        <v>528827.39</v>
      </c>
      <c r="J55" s="29">
        <v>0.32900000000000001</v>
      </c>
      <c r="K55">
        <v>7.02</v>
      </c>
    </row>
    <row r="56" spans="1:11" x14ac:dyDescent="0.3">
      <c r="A56" t="s">
        <v>193</v>
      </c>
      <c r="B56" s="25">
        <v>45838</v>
      </c>
      <c r="C56">
        <v>645890</v>
      </c>
      <c r="D56" t="s">
        <v>323</v>
      </c>
      <c r="E56" t="s">
        <v>342</v>
      </c>
      <c r="F56">
        <v>156271.60999999999</v>
      </c>
      <c r="G56" s="29">
        <v>1.9231999999999999E-2</v>
      </c>
      <c r="H56">
        <v>1200813.96</v>
      </c>
      <c r="I56">
        <v>588783.11</v>
      </c>
      <c r="J56" s="29">
        <v>0.32900000000000001</v>
      </c>
      <c r="K56">
        <v>6.74</v>
      </c>
    </row>
    <row r="57" spans="1:11" x14ac:dyDescent="0.3">
      <c r="A57" t="s">
        <v>193</v>
      </c>
      <c r="B57" s="25">
        <v>45869</v>
      </c>
      <c r="C57">
        <v>645890</v>
      </c>
      <c r="D57" t="s">
        <v>323</v>
      </c>
      <c r="E57" t="s">
        <v>342</v>
      </c>
      <c r="F57">
        <v>150427.46</v>
      </c>
      <c r="G57" s="29">
        <v>2.0222000000000004E-2</v>
      </c>
      <c r="H57">
        <v>1155906.6499999999</v>
      </c>
      <c r="I57">
        <v>566764.16</v>
      </c>
      <c r="J57" s="29">
        <v>0.32900000000000001</v>
      </c>
      <c r="K57">
        <v>7.11</v>
      </c>
    </row>
    <row r="58" spans="1:11" x14ac:dyDescent="0.3">
      <c r="A58" t="s">
        <v>193</v>
      </c>
      <c r="B58" s="25">
        <v>45900</v>
      </c>
      <c r="C58">
        <v>645890</v>
      </c>
      <c r="D58" t="s">
        <v>323</v>
      </c>
      <c r="E58" t="s">
        <v>342</v>
      </c>
      <c r="F58">
        <v>126716.95</v>
      </c>
      <c r="G58" s="29">
        <v>1.737E-2</v>
      </c>
      <c r="H58">
        <v>973711.61</v>
      </c>
      <c r="I58">
        <v>477430.28</v>
      </c>
      <c r="J58" s="29">
        <v>0.32900000000000001</v>
      </c>
      <c r="K58">
        <v>7.25</v>
      </c>
    </row>
    <row r="59" spans="1:11" x14ac:dyDescent="0.3">
      <c r="A59" t="s">
        <v>193</v>
      </c>
      <c r="B59" s="25">
        <v>45930</v>
      </c>
      <c r="C59">
        <v>645890</v>
      </c>
      <c r="D59" t="s">
        <v>323</v>
      </c>
      <c r="E59" t="s">
        <v>342</v>
      </c>
      <c r="F59">
        <v>141292.20000000001</v>
      </c>
      <c r="G59" s="29">
        <v>1.9542999999999998E-2</v>
      </c>
      <c r="H59">
        <v>1085709.96</v>
      </c>
      <c r="I59">
        <v>532345.31999999995</v>
      </c>
      <c r="J59" s="29">
        <v>0.32900000000000001</v>
      </c>
      <c r="K59">
        <v>6.87</v>
      </c>
    </row>
    <row r="60" spans="1:11" x14ac:dyDescent="0.3">
      <c r="A60" t="s">
        <v>193</v>
      </c>
      <c r="B60" s="25">
        <v>45961</v>
      </c>
      <c r="C60">
        <v>645890</v>
      </c>
      <c r="D60" t="s">
        <v>323</v>
      </c>
      <c r="E60" t="s">
        <v>342</v>
      </c>
      <c r="F60">
        <v>138939.07</v>
      </c>
      <c r="G60" s="29">
        <v>1.8693999999999999E-2</v>
      </c>
      <c r="H60">
        <v>1067628.19</v>
      </c>
      <c r="I60">
        <v>523479.46</v>
      </c>
      <c r="J60" s="29">
        <v>0.32900000000000001</v>
      </c>
      <c r="K60">
        <v>7.06</v>
      </c>
    </row>
    <row r="61" spans="1:11" x14ac:dyDescent="0.3">
      <c r="A61" t="s">
        <v>193</v>
      </c>
      <c r="B61" s="25">
        <v>45991</v>
      </c>
      <c r="C61">
        <v>645890</v>
      </c>
      <c r="D61" t="s">
        <v>323</v>
      </c>
      <c r="E61" t="s">
        <v>342</v>
      </c>
      <c r="F61">
        <v>147898.81</v>
      </c>
      <c r="G61" s="29">
        <v>1.7471E-2</v>
      </c>
      <c r="H61">
        <v>1136476.1200000001</v>
      </c>
      <c r="I61">
        <v>557236.98</v>
      </c>
      <c r="J61" s="29">
        <v>0.32900000000000001</v>
      </c>
      <c r="K61">
        <v>6.42</v>
      </c>
    </row>
    <row r="62" spans="1:11" x14ac:dyDescent="0.3">
      <c r="A62" t="s">
        <v>193</v>
      </c>
      <c r="B62" s="25">
        <v>45657</v>
      </c>
      <c r="C62">
        <v>320682</v>
      </c>
      <c r="D62" t="s">
        <v>323</v>
      </c>
      <c r="E62" t="s">
        <v>344</v>
      </c>
      <c r="F62">
        <v>237603.33</v>
      </c>
      <c r="G62" s="29">
        <v>2.9234E-2</v>
      </c>
      <c r="H62">
        <v>1703724.06</v>
      </c>
      <c r="I62">
        <v>760296.68</v>
      </c>
      <c r="J62" s="29">
        <v>0.30859999999999999</v>
      </c>
      <c r="K62">
        <v>7.01</v>
      </c>
    </row>
    <row r="63" spans="1:11" x14ac:dyDescent="0.3">
      <c r="A63" t="s">
        <v>193</v>
      </c>
      <c r="B63" s="25">
        <v>45688</v>
      </c>
      <c r="C63">
        <v>320682</v>
      </c>
      <c r="D63" t="s">
        <v>323</v>
      </c>
      <c r="E63" t="s">
        <v>344</v>
      </c>
      <c r="F63">
        <v>225310.23</v>
      </c>
      <c r="G63" s="29">
        <v>2.9371000000000001E-2</v>
      </c>
      <c r="H63">
        <v>1615576.92</v>
      </c>
      <c r="I63">
        <v>720960.51</v>
      </c>
      <c r="J63" s="29">
        <v>0.30859999999999999</v>
      </c>
      <c r="K63">
        <v>7.22</v>
      </c>
    </row>
    <row r="64" spans="1:11" x14ac:dyDescent="0.3">
      <c r="A64" t="s">
        <v>193</v>
      </c>
      <c r="B64" s="25">
        <v>45716</v>
      </c>
      <c r="C64">
        <v>320682</v>
      </c>
      <c r="D64" t="s">
        <v>323</v>
      </c>
      <c r="E64" t="s">
        <v>344</v>
      </c>
      <c r="F64">
        <v>237629.18</v>
      </c>
      <c r="G64" s="29">
        <v>3.2599000000000003E-2</v>
      </c>
      <c r="H64">
        <v>1703909.37</v>
      </c>
      <c r="I64">
        <v>760379.38</v>
      </c>
      <c r="J64" s="29">
        <v>0.30859999999999999</v>
      </c>
      <c r="K64">
        <v>8.1199999999999992</v>
      </c>
    </row>
    <row r="65" spans="1:11" x14ac:dyDescent="0.3">
      <c r="A65" t="s">
        <v>193</v>
      </c>
      <c r="B65" s="25">
        <v>45747</v>
      </c>
      <c r="C65">
        <v>320682</v>
      </c>
      <c r="D65" t="s">
        <v>323</v>
      </c>
      <c r="E65" t="s">
        <v>344</v>
      </c>
      <c r="F65">
        <v>273017.28999999998</v>
      </c>
      <c r="G65" s="29">
        <v>3.6499999999999998E-2</v>
      </c>
      <c r="H65">
        <v>1957658.27</v>
      </c>
      <c r="I65">
        <v>873616.28</v>
      </c>
      <c r="J65" s="29">
        <v>0.30859999999999999</v>
      </c>
      <c r="K65">
        <v>6.77</v>
      </c>
    </row>
    <row r="66" spans="1:11" x14ac:dyDescent="0.3">
      <c r="A66" t="s">
        <v>193</v>
      </c>
      <c r="B66" s="25">
        <v>45777</v>
      </c>
      <c r="C66">
        <v>320682</v>
      </c>
      <c r="D66" t="s">
        <v>323</v>
      </c>
      <c r="E66" t="s">
        <v>344</v>
      </c>
      <c r="F66">
        <v>301004.46000000002</v>
      </c>
      <c r="G66" s="29">
        <v>3.8832999999999999E-2</v>
      </c>
      <c r="H66">
        <v>2158339.02</v>
      </c>
      <c r="I66">
        <v>963171.23</v>
      </c>
      <c r="J66" s="29">
        <v>0.30859999999999999</v>
      </c>
      <c r="K66">
        <v>7.43</v>
      </c>
    </row>
    <row r="67" spans="1:11" x14ac:dyDescent="0.3">
      <c r="A67" t="s">
        <v>193</v>
      </c>
      <c r="B67" s="25">
        <v>45808</v>
      </c>
      <c r="C67">
        <v>320682</v>
      </c>
      <c r="D67" t="s">
        <v>323</v>
      </c>
      <c r="E67" t="s">
        <v>344</v>
      </c>
      <c r="F67">
        <v>217911.22</v>
      </c>
      <c r="G67" s="29">
        <v>2.9529999999999997E-2</v>
      </c>
      <c r="H67">
        <v>1562522.62</v>
      </c>
      <c r="I67">
        <v>697284.73</v>
      </c>
      <c r="J67" s="29">
        <v>0.30859999999999999</v>
      </c>
      <c r="K67">
        <v>7.41</v>
      </c>
    </row>
    <row r="68" spans="1:11" x14ac:dyDescent="0.3">
      <c r="A68" t="s">
        <v>193</v>
      </c>
      <c r="B68" s="25">
        <v>45838</v>
      </c>
      <c r="C68">
        <v>320682</v>
      </c>
      <c r="D68" t="s">
        <v>323</v>
      </c>
      <c r="E68" t="s">
        <v>344</v>
      </c>
      <c r="F68">
        <v>235962.9</v>
      </c>
      <c r="G68" s="29">
        <v>2.9039000000000002E-2</v>
      </c>
      <c r="H68">
        <v>1691961.43</v>
      </c>
      <c r="I68">
        <v>755047.54</v>
      </c>
      <c r="J68" s="29">
        <v>0.30859999999999999</v>
      </c>
      <c r="K68">
        <v>7.39</v>
      </c>
    </row>
    <row r="69" spans="1:11" x14ac:dyDescent="0.3">
      <c r="A69" t="s">
        <v>193</v>
      </c>
      <c r="B69" s="25">
        <v>45869</v>
      </c>
      <c r="C69">
        <v>320682</v>
      </c>
      <c r="D69" t="s">
        <v>323</v>
      </c>
      <c r="E69" t="s">
        <v>344</v>
      </c>
      <c r="F69">
        <v>304191.88</v>
      </c>
      <c r="G69" s="29">
        <v>4.0892999999999999E-2</v>
      </c>
      <c r="H69">
        <v>2181194.29</v>
      </c>
      <c r="I69">
        <v>973370.52</v>
      </c>
      <c r="J69" s="29">
        <v>0.30859999999999999</v>
      </c>
      <c r="K69">
        <v>7.9</v>
      </c>
    </row>
    <row r="70" spans="1:11" x14ac:dyDescent="0.3">
      <c r="A70" t="s">
        <v>193</v>
      </c>
      <c r="B70" s="25">
        <v>45900</v>
      </c>
      <c r="C70">
        <v>320682</v>
      </c>
      <c r="D70" t="s">
        <v>323</v>
      </c>
      <c r="E70" t="s">
        <v>344</v>
      </c>
      <c r="F70">
        <v>261441.08</v>
      </c>
      <c r="G70" s="29">
        <v>3.5837000000000001E-2</v>
      </c>
      <c r="H70">
        <v>1874651.59</v>
      </c>
      <c r="I70">
        <v>836574.07</v>
      </c>
      <c r="J70" s="29">
        <v>0.30859999999999999</v>
      </c>
      <c r="K70">
        <v>7.49</v>
      </c>
    </row>
    <row r="71" spans="1:11" x14ac:dyDescent="0.3">
      <c r="A71" t="s">
        <v>193</v>
      </c>
      <c r="B71" s="25">
        <v>45930</v>
      </c>
      <c r="C71">
        <v>320682</v>
      </c>
      <c r="D71" t="s">
        <v>323</v>
      </c>
      <c r="E71" t="s">
        <v>344</v>
      </c>
      <c r="F71">
        <v>278846.43</v>
      </c>
      <c r="G71" s="29">
        <v>3.8567999999999998E-2</v>
      </c>
      <c r="H71">
        <v>1999455.83</v>
      </c>
      <c r="I71">
        <v>892268.68</v>
      </c>
      <c r="J71" s="29">
        <v>0.30859999999999999</v>
      </c>
      <c r="K71">
        <v>7.11</v>
      </c>
    </row>
    <row r="72" spans="1:11" x14ac:dyDescent="0.3">
      <c r="A72" t="s">
        <v>193</v>
      </c>
      <c r="B72" s="25">
        <v>45961</v>
      </c>
      <c r="C72">
        <v>320682</v>
      </c>
      <c r="D72" t="s">
        <v>323</v>
      </c>
      <c r="E72" t="s">
        <v>344</v>
      </c>
      <c r="F72">
        <v>254370.25</v>
      </c>
      <c r="G72" s="29">
        <v>3.4224999999999998E-2</v>
      </c>
      <c r="H72">
        <v>1823950.48</v>
      </c>
      <c r="I72">
        <v>813948.41</v>
      </c>
      <c r="J72" s="29">
        <v>0.30859999999999999</v>
      </c>
      <c r="K72">
        <v>7.25</v>
      </c>
    </row>
    <row r="73" spans="1:11" x14ac:dyDescent="0.3">
      <c r="A73" t="s">
        <v>193</v>
      </c>
      <c r="B73" s="25">
        <v>45991</v>
      </c>
      <c r="C73">
        <v>320682</v>
      </c>
      <c r="D73" t="s">
        <v>323</v>
      </c>
      <c r="E73" t="s">
        <v>344</v>
      </c>
      <c r="F73">
        <v>266147.15999999997</v>
      </c>
      <c r="G73" s="29">
        <v>3.1440000000000003E-2</v>
      </c>
      <c r="H73">
        <v>1908396.31</v>
      </c>
      <c r="I73">
        <v>851632.85</v>
      </c>
      <c r="J73" s="29">
        <v>0.30859999999999999</v>
      </c>
      <c r="K73">
        <v>7.74</v>
      </c>
    </row>
    <row r="74" spans="1:11" x14ac:dyDescent="0.3">
      <c r="A74" t="s">
        <v>193</v>
      </c>
      <c r="B74" s="25">
        <v>45657</v>
      </c>
      <c r="C74">
        <v>492570</v>
      </c>
      <c r="D74" t="s">
        <v>316</v>
      </c>
      <c r="E74" t="s">
        <v>364</v>
      </c>
      <c r="F74">
        <v>88825.96</v>
      </c>
      <c r="G74" s="29">
        <v>1.0928999999999999E-2</v>
      </c>
      <c r="H74">
        <v>619529.91</v>
      </c>
      <c r="I74">
        <v>299207.08</v>
      </c>
      <c r="J74" s="29">
        <v>0.32569999999999999</v>
      </c>
      <c r="K74">
        <v>8.2100000000000009</v>
      </c>
    </row>
    <row r="75" spans="1:11" x14ac:dyDescent="0.3">
      <c r="A75" t="s">
        <v>193</v>
      </c>
      <c r="B75" s="25">
        <v>45688</v>
      </c>
      <c r="C75">
        <v>492570</v>
      </c>
      <c r="D75" t="s">
        <v>316</v>
      </c>
      <c r="E75" t="s">
        <v>364</v>
      </c>
      <c r="F75">
        <v>84513.58</v>
      </c>
      <c r="G75" s="29">
        <v>1.1016999999999999E-2</v>
      </c>
      <c r="H75">
        <v>589452.56999999995</v>
      </c>
      <c r="I75">
        <v>284680.98</v>
      </c>
      <c r="J75" s="29">
        <v>0.32569999999999999</v>
      </c>
      <c r="K75">
        <v>7.7</v>
      </c>
    </row>
    <row r="76" spans="1:11" x14ac:dyDescent="0.3">
      <c r="A76" t="s">
        <v>193</v>
      </c>
      <c r="B76" s="25">
        <v>45716</v>
      </c>
      <c r="C76">
        <v>492570</v>
      </c>
      <c r="D76" t="s">
        <v>316</v>
      </c>
      <c r="E76" t="s">
        <v>364</v>
      </c>
      <c r="F76">
        <v>102925.28</v>
      </c>
      <c r="G76" s="29">
        <v>1.4119999999999999E-2</v>
      </c>
      <c r="H76">
        <v>717867.76</v>
      </c>
      <c r="I76">
        <v>346700.15</v>
      </c>
      <c r="J76" s="29">
        <v>0.32569999999999999</v>
      </c>
      <c r="K76">
        <v>8.11</v>
      </c>
    </row>
    <row r="77" spans="1:11" x14ac:dyDescent="0.3">
      <c r="A77" t="s">
        <v>193</v>
      </c>
      <c r="B77" s="25">
        <v>45747</v>
      </c>
      <c r="C77">
        <v>492570</v>
      </c>
      <c r="D77" t="s">
        <v>316</v>
      </c>
      <c r="E77" t="s">
        <v>364</v>
      </c>
      <c r="F77">
        <v>90902.94</v>
      </c>
      <c r="G77" s="29">
        <v>1.2153000000000001E-2</v>
      </c>
      <c r="H77">
        <v>634016.12</v>
      </c>
      <c r="I77">
        <v>306203.32</v>
      </c>
      <c r="J77" s="29">
        <v>0.32569999999999999</v>
      </c>
      <c r="K77">
        <v>7.45</v>
      </c>
    </row>
    <row r="78" spans="1:11" x14ac:dyDescent="0.3">
      <c r="A78" t="s">
        <v>193</v>
      </c>
      <c r="B78" s="25">
        <v>45777</v>
      </c>
      <c r="C78">
        <v>492570</v>
      </c>
      <c r="D78" t="s">
        <v>316</v>
      </c>
      <c r="E78" t="s">
        <v>364</v>
      </c>
      <c r="F78">
        <v>95231.22</v>
      </c>
      <c r="G78" s="29">
        <v>1.2285999999999998E-2</v>
      </c>
      <c r="H78">
        <v>664204.39</v>
      </c>
      <c r="I78">
        <v>320782.99</v>
      </c>
      <c r="J78" s="29">
        <v>0.32569999999999999</v>
      </c>
      <c r="K78">
        <v>7.62</v>
      </c>
    </row>
    <row r="79" spans="1:11" x14ac:dyDescent="0.3">
      <c r="A79" t="s">
        <v>193</v>
      </c>
      <c r="B79" s="25">
        <v>45808</v>
      </c>
      <c r="C79">
        <v>492570</v>
      </c>
      <c r="D79" t="s">
        <v>316</v>
      </c>
      <c r="E79" t="s">
        <v>364</v>
      </c>
      <c r="F79">
        <v>96774.15</v>
      </c>
      <c r="G79" s="29">
        <v>1.3113999999999999E-2</v>
      </c>
      <c r="H79">
        <v>674965.77</v>
      </c>
      <c r="I79">
        <v>325980.28999999998</v>
      </c>
      <c r="J79" s="29">
        <v>0.32569999999999999</v>
      </c>
      <c r="K79">
        <v>7.38</v>
      </c>
    </row>
    <row r="80" spans="1:11" x14ac:dyDescent="0.3">
      <c r="A80" t="s">
        <v>193</v>
      </c>
      <c r="B80" s="25">
        <v>45838</v>
      </c>
      <c r="C80">
        <v>492570</v>
      </c>
      <c r="D80" t="s">
        <v>316</v>
      </c>
      <c r="E80" t="s">
        <v>364</v>
      </c>
      <c r="F80">
        <v>100030.09</v>
      </c>
      <c r="G80" s="29">
        <v>1.2310000000000001E-2</v>
      </c>
      <c r="H80">
        <v>697674.76</v>
      </c>
      <c r="I80">
        <v>336947.78</v>
      </c>
      <c r="J80" s="29">
        <v>0.32569999999999999</v>
      </c>
      <c r="K80">
        <v>8.23</v>
      </c>
    </row>
    <row r="81" spans="1:11" x14ac:dyDescent="0.3">
      <c r="A81" t="s">
        <v>193</v>
      </c>
      <c r="B81" s="25">
        <v>45869</v>
      </c>
      <c r="C81">
        <v>492570</v>
      </c>
      <c r="D81" t="s">
        <v>316</v>
      </c>
      <c r="E81" t="s">
        <v>364</v>
      </c>
      <c r="F81">
        <v>105644.99</v>
      </c>
      <c r="G81" s="29">
        <v>1.4201999999999999E-2</v>
      </c>
      <c r="H81">
        <v>736836.73</v>
      </c>
      <c r="I81">
        <v>355861.37</v>
      </c>
      <c r="J81" s="29">
        <v>0.32569999999999999</v>
      </c>
      <c r="K81">
        <v>7.64</v>
      </c>
    </row>
    <row r="82" spans="1:11" x14ac:dyDescent="0.3">
      <c r="A82" t="s">
        <v>193</v>
      </c>
      <c r="B82" s="25">
        <v>45900</v>
      </c>
      <c r="C82">
        <v>492570</v>
      </c>
      <c r="D82" t="s">
        <v>316</v>
      </c>
      <c r="E82" t="s">
        <v>364</v>
      </c>
      <c r="F82">
        <v>99902.04</v>
      </c>
      <c r="G82" s="29">
        <v>1.3694E-2</v>
      </c>
      <c r="H82">
        <v>696781.67</v>
      </c>
      <c r="I82">
        <v>336516.46</v>
      </c>
      <c r="J82" s="29">
        <v>0.32569999999999999</v>
      </c>
      <c r="K82">
        <v>8.1999999999999993</v>
      </c>
    </row>
    <row r="83" spans="1:11" x14ac:dyDescent="0.3">
      <c r="A83" t="s">
        <v>193</v>
      </c>
      <c r="B83" s="25">
        <v>45930</v>
      </c>
      <c r="C83">
        <v>492570</v>
      </c>
      <c r="D83" t="s">
        <v>316</v>
      </c>
      <c r="E83" t="s">
        <v>364</v>
      </c>
      <c r="F83">
        <v>105536.45</v>
      </c>
      <c r="G83" s="29">
        <v>1.4597000000000001E-2</v>
      </c>
      <c r="H83">
        <v>736079.74</v>
      </c>
      <c r="I83">
        <v>355495.78</v>
      </c>
      <c r="J83" s="29">
        <v>0.32569999999999999</v>
      </c>
      <c r="K83">
        <v>8.25</v>
      </c>
    </row>
    <row r="84" spans="1:11" x14ac:dyDescent="0.3">
      <c r="A84" t="s">
        <v>193</v>
      </c>
      <c r="B84" s="25">
        <v>45961</v>
      </c>
      <c r="C84">
        <v>492570</v>
      </c>
      <c r="D84" t="s">
        <v>316</v>
      </c>
      <c r="E84" t="s">
        <v>364</v>
      </c>
      <c r="F84">
        <v>95421.38</v>
      </c>
      <c r="G84" s="29">
        <v>1.2839E-2</v>
      </c>
      <c r="H84">
        <v>665530.66</v>
      </c>
      <c r="I84">
        <v>321423.52</v>
      </c>
      <c r="J84" s="29">
        <v>0.32569999999999999</v>
      </c>
      <c r="K84">
        <v>7.33</v>
      </c>
    </row>
    <row r="85" spans="1:11" x14ac:dyDescent="0.3">
      <c r="A85" t="s">
        <v>193</v>
      </c>
      <c r="B85" s="25">
        <v>45991</v>
      </c>
      <c r="C85">
        <v>492570</v>
      </c>
      <c r="D85" t="s">
        <v>316</v>
      </c>
      <c r="E85" t="s">
        <v>364</v>
      </c>
      <c r="F85">
        <v>108894.51</v>
      </c>
      <c r="G85" s="29">
        <v>1.2864E-2</v>
      </c>
      <c r="H85">
        <v>759500.99</v>
      </c>
      <c r="I85">
        <v>366807.27</v>
      </c>
      <c r="J85" s="29">
        <v>0.32569999999999999</v>
      </c>
      <c r="K85">
        <v>7.47</v>
      </c>
    </row>
    <row r="86" spans="1:11" x14ac:dyDescent="0.3">
      <c r="A86" t="s">
        <v>193</v>
      </c>
      <c r="B86" s="25">
        <v>45657</v>
      </c>
      <c r="C86">
        <v>139802</v>
      </c>
      <c r="D86" t="s">
        <v>320</v>
      </c>
      <c r="E86" t="s">
        <v>343</v>
      </c>
      <c r="F86">
        <v>158843.35999999999</v>
      </c>
      <c r="G86" s="29">
        <v>1.9542999999999998E-2</v>
      </c>
      <c r="H86">
        <v>1185749.1399999999</v>
      </c>
      <c r="I86">
        <v>538056.86</v>
      </c>
      <c r="J86" s="29">
        <v>0.31209999999999999</v>
      </c>
      <c r="K86">
        <v>7.1</v>
      </c>
    </row>
    <row r="87" spans="1:11" x14ac:dyDescent="0.3">
      <c r="A87" t="s">
        <v>193</v>
      </c>
      <c r="B87" s="25">
        <v>45688</v>
      </c>
      <c r="C87">
        <v>139802</v>
      </c>
      <c r="D87" t="s">
        <v>320</v>
      </c>
      <c r="E87" t="s">
        <v>343</v>
      </c>
      <c r="F87">
        <v>188943.56</v>
      </c>
      <c r="G87" s="29">
        <v>2.4629999999999999E-2</v>
      </c>
      <c r="H87">
        <v>1410444.02</v>
      </c>
      <c r="I87">
        <v>640016.56000000006</v>
      </c>
      <c r="J87" s="29">
        <v>0.31209999999999999</v>
      </c>
      <c r="K87">
        <v>7.59</v>
      </c>
    </row>
    <row r="88" spans="1:11" x14ac:dyDescent="0.3">
      <c r="A88" t="s">
        <v>193</v>
      </c>
      <c r="B88" s="25">
        <v>45716</v>
      </c>
      <c r="C88">
        <v>139802</v>
      </c>
      <c r="D88" t="s">
        <v>320</v>
      </c>
      <c r="E88" t="s">
        <v>343</v>
      </c>
      <c r="F88">
        <v>144519.81</v>
      </c>
      <c r="G88" s="29">
        <v>1.9826E-2</v>
      </c>
      <c r="H88">
        <v>1078825.31</v>
      </c>
      <c r="I88">
        <v>489538.08</v>
      </c>
      <c r="J88" s="29">
        <v>0.31209999999999999</v>
      </c>
      <c r="K88">
        <v>6.78</v>
      </c>
    </row>
    <row r="89" spans="1:11" x14ac:dyDescent="0.3">
      <c r="A89" t="s">
        <v>193</v>
      </c>
      <c r="B89" s="25">
        <v>45747</v>
      </c>
      <c r="C89">
        <v>139802</v>
      </c>
      <c r="D89" t="s">
        <v>320</v>
      </c>
      <c r="E89" t="s">
        <v>343</v>
      </c>
      <c r="F89">
        <v>141838.9</v>
      </c>
      <c r="G89" s="29">
        <v>1.8963000000000001E-2</v>
      </c>
      <c r="H89">
        <v>1058812.5900000001</v>
      </c>
      <c r="I89">
        <v>480456.92</v>
      </c>
      <c r="J89" s="29">
        <v>0.31209999999999999</v>
      </c>
      <c r="K89">
        <v>7.12</v>
      </c>
    </row>
    <row r="90" spans="1:11" x14ac:dyDescent="0.3">
      <c r="A90" t="s">
        <v>193</v>
      </c>
      <c r="B90" s="25">
        <v>45777</v>
      </c>
      <c r="C90">
        <v>139802</v>
      </c>
      <c r="D90" t="s">
        <v>320</v>
      </c>
      <c r="E90" t="s">
        <v>343</v>
      </c>
      <c r="F90">
        <v>160057.32</v>
      </c>
      <c r="G90" s="29">
        <v>2.0649000000000001E-2</v>
      </c>
      <c r="H90">
        <v>1194811.22</v>
      </c>
      <c r="I90">
        <v>542168.96</v>
      </c>
      <c r="J90" s="29">
        <v>0.31209999999999999</v>
      </c>
      <c r="K90">
        <v>7.28</v>
      </c>
    </row>
    <row r="91" spans="1:11" x14ac:dyDescent="0.3">
      <c r="A91" t="s">
        <v>193</v>
      </c>
      <c r="B91" s="25">
        <v>45808</v>
      </c>
      <c r="C91">
        <v>139802</v>
      </c>
      <c r="D91" t="s">
        <v>320</v>
      </c>
      <c r="E91" t="s">
        <v>343</v>
      </c>
      <c r="F91">
        <v>169471.55</v>
      </c>
      <c r="G91" s="29">
        <v>2.2966E-2</v>
      </c>
      <c r="H91">
        <v>1265087.47</v>
      </c>
      <c r="I91">
        <v>574058.18000000005</v>
      </c>
      <c r="J91" s="29">
        <v>0.31209999999999999</v>
      </c>
      <c r="K91">
        <v>6.75</v>
      </c>
    </row>
    <row r="92" spans="1:11" x14ac:dyDescent="0.3">
      <c r="A92" t="s">
        <v>193</v>
      </c>
      <c r="B92" s="25">
        <v>45838</v>
      </c>
      <c r="C92">
        <v>139802</v>
      </c>
      <c r="D92" t="s">
        <v>320</v>
      </c>
      <c r="E92" t="s">
        <v>343</v>
      </c>
      <c r="F92">
        <v>160785.45000000001</v>
      </c>
      <c r="G92" s="29">
        <v>1.9786999999999999E-2</v>
      </c>
      <c r="H92">
        <v>1200246.67</v>
      </c>
      <c r="I92">
        <v>544635.4</v>
      </c>
      <c r="J92" s="29">
        <v>0.31209999999999999</v>
      </c>
      <c r="K92">
        <v>6.69</v>
      </c>
    </row>
    <row r="93" spans="1:11" x14ac:dyDescent="0.3">
      <c r="A93" t="s">
        <v>193</v>
      </c>
      <c r="B93" s="25">
        <v>45869</v>
      </c>
      <c r="C93">
        <v>139802</v>
      </c>
      <c r="D93" t="s">
        <v>320</v>
      </c>
      <c r="E93" t="s">
        <v>343</v>
      </c>
      <c r="F93">
        <v>140983.9</v>
      </c>
      <c r="G93" s="29">
        <v>1.8953000000000001E-2</v>
      </c>
      <c r="H93">
        <v>1052430.1599999999</v>
      </c>
      <c r="I93">
        <v>477560.77</v>
      </c>
      <c r="J93" s="29">
        <v>0.31209999999999999</v>
      </c>
      <c r="K93">
        <v>6.89</v>
      </c>
    </row>
    <row r="94" spans="1:11" x14ac:dyDescent="0.3">
      <c r="A94" t="s">
        <v>193</v>
      </c>
      <c r="B94" s="25">
        <v>45900</v>
      </c>
      <c r="C94">
        <v>139802</v>
      </c>
      <c r="D94" t="s">
        <v>320</v>
      </c>
      <c r="E94" t="s">
        <v>343</v>
      </c>
      <c r="F94">
        <v>157465.25</v>
      </c>
      <c r="G94" s="29">
        <v>2.1583999999999999E-2</v>
      </c>
      <c r="H94">
        <v>1175461.71</v>
      </c>
      <c r="I94">
        <v>533388.74</v>
      </c>
      <c r="J94" s="29">
        <v>0.31209999999999999</v>
      </c>
      <c r="K94">
        <v>6.95</v>
      </c>
    </row>
    <row r="95" spans="1:11" x14ac:dyDescent="0.3">
      <c r="A95" t="s">
        <v>193</v>
      </c>
      <c r="B95" s="25">
        <v>45930</v>
      </c>
      <c r="C95">
        <v>139802</v>
      </c>
      <c r="D95" t="s">
        <v>320</v>
      </c>
      <c r="E95" t="s">
        <v>343</v>
      </c>
      <c r="F95">
        <v>175009.06</v>
      </c>
      <c r="G95" s="29">
        <v>2.4205999999999998E-2</v>
      </c>
      <c r="H95">
        <v>1306424.3700000001</v>
      </c>
      <c r="I95">
        <v>592815.61</v>
      </c>
      <c r="J95" s="29">
        <v>0.31209999999999999</v>
      </c>
      <c r="K95">
        <v>7.41</v>
      </c>
    </row>
    <row r="96" spans="1:11" x14ac:dyDescent="0.3">
      <c r="A96" t="s">
        <v>193</v>
      </c>
      <c r="B96" s="25">
        <v>45961</v>
      </c>
      <c r="C96">
        <v>139802</v>
      </c>
      <c r="D96" t="s">
        <v>320</v>
      </c>
      <c r="E96" t="s">
        <v>343</v>
      </c>
      <c r="F96">
        <v>171027.03</v>
      </c>
      <c r="G96" s="29">
        <v>2.3011E-2</v>
      </c>
      <c r="H96">
        <v>1276698.97</v>
      </c>
      <c r="I96">
        <v>579327.13</v>
      </c>
      <c r="J96" s="29">
        <v>0.31209999999999999</v>
      </c>
      <c r="K96">
        <v>7.07</v>
      </c>
    </row>
    <row r="97" spans="1:11" x14ac:dyDescent="0.3">
      <c r="A97" t="s">
        <v>193</v>
      </c>
      <c r="B97" s="25">
        <v>45991</v>
      </c>
      <c r="C97">
        <v>139802</v>
      </c>
      <c r="D97" t="s">
        <v>320</v>
      </c>
      <c r="E97" t="s">
        <v>343</v>
      </c>
      <c r="F97">
        <v>164098.29999999999</v>
      </c>
      <c r="G97" s="29">
        <v>1.9384999999999999E-2</v>
      </c>
      <c r="H97">
        <v>1224976.74</v>
      </c>
      <c r="I97">
        <v>555857.16</v>
      </c>
      <c r="J97" s="29">
        <v>0.31209999999999999</v>
      </c>
      <c r="K97">
        <v>7.83</v>
      </c>
    </row>
    <row r="98" spans="1:11" x14ac:dyDescent="0.3">
      <c r="A98" t="s">
        <v>193</v>
      </c>
      <c r="B98" s="25">
        <v>45657</v>
      </c>
      <c r="C98">
        <v>332766</v>
      </c>
      <c r="D98" t="s">
        <v>324</v>
      </c>
      <c r="E98" t="s">
        <v>346</v>
      </c>
      <c r="F98">
        <v>56098.91</v>
      </c>
      <c r="G98" s="29">
        <v>6.9020000000000001E-3</v>
      </c>
      <c r="H98">
        <v>443657.24</v>
      </c>
      <c r="I98">
        <v>190201.37</v>
      </c>
      <c r="J98" s="29">
        <v>0.30009999999999998</v>
      </c>
      <c r="K98">
        <v>6.74</v>
      </c>
    </row>
    <row r="99" spans="1:11" x14ac:dyDescent="0.3">
      <c r="A99" t="s">
        <v>193</v>
      </c>
      <c r="B99" s="25">
        <v>45688</v>
      </c>
      <c r="C99">
        <v>332766</v>
      </c>
      <c r="D99" t="s">
        <v>324</v>
      </c>
      <c r="E99" t="s">
        <v>346</v>
      </c>
      <c r="F99">
        <v>56086.33</v>
      </c>
      <c r="G99" s="29">
        <v>7.3109999999999998E-3</v>
      </c>
      <c r="H99">
        <v>443557.81</v>
      </c>
      <c r="I99">
        <v>190158.74</v>
      </c>
      <c r="J99" s="29">
        <v>0.30009999999999998</v>
      </c>
      <c r="K99">
        <v>5.89</v>
      </c>
    </row>
    <row r="100" spans="1:11" x14ac:dyDescent="0.3">
      <c r="A100" t="s">
        <v>193</v>
      </c>
      <c r="B100" s="25">
        <v>45716</v>
      </c>
      <c r="C100">
        <v>332766</v>
      </c>
      <c r="D100" t="s">
        <v>324</v>
      </c>
      <c r="E100" t="s">
        <v>346</v>
      </c>
      <c r="F100">
        <v>67584.11</v>
      </c>
      <c r="G100" s="29">
        <v>9.2709999999999997E-3</v>
      </c>
      <c r="H100">
        <v>534487.78</v>
      </c>
      <c r="I100">
        <v>229141.55</v>
      </c>
      <c r="J100" s="29">
        <v>0.30009999999999998</v>
      </c>
      <c r="K100">
        <v>6.51</v>
      </c>
    </row>
    <row r="101" spans="1:11" x14ac:dyDescent="0.3">
      <c r="A101" t="s">
        <v>193</v>
      </c>
      <c r="B101" s="25">
        <v>45747</v>
      </c>
      <c r="C101">
        <v>332766</v>
      </c>
      <c r="D101" t="s">
        <v>324</v>
      </c>
      <c r="E101" t="s">
        <v>346</v>
      </c>
      <c r="F101">
        <v>67488.11</v>
      </c>
      <c r="G101" s="29">
        <v>9.0229999999999998E-3</v>
      </c>
      <c r="H101">
        <v>533728.52</v>
      </c>
      <c r="I101">
        <v>228816.05</v>
      </c>
      <c r="J101" s="29">
        <v>0.30009999999999998</v>
      </c>
      <c r="K101">
        <v>6.33</v>
      </c>
    </row>
    <row r="102" spans="1:11" x14ac:dyDescent="0.3">
      <c r="A102" t="s">
        <v>193</v>
      </c>
      <c r="B102" s="25">
        <v>45777</v>
      </c>
      <c r="C102">
        <v>332766</v>
      </c>
      <c r="D102" t="s">
        <v>324</v>
      </c>
      <c r="E102" t="s">
        <v>346</v>
      </c>
      <c r="F102">
        <v>65257.89</v>
      </c>
      <c r="G102" s="29">
        <v>8.4189999999999994E-3</v>
      </c>
      <c r="H102">
        <v>516090.93</v>
      </c>
      <c r="I102">
        <v>221254.59</v>
      </c>
      <c r="J102" s="29">
        <v>0.30009999999999998</v>
      </c>
      <c r="K102">
        <v>6.42</v>
      </c>
    </row>
    <row r="103" spans="1:11" x14ac:dyDescent="0.3">
      <c r="A103" t="s">
        <v>193</v>
      </c>
      <c r="B103" s="25">
        <v>45808</v>
      </c>
      <c r="C103">
        <v>332766</v>
      </c>
      <c r="D103" t="s">
        <v>324</v>
      </c>
      <c r="E103" t="s">
        <v>346</v>
      </c>
      <c r="F103">
        <v>62869.56</v>
      </c>
      <c r="G103" s="29">
        <v>8.5199999999999998E-3</v>
      </c>
      <c r="H103">
        <v>497202.82</v>
      </c>
      <c r="I103">
        <v>213157.03</v>
      </c>
      <c r="J103" s="29">
        <v>0.30009999999999998</v>
      </c>
      <c r="K103">
        <v>6.93</v>
      </c>
    </row>
    <row r="104" spans="1:11" x14ac:dyDescent="0.3">
      <c r="A104" t="s">
        <v>193</v>
      </c>
      <c r="B104" s="25">
        <v>45838</v>
      </c>
      <c r="C104">
        <v>332766</v>
      </c>
      <c r="D104" t="s">
        <v>324</v>
      </c>
      <c r="E104" t="s">
        <v>346</v>
      </c>
      <c r="F104">
        <v>62262.76</v>
      </c>
      <c r="G104" s="29">
        <v>7.6619999999999995E-3</v>
      </c>
      <c r="H104">
        <v>492403.94</v>
      </c>
      <c r="I104">
        <v>211099.68</v>
      </c>
      <c r="J104" s="29">
        <v>0.30009999999999998</v>
      </c>
      <c r="K104">
        <v>6.63</v>
      </c>
    </row>
    <row r="105" spans="1:11" x14ac:dyDescent="0.3">
      <c r="A105" t="s">
        <v>193</v>
      </c>
      <c r="B105" s="25">
        <v>45869</v>
      </c>
      <c r="C105">
        <v>332766</v>
      </c>
      <c r="D105" t="s">
        <v>324</v>
      </c>
      <c r="E105" t="s">
        <v>346</v>
      </c>
      <c r="F105">
        <v>65250.94</v>
      </c>
      <c r="G105" s="29">
        <v>8.7720000000000003E-3</v>
      </c>
      <c r="H105">
        <v>516035.97</v>
      </c>
      <c r="I105">
        <v>221231.03</v>
      </c>
      <c r="J105" s="29">
        <v>0.30009999999999998</v>
      </c>
      <c r="K105">
        <v>6.68</v>
      </c>
    </row>
    <row r="106" spans="1:11" x14ac:dyDescent="0.3">
      <c r="A106" t="s">
        <v>193</v>
      </c>
      <c r="B106" s="25">
        <v>45900</v>
      </c>
      <c r="C106">
        <v>332766</v>
      </c>
      <c r="D106" t="s">
        <v>324</v>
      </c>
      <c r="E106" t="s">
        <v>346</v>
      </c>
      <c r="F106">
        <v>70646.39</v>
      </c>
      <c r="G106" s="29">
        <v>9.6839999999999999E-3</v>
      </c>
      <c r="H106">
        <v>558705.74</v>
      </c>
      <c r="I106">
        <v>239524.09</v>
      </c>
      <c r="J106" s="29">
        <v>0.30009999999999998</v>
      </c>
      <c r="K106">
        <v>6.46</v>
      </c>
    </row>
    <row r="107" spans="1:11" x14ac:dyDescent="0.3">
      <c r="A107" t="s">
        <v>193</v>
      </c>
      <c r="B107" s="25">
        <v>45930</v>
      </c>
      <c r="C107">
        <v>332766</v>
      </c>
      <c r="D107" t="s">
        <v>324</v>
      </c>
      <c r="E107" t="s">
        <v>346</v>
      </c>
      <c r="F107">
        <v>67583.3</v>
      </c>
      <c r="G107" s="29">
        <v>9.3480000000000004E-3</v>
      </c>
      <c r="H107">
        <v>534481.34</v>
      </c>
      <c r="I107">
        <v>229138.79</v>
      </c>
      <c r="J107" s="29">
        <v>0.30009999999999998</v>
      </c>
      <c r="K107">
        <v>6.88</v>
      </c>
    </row>
    <row r="108" spans="1:11" x14ac:dyDescent="0.3">
      <c r="A108" t="s">
        <v>193</v>
      </c>
      <c r="B108" s="25">
        <v>45961</v>
      </c>
      <c r="C108">
        <v>332766</v>
      </c>
      <c r="D108" t="s">
        <v>324</v>
      </c>
      <c r="E108" t="s">
        <v>346</v>
      </c>
      <c r="F108">
        <v>62353.43</v>
      </c>
      <c r="G108" s="29">
        <v>8.3899999999999999E-3</v>
      </c>
      <c r="H108">
        <v>493121.05</v>
      </c>
      <c r="I108">
        <v>211407.12</v>
      </c>
      <c r="J108" s="29">
        <v>0.30009999999999998</v>
      </c>
      <c r="K108">
        <v>6.76</v>
      </c>
    </row>
    <row r="109" spans="1:11" x14ac:dyDescent="0.3">
      <c r="A109" t="s">
        <v>193</v>
      </c>
      <c r="B109" s="25">
        <v>45991</v>
      </c>
      <c r="C109">
        <v>332766</v>
      </c>
      <c r="D109" t="s">
        <v>324</v>
      </c>
      <c r="E109" t="s">
        <v>346</v>
      </c>
      <c r="F109">
        <v>60733.17</v>
      </c>
      <c r="G109" s="29">
        <v>7.1740000000000007E-3</v>
      </c>
      <c r="H109">
        <v>480307.19</v>
      </c>
      <c r="I109">
        <v>205913.66</v>
      </c>
      <c r="J109" s="29">
        <v>0.30009999999999998</v>
      </c>
      <c r="K109">
        <v>6.56</v>
      </c>
    </row>
    <row r="110" spans="1:11" x14ac:dyDescent="0.3">
      <c r="A110" t="s">
        <v>193</v>
      </c>
      <c r="B110" s="25">
        <v>45657</v>
      </c>
      <c r="C110">
        <v>767059</v>
      </c>
      <c r="D110" t="s">
        <v>322</v>
      </c>
      <c r="E110" t="s">
        <v>363</v>
      </c>
      <c r="F110">
        <v>54003.67</v>
      </c>
      <c r="G110" s="29">
        <v>6.6439999999999997E-3</v>
      </c>
      <c r="H110">
        <v>418550.55</v>
      </c>
      <c r="I110">
        <v>177311.49</v>
      </c>
      <c r="J110" s="29">
        <v>0.29759999999999998</v>
      </c>
      <c r="K110">
        <v>6.85</v>
      </c>
    </row>
    <row r="111" spans="1:11" x14ac:dyDescent="0.3">
      <c r="A111" t="s">
        <v>193</v>
      </c>
      <c r="B111" s="25">
        <v>45688</v>
      </c>
      <c r="C111">
        <v>767059</v>
      </c>
      <c r="D111" t="s">
        <v>322</v>
      </c>
      <c r="E111" t="s">
        <v>363</v>
      </c>
      <c r="F111">
        <v>48676.2</v>
      </c>
      <c r="G111" s="29">
        <v>6.3449999999999999E-3</v>
      </c>
      <c r="H111">
        <v>377260.46</v>
      </c>
      <c r="I111">
        <v>159819.68</v>
      </c>
      <c r="J111" s="29">
        <v>0.29759999999999998</v>
      </c>
      <c r="K111">
        <v>7.05</v>
      </c>
    </row>
    <row r="112" spans="1:11" x14ac:dyDescent="0.3">
      <c r="A112" t="s">
        <v>193</v>
      </c>
      <c r="B112" s="25">
        <v>45716</v>
      </c>
      <c r="C112">
        <v>767059</v>
      </c>
      <c r="D112" t="s">
        <v>322</v>
      </c>
      <c r="E112" t="s">
        <v>363</v>
      </c>
      <c r="F112">
        <v>60601.599999999999</v>
      </c>
      <c r="G112" s="29">
        <v>8.3140000000000002E-3</v>
      </c>
      <c r="H112">
        <v>469687.22</v>
      </c>
      <c r="I112">
        <v>198974.63</v>
      </c>
      <c r="J112" s="29">
        <v>0.29759999999999998</v>
      </c>
      <c r="K112">
        <v>7.15</v>
      </c>
    </row>
    <row r="113" spans="1:11" x14ac:dyDescent="0.3">
      <c r="A113" t="s">
        <v>193</v>
      </c>
      <c r="B113" s="25">
        <v>45747</v>
      </c>
      <c r="C113">
        <v>767059</v>
      </c>
      <c r="D113" t="s">
        <v>322</v>
      </c>
      <c r="E113" t="s">
        <v>363</v>
      </c>
      <c r="F113">
        <v>51840.37</v>
      </c>
      <c r="G113" s="29">
        <v>6.9310000000000005E-3</v>
      </c>
      <c r="H113">
        <v>401784.11</v>
      </c>
      <c r="I113">
        <v>170208.69</v>
      </c>
      <c r="J113" s="29">
        <v>0.29759999999999998</v>
      </c>
      <c r="K113">
        <v>6.63</v>
      </c>
    </row>
    <row r="114" spans="1:11" x14ac:dyDescent="0.3">
      <c r="A114" t="s">
        <v>193</v>
      </c>
      <c r="B114" s="25">
        <v>45777</v>
      </c>
      <c r="C114">
        <v>767059</v>
      </c>
      <c r="D114" t="s">
        <v>322</v>
      </c>
      <c r="E114" t="s">
        <v>363</v>
      </c>
      <c r="F114">
        <v>47735.11</v>
      </c>
      <c r="G114" s="29">
        <v>6.1580000000000003E-3</v>
      </c>
      <c r="H114">
        <v>369966.67</v>
      </c>
      <c r="I114">
        <v>156729.79999999999</v>
      </c>
      <c r="J114" s="29">
        <v>0.29759999999999998</v>
      </c>
      <c r="K114">
        <v>7.18</v>
      </c>
    </row>
    <row r="115" spans="1:11" x14ac:dyDescent="0.3">
      <c r="A115" t="s">
        <v>193</v>
      </c>
      <c r="B115" s="25">
        <v>45808</v>
      </c>
      <c r="C115">
        <v>767059</v>
      </c>
      <c r="D115" t="s">
        <v>322</v>
      </c>
      <c r="E115" t="s">
        <v>363</v>
      </c>
      <c r="F115">
        <v>56339.72</v>
      </c>
      <c r="G115" s="29">
        <v>7.6349999999999994E-3</v>
      </c>
      <c r="H115">
        <v>436655.91</v>
      </c>
      <c r="I115">
        <v>184981.5</v>
      </c>
      <c r="J115" s="29">
        <v>0.29759999999999998</v>
      </c>
      <c r="K115">
        <v>6.67</v>
      </c>
    </row>
    <row r="116" spans="1:11" x14ac:dyDescent="0.3">
      <c r="A116" t="s">
        <v>193</v>
      </c>
      <c r="B116" s="25">
        <v>45838</v>
      </c>
      <c r="C116">
        <v>767059</v>
      </c>
      <c r="D116" t="s">
        <v>322</v>
      </c>
      <c r="E116" t="s">
        <v>363</v>
      </c>
      <c r="F116">
        <v>54777.41</v>
      </c>
      <c r="G116" s="29">
        <v>6.7410000000000005E-3</v>
      </c>
      <c r="H116">
        <v>424547.38</v>
      </c>
      <c r="I116">
        <v>179851.94</v>
      </c>
      <c r="J116" s="29">
        <v>0.29759999999999998</v>
      </c>
      <c r="K116">
        <v>6.12</v>
      </c>
    </row>
    <row r="117" spans="1:11" x14ac:dyDescent="0.3">
      <c r="A117" t="s">
        <v>193</v>
      </c>
      <c r="B117" s="25">
        <v>45869</v>
      </c>
      <c r="C117">
        <v>767059</v>
      </c>
      <c r="D117" t="s">
        <v>322</v>
      </c>
      <c r="E117" t="s">
        <v>363</v>
      </c>
      <c r="F117">
        <v>51597.61</v>
      </c>
      <c r="G117" s="29">
        <v>6.9360000000000003E-3</v>
      </c>
      <c r="H117">
        <v>399902.63</v>
      </c>
      <c r="I117">
        <v>169411.63</v>
      </c>
      <c r="J117" s="29">
        <v>0.29759999999999998</v>
      </c>
      <c r="K117">
        <v>6.52</v>
      </c>
    </row>
    <row r="118" spans="1:11" x14ac:dyDescent="0.3">
      <c r="A118" t="s">
        <v>193</v>
      </c>
      <c r="B118" s="25">
        <v>45900</v>
      </c>
      <c r="C118">
        <v>767059</v>
      </c>
      <c r="D118" t="s">
        <v>322</v>
      </c>
      <c r="E118" t="s">
        <v>363</v>
      </c>
      <c r="F118">
        <v>60111.1</v>
      </c>
      <c r="G118" s="29">
        <v>8.2399999999999991E-3</v>
      </c>
      <c r="H118">
        <v>465885.67</v>
      </c>
      <c r="I118">
        <v>197364.18</v>
      </c>
      <c r="J118" s="29">
        <v>0.29759999999999998</v>
      </c>
      <c r="K118">
        <v>7.08</v>
      </c>
    </row>
    <row r="119" spans="1:11" x14ac:dyDescent="0.3">
      <c r="A119" t="s">
        <v>193</v>
      </c>
      <c r="B119" s="25">
        <v>45930</v>
      </c>
      <c r="C119">
        <v>767059</v>
      </c>
      <c r="D119" t="s">
        <v>322</v>
      </c>
      <c r="E119" t="s">
        <v>363</v>
      </c>
      <c r="F119">
        <v>55321.56</v>
      </c>
      <c r="G119" s="29">
        <v>7.6519999999999999E-3</v>
      </c>
      <c r="H119">
        <v>428764.79</v>
      </c>
      <c r="I119">
        <v>181638.57</v>
      </c>
      <c r="J119" s="29">
        <v>0.29759999999999998</v>
      </c>
      <c r="K119">
        <v>6.97</v>
      </c>
    </row>
    <row r="120" spans="1:11" x14ac:dyDescent="0.3">
      <c r="A120" t="s">
        <v>193</v>
      </c>
      <c r="B120" s="25">
        <v>45961</v>
      </c>
      <c r="C120">
        <v>767059</v>
      </c>
      <c r="D120" t="s">
        <v>322</v>
      </c>
      <c r="E120" t="s">
        <v>363</v>
      </c>
      <c r="F120">
        <v>54473.51</v>
      </c>
      <c r="G120" s="29">
        <v>7.3289999999999996E-3</v>
      </c>
      <c r="H120">
        <v>422192</v>
      </c>
      <c r="I120">
        <v>178854.13</v>
      </c>
      <c r="J120" s="29">
        <v>0.29759999999999998</v>
      </c>
      <c r="K120">
        <v>7.11</v>
      </c>
    </row>
    <row r="121" spans="1:11" x14ac:dyDescent="0.3">
      <c r="A121" t="s">
        <v>193</v>
      </c>
      <c r="B121" s="25">
        <v>45991</v>
      </c>
      <c r="C121">
        <v>767059</v>
      </c>
      <c r="D121" t="s">
        <v>322</v>
      </c>
      <c r="E121" t="s">
        <v>363</v>
      </c>
      <c r="F121">
        <v>55310.36</v>
      </c>
      <c r="G121" s="29">
        <v>6.5339999999999999E-3</v>
      </c>
      <c r="H121">
        <v>428677.95</v>
      </c>
      <c r="I121">
        <v>181601.79</v>
      </c>
      <c r="J121" s="29">
        <v>0.29759999999999998</v>
      </c>
      <c r="K121">
        <v>6.36</v>
      </c>
    </row>
    <row r="122" spans="1:11" x14ac:dyDescent="0.3">
      <c r="A122" t="s">
        <v>193</v>
      </c>
      <c r="B122" s="25">
        <v>45657</v>
      </c>
      <c r="C122">
        <v>534007</v>
      </c>
      <c r="D122" t="s">
        <v>323</v>
      </c>
      <c r="E122" t="s">
        <v>342</v>
      </c>
      <c r="F122">
        <v>165647.73000000001</v>
      </c>
      <c r="G122" s="29">
        <v>2.0379999999999999E-2</v>
      </c>
      <c r="H122">
        <v>1200951.79</v>
      </c>
      <c r="I122">
        <v>524392.81999999995</v>
      </c>
      <c r="J122" s="29">
        <v>0.3039</v>
      </c>
      <c r="K122">
        <v>7.1</v>
      </c>
    </row>
    <row r="123" spans="1:11" x14ac:dyDescent="0.3">
      <c r="A123" t="s">
        <v>193</v>
      </c>
      <c r="B123" s="25">
        <v>45688</v>
      </c>
      <c r="C123">
        <v>534007</v>
      </c>
      <c r="D123" t="s">
        <v>323</v>
      </c>
      <c r="E123" t="s">
        <v>342</v>
      </c>
      <c r="F123">
        <v>164226.87</v>
      </c>
      <c r="G123" s="29">
        <v>2.1408E-2</v>
      </c>
      <c r="H123">
        <v>1190650.46</v>
      </c>
      <c r="I123">
        <v>519894.77</v>
      </c>
      <c r="J123" s="29">
        <v>0.3039</v>
      </c>
      <c r="K123">
        <v>7.13</v>
      </c>
    </row>
    <row r="124" spans="1:11" x14ac:dyDescent="0.3">
      <c r="A124" t="s">
        <v>193</v>
      </c>
      <c r="B124" s="25">
        <v>45716</v>
      </c>
      <c r="C124">
        <v>534007</v>
      </c>
      <c r="D124" t="s">
        <v>323</v>
      </c>
      <c r="E124" t="s">
        <v>342</v>
      </c>
      <c r="F124">
        <v>144530.91</v>
      </c>
      <c r="G124" s="29">
        <v>1.9826999999999997E-2</v>
      </c>
      <c r="H124">
        <v>1047854.07</v>
      </c>
      <c r="I124">
        <v>457543.05</v>
      </c>
      <c r="J124" s="29">
        <v>0.3039</v>
      </c>
      <c r="K124">
        <v>7.21</v>
      </c>
    </row>
    <row r="125" spans="1:11" x14ac:dyDescent="0.3">
      <c r="A125" t="s">
        <v>193</v>
      </c>
      <c r="B125" s="25">
        <v>45747</v>
      </c>
      <c r="C125">
        <v>534007</v>
      </c>
      <c r="D125" t="s">
        <v>323</v>
      </c>
      <c r="E125" t="s">
        <v>342</v>
      </c>
      <c r="F125">
        <v>173243.57</v>
      </c>
      <c r="G125" s="29">
        <v>2.3161000000000001E-2</v>
      </c>
      <c r="H125">
        <v>1256021.8700000001</v>
      </c>
      <c r="I125">
        <v>548439.04000000004</v>
      </c>
      <c r="J125" s="29">
        <v>0.3039</v>
      </c>
      <c r="K125">
        <v>7.33</v>
      </c>
    </row>
    <row r="126" spans="1:11" x14ac:dyDescent="0.3">
      <c r="A126" t="s">
        <v>193</v>
      </c>
      <c r="B126" s="25">
        <v>45777</v>
      </c>
      <c r="C126">
        <v>534007</v>
      </c>
      <c r="D126" t="s">
        <v>323</v>
      </c>
      <c r="E126" t="s">
        <v>342</v>
      </c>
      <c r="F126">
        <v>135680.1</v>
      </c>
      <c r="G126" s="29">
        <v>1.7503999999999999E-2</v>
      </c>
      <c r="H126">
        <v>983685.44</v>
      </c>
      <c r="I126">
        <v>429523.97</v>
      </c>
      <c r="J126" s="29">
        <v>0.3039</v>
      </c>
      <c r="K126">
        <v>7.21</v>
      </c>
    </row>
    <row r="127" spans="1:11" x14ac:dyDescent="0.3">
      <c r="A127" t="s">
        <v>193</v>
      </c>
      <c r="B127" s="25">
        <v>45808</v>
      </c>
      <c r="C127">
        <v>534007</v>
      </c>
      <c r="D127" t="s">
        <v>323</v>
      </c>
      <c r="E127" t="s">
        <v>342</v>
      </c>
      <c r="F127">
        <v>176092.74</v>
      </c>
      <c r="G127" s="29">
        <v>2.3862999999999999E-2</v>
      </c>
      <c r="H127">
        <v>1276678.42</v>
      </c>
      <c r="I127">
        <v>557458.68000000005</v>
      </c>
      <c r="J127" s="29">
        <v>0.3039</v>
      </c>
      <c r="K127">
        <v>7.19</v>
      </c>
    </row>
    <row r="128" spans="1:11" x14ac:dyDescent="0.3">
      <c r="A128" t="s">
        <v>193</v>
      </c>
      <c r="B128" s="25">
        <v>45838</v>
      </c>
      <c r="C128">
        <v>534007</v>
      </c>
      <c r="D128" t="s">
        <v>323</v>
      </c>
      <c r="E128" t="s">
        <v>342</v>
      </c>
      <c r="F128">
        <v>159382.26999999999</v>
      </c>
      <c r="G128" s="29">
        <v>1.9613999999999999E-2</v>
      </c>
      <c r="H128">
        <v>1155526.95</v>
      </c>
      <c r="I128">
        <v>504558.17</v>
      </c>
      <c r="J128" s="29">
        <v>0.3039</v>
      </c>
      <c r="K128">
        <v>6.53</v>
      </c>
    </row>
    <row r="129" spans="1:11" x14ac:dyDescent="0.3">
      <c r="A129" t="s">
        <v>193</v>
      </c>
      <c r="B129" s="25">
        <v>45869</v>
      </c>
      <c r="C129">
        <v>534007</v>
      </c>
      <c r="D129" t="s">
        <v>323</v>
      </c>
      <c r="E129" t="s">
        <v>342</v>
      </c>
      <c r="F129">
        <v>206648.77</v>
      </c>
      <c r="G129" s="29">
        <v>2.7779999999999999E-2</v>
      </c>
      <c r="H129">
        <v>1498210.74</v>
      </c>
      <c r="I129">
        <v>654190.25</v>
      </c>
      <c r="J129" s="29">
        <v>0.3039</v>
      </c>
      <c r="K129">
        <v>7.06</v>
      </c>
    </row>
    <row r="130" spans="1:11" x14ac:dyDescent="0.3">
      <c r="A130" t="s">
        <v>193</v>
      </c>
      <c r="B130" s="25">
        <v>45900</v>
      </c>
      <c r="C130">
        <v>534007</v>
      </c>
      <c r="D130" t="s">
        <v>323</v>
      </c>
      <c r="E130" t="s">
        <v>342</v>
      </c>
      <c r="F130">
        <v>201232.61</v>
      </c>
      <c r="G130" s="29">
        <v>2.7584000000000001E-2</v>
      </c>
      <c r="H130">
        <v>1458943.38</v>
      </c>
      <c r="I130">
        <v>637044.25</v>
      </c>
      <c r="J130" s="29">
        <v>0.3039</v>
      </c>
      <c r="K130">
        <v>8.23</v>
      </c>
    </row>
    <row r="131" spans="1:11" x14ac:dyDescent="0.3">
      <c r="A131" t="s">
        <v>193</v>
      </c>
      <c r="B131" s="25">
        <v>45930</v>
      </c>
      <c r="C131">
        <v>534007</v>
      </c>
      <c r="D131" t="s">
        <v>323</v>
      </c>
      <c r="E131" t="s">
        <v>342</v>
      </c>
      <c r="F131">
        <v>165347.10999999999</v>
      </c>
      <c r="G131" s="29">
        <v>2.2869999999999998E-2</v>
      </c>
      <c r="H131">
        <v>1198772.3</v>
      </c>
      <c r="I131">
        <v>523441.15</v>
      </c>
      <c r="J131" s="29">
        <v>0.3039</v>
      </c>
      <c r="K131">
        <v>7</v>
      </c>
    </row>
    <row r="132" spans="1:11" x14ac:dyDescent="0.3">
      <c r="A132" t="s">
        <v>193</v>
      </c>
      <c r="B132" s="25">
        <v>45961</v>
      </c>
      <c r="C132">
        <v>534007</v>
      </c>
      <c r="D132" t="s">
        <v>323</v>
      </c>
      <c r="E132" t="s">
        <v>342</v>
      </c>
      <c r="F132">
        <v>157429.01999999999</v>
      </c>
      <c r="G132" s="29">
        <v>2.1181999999999999E-2</v>
      </c>
      <c r="H132">
        <v>1141365.8500000001</v>
      </c>
      <c r="I132">
        <v>498374.76</v>
      </c>
      <c r="J132" s="29">
        <v>0.3039</v>
      </c>
      <c r="K132">
        <v>7.37</v>
      </c>
    </row>
    <row r="133" spans="1:11" x14ac:dyDescent="0.3">
      <c r="A133" t="s">
        <v>193</v>
      </c>
      <c r="B133" s="25">
        <v>45991</v>
      </c>
      <c r="C133">
        <v>534007</v>
      </c>
      <c r="D133" t="s">
        <v>323</v>
      </c>
      <c r="E133" t="s">
        <v>342</v>
      </c>
      <c r="F133">
        <v>199117.29</v>
      </c>
      <c r="G133" s="29">
        <v>2.3521999999999998E-2</v>
      </c>
      <c r="H133">
        <v>1443607.22</v>
      </c>
      <c r="I133">
        <v>630347.75</v>
      </c>
      <c r="J133" s="29">
        <v>0.3039</v>
      </c>
      <c r="K133">
        <v>7.33</v>
      </c>
    </row>
    <row r="134" spans="1:11" x14ac:dyDescent="0.3">
      <c r="A134" t="s">
        <v>193</v>
      </c>
      <c r="B134" s="25">
        <v>45657</v>
      </c>
      <c r="C134">
        <v>318883</v>
      </c>
      <c r="D134" t="s">
        <v>316</v>
      </c>
      <c r="E134" t="s">
        <v>362</v>
      </c>
      <c r="F134">
        <v>5047.51</v>
      </c>
      <c r="G134" s="29">
        <v>6.2100000000000002E-4</v>
      </c>
      <c r="H134">
        <v>35877.5</v>
      </c>
      <c r="I134">
        <v>17763.490000000002</v>
      </c>
      <c r="J134" s="29">
        <v>0.33119999999999999</v>
      </c>
      <c r="K134">
        <v>7.36</v>
      </c>
    </row>
    <row r="135" spans="1:11" x14ac:dyDescent="0.3">
      <c r="A135" t="s">
        <v>193</v>
      </c>
      <c r="B135" s="25">
        <v>45688</v>
      </c>
      <c r="C135">
        <v>318883</v>
      </c>
      <c r="D135" t="s">
        <v>316</v>
      </c>
      <c r="E135" t="s">
        <v>362</v>
      </c>
      <c r="F135">
        <v>4367.66</v>
      </c>
      <c r="G135" s="29">
        <v>5.6899999999999995E-4</v>
      </c>
      <c r="H135">
        <v>31045.15</v>
      </c>
      <c r="I135">
        <v>15370.92</v>
      </c>
      <c r="J135" s="29">
        <v>0.33119999999999999</v>
      </c>
      <c r="K135">
        <v>7.68</v>
      </c>
    </row>
    <row r="136" spans="1:11" x14ac:dyDescent="0.3">
      <c r="A136" t="s">
        <v>193</v>
      </c>
      <c r="B136" s="25">
        <v>45716</v>
      </c>
      <c r="C136">
        <v>318883</v>
      </c>
      <c r="D136" t="s">
        <v>316</v>
      </c>
      <c r="E136" t="s">
        <v>362</v>
      </c>
      <c r="F136">
        <v>4946.3500000000004</v>
      </c>
      <c r="G136" s="29">
        <v>6.7900000000000002E-4</v>
      </c>
      <c r="H136">
        <v>35158.400000000001</v>
      </c>
      <c r="I136">
        <v>17407.45</v>
      </c>
      <c r="J136" s="29">
        <v>0.33119999999999999</v>
      </c>
      <c r="K136">
        <v>7.43</v>
      </c>
    </row>
    <row r="137" spans="1:11" x14ac:dyDescent="0.3">
      <c r="A137" t="s">
        <v>193</v>
      </c>
      <c r="B137" s="25">
        <v>45747</v>
      </c>
      <c r="C137">
        <v>318883</v>
      </c>
      <c r="D137" t="s">
        <v>316</v>
      </c>
      <c r="E137" t="s">
        <v>362</v>
      </c>
      <c r="F137">
        <v>4649.2700000000004</v>
      </c>
      <c r="G137" s="29">
        <v>6.2199999999999994E-4</v>
      </c>
      <c r="H137">
        <v>33046.79</v>
      </c>
      <c r="I137">
        <v>16361.96</v>
      </c>
      <c r="J137" s="29">
        <v>0.33119999999999999</v>
      </c>
      <c r="K137">
        <v>7.67</v>
      </c>
    </row>
    <row r="138" spans="1:11" x14ac:dyDescent="0.3">
      <c r="A138" t="s">
        <v>193</v>
      </c>
      <c r="B138" s="25">
        <v>45777</v>
      </c>
      <c r="C138">
        <v>318883</v>
      </c>
      <c r="D138" t="s">
        <v>316</v>
      </c>
      <c r="E138" t="s">
        <v>362</v>
      </c>
      <c r="F138">
        <v>4362.38</v>
      </c>
      <c r="G138" s="29">
        <v>5.6300000000000002E-4</v>
      </c>
      <c r="H138">
        <v>31007.61</v>
      </c>
      <c r="I138">
        <v>15352.33</v>
      </c>
      <c r="J138" s="29">
        <v>0.33119999999999999</v>
      </c>
      <c r="K138">
        <v>7.08</v>
      </c>
    </row>
    <row r="139" spans="1:11" x14ac:dyDescent="0.3">
      <c r="A139" t="s">
        <v>193</v>
      </c>
      <c r="B139" s="25">
        <v>45808</v>
      </c>
      <c r="C139">
        <v>318883</v>
      </c>
      <c r="D139" t="s">
        <v>316</v>
      </c>
      <c r="E139" t="s">
        <v>362</v>
      </c>
      <c r="F139">
        <v>4854.62</v>
      </c>
      <c r="G139" s="29">
        <v>6.5799999999999995E-4</v>
      </c>
      <c r="H139">
        <v>34506.410000000003</v>
      </c>
      <c r="I139">
        <v>17084.64</v>
      </c>
      <c r="J139" s="29">
        <v>0.33119999999999999</v>
      </c>
      <c r="K139">
        <v>7.31</v>
      </c>
    </row>
    <row r="140" spans="1:11" x14ac:dyDescent="0.3">
      <c r="A140" t="s">
        <v>193</v>
      </c>
      <c r="B140" s="25">
        <v>45838</v>
      </c>
      <c r="C140">
        <v>318883</v>
      </c>
      <c r="D140" t="s">
        <v>316</v>
      </c>
      <c r="E140" t="s">
        <v>362</v>
      </c>
      <c r="F140">
        <v>5308.23</v>
      </c>
      <c r="G140" s="29">
        <v>6.5299999999999993E-4</v>
      </c>
      <c r="H140">
        <v>37730.660000000003</v>
      </c>
      <c r="I140">
        <v>18681.009999999998</v>
      </c>
      <c r="J140" s="29">
        <v>0.33119999999999999</v>
      </c>
      <c r="K140">
        <v>6.86</v>
      </c>
    </row>
    <row r="141" spans="1:11" x14ac:dyDescent="0.3">
      <c r="A141" t="s">
        <v>193</v>
      </c>
      <c r="B141" s="25">
        <v>45869</v>
      </c>
      <c r="C141">
        <v>318883</v>
      </c>
      <c r="D141" t="s">
        <v>316</v>
      </c>
      <c r="E141" t="s">
        <v>362</v>
      </c>
      <c r="F141">
        <v>5099.0200000000004</v>
      </c>
      <c r="G141" s="29">
        <v>6.8500000000000006E-4</v>
      </c>
      <c r="H141">
        <v>36243.599999999999</v>
      </c>
      <c r="I141">
        <v>17944.75</v>
      </c>
      <c r="J141" s="29">
        <v>0.33119999999999999</v>
      </c>
      <c r="K141">
        <v>7.01</v>
      </c>
    </row>
    <row r="142" spans="1:11" x14ac:dyDescent="0.3">
      <c r="A142" t="s">
        <v>193</v>
      </c>
      <c r="B142" s="25">
        <v>45900</v>
      </c>
      <c r="C142">
        <v>318883</v>
      </c>
      <c r="D142" t="s">
        <v>316</v>
      </c>
      <c r="E142" t="s">
        <v>362</v>
      </c>
      <c r="F142">
        <v>4575.71</v>
      </c>
      <c r="G142" s="29">
        <v>6.2700000000000006E-4</v>
      </c>
      <c r="H142">
        <v>32523.94</v>
      </c>
      <c r="I142">
        <v>16103.09</v>
      </c>
      <c r="J142" s="29">
        <v>0.33119999999999999</v>
      </c>
      <c r="K142">
        <v>7.04</v>
      </c>
    </row>
    <row r="143" spans="1:11" x14ac:dyDescent="0.3">
      <c r="A143" t="s">
        <v>193</v>
      </c>
      <c r="B143" s="25">
        <v>45930</v>
      </c>
      <c r="C143">
        <v>318883</v>
      </c>
      <c r="D143" t="s">
        <v>316</v>
      </c>
      <c r="E143" t="s">
        <v>362</v>
      </c>
      <c r="F143">
        <v>5690.95</v>
      </c>
      <c r="G143" s="29">
        <v>7.8700000000000005E-4</v>
      </c>
      <c r="H143">
        <v>40450.980000000003</v>
      </c>
      <c r="I143">
        <v>20027.88</v>
      </c>
      <c r="J143" s="29">
        <v>0.33119999999999999</v>
      </c>
      <c r="K143">
        <v>6.91</v>
      </c>
    </row>
    <row r="144" spans="1:11" x14ac:dyDescent="0.3">
      <c r="A144" t="s">
        <v>193</v>
      </c>
      <c r="B144" s="25">
        <v>45961</v>
      </c>
      <c r="C144">
        <v>318883</v>
      </c>
      <c r="D144" t="s">
        <v>316</v>
      </c>
      <c r="E144" t="s">
        <v>362</v>
      </c>
      <c r="F144">
        <v>4921.42</v>
      </c>
      <c r="G144" s="29">
        <v>6.6199999999999994E-4</v>
      </c>
      <c r="H144">
        <v>34981.21</v>
      </c>
      <c r="I144">
        <v>17319.72</v>
      </c>
      <c r="J144" s="29">
        <v>0.33119999999999999</v>
      </c>
      <c r="K144">
        <v>7.94</v>
      </c>
    </row>
    <row r="145" spans="1:11" x14ac:dyDescent="0.3">
      <c r="A145" t="s">
        <v>193</v>
      </c>
      <c r="B145" s="25">
        <v>45991</v>
      </c>
      <c r="C145">
        <v>318883</v>
      </c>
      <c r="D145" t="s">
        <v>316</v>
      </c>
      <c r="E145" t="s">
        <v>362</v>
      </c>
      <c r="F145">
        <v>5009.0200000000004</v>
      </c>
      <c r="G145" s="29">
        <v>5.9200000000000008E-4</v>
      </c>
      <c r="H145">
        <v>35603.89</v>
      </c>
      <c r="I145">
        <v>17628.02</v>
      </c>
      <c r="J145" s="29">
        <v>0.33119999999999999</v>
      </c>
      <c r="K145">
        <v>7.59</v>
      </c>
    </row>
    <row r="146" spans="1:11" x14ac:dyDescent="0.3">
      <c r="A146" t="s">
        <v>193</v>
      </c>
      <c r="B146" s="25">
        <v>45657</v>
      </c>
      <c r="C146">
        <v>290490</v>
      </c>
      <c r="D146" t="s">
        <v>324</v>
      </c>
      <c r="E146" t="s">
        <v>352</v>
      </c>
      <c r="F146">
        <v>131398.46</v>
      </c>
      <c r="G146" s="29">
        <v>1.6167000000000001E-2</v>
      </c>
      <c r="H146">
        <v>970235.58</v>
      </c>
      <c r="I146">
        <v>498761.73</v>
      </c>
      <c r="J146" s="29">
        <v>0.33950000000000002</v>
      </c>
      <c r="K146">
        <v>7.36</v>
      </c>
    </row>
    <row r="147" spans="1:11" x14ac:dyDescent="0.3">
      <c r="A147" t="s">
        <v>193</v>
      </c>
      <c r="B147" s="25">
        <v>45688</v>
      </c>
      <c r="C147">
        <v>290490</v>
      </c>
      <c r="D147" t="s">
        <v>324</v>
      </c>
      <c r="E147" t="s">
        <v>352</v>
      </c>
      <c r="F147">
        <v>120549.63</v>
      </c>
      <c r="G147" s="29">
        <v>1.5715E-2</v>
      </c>
      <c r="H147">
        <v>890128.71</v>
      </c>
      <c r="I147">
        <v>457581.79</v>
      </c>
      <c r="J147" s="29">
        <v>0.33950000000000002</v>
      </c>
      <c r="K147">
        <v>7.06</v>
      </c>
    </row>
    <row r="148" spans="1:11" x14ac:dyDescent="0.3">
      <c r="A148" t="s">
        <v>193</v>
      </c>
      <c r="B148" s="25">
        <v>45716</v>
      </c>
      <c r="C148">
        <v>290490</v>
      </c>
      <c r="D148" t="s">
        <v>324</v>
      </c>
      <c r="E148" t="s">
        <v>352</v>
      </c>
      <c r="F148">
        <v>130897.82</v>
      </c>
      <c r="G148" s="29">
        <v>1.7957000000000001E-2</v>
      </c>
      <c r="H148">
        <v>966538.85</v>
      </c>
      <c r="I148">
        <v>496861.38</v>
      </c>
      <c r="J148" s="29">
        <v>0.33950000000000002</v>
      </c>
      <c r="K148">
        <v>6.82</v>
      </c>
    </row>
    <row r="149" spans="1:11" x14ac:dyDescent="0.3">
      <c r="A149" t="s">
        <v>193</v>
      </c>
      <c r="B149" s="25">
        <v>45747</v>
      </c>
      <c r="C149">
        <v>290490</v>
      </c>
      <c r="D149" t="s">
        <v>324</v>
      </c>
      <c r="E149" t="s">
        <v>352</v>
      </c>
      <c r="F149">
        <v>123753.7</v>
      </c>
      <c r="G149" s="29">
        <v>1.6545000000000001E-2</v>
      </c>
      <c r="H149">
        <v>913787.29</v>
      </c>
      <c r="I149">
        <v>469743.78</v>
      </c>
      <c r="J149" s="29">
        <v>0.33950000000000002</v>
      </c>
      <c r="K149">
        <v>7.1</v>
      </c>
    </row>
    <row r="150" spans="1:11" x14ac:dyDescent="0.3">
      <c r="A150" t="s">
        <v>193</v>
      </c>
      <c r="B150" s="25">
        <v>45777</v>
      </c>
      <c r="C150">
        <v>290490</v>
      </c>
      <c r="D150" t="s">
        <v>324</v>
      </c>
      <c r="E150" t="s">
        <v>352</v>
      </c>
      <c r="F150">
        <v>133064.85</v>
      </c>
      <c r="G150" s="29">
        <v>1.7166999999999998E-2</v>
      </c>
      <c r="H150">
        <v>982540.08</v>
      </c>
      <c r="I150">
        <v>505087.01</v>
      </c>
      <c r="J150" s="29">
        <v>0.33950000000000002</v>
      </c>
      <c r="K150">
        <v>6.78</v>
      </c>
    </row>
    <row r="151" spans="1:11" x14ac:dyDescent="0.3">
      <c r="A151" t="s">
        <v>193</v>
      </c>
      <c r="B151" s="25">
        <v>45808</v>
      </c>
      <c r="C151">
        <v>290490</v>
      </c>
      <c r="D151" t="s">
        <v>324</v>
      </c>
      <c r="E151" t="s">
        <v>352</v>
      </c>
      <c r="F151">
        <v>133222.01</v>
      </c>
      <c r="G151" s="29">
        <v>1.8053E-2</v>
      </c>
      <c r="H151">
        <v>983700.47999999998</v>
      </c>
      <c r="I151">
        <v>505683.53</v>
      </c>
      <c r="J151" s="29">
        <v>0.33950000000000002</v>
      </c>
      <c r="K151">
        <v>7.17</v>
      </c>
    </row>
    <row r="152" spans="1:11" x14ac:dyDescent="0.3">
      <c r="A152" t="s">
        <v>193</v>
      </c>
      <c r="B152" s="25">
        <v>45838</v>
      </c>
      <c r="C152">
        <v>290490</v>
      </c>
      <c r="D152" t="s">
        <v>324</v>
      </c>
      <c r="E152" t="s">
        <v>352</v>
      </c>
      <c r="F152">
        <v>141603.43</v>
      </c>
      <c r="G152" s="29">
        <v>1.7426000000000001E-2</v>
      </c>
      <c r="H152">
        <v>1045588.25</v>
      </c>
      <c r="I152">
        <v>537497.71</v>
      </c>
      <c r="J152" s="29">
        <v>0.33950000000000002</v>
      </c>
      <c r="K152">
        <v>6.97</v>
      </c>
    </row>
    <row r="153" spans="1:11" x14ac:dyDescent="0.3">
      <c r="A153" t="s">
        <v>193</v>
      </c>
      <c r="B153" s="25">
        <v>45869</v>
      </c>
      <c r="C153">
        <v>290490</v>
      </c>
      <c r="D153" t="s">
        <v>324</v>
      </c>
      <c r="E153" t="s">
        <v>352</v>
      </c>
      <c r="F153">
        <v>136956.79999999999</v>
      </c>
      <c r="G153" s="29">
        <v>1.8411E-2</v>
      </c>
      <c r="H153">
        <v>1011277.93</v>
      </c>
      <c r="I153">
        <v>519860.07</v>
      </c>
      <c r="J153" s="29">
        <v>0.33950000000000002</v>
      </c>
      <c r="K153">
        <v>7.01</v>
      </c>
    </row>
    <row r="154" spans="1:11" x14ac:dyDescent="0.3">
      <c r="A154" t="s">
        <v>193</v>
      </c>
      <c r="B154" s="25">
        <v>45900</v>
      </c>
      <c r="C154">
        <v>290490</v>
      </c>
      <c r="D154" t="s">
        <v>324</v>
      </c>
      <c r="E154" t="s">
        <v>352</v>
      </c>
      <c r="F154">
        <v>118921.12</v>
      </c>
      <c r="G154" s="29">
        <v>1.6301E-2</v>
      </c>
      <c r="H154">
        <v>878103.91</v>
      </c>
      <c r="I154">
        <v>451400.29</v>
      </c>
      <c r="J154" s="29">
        <v>0.33950000000000002</v>
      </c>
      <c r="K154">
        <v>6.51</v>
      </c>
    </row>
    <row r="155" spans="1:11" x14ac:dyDescent="0.3">
      <c r="A155" t="s">
        <v>193</v>
      </c>
      <c r="B155" s="25">
        <v>45930</v>
      </c>
      <c r="C155">
        <v>290490</v>
      </c>
      <c r="D155" t="s">
        <v>324</v>
      </c>
      <c r="E155" t="s">
        <v>352</v>
      </c>
      <c r="F155">
        <v>107100.95</v>
      </c>
      <c r="G155" s="29">
        <v>1.4813E-2</v>
      </c>
      <c r="H155">
        <v>790824.72</v>
      </c>
      <c r="I155">
        <v>406533.34</v>
      </c>
      <c r="J155" s="29">
        <v>0.33950000000000002</v>
      </c>
      <c r="K155">
        <v>7.38</v>
      </c>
    </row>
    <row r="156" spans="1:11" x14ac:dyDescent="0.3">
      <c r="A156" t="s">
        <v>193</v>
      </c>
      <c r="B156" s="25">
        <v>45961</v>
      </c>
      <c r="C156">
        <v>290490</v>
      </c>
      <c r="D156" t="s">
        <v>324</v>
      </c>
      <c r="E156" t="s">
        <v>352</v>
      </c>
      <c r="F156">
        <v>119665.34</v>
      </c>
      <c r="G156" s="29">
        <v>1.6101000000000001E-2</v>
      </c>
      <c r="H156">
        <v>883599.16</v>
      </c>
      <c r="I156">
        <v>454225.19</v>
      </c>
      <c r="J156" s="29">
        <v>0.33950000000000002</v>
      </c>
      <c r="K156">
        <v>7.01</v>
      </c>
    </row>
    <row r="157" spans="1:11" x14ac:dyDescent="0.3">
      <c r="A157" t="s">
        <v>193</v>
      </c>
      <c r="B157" s="25">
        <v>45991</v>
      </c>
      <c r="C157">
        <v>290490</v>
      </c>
      <c r="D157" t="s">
        <v>324</v>
      </c>
      <c r="E157" t="s">
        <v>352</v>
      </c>
      <c r="F157">
        <v>120588.31</v>
      </c>
      <c r="G157" s="29">
        <v>1.4245000000000001E-2</v>
      </c>
      <c r="H157">
        <v>890414.32</v>
      </c>
      <c r="I157">
        <v>457728.61</v>
      </c>
      <c r="J157" s="29">
        <v>0.33950000000000002</v>
      </c>
      <c r="K157">
        <v>6.64</v>
      </c>
    </row>
    <row r="158" spans="1:11" x14ac:dyDescent="0.3">
      <c r="A158" t="s">
        <v>193</v>
      </c>
      <c r="B158" s="25">
        <v>45657</v>
      </c>
      <c r="C158">
        <v>300440</v>
      </c>
      <c r="D158" t="s">
        <v>324</v>
      </c>
      <c r="E158" t="s">
        <v>339</v>
      </c>
      <c r="F158">
        <v>9206.1299999999992</v>
      </c>
      <c r="G158" s="29">
        <v>1.1329999999999999E-3</v>
      </c>
      <c r="H158">
        <v>69393.64</v>
      </c>
      <c r="I158">
        <v>30698.54</v>
      </c>
      <c r="J158" s="29">
        <v>0.30669999999999997</v>
      </c>
      <c r="K158">
        <v>6.36</v>
      </c>
    </row>
    <row r="159" spans="1:11" x14ac:dyDescent="0.3">
      <c r="A159" t="s">
        <v>193</v>
      </c>
      <c r="B159" s="25">
        <v>45688</v>
      </c>
      <c r="C159">
        <v>300440</v>
      </c>
      <c r="D159" t="s">
        <v>324</v>
      </c>
      <c r="E159" t="s">
        <v>339</v>
      </c>
      <c r="F159">
        <v>10440.42</v>
      </c>
      <c r="G159" s="29">
        <v>1.361E-3</v>
      </c>
      <c r="H159">
        <v>78697.440000000002</v>
      </c>
      <c r="I159">
        <v>34814.379999999997</v>
      </c>
      <c r="J159" s="29">
        <v>0.30669999999999997</v>
      </c>
      <c r="K159">
        <v>6.93</v>
      </c>
    </row>
    <row r="160" spans="1:11" x14ac:dyDescent="0.3">
      <c r="A160" t="s">
        <v>193</v>
      </c>
      <c r="B160" s="25">
        <v>45716</v>
      </c>
      <c r="C160">
        <v>300440</v>
      </c>
      <c r="D160" t="s">
        <v>324</v>
      </c>
      <c r="E160" t="s">
        <v>339</v>
      </c>
      <c r="F160">
        <v>9925.4699999999993</v>
      </c>
      <c r="G160" s="29">
        <v>1.3619999999999999E-3</v>
      </c>
      <c r="H160">
        <v>74815.87</v>
      </c>
      <c r="I160">
        <v>33097.24</v>
      </c>
      <c r="J160" s="29">
        <v>0.30669999999999997</v>
      </c>
      <c r="K160">
        <v>6.83</v>
      </c>
    </row>
    <row r="161" spans="1:11" x14ac:dyDescent="0.3">
      <c r="A161" t="s">
        <v>193</v>
      </c>
      <c r="B161" s="25">
        <v>45747</v>
      </c>
      <c r="C161">
        <v>300440</v>
      </c>
      <c r="D161" t="s">
        <v>324</v>
      </c>
      <c r="E161" t="s">
        <v>339</v>
      </c>
      <c r="F161">
        <v>10919.15</v>
      </c>
      <c r="G161" s="29">
        <v>1.4599999999999999E-3</v>
      </c>
      <c r="H161">
        <v>82305.97</v>
      </c>
      <c r="I161">
        <v>36410.730000000003</v>
      </c>
      <c r="J161" s="29">
        <v>0.30669999999999997</v>
      </c>
      <c r="K161">
        <v>7.49</v>
      </c>
    </row>
    <row r="162" spans="1:11" x14ac:dyDescent="0.3">
      <c r="A162" t="s">
        <v>193</v>
      </c>
      <c r="B162" s="25">
        <v>45777</v>
      </c>
      <c r="C162">
        <v>300440</v>
      </c>
      <c r="D162" t="s">
        <v>324</v>
      </c>
      <c r="E162" t="s">
        <v>339</v>
      </c>
      <c r="F162">
        <v>10564.02</v>
      </c>
      <c r="G162" s="29">
        <v>1.3630000000000001E-3</v>
      </c>
      <c r="H162">
        <v>79629.09</v>
      </c>
      <c r="I162">
        <v>35226.53</v>
      </c>
      <c r="J162" s="29">
        <v>0.30669999999999997</v>
      </c>
      <c r="K162">
        <v>6.88</v>
      </c>
    </row>
    <row r="163" spans="1:11" x14ac:dyDescent="0.3">
      <c r="A163" t="s">
        <v>193</v>
      </c>
      <c r="B163" s="25">
        <v>45808</v>
      </c>
      <c r="C163">
        <v>300440</v>
      </c>
      <c r="D163" t="s">
        <v>324</v>
      </c>
      <c r="E163" t="s">
        <v>339</v>
      </c>
      <c r="F163">
        <v>10018.219999999999</v>
      </c>
      <c r="G163" s="29">
        <v>1.358E-3</v>
      </c>
      <c r="H163">
        <v>75515</v>
      </c>
      <c r="I163">
        <v>33406.519999999997</v>
      </c>
      <c r="J163" s="29">
        <v>0.30669999999999997</v>
      </c>
      <c r="K163">
        <v>7.38</v>
      </c>
    </row>
    <row r="164" spans="1:11" x14ac:dyDescent="0.3">
      <c r="A164" t="s">
        <v>193</v>
      </c>
      <c r="B164" s="25">
        <v>45838</v>
      </c>
      <c r="C164">
        <v>300440</v>
      </c>
      <c r="D164" t="s">
        <v>324</v>
      </c>
      <c r="E164" t="s">
        <v>339</v>
      </c>
      <c r="F164">
        <v>10526.9</v>
      </c>
      <c r="G164" s="29">
        <v>1.2950000000000001E-3</v>
      </c>
      <c r="H164">
        <v>79349.3</v>
      </c>
      <c r="I164">
        <v>35102.75</v>
      </c>
      <c r="J164" s="29">
        <v>0.30669999999999997</v>
      </c>
      <c r="K164">
        <v>6.81</v>
      </c>
    </row>
    <row r="165" spans="1:11" x14ac:dyDescent="0.3">
      <c r="A165" t="s">
        <v>193</v>
      </c>
      <c r="B165" s="25">
        <v>45869</v>
      </c>
      <c r="C165">
        <v>300440</v>
      </c>
      <c r="D165" t="s">
        <v>324</v>
      </c>
      <c r="E165" t="s">
        <v>339</v>
      </c>
      <c r="F165">
        <v>12842.11</v>
      </c>
      <c r="G165" s="29">
        <v>1.7260000000000001E-3</v>
      </c>
      <c r="H165">
        <v>96800.84</v>
      </c>
      <c r="I165">
        <v>42823.01</v>
      </c>
      <c r="J165" s="29">
        <v>0.30669999999999997</v>
      </c>
      <c r="K165">
        <v>6.8</v>
      </c>
    </row>
    <row r="166" spans="1:11" x14ac:dyDescent="0.3">
      <c r="A166" t="s">
        <v>193</v>
      </c>
      <c r="B166" s="25">
        <v>45900</v>
      </c>
      <c r="C166">
        <v>300440</v>
      </c>
      <c r="D166" t="s">
        <v>324</v>
      </c>
      <c r="E166" t="s">
        <v>339</v>
      </c>
      <c r="F166">
        <v>9209.94</v>
      </c>
      <c r="G166" s="29">
        <v>1.2620000000000001E-3</v>
      </c>
      <c r="H166">
        <v>69422.39</v>
      </c>
      <c r="I166">
        <v>30711.26</v>
      </c>
      <c r="J166" s="29">
        <v>0.30669999999999997</v>
      </c>
      <c r="K166">
        <v>7.06</v>
      </c>
    </row>
    <row r="167" spans="1:11" x14ac:dyDescent="0.3">
      <c r="A167" t="s">
        <v>193</v>
      </c>
      <c r="B167" s="25">
        <v>45930</v>
      </c>
      <c r="C167">
        <v>300440</v>
      </c>
      <c r="D167" t="s">
        <v>324</v>
      </c>
      <c r="E167" t="s">
        <v>339</v>
      </c>
      <c r="F167">
        <v>10816.94</v>
      </c>
      <c r="G167" s="29">
        <v>1.4960000000000002E-3</v>
      </c>
      <c r="H167">
        <v>81535.55</v>
      </c>
      <c r="I167">
        <v>36069.919999999998</v>
      </c>
      <c r="J167" s="29">
        <v>0.30669999999999997</v>
      </c>
      <c r="K167">
        <v>7.26</v>
      </c>
    </row>
    <row r="168" spans="1:11" x14ac:dyDescent="0.3">
      <c r="A168" t="s">
        <v>193</v>
      </c>
      <c r="B168" s="25">
        <v>45961</v>
      </c>
      <c r="C168">
        <v>300440</v>
      </c>
      <c r="D168" t="s">
        <v>324</v>
      </c>
      <c r="E168" t="s">
        <v>339</v>
      </c>
      <c r="F168">
        <v>10077.39</v>
      </c>
      <c r="G168" s="29">
        <v>1.356E-3</v>
      </c>
      <c r="H168">
        <v>75960.98</v>
      </c>
      <c r="I168">
        <v>33603.82</v>
      </c>
      <c r="J168" s="29">
        <v>0.30669999999999997</v>
      </c>
      <c r="K168">
        <v>7.1</v>
      </c>
    </row>
    <row r="169" spans="1:11" x14ac:dyDescent="0.3">
      <c r="A169" t="s">
        <v>193</v>
      </c>
      <c r="B169" s="25">
        <v>45991</v>
      </c>
      <c r="C169">
        <v>300440</v>
      </c>
      <c r="D169" t="s">
        <v>324</v>
      </c>
      <c r="E169" t="s">
        <v>339</v>
      </c>
      <c r="F169">
        <v>10433.25</v>
      </c>
      <c r="G169" s="29">
        <v>1.232E-3</v>
      </c>
      <c r="H169">
        <v>78643.42</v>
      </c>
      <c r="I169">
        <v>34790.49</v>
      </c>
      <c r="J169" s="29">
        <v>0.30669999999999997</v>
      </c>
      <c r="K169">
        <v>6.88</v>
      </c>
    </row>
    <row r="170" spans="1:11" x14ac:dyDescent="0.3">
      <c r="A170" t="s">
        <v>193</v>
      </c>
      <c r="B170" s="25">
        <v>45657</v>
      </c>
      <c r="C170">
        <v>267184</v>
      </c>
      <c r="D170" t="s">
        <v>323</v>
      </c>
      <c r="E170" t="s">
        <v>350</v>
      </c>
      <c r="F170">
        <v>222217.89</v>
      </c>
      <c r="G170" s="29">
        <v>2.7341000000000001E-2</v>
      </c>
      <c r="H170">
        <v>1658287.72</v>
      </c>
      <c r="I170">
        <v>803145.74</v>
      </c>
      <c r="J170" s="29">
        <v>0.32629999999999998</v>
      </c>
      <c r="K170">
        <v>6.98</v>
      </c>
    </row>
    <row r="171" spans="1:11" x14ac:dyDescent="0.3">
      <c r="A171" t="s">
        <v>193</v>
      </c>
      <c r="B171" s="25">
        <v>45688</v>
      </c>
      <c r="C171">
        <v>267184</v>
      </c>
      <c r="D171" t="s">
        <v>323</v>
      </c>
      <c r="E171" t="s">
        <v>350</v>
      </c>
      <c r="F171">
        <v>230232.26</v>
      </c>
      <c r="G171" s="29">
        <v>3.0013000000000001E-2</v>
      </c>
      <c r="H171">
        <v>1718094.47</v>
      </c>
      <c r="I171">
        <v>832111.49</v>
      </c>
      <c r="J171" s="29">
        <v>0.32629999999999998</v>
      </c>
      <c r="K171">
        <v>7.88</v>
      </c>
    </row>
    <row r="172" spans="1:11" x14ac:dyDescent="0.3">
      <c r="A172" t="s">
        <v>193</v>
      </c>
      <c r="B172" s="25">
        <v>45716</v>
      </c>
      <c r="C172">
        <v>267184</v>
      </c>
      <c r="D172" t="s">
        <v>323</v>
      </c>
      <c r="E172" t="s">
        <v>350</v>
      </c>
      <c r="F172">
        <v>213380.25</v>
      </c>
      <c r="G172" s="29">
        <v>2.9271999999999999E-2</v>
      </c>
      <c r="H172">
        <v>1592337.37</v>
      </c>
      <c r="I172">
        <v>771204.52</v>
      </c>
      <c r="J172" s="29">
        <v>0.32629999999999998</v>
      </c>
      <c r="K172">
        <v>6.95</v>
      </c>
    </row>
    <row r="173" spans="1:11" x14ac:dyDescent="0.3">
      <c r="A173" t="s">
        <v>193</v>
      </c>
      <c r="B173" s="25">
        <v>45747</v>
      </c>
      <c r="C173">
        <v>267184</v>
      </c>
      <c r="D173" t="s">
        <v>323</v>
      </c>
      <c r="E173" t="s">
        <v>350</v>
      </c>
      <c r="F173">
        <v>206067.16</v>
      </c>
      <c r="G173" s="29">
        <v>2.7549000000000001E-2</v>
      </c>
      <c r="H173">
        <v>1537763.82</v>
      </c>
      <c r="I173">
        <v>744773.33</v>
      </c>
      <c r="J173" s="29">
        <v>0.32629999999999998</v>
      </c>
      <c r="K173">
        <v>6.6</v>
      </c>
    </row>
    <row r="174" spans="1:11" x14ac:dyDescent="0.3">
      <c r="A174" t="s">
        <v>193</v>
      </c>
      <c r="B174" s="25">
        <v>45777</v>
      </c>
      <c r="C174">
        <v>267184</v>
      </c>
      <c r="D174" t="s">
        <v>323</v>
      </c>
      <c r="E174" t="s">
        <v>350</v>
      </c>
      <c r="F174">
        <v>223605.42</v>
      </c>
      <c r="G174" s="29">
        <v>2.8847000000000001E-2</v>
      </c>
      <c r="H174">
        <v>1668642.05</v>
      </c>
      <c r="I174">
        <v>808160.58</v>
      </c>
      <c r="J174" s="29">
        <v>0.32629999999999998</v>
      </c>
      <c r="K174">
        <v>6.47</v>
      </c>
    </row>
    <row r="175" spans="1:11" x14ac:dyDescent="0.3">
      <c r="A175" t="s">
        <v>193</v>
      </c>
      <c r="B175" s="25">
        <v>45808</v>
      </c>
      <c r="C175">
        <v>267184</v>
      </c>
      <c r="D175" t="s">
        <v>323</v>
      </c>
      <c r="E175" t="s">
        <v>350</v>
      </c>
      <c r="F175">
        <v>216216.76</v>
      </c>
      <c r="G175" s="29">
        <v>2.9300000000000003E-2</v>
      </c>
      <c r="H175">
        <v>1613504.64</v>
      </c>
      <c r="I175">
        <v>781456.3</v>
      </c>
      <c r="J175" s="29">
        <v>0.32629999999999998</v>
      </c>
      <c r="K175">
        <v>6.69</v>
      </c>
    </row>
    <row r="176" spans="1:11" x14ac:dyDescent="0.3">
      <c r="A176" t="s">
        <v>193</v>
      </c>
      <c r="B176" s="25">
        <v>45838</v>
      </c>
      <c r="C176">
        <v>267184</v>
      </c>
      <c r="D176" t="s">
        <v>323</v>
      </c>
      <c r="E176" t="s">
        <v>350</v>
      </c>
      <c r="F176">
        <v>205447.77</v>
      </c>
      <c r="G176" s="29">
        <v>2.5284000000000001E-2</v>
      </c>
      <c r="H176">
        <v>1533141.68</v>
      </c>
      <c r="I176">
        <v>742534.72</v>
      </c>
      <c r="J176" s="29">
        <v>0.32629999999999998</v>
      </c>
      <c r="K176">
        <v>6.97</v>
      </c>
    </row>
    <row r="177" spans="1:11" x14ac:dyDescent="0.3">
      <c r="A177" t="s">
        <v>193</v>
      </c>
      <c r="B177" s="25">
        <v>45869</v>
      </c>
      <c r="C177">
        <v>267184</v>
      </c>
      <c r="D177" t="s">
        <v>323</v>
      </c>
      <c r="E177" t="s">
        <v>350</v>
      </c>
      <c r="F177">
        <v>234019.59</v>
      </c>
      <c r="G177" s="29">
        <v>3.1460000000000002E-2</v>
      </c>
      <c r="H177">
        <v>1746357.2</v>
      </c>
      <c r="I177">
        <v>845799.76</v>
      </c>
      <c r="J177" s="29">
        <v>0.32629999999999998</v>
      </c>
      <c r="K177">
        <v>6.96</v>
      </c>
    </row>
    <row r="178" spans="1:11" x14ac:dyDescent="0.3">
      <c r="A178" t="s">
        <v>193</v>
      </c>
      <c r="B178" s="25">
        <v>45900</v>
      </c>
      <c r="C178">
        <v>267184</v>
      </c>
      <c r="D178" t="s">
        <v>323</v>
      </c>
      <c r="E178" t="s">
        <v>350</v>
      </c>
      <c r="F178">
        <v>222220.48</v>
      </c>
      <c r="G178" s="29">
        <v>3.0461000000000002E-2</v>
      </c>
      <c r="H178">
        <v>1658307.05</v>
      </c>
      <c r="I178">
        <v>803155.11</v>
      </c>
      <c r="J178" s="29">
        <v>0.32629999999999998</v>
      </c>
      <c r="K178">
        <v>6.57</v>
      </c>
    </row>
    <row r="179" spans="1:11" x14ac:dyDescent="0.3">
      <c r="A179" t="s">
        <v>193</v>
      </c>
      <c r="B179" s="25">
        <v>45930</v>
      </c>
      <c r="C179">
        <v>267184</v>
      </c>
      <c r="D179" t="s">
        <v>323</v>
      </c>
      <c r="E179" t="s">
        <v>350</v>
      </c>
      <c r="F179">
        <v>239704.64</v>
      </c>
      <c r="G179" s="29">
        <v>3.3153999999999996E-2</v>
      </c>
      <c r="H179">
        <v>1788781.56</v>
      </c>
      <c r="I179">
        <v>866346.82</v>
      </c>
      <c r="J179" s="29">
        <v>0.32629999999999998</v>
      </c>
      <c r="K179">
        <v>7.18</v>
      </c>
    </row>
    <row r="180" spans="1:11" x14ac:dyDescent="0.3">
      <c r="A180" t="s">
        <v>193</v>
      </c>
      <c r="B180" s="25">
        <v>45961</v>
      </c>
      <c r="C180">
        <v>267184</v>
      </c>
      <c r="D180" t="s">
        <v>323</v>
      </c>
      <c r="E180" t="s">
        <v>350</v>
      </c>
      <c r="F180">
        <v>218135.76</v>
      </c>
      <c r="G180" s="29">
        <v>2.9350000000000001E-2</v>
      </c>
      <c r="H180">
        <v>1627825.06</v>
      </c>
      <c r="I180">
        <v>788392</v>
      </c>
      <c r="J180" s="29">
        <v>0.32629999999999998</v>
      </c>
      <c r="K180">
        <v>6.8</v>
      </c>
    </row>
    <row r="181" spans="1:11" x14ac:dyDescent="0.3">
      <c r="A181" t="s">
        <v>193</v>
      </c>
      <c r="B181" s="25">
        <v>45991</v>
      </c>
      <c r="C181">
        <v>267184</v>
      </c>
      <c r="D181" t="s">
        <v>323</v>
      </c>
      <c r="E181" t="s">
        <v>350</v>
      </c>
      <c r="F181">
        <v>190956.11</v>
      </c>
      <c r="G181" s="29">
        <v>2.2557999999999998E-2</v>
      </c>
      <c r="H181">
        <v>1424998.59</v>
      </c>
      <c r="I181">
        <v>690158.61</v>
      </c>
      <c r="J181" s="29">
        <v>0.32629999999999998</v>
      </c>
      <c r="K181">
        <v>7.01</v>
      </c>
    </row>
    <row r="182" spans="1:11" x14ac:dyDescent="0.3">
      <c r="A182" t="s">
        <v>193</v>
      </c>
      <c r="B182" s="25">
        <v>45657</v>
      </c>
      <c r="C182">
        <v>811633</v>
      </c>
      <c r="D182" t="s">
        <v>324</v>
      </c>
      <c r="E182" t="s">
        <v>346</v>
      </c>
      <c r="F182">
        <v>56480.49</v>
      </c>
      <c r="G182" s="29">
        <v>6.9489999999999994E-3</v>
      </c>
      <c r="H182">
        <v>424855.76</v>
      </c>
      <c r="I182">
        <v>194401.35</v>
      </c>
      <c r="J182" s="29">
        <v>0.31390000000000001</v>
      </c>
      <c r="K182">
        <v>6.71</v>
      </c>
    </row>
    <row r="183" spans="1:11" x14ac:dyDescent="0.3">
      <c r="A183" t="s">
        <v>193</v>
      </c>
      <c r="B183" s="25">
        <v>45688</v>
      </c>
      <c r="C183">
        <v>811633</v>
      </c>
      <c r="D183" t="s">
        <v>324</v>
      </c>
      <c r="E183" t="s">
        <v>346</v>
      </c>
      <c r="F183">
        <v>52576.91</v>
      </c>
      <c r="G183" s="29">
        <v>6.8539999999999998E-3</v>
      </c>
      <c r="H183">
        <v>395492.37</v>
      </c>
      <c r="I183">
        <v>180965.54</v>
      </c>
      <c r="J183" s="29">
        <v>0.31390000000000001</v>
      </c>
      <c r="K183">
        <v>6.71</v>
      </c>
    </row>
    <row r="184" spans="1:11" x14ac:dyDescent="0.3">
      <c r="A184" t="s">
        <v>193</v>
      </c>
      <c r="B184" s="25">
        <v>45716</v>
      </c>
      <c r="C184">
        <v>811633</v>
      </c>
      <c r="D184" t="s">
        <v>324</v>
      </c>
      <c r="E184" t="s">
        <v>346</v>
      </c>
      <c r="F184">
        <v>61181.13</v>
      </c>
      <c r="G184" s="29">
        <v>8.3930000000000012E-3</v>
      </c>
      <c r="H184">
        <v>460214.83</v>
      </c>
      <c r="I184">
        <v>210580.61</v>
      </c>
      <c r="J184" s="29">
        <v>0.31390000000000001</v>
      </c>
      <c r="K184">
        <v>6.38</v>
      </c>
    </row>
    <row r="185" spans="1:11" x14ac:dyDescent="0.3">
      <c r="A185" t="s">
        <v>193</v>
      </c>
      <c r="B185" s="25">
        <v>45747</v>
      </c>
      <c r="C185">
        <v>811633</v>
      </c>
      <c r="D185" t="s">
        <v>324</v>
      </c>
      <c r="E185" t="s">
        <v>346</v>
      </c>
      <c r="F185">
        <v>52237.54</v>
      </c>
      <c r="G185" s="29">
        <v>6.9840000000000006E-3</v>
      </c>
      <c r="H185">
        <v>392939.62</v>
      </c>
      <c r="I185">
        <v>179797.47</v>
      </c>
      <c r="J185" s="29">
        <v>0.31390000000000001</v>
      </c>
      <c r="K185">
        <v>7.38</v>
      </c>
    </row>
    <row r="186" spans="1:11" x14ac:dyDescent="0.3">
      <c r="A186" t="s">
        <v>193</v>
      </c>
      <c r="B186" s="25">
        <v>45777</v>
      </c>
      <c r="C186">
        <v>811633</v>
      </c>
      <c r="D186" t="s">
        <v>324</v>
      </c>
      <c r="E186" t="s">
        <v>346</v>
      </c>
      <c r="F186">
        <v>52629.27</v>
      </c>
      <c r="G186" s="29">
        <v>6.7900000000000009E-3</v>
      </c>
      <c r="H186">
        <v>395886.24</v>
      </c>
      <c r="I186">
        <v>181145.76</v>
      </c>
      <c r="J186" s="29">
        <v>0.31390000000000001</v>
      </c>
      <c r="K186">
        <v>7.15</v>
      </c>
    </row>
    <row r="187" spans="1:11" x14ac:dyDescent="0.3">
      <c r="A187" t="s">
        <v>193</v>
      </c>
      <c r="B187" s="25">
        <v>45808</v>
      </c>
      <c r="C187">
        <v>811633</v>
      </c>
      <c r="D187" t="s">
        <v>324</v>
      </c>
      <c r="E187" t="s">
        <v>346</v>
      </c>
      <c r="F187">
        <v>53679.34</v>
      </c>
      <c r="G187" s="29">
        <v>7.2740000000000001E-3</v>
      </c>
      <c r="H187">
        <v>403785.1</v>
      </c>
      <c r="I187">
        <v>184760.04</v>
      </c>
      <c r="J187" s="29">
        <v>0.31390000000000001</v>
      </c>
      <c r="K187">
        <v>7.28</v>
      </c>
    </row>
    <row r="188" spans="1:11" x14ac:dyDescent="0.3">
      <c r="A188" t="s">
        <v>193</v>
      </c>
      <c r="B188" s="25">
        <v>45838</v>
      </c>
      <c r="C188">
        <v>811633</v>
      </c>
      <c r="D188" t="s">
        <v>324</v>
      </c>
      <c r="E188" t="s">
        <v>346</v>
      </c>
      <c r="F188">
        <v>61498.879999999997</v>
      </c>
      <c r="G188" s="29">
        <v>7.5680000000000001E-3</v>
      </c>
      <c r="H188">
        <v>462604.95</v>
      </c>
      <c r="I188">
        <v>211674.26</v>
      </c>
      <c r="J188" s="29">
        <v>0.31390000000000001</v>
      </c>
      <c r="K188">
        <v>6.46</v>
      </c>
    </row>
    <row r="189" spans="1:11" x14ac:dyDescent="0.3">
      <c r="A189" t="s">
        <v>193</v>
      </c>
      <c r="B189" s="25">
        <v>45869</v>
      </c>
      <c r="C189">
        <v>811633</v>
      </c>
      <c r="D189" t="s">
        <v>324</v>
      </c>
      <c r="E189" t="s">
        <v>346</v>
      </c>
      <c r="F189">
        <v>61144.31</v>
      </c>
      <c r="G189" s="29">
        <v>8.2199999999999999E-3</v>
      </c>
      <c r="H189">
        <v>459937.83</v>
      </c>
      <c r="I189">
        <v>210453.86</v>
      </c>
      <c r="J189" s="29">
        <v>0.31390000000000001</v>
      </c>
      <c r="K189">
        <v>7.1</v>
      </c>
    </row>
    <row r="190" spans="1:11" x14ac:dyDescent="0.3">
      <c r="A190" t="s">
        <v>193</v>
      </c>
      <c r="B190" s="25">
        <v>45900</v>
      </c>
      <c r="C190">
        <v>811633</v>
      </c>
      <c r="D190" t="s">
        <v>324</v>
      </c>
      <c r="E190" t="s">
        <v>346</v>
      </c>
      <c r="F190">
        <v>54686.42</v>
      </c>
      <c r="G190" s="29">
        <v>7.4960000000000001E-3</v>
      </c>
      <c r="H190">
        <v>411360.51</v>
      </c>
      <c r="I190">
        <v>188226.33</v>
      </c>
      <c r="J190" s="29">
        <v>0.31390000000000001</v>
      </c>
      <c r="K190">
        <v>7.19</v>
      </c>
    </row>
    <row r="191" spans="1:11" x14ac:dyDescent="0.3">
      <c r="A191" t="s">
        <v>193</v>
      </c>
      <c r="B191" s="25">
        <v>45930</v>
      </c>
      <c r="C191">
        <v>811633</v>
      </c>
      <c r="D191" t="s">
        <v>324</v>
      </c>
      <c r="E191" t="s">
        <v>346</v>
      </c>
      <c r="F191">
        <v>56705.85</v>
      </c>
      <c r="G191" s="29">
        <v>7.8429999999999993E-3</v>
      </c>
      <c r="H191">
        <v>426551.02</v>
      </c>
      <c r="I191">
        <v>195177.05</v>
      </c>
      <c r="J191" s="29">
        <v>0.31390000000000001</v>
      </c>
      <c r="K191">
        <v>6.43</v>
      </c>
    </row>
    <row r="192" spans="1:11" x14ac:dyDescent="0.3">
      <c r="A192" t="s">
        <v>193</v>
      </c>
      <c r="B192" s="25">
        <v>45961</v>
      </c>
      <c r="C192">
        <v>811633</v>
      </c>
      <c r="D192" t="s">
        <v>324</v>
      </c>
      <c r="E192" t="s">
        <v>346</v>
      </c>
      <c r="F192">
        <v>52581.64</v>
      </c>
      <c r="G192" s="29">
        <v>7.0750000000000006E-3</v>
      </c>
      <c r="H192">
        <v>395528.02</v>
      </c>
      <c r="I192">
        <v>180981.85</v>
      </c>
      <c r="J192" s="29">
        <v>0.31390000000000001</v>
      </c>
      <c r="K192">
        <v>6.67</v>
      </c>
    </row>
    <row r="193" spans="1:11" x14ac:dyDescent="0.3">
      <c r="A193" t="s">
        <v>193</v>
      </c>
      <c r="B193" s="25">
        <v>45991</v>
      </c>
      <c r="C193">
        <v>811633</v>
      </c>
      <c r="D193" t="s">
        <v>324</v>
      </c>
      <c r="E193" t="s">
        <v>346</v>
      </c>
      <c r="F193">
        <v>57730.86</v>
      </c>
      <c r="G193" s="29">
        <v>6.8200000000000005E-3</v>
      </c>
      <c r="H193">
        <v>434261.32</v>
      </c>
      <c r="I193">
        <v>198705.06</v>
      </c>
      <c r="J193" s="29">
        <v>0.31390000000000001</v>
      </c>
      <c r="K193">
        <v>7.02</v>
      </c>
    </row>
    <row r="194" spans="1:11" x14ac:dyDescent="0.3">
      <c r="A194" t="s">
        <v>193</v>
      </c>
      <c r="B194" s="25">
        <v>45657</v>
      </c>
      <c r="C194">
        <v>251467</v>
      </c>
      <c r="D194" t="s">
        <v>324</v>
      </c>
      <c r="E194" t="s">
        <v>346</v>
      </c>
      <c r="F194">
        <v>180459.6</v>
      </c>
      <c r="G194" s="29">
        <v>2.2203000000000001E-2</v>
      </c>
      <c r="H194">
        <v>1320998.6000000001</v>
      </c>
      <c r="I194">
        <v>567863.11</v>
      </c>
      <c r="J194" s="29">
        <v>0.30059999999999998</v>
      </c>
      <c r="K194">
        <v>7.13</v>
      </c>
    </row>
    <row r="195" spans="1:11" x14ac:dyDescent="0.3">
      <c r="A195" t="s">
        <v>193</v>
      </c>
      <c r="B195" s="25">
        <v>45688</v>
      </c>
      <c r="C195">
        <v>251467</v>
      </c>
      <c r="D195" t="s">
        <v>324</v>
      </c>
      <c r="E195" t="s">
        <v>346</v>
      </c>
      <c r="F195">
        <v>163701.99</v>
      </c>
      <c r="G195" s="29">
        <v>2.1339999999999998E-2</v>
      </c>
      <c r="H195">
        <v>1198329.71</v>
      </c>
      <c r="I195">
        <v>515130.92</v>
      </c>
      <c r="J195" s="29">
        <v>0.30059999999999998</v>
      </c>
      <c r="K195">
        <v>6.8</v>
      </c>
    </row>
    <row r="196" spans="1:11" x14ac:dyDescent="0.3">
      <c r="A196" t="s">
        <v>193</v>
      </c>
      <c r="B196" s="25">
        <v>45716</v>
      </c>
      <c r="C196">
        <v>251467</v>
      </c>
      <c r="D196" t="s">
        <v>324</v>
      </c>
      <c r="E196" t="s">
        <v>346</v>
      </c>
      <c r="F196">
        <v>179047</v>
      </c>
      <c r="G196" s="29">
        <v>2.4562E-2</v>
      </c>
      <c r="H196">
        <v>1310658.1499999999</v>
      </c>
      <c r="I196">
        <v>563418.02</v>
      </c>
      <c r="J196" s="29">
        <v>0.30059999999999998</v>
      </c>
      <c r="K196">
        <v>7.63</v>
      </c>
    </row>
    <row r="197" spans="1:11" x14ac:dyDescent="0.3">
      <c r="A197" t="s">
        <v>193</v>
      </c>
      <c r="B197" s="25">
        <v>45747</v>
      </c>
      <c r="C197">
        <v>251467</v>
      </c>
      <c r="D197" t="s">
        <v>324</v>
      </c>
      <c r="E197" t="s">
        <v>346</v>
      </c>
      <c r="F197">
        <v>170787.41</v>
      </c>
      <c r="G197" s="29">
        <v>2.2833000000000003E-2</v>
      </c>
      <c r="H197">
        <v>1250196.3400000001</v>
      </c>
      <c r="I197">
        <v>537427.04</v>
      </c>
      <c r="J197" s="29">
        <v>0.30059999999999998</v>
      </c>
      <c r="K197">
        <v>6.61</v>
      </c>
    </row>
    <row r="198" spans="1:11" x14ac:dyDescent="0.3">
      <c r="A198" t="s">
        <v>193</v>
      </c>
      <c r="B198" s="25">
        <v>45777</v>
      </c>
      <c r="C198">
        <v>251467</v>
      </c>
      <c r="D198" t="s">
        <v>324</v>
      </c>
      <c r="E198" t="s">
        <v>346</v>
      </c>
      <c r="F198">
        <v>162779.93</v>
      </c>
      <c r="G198" s="29">
        <v>2.1000000000000001E-2</v>
      </c>
      <c r="H198">
        <v>1191580.08</v>
      </c>
      <c r="I198">
        <v>512229.44</v>
      </c>
      <c r="J198" s="29">
        <v>0.30059999999999998</v>
      </c>
      <c r="K198">
        <v>7.32</v>
      </c>
    </row>
    <row r="199" spans="1:11" x14ac:dyDescent="0.3">
      <c r="A199" t="s">
        <v>193</v>
      </c>
      <c r="B199" s="25">
        <v>45808</v>
      </c>
      <c r="C199">
        <v>251467</v>
      </c>
      <c r="D199" t="s">
        <v>324</v>
      </c>
      <c r="E199" t="s">
        <v>346</v>
      </c>
      <c r="F199">
        <v>158892.4</v>
      </c>
      <c r="G199" s="29">
        <v>2.1531999999999999E-2</v>
      </c>
      <c r="H199">
        <v>1163122.6499999999</v>
      </c>
      <c r="I199">
        <v>499996.32</v>
      </c>
      <c r="J199" s="29">
        <v>0.30059999999999998</v>
      </c>
      <c r="K199">
        <v>7.24</v>
      </c>
    </row>
    <row r="200" spans="1:11" x14ac:dyDescent="0.3">
      <c r="A200" t="s">
        <v>193</v>
      </c>
      <c r="B200" s="25">
        <v>45838</v>
      </c>
      <c r="C200">
        <v>251467</v>
      </c>
      <c r="D200" t="s">
        <v>324</v>
      </c>
      <c r="E200" t="s">
        <v>346</v>
      </c>
      <c r="F200">
        <v>149859.59</v>
      </c>
      <c r="G200" s="29">
        <v>1.8443000000000001E-2</v>
      </c>
      <c r="H200">
        <v>1097000.7</v>
      </c>
      <c r="I200">
        <v>471572.21</v>
      </c>
      <c r="J200" s="29">
        <v>0.30059999999999998</v>
      </c>
      <c r="K200">
        <v>7.26</v>
      </c>
    </row>
    <row r="201" spans="1:11" x14ac:dyDescent="0.3">
      <c r="A201" t="s">
        <v>193</v>
      </c>
      <c r="B201" s="25">
        <v>45869</v>
      </c>
      <c r="C201">
        <v>251467</v>
      </c>
      <c r="D201" t="s">
        <v>324</v>
      </c>
      <c r="E201" t="s">
        <v>346</v>
      </c>
      <c r="F201">
        <v>160449.95000000001</v>
      </c>
      <c r="G201" s="29">
        <v>2.1569999999999999E-2</v>
      </c>
      <c r="H201">
        <v>1174524.17</v>
      </c>
      <c r="I201">
        <v>504897.54</v>
      </c>
      <c r="J201" s="29">
        <v>0.30059999999999998</v>
      </c>
      <c r="K201">
        <v>6.5</v>
      </c>
    </row>
    <row r="202" spans="1:11" x14ac:dyDescent="0.3">
      <c r="A202" t="s">
        <v>193</v>
      </c>
      <c r="B202" s="25">
        <v>45900</v>
      </c>
      <c r="C202">
        <v>251467</v>
      </c>
      <c r="D202" t="s">
        <v>324</v>
      </c>
      <c r="E202" t="s">
        <v>346</v>
      </c>
      <c r="F202">
        <v>164566.62</v>
      </c>
      <c r="G202" s="29">
        <v>2.2557999999999998E-2</v>
      </c>
      <c r="H202">
        <v>1204658.99</v>
      </c>
      <c r="I202">
        <v>517851.72</v>
      </c>
      <c r="J202" s="29">
        <v>0.30059999999999998</v>
      </c>
      <c r="K202">
        <v>6.34</v>
      </c>
    </row>
    <row r="203" spans="1:11" x14ac:dyDescent="0.3">
      <c r="A203" t="s">
        <v>193</v>
      </c>
      <c r="B203" s="25">
        <v>45930</v>
      </c>
      <c r="C203">
        <v>251467</v>
      </c>
      <c r="D203" t="s">
        <v>324</v>
      </c>
      <c r="E203" t="s">
        <v>346</v>
      </c>
      <c r="F203">
        <v>181239.46</v>
      </c>
      <c r="G203" s="29">
        <v>2.5068E-2</v>
      </c>
      <c r="H203">
        <v>1326707.3600000001</v>
      </c>
      <c r="I203">
        <v>570317.15</v>
      </c>
      <c r="J203" s="29">
        <v>0.30059999999999998</v>
      </c>
      <c r="K203">
        <v>6.91</v>
      </c>
    </row>
    <row r="204" spans="1:11" x14ac:dyDescent="0.3">
      <c r="A204" t="s">
        <v>193</v>
      </c>
      <c r="B204" s="25">
        <v>45961</v>
      </c>
      <c r="C204">
        <v>251467</v>
      </c>
      <c r="D204" t="s">
        <v>324</v>
      </c>
      <c r="E204" t="s">
        <v>346</v>
      </c>
      <c r="F204">
        <v>153576.04999999999</v>
      </c>
      <c r="G204" s="29">
        <v>2.0663000000000001E-2</v>
      </c>
      <c r="H204">
        <v>1124205.8999999999</v>
      </c>
      <c r="I204">
        <v>483267.02</v>
      </c>
      <c r="J204" s="29">
        <v>0.30059999999999998</v>
      </c>
      <c r="K204">
        <v>7.25</v>
      </c>
    </row>
    <row r="205" spans="1:11" x14ac:dyDescent="0.3">
      <c r="A205" t="s">
        <v>193</v>
      </c>
      <c r="B205" s="25">
        <v>45991</v>
      </c>
      <c r="C205">
        <v>251467</v>
      </c>
      <c r="D205" t="s">
        <v>324</v>
      </c>
      <c r="E205" t="s">
        <v>346</v>
      </c>
      <c r="F205">
        <v>170287.48</v>
      </c>
      <c r="G205" s="29">
        <v>2.0116000000000002E-2</v>
      </c>
      <c r="H205">
        <v>1246536.8</v>
      </c>
      <c r="I205">
        <v>535853.91</v>
      </c>
      <c r="J205" s="29">
        <v>0.30059999999999998</v>
      </c>
      <c r="K205">
        <v>7.75</v>
      </c>
    </row>
    <row r="206" spans="1:11" x14ac:dyDescent="0.3">
      <c r="A206" t="s">
        <v>193</v>
      </c>
      <c r="B206" s="25">
        <v>45657</v>
      </c>
      <c r="C206">
        <v>161776</v>
      </c>
      <c r="D206" t="s">
        <v>324</v>
      </c>
      <c r="E206" t="s">
        <v>345</v>
      </c>
      <c r="F206">
        <v>170850.52</v>
      </c>
      <c r="G206" s="29">
        <v>2.1021000000000001E-2</v>
      </c>
      <c r="H206">
        <v>1236484.18</v>
      </c>
      <c r="I206">
        <v>620950.74</v>
      </c>
      <c r="J206" s="29">
        <v>0.33429999999999999</v>
      </c>
      <c r="K206">
        <v>7.58</v>
      </c>
    </row>
    <row r="207" spans="1:11" x14ac:dyDescent="0.3">
      <c r="A207" t="s">
        <v>193</v>
      </c>
      <c r="B207" s="25">
        <v>45688</v>
      </c>
      <c r="C207">
        <v>161776</v>
      </c>
      <c r="D207" t="s">
        <v>324</v>
      </c>
      <c r="E207" t="s">
        <v>345</v>
      </c>
      <c r="F207">
        <v>158629.81</v>
      </c>
      <c r="G207" s="29">
        <v>2.0678999999999999E-2</v>
      </c>
      <c r="H207">
        <v>1148040.07</v>
      </c>
      <c r="I207">
        <v>576534.93999999994</v>
      </c>
      <c r="J207" s="29">
        <v>0.33429999999999999</v>
      </c>
      <c r="K207">
        <v>7.4</v>
      </c>
    </row>
    <row r="208" spans="1:11" x14ac:dyDescent="0.3">
      <c r="A208" t="s">
        <v>193</v>
      </c>
      <c r="B208" s="25">
        <v>45716</v>
      </c>
      <c r="C208">
        <v>161776</v>
      </c>
      <c r="D208" t="s">
        <v>324</v>
      </c>
      <c r="E208" t="s">
        <v>345</v>
      </c>
      <c r="F208">
        <v>137061.63</v>
      </c>
      <c r="G208" s="29">
        <v>1.8803E-2</v>
      </c>
      <c r="H208">
        <v>991946.29</v>
      </c>
      <c r="I208">
        <v>498146.11</v>
      </c>
      <c r="J208" s="29">
        <v>0.33429999999999999</v>
      </c>
      <c r="K208">
        <v>7.36</v>
      </c>
    </row>
    <row r="209" spans="1:11" x14ac:dyDescent="0.3">
      <c r="A209" t="s">
        <v>193</v>
      </c>
      <c r="B209" s="25">
        <v>45747</v>
      </c>
      <c r="C209">
        <v>161776</v>
      </c>
      <c r="D209" t="s">
        <v>324</v>
      </c>
      <c r="E209" t="s">
        <v>345</v>
      </c>
      <c r="F209">
        <v>166313.23000000001</v>
      </c>
      <c r="G209" s="29">
        <v>2.2235000000000001E-2</v>
      </c>
      <c r="H209">
        <v>1203646.73</v>
      </c>
      <c r="I209">
        <v>604460.07999999996</v>
      </c>
      <c r="J209" s="29">
        <v>0.33429999999999999</v>
      </c>
      <c r="K209">
        <v>7.13</v>
      </c>
    </row>
    <row r="210" spans="1:11" x14ac:dyDescent="0.3">
      <c r="A210" t="s">
        <v>193</v>
      </c>
      <c r="B210" s="25">
        <v>45777</v>
      </c>
      <c r="C210">
        <v>161776</v>
      </c>
      <c r="D210" t="s">
        <v>324</v>
      </c>
      <c r="E210" t="s">
        <v>345</v>
      </c>
      <c r="F210">
        <v>155810.76</v>
      </c>
      <c r="G210" s="29">
        <v>2.0101000000000001E-2</v>
      </c>
      <c r="H210">
        <v>1127637.97</v>
      </c>
      <c r="I210">
        <v>566289.19999999995</v>
      </c>
      <c r="J210" s="29">
        <v>0.33429999999999999</v>
      </c>
      <c r="K210">
        <v>7.06</v>
      </c>
    </row>
    <row r="211" spans="1:11" x14ac:dyDescent="0.3">
      <c r="A211" t="s">
        <v>193</v>
      </c>
      <c r="B211" s="25">
        <v>45808</v>
      </c>
      <c r="C211">
        <v>161776</v>
      </c>
      <c r="D211" t="s">
        <v>324</v>
      </c>
      <c r="E211" t="s">
        <v>345</v>
      </c>
      <c r="F211">
        <v>168588.45</v>
      </c>
      <c r="G211" s="29">
        <v>2.2846000000000002E-2</v>
      </c>
      <c r="H211">
        <v>1220113.01</v>
      </c>
      <c r="I211">
        <v>612729.29</v>
      </c>
      <c r="J211" s="29">
        <v>0.33429999999999999</v>
      </c>
      <c r="K211">
        <v>7.49</v>
      </c>
    </row>
    <row r="212" spans="1:11" x14ac:dyDescent="0.3">
      <c r="A212" t="s">
        <v>193</v>
      </c>
      <c r="B212" s="25">
        <v>45838</v>
      </c>
      <c r="C212">
        <v>161776</v>
      </c>
      <c r="D212" t="s">
        <v>324</v>
      </c>
      <c r="E212" t="s">
        <v>345</v>
      </c>
      <c r="F212">
        <v>178592.98</v>
      </c>
      <c r="G212" s="29">
        <v>2.1979000000000002E-2</v>
      </c>
      <c r="H212">
        <v>1292518.1100000001</v>
      </c>
      <c r="I212">
        <v>649090.46</v>
      </c>
      <c r="J212" s="29">
        <v>0.33429999999999999</v>
      </c>
      <c r="K212">
        <v>7.05</v>
      </c>
    </row>
    <row r="213" spans="1:11" x14ac:dyDescent="0.3">
      <c r="A213" t="s">
        <v>193</v>
      </c>
      <c r="B213" s="25">
        <v>45869</v>
      </c>
      <c r="C213">
        <v>161776</v>
      </c>
      <c r="D213" t="s">
        <v>324</v>
      </c>
      <c r="E213" t="s">
        <v>345</v>
      </c>
      <c r="F213">
        <v>189443.06</v>
      </c>
      <c r="G213" s="29">
        <v>2.5467E-2</v>
      </c>
      <c r="H213">
        <v>1371042.59</v>
      </c>
      <c r="I213">
        <v>688524.71</v>
      </c>
      <c r="J213" s="29">
        <v>0.33429999999999999</v>
      </c>
      <c r="K213">
        <v>7.79</v>
      </c>
    </row>
    <row r="214" spans="1:11" x14ac:dyDescent="0.3">
      <c r="A214" t="s">
        <v>193</v>
      </c>
      <c r="B214" s="25">
        <v>45900</v>
      </c>
      <c r="C214">
        <v>161776</v>
      </c>
      <c r="D214" t="s">
        <v>324</v>
      </c>
      <c r="E214" t="s">
        <v>345</v>
      </c>
      <c r="F214">
        <v>154278.71</v>
      </c>
      <c r="G214" s="29">
        <v>2.1146999999999999E-2</v>
      </c>
      <c r="H214">
        <v>1116550.2</v>
      </c>
      <c r="I214">
        <v>560721.02</v>
      </c>
      <c r="J214" s="29">
        <v>0.33429999999999999</v>
      </c>
      <c r="K214">
        <v>7.29</v>
      </c>
    </row>
    <row r="215" spans="1:11" x14ac:dyDescent="0.3">
      <c r="A215" t="s">
        <v>193</v>
      </c>
      <c r="B215" s="25">
        <v>45930</v>
      </c>
      <c r="C215">
        <v>161776</v>
      </c>
      <c r="D215" t="s">
        <v>324</v>
      </c>
      <c r="E215" t="s">
        <v>345</v>
      </c>
      <c r="F215">
        <v>171396.36</v>
      </c>
      <c r="G215" s="29">
        <v>2.3706000000000001E-2</v>
      </c>
      <c r="H215">
        <v>1240434.52</v>
      </c>
      <c r="I215">
        <v>622934.56000000006</v>
      </c>
      <c r="J215" s="29">
        <v>0.33429999999999999</v>
      </c>
      <c r="K215">
        <v>7.46</v>
      </c>
    </row>
    <row r="216" spans="1:11" x14ac:dyDescent="0.3">
      <c r="A216" t="s">
        <v>193</v>
      </c>
      <c r="B216" s="25">
        <v>45961</v>
      </c>
      <c r="C216">
        <v>161776</v>
      </c>
      <c r="D216" t="s">
        <v>324</v>
      </c>
      <c r="E216" t="s">
        <v>345</v>
      </c>
      <c r="F216">
        <v>149325.88</v>
      </c>
      <c r="G216" s="29">
        <v>2.0091999999999999E-2</v>
      </c>
      <c r="H216">
        <v>1080705.45</v>
      </c>
      <c r="I216">
        <v>542720.12</v>
      </c>
      <c r="J216" s="29">
        <v>0.33429999999999999</v>
      </c>
      <c r="K216">
        <v>7.28</v>
      </c>
    </row>
    <row r="217" spans="1:11" x14ac:dyDescent="0.3">
      <c r="A217" t="s">
        <v>193</v>
      </c>
      <c r="B217" s="25">
        <v>45991</v>
      </c>
      <c r="C217">
        <v>161776</v>
      </c>
      <c r="D217" t="s">
        <v>324</v>
      </c>
      <c r="E217" t="s">
        <v>345</v>
      </c>
      <c r="F217">
        <v>158985.28</v>
      </c>
      <c r="G217" s="29">
        <v>1.8781000000000003E-2</v>
      </c>
      <c r="H217">
        <v>1150612.69</v>
      </c>
      <c r="I217">
        <v>577826.89</v>
      </c>
      <c r="J217" s="29">
        <v>0.33429999999999999</v>
      </c>
      <c r="K217">
        <v>7.32</v>
      </c>
    </row>
    <row r="218" spans="1:11" x14ac:dyDescent="0.3">
      <c r="A218" t="s">
        <v>193</v>
      </c>
      <c r="B218" s="25">
        <v>45657</v>
      </c>
      <c r="C218">
        <v>850609</v>
      </c>
      <c r="D218" t="s">
        <v>323</v>
      </c>
      <c r="E218" t="s">
        <v>344</v>
      </c>
      <c r="F218">
        <v>168498.55</v>
      </c>
      <c r="G218" s="29">
        <v>2.0731000000000003E-2</v>
      </c>
      <c r="H218">
        <v>1228886.81</v>
      </c>
      <c r="I218">
        <v>521993.96</v>
      </c>
      <c r="J218" s="29">
        <v>0.29809999999999998</v>
      </c>
      <c r="K218">
        <v>7.17</v>
      </c>
    </row>
    <row r="219" spans="1:11" x14ac:dyDescent="0.3">
      <c r="A219" t="s">
        <v>193</v>
      </c>
      <c r="B219" s="25">
        <v>45688</v>
      </c>
      <c r="C219">
        <v>850609</v>
      </c>
      <c r="D219" t="s">
        <v>323</v>
      </c>
      <c r="E219" t="s">
        <v>344</v>
      </c>
      <c r="F219">
        <v>172877.23</v>
      </c>
      <c r="G219" s="29">
        <v>2.2536E-2</v>
      </c>
      <c r="H219">
        <v>1260821.27</v>
      </c>
      <c r="I219">
        <v>535558.75</v>
      </c>
      <c r="J219" s="29">
        <v>0.29809999999999998</v>
      </c>
      <c r="K219">
        <v>7.19</v>
      </c>
    </row>
    <row r="220" spans="1:11" x14ac:dyDescent="0.3">
      <c r="A220" t="s">
        <v>193</v>
      </c>
      <c r="B220" s="25">
        <v>45716</v>
      </c>
      <c r="C220">
        <v>850609</v>
      </c>
      <c r="D220" t="s">
        <v>323</v>
      </c>
      <c r="E220" t="s">
        <v>344</v>
      </c>
      <c r="F220">
        <v>172655.79</v>
      </c>
      <c r="G220" s="29">
        <v>2.3685000000000001E-2</v>
      </c>
      <c r="H220">
        <v>1259206.22</v>
      </c>
      <c r="I220">
        <v>534872.72</v>
      </c>
      <c r="J220" s="29">
        <v>0.29809999999999998</v>
      </c>
      <c r="K220">
        <v>7.39</v>
      </c>
    </row>
    <row r="221" spans="1:11" x14ac:dyDescent="0.3">
      <c r="A221" t="s">
        <v>193</v>
      </c>
      <c r="B221" s="25">
        <v>45747</v>
      </c>
      <c r="C221">
        <v>850609</v>
      </c>
      <c r="D221" t="s">
        <v>323</v>
      </c>
      <c r="E221" t="s">
        <v>344</v>
      </c>
      <c r="F221">
        <v>162625.48000000001</v>
      </c>
      <c r="G221" s="29">
        <v>2.1741999999999997E-2</v>
      </c>
      <c r="H221">
        <v>1186053.58</v>
      </c>
      <c r="I221">
        <v>503799.7</v>
      </c>
      <c r="J221" s="29">
        <v>0.29809999999999998</v>
      </c>
      <c r="K221">
        <v>6.91</v>
      </c>
    </row>
    <row r="222" spans="1:11" x14ac:dyDescent="0.3">
      <c r="A222" t="s">
        <v>193</v>
      </c>
      <c r="B222" s="25">
        <v>45777</v>
      </c>
      <c r="C222">
        <v>850609</v>
      </c>
      <c r="D222" t="s">
        <v>323</v>
      </c>
      <c r="E222" t="s">
        <v>344</v>
      </c>
      <c r="F222">
        <v>172812.68</v>
      </c>
      <c r="G222" s="29">
        <v>2.2294999999999999E-2</v>
      </c>
      <c r="H222">
        <v>1260350.49</v>
      </c>
      <c r="I222">
        <v>535358.77</v>
      </c>
      <c r="J222" s="29">
        <v>0.29809999999999998</v>
      </c>
      <c r="K222">
        <v>7.46</v>
      </c>
    </row>
    <row r="223" spans="1:11" x14ac:dyDescent="0.3">
      <c r="A223" t="s">
        <v>193</v>
      </c>
      <c r="B223" s="25">
        <v>45808</v>
      </c>
      <c r="C223">
        <v>850609</v>
      </c>
      <c r="D223" t="s">
        <v>323</v>
      </c>
      <c r="E223" t="s">
        <v>344</v>
      </c>
      <c r="F223">
        <v>184501.91</v>
      </c>
      <c r="G223" s="29">
        <v>2.5003000000000001E-2</v>
      </c>
      <c r="H223">
        <v>1345601.88</v>
      </c>
      <c r="I223">
        <v>571570.98</v>
      </c>
      <c r="J223" s="29">
        <v>0.29809999999999998</v>
      </c>
      <c r="K223">
        <v>7.31</v>
      </c>
    </row>
    <row r="224" spans="1:11" x14ac:dyDescent="0.3">
      <c r="A224" t="s">
        <v>193</v>
      </c>
      <c r="B224" s="25">
        <v>45838</v>
      </c>
      <c r="C224">
        <v>850609</v>
      </c>
      <c r="D224" t="s">
        <v>323</v>
      </c>
      <c r="E224" t="s">
        <v>344</v>
      </c>
      <c r="F224">
        <v>173343.67</v>
      </c>
      <c r="G224" s="29">
        <v>2.1333000000000001E-2</v>
      </c>
      <c r="H224">
        <v>1264223.07</v>
      </c>
      <c r="I224">
        <v>537003.73</v>
      </c>
      <c r="J224" s="29">
        <v>0.29809999999999998</v>
      </c>
      <c r="K224">
        <v>7.14</v>
      </c>
    </row>
    <row r="225" spans="1:11" x14ac:dyDescent="0.3">
      <c r="A225" t="s">
        <v>193</v>
      </c>
      <c r="B225" s="25">
        <v>45869</v>
      </c>
      <c r="C225">
        <v>850609</v>
      </c>
      <c r="D225" t="s">
        <v>323</v>
      </c>
      <c r="E225" t="s">
        <v>344</v>
      </c>
      <c r="F225">
        <v>168147.04</v>
      </c>
      <c r="G225" s="29">
        <v>2.2604000000000003E-2</v>
      </c>
      <c r="H225">
        <v>1226323.23</v>
      </c>
      <c r="I225">
        <v>520905.03</v>
      </c>
      <c r="J225" s="29">
        <v>0.29809999999999998</v>
      </c>
      <c r="K225">
        <v>7.3</v>
      </c>
    </row>
    <row r="226" spans="1:11" x14ac:dyDescent="0.3">
      <c r="A226" t="s">
        <v>193</v>
      </c>
      <c r="B226" s="25">
        <v>45900</v>
      </c>
      <c r="C226">
        <v>850609</v>
      </c>
      <c r="D226" t="s">
        <v>323</v>
      </c>
      <c r="E226" t="s">
        <v>344</v>
      </c>
      <c r="F226">
        <v>148744.35</v>
      </c>
      <c r="G226" s="29">
        <v>2.0389000000000001E-2</v>
      </c>
      <c r="H226">
        <v>1084816.29</v>
      </c>
      <c r="I226">
        <v>460797.16</v>
      </c>
      <c r="J226" s="29">
        <v>0.29809999999999998</v>
      </c>
      <c r="K226">
        <v>7.15</v>
      </c>
    </row>
    <row r="227" spans="1:11" x14ac:dyDescent="0.3">
      <c r="A227" t="s">
        <v>193</v>
      </c>
      <c r="B227" s="25">
        <v>45930</v>
      </c>
      <c r="C227">
        <v>850609</v>
      </c>
      <c r="D227" t="s">
        <v>323</v>
      </c>
      <c r="E227" t="s">
        <v>344</v>
      </c>
      <c r="F227">
        <v>165966.81</v>
      </c>
      <c r="G227" s="29">
        <v>2.2955E-2</v>
      </c>
      <c r="H227">
        <v>1210422.45</v>
      </c>
      <c r="I227">
        <v>514150.85</v>
      </c>
      <c r="J227" s="29">
        <v>0.29809999999999998</v>
      </c>
      <c r="K227">
        <v>7.11</v>
      </c>
    </row>
    <row r="228" spans="1:11" x14ac:dyDescent="0.3">
      <c r="A228" t="s">
        <v>193</v>
      </c>
      <c r="B228" s="25">
        <v>45961</v>
      </c>
      <c r="C228">
        <v>850609</v>
      </c>
      <c r="D228" t="s">
        <v>323</v>
      </c>
      <c r="E228" t="s">
        <v>344</v>
      </c>
      <c r="F228">
        <v>155838.91</v>
      </c>
      <c r="G228" s="29">
        <v>2.0968000000000001E-2</v>
      </c>
      <c r="H228">
        <v>1136558.03</v>
      </c>
      <c r="I228">
        <v>482775.48</v>
      </c>
      <c r="J228" s="29">
        <v>0.29809999999999998</v>
      </c>
      <c r="K228">
        <v>6.99</v>
      </c>
    </row>
    <row r="229" spans="1:11" x14ac:dyDescent="0.3">
      <c r="A229" t="s">
        <v>193</v>
      </c>
      <c r="B229" s="25">
        <v>45991</v>
      </c>
      <c r="C229">
        <v>850609</v>
      </c>
      <c r="D229" t="s">
        <v>323</v>
      </c>
      <c r="E229" t="s">
        <v>344</v>
      </c>
      <c r="F229">
        <v>165195.78</v>
      </c>
      <c r="G229" s="29">
        <v>1.9515000000000001E-2</v>
      </c>
      <c r="H229">
        <v>1204799.22</v>
      </c>
      <c r="I229">
        <v>511762.27</v>
      </c>
      <c r="J229" s="29">
        <v>0.29809999999999998</v>
      </c>
      <c r="K229">
        <v>7.48</v>
      </c>
    </row>
    <row r="230" spans="1:11" x14ac:dyDescent="0.3">
      <c r="A230" t="s">
        <v>193</v>
      </c>
      <c r="B230" s="25">
        <v>45657</v>
      </c>
      <c r="C230">
        <v>408082</v>
      </c>
      <c r="D230" t="s">
        <v>316</v>
      </c>
      <c r="E230" t="s">
        <v>362</v>
      </c>
      <c r="F230">
        <v>89905.17</v>
      </c>
      <c r="G230" s="29">
        <v>1.1061000000000001E-2</v>
      </c>
      <c r="H230">
        <v>734250.55</v>
      </c>
      <c r="I230">
        <v>356435.13</v>
      </c>
      <c r="J230" s="29">
        <v>0.32679999999999998</v>
      </c>
      <c r="K230">
        <v>6.65</v>
      </c>
    </row>
    <row r="231" spans="1:11" x14ac:dyDescent="0.3">
      <c r="A231" t="s">
        <v>193</v>
      </c>
      <c r="B231" s="25">
        <v>45688</v>
      </c>
      <c r="C231">
        <v>408082</v>
      </c>
      <c r="D231" t="s">
        <v>316</v>
      </c>
      <c r="E231" t="s">
        <v>362</v>
      </c>
      <c r="F231">
        <v>103747.32</v>
      </c>
      <c r="G231" s="29">
        <v>1.3524000000000001E-2</v>
      </c>
      <c r="H231">
        <v>847298.65</v>
      </c>
      <c r="I231">
        <v>411313.29</v>
      </c>
      <c r="J231" s="29">
        <v>0.32679999999999998</v>
      </c>
      <c r="K231">
        <v>6.89</v>
      </c>
    </row>
    <row r="232" spans="1:11" x14ac:dyDescent="0.3">
      <c r="A232" t="s">
        <v>193</v>
      </c>
      <c r="B232" s="25">
        <v>45716</v>
      </c>
      <c r="C232">
        <v>408082</v>
      </c>
      <c r="D232" t="s">
        <v>316</v>
      </c>
      <c r="E232" t="s">
        <v>362</v>
      </c>
      <c r="F232">
        <v>92701.759999999995</v>
      </c>
      <c r="G232" s="29">
        <v>1.2717000000000001E-2</v>
      </c>
      <c r="H232">
        <v>757090.15</v>
      </c>
      <c r="I232">
        <v>367522.41</v>
      </c>
      <c r="J232" s="29">
        <v>0.32679999999999998</v>
      </c>
      <c r="K232">
        <v>6.33</v>
      </c>
    </row>
    <row r="233" spans="1:11" x14ac:dyDescent="0.3">
      <c r="A233" t="s">
        <v>193</v>
      </c>
      <c r="B233" s="25">
        <v>45747</v>
      </c>
      <c r="C233">
        <v>408082</v>
      </c>
      <c r="D233" t="s">
        <v>316</v>
      </c>
      <c r="E233" t="s">
        <v>362</v>
      </c>
      <c r="F233">
        <v>113541.96</v>
      </c>
      <c r="G233" s="29">
        <v>1.5180000000000001E-2</v>
      </c>
      <c r="H233">
        <v>927290.92</v>
      </c>
      <c r="I233">
        <v>450144.8</v>
      </c>
      <c r="J233" s="29">
        <v>0.32679999999999998</v>
      </c>
      <c r="K233">
        <v>6.26</v>
      </c>
    </row>
    <row r="234" spans="1:11" x14ac:dyDescent="0.3">
      <c r="A234" t="s">
        <v>193</v>
      </c>
      <c r="B234" s="25">
        <v>45777</v>
      </c>
      <c r="C234">
        <v>408082</v>
      </c>
      <c r="D234" t="s">
        <v>316</v>
      </c>
      <c r="E234" t="s">
        <v>362</v>
      </c>
      <c r="F234">
        <v>88973.61</v>
      </c>
      <c r="G234" s="29">
        <v>1.1479E-2</v>
      </c>
      <c r="H234">
        <v>726642.55</v>
      </c>
      <c r="I234">
        <v>352741.9</v>
      </c>
      <c r="J234" s="29">
        <v>0.32679999999999998</v>
      </c>
      <c r="K234">
        <v>6.15</v>
      </c>
    </row>
    <row r="235" spans="1:11" x14ac:dyDescent="0.3">
      <c r="A235" t="s">
        <v>193</v>
      </c>
      <c r="B235" s="25">
        <v>45808</v>
      </c>
      <c r="C235">
        <v>408082</v>
      </c>
      <c r="D235" t="s">
        <v>316</v>
      </c>
      <c r="E235" t="s">
        <v>362</v>
      </c>
      <c r="F235">
        <v>93525.53</v>
      </c>
      <c r="G235" s="29">
        <v>1.2674000000000001E-2</v>
      </c>
      <c r="H235">
        <v>763817.82</v>
      </c>
      <c r="I235">
        <v>370788.29</v>
      </c>
      <c r="J235" s="29">
        <v>0.32679999999999998</v>
      </c>
      <c r="K235">
        <v>6.65</v>
      </c>
    </row>
    <row r="236" spans="1:11" x14ac:dyDescent="0.3">
      <c r="A236" t="s">
        <v>193</v>
      </c>
      <c r="B236" s="25">
        <v>45838</v>
      </c>
      <c r="C236">
        <v>408082</v>
      </c>
      <c r="D236" t="s">
        <v>316</v>
      </c>
      <c r="E236" t="s">
        <v>362</v>
      </c>
      <c r="F236">
        <v>102959.93</v>
      </c>
      <c r="G236" s="29">
        <v>1.2670999999999998E-2</v>
      </c>
      <c r="H236">
        <v>840868.07</v>
      </c>
      <c r="I236">
        <v>408191.62</v>
      </c>
      <c r="J236" s="29">
        <v>0.32679999999999998</v>
      </c>
      <c r="K236">
        <v>6.28</v>
      </c>
    </row>
    <row r="237" spans="1:11" x14ac:dyDescent="0.3">
      <c r="A237" t="s">
        <v>193</v>
      </c>
      <c r="B237" s="25">
        <v>45869</v>
      </c>
      <c r="C237">
        <v>408082</v>
      </c>
      <c r="D237" t="s">
        <v>316</v>
      </c>
      <c r="E237" t="s">
        <v>362</v>
      </c>
      <c r="F237">
        <v>84582.13</v>
      </c>
      <c r="G237" s="29">
        <v>1.1370999999999999E-2</v>
      </c>
      <c r="H237">
        <v>690777.59</v>
      </c>
      <c r="I237">
        <v>335331.59000000003</v>
      </c>
      <c r="J237" s="29">
        <v>0.32679999999999998</v>
      </c>
      <c r="K237">
        <v>6.58</v>
      </c>
    </row>
    <row r="238" spans="1:11" x14ac:dyDescent="0.3">
      <c r="A238" t="s">
        <v>193</v>
      </c>
      <c r="B238" s="25">
        <v>45900</v>
      </c>
      <c r="C238">
        <v>408082</v>
      </c>
      <c r="D238" t="s">
        <v>316</v>
      </c>
      <c r="E238" t="s">
        <v>362</v>
      </c>
      <c r="F238">
        <v>91355.66</v>
      </c>
      <c r="G238" s="29">
        <v>1.2522E-2</v>
      </c>
      <c r="H238">
        <v>746096.64000000001</v>
      </c>
      <c r="I238">
        <v>362185.71</v>
      </c>
      <c r="J238" s="29">
        <v>0.32679999999999998</v>
      </c>
      <c r="K238">
        <v>6.2</v>
      </c>
    </row>
    <row r="239" spans="1:11" x14ac:dyDescent="0.3">
      <c r="A239" t="s">
        <v>193</v>
      </c>
      <c r="B239" s="25">
        <v>45930</v>
      </c>
      <c r="C239">
        <v>408082</v>
      </c>
      <c r="D239" t="s">
        <v>316</v>
      </c>
      <c r="E239" t="s">
        <v>362</v>
      </c>
      <c r="F239">
        <v>96378.35</v>
      </c>
      <c r="G239" s="29">
        <v>1.333E-2</v>
      </c>
      <c r="H239">
        <v>787116.62</v>
      </c>
      <c r="I239">
        <v>382098.47</v>
      </c>
      <c r="J239" s="29">
        <v>0.32679999999999998</v>
      </c>
      <c r="K239">
        <v>6.53</v>
      </c>
    </row>
    <row r="240" spans="1:11" x14ac:dyDescent="0.3">
      <c r="A240" t="s">
        <v>193</v>
      </c>
      <c r="B240" s="25">
        <v>45961</v>
      </c>
      <c r="C240">
        <v>408082</v>
      </c>
      <c r="D240" t="s">
        <v>316</v>
      </c>
      <c r="E240" t="s">
        <v>362</v>
      </c>
      <c r="F240">
        <v>98481.600000000006</v>
      </c>
      <c r="G240" s="29">
        <v>1.3250999999999999E-2</v>
      </c>
      <c r="H240">
        <v>804293.77</v>
      </c>
      <c r="I240">
        <v>390436.96</v>
      </c>
      <c r="J240" s="29">
        <v>0.32679999999999998</v>
      </c>
      <c r="K240">
        <v>5.97</v>
      </c>
    </row>
    <row r="241" spans="1:11" x14ac:dyDescent="0.3">
      <c r="A241" t="s">
        <v>193</v>
      </c>
      <c r="B241" s="25">
        <v>45991</v>
      </c>
      <c r="C241">
        <v>408082</v>
      </c>
      <c r="D241" t="s">
        <v>316</v>
      </c>
      <c r="E241" t="s">
        <v>362</v>
      </c>
      <c r="F241">
        <v>107362.02</v>
      </c>
      <c r="G241" s="29">
        <v>1.2683E-2</v>
      </c>
      <c r="H241">
        <v>876819.7</v>
      </c>
      <c r="I241">
        <v>425644.01</v>
      </c>
      <c r="J241" s="29">
        <v>0.32679999999999998</v>
      </c>
      <c r="K241">
        <v>6.51</v>
      </c>
    </row>
    <row r="242" spans="1:11" x14ac:dyDescent="0.3">
      <c r="A242" t="s">
        <v>192</v>
      </c>
      <c r="B242" s="25">
        <v>45657</v>
      </c>
      <c r="C242">
        <v>482520</v>
      </c>
      <c r="D242" t="s">
        <v>321</v>
      </c>
      <c r="E242" t="s">
        <v>341</v>
      </c>
      <c r="F242">
        <v>115220.23</v>
      </c>
      <c r="G242" s="29">
        <v>2.5350999999999999E-2</v>
      </c>
      <c r="H242">
        <v>1334282.94</v>
      </c>
      <c r="I242">
        <v>388989.07</v>
      </c>
      <c r="J242" s="29">
        <v>0.22570000000000001</v>
      </c>
      <c r="K242">
        <v>4.59</v>
      </c>
    </row>
    <row r="243" spans="1:11" x14ac:dyDescent="0.3">
      <c r="A243" t="s">
        <v>192</v>
      </c>
      <c r="B243" s="25">
        <v>45688</v>
      </c>
      <c r="C243">
        <v>482520</v>
      </c>
      <c r="D243" t="s">
        <v>321</v>
      </c>
      <c r="E243" t="s">
        <v>341</v>
      </c>
      <c r="F243">
        <v>129866.97</v>
      </c>
      <c r="G243" s="29">
        <v>2.8542999999999999E-2</v>
      </c>
      <c r="H243">
        <v>1503896.3</v>
      </c>
      <c r="I243">
        <v>438437.16</v>
      </c>
      <c r="J243" s="29">
        <v>0.22570000000000001</v>
      </c>
      <c r="K243">
        <v>4.21</v>
      </c>
    </row>
    <row r="244" spans="1:11" x14ac:dyDescent="0.3">
      <c r="A244" t="s">
        <v>192</v>
      </c>
      <c r="B244" s="25">
        <v>45716</v>
      </c>
      <c r="C244">
        <v>482520</v>
      </c>
      <c r="D244" t="s">
        <v>321</v>
      </c>
      <c r="E244" t="s">
        <v>341</v>
      </c>
      <c r="F244">
        <v>103371.5</v>
      </c>
      <c r="G244" s="29">
        <v>2.2040000000000001E-2</v>
      </c>
      <c r="H244">
        <v>1197071.24</v>
      </c>
      <c r="I244">
        <v>348987.17</v>
      </c>
      <c r="J244" s="29">
        <v>0.22570000000000001</v>
      </c>
      <c r="K244">
        <v>4.74</v>
      </c>
    </row>
    <row r="245" spans="1:11" x14ac:dyDescent="0.3">
      <c r="A245" t="s">
        <v>192</v>
      </c>
      <c r="B245" s="25">
        <v>45747</v>
      </c>
      <c r="C245">
        <v>482520</v>
      </c>
      <c r="D245" t="s">
        <v>321</v>
      </c>
      <c r="E245" t="s">
        <v>341</v>
      </c>
      <c r="F245">
        <v>104436.88</v>
      </c>
      <c r="G245" s="29">
        <v>2.3656E-2</v>
      </c>
      <c r="H245">
        <v>1209408.71</v>
      </c>
      <c r="I245">
        <v>352583.96</v>
      </c>
      <c r="J245" s="29">
        <v>0.22570000000000001</v>
      </c>
      <c r="K245">
        <v>5.0599999999999996</v>
      </c>
    </row>
    <row r="246" spans="1:11" x14ac:dyDescent="0.3">
      <c r="A246" t="s">
        <v>192</v>
      </c>
      <c r="B246" s="25">
        <v>45777</v>
      </c>
      <c r="C246">
        <v>482520</v>
      </c>
      <c r="D246" t="s">
        <v>321</v>
      </c>
      <c r="E246" t="s">
        <v>341</v>
      </c>
      <c r="F246">
        <v>101021.54</v>
      </c>
      <c r="G246" s="29">
        <v>2.1404999999999997E-2</v>
      </c>
      <c r="H246">
        <v>1169858.05</v>
      </c>
      <c r="I246">
        <v>341053.59</v>
      </c>
      <c r="J246" s="29">
        <v>0.22570000000000001</v>
      </c>
      <c r="K246">
        <v>4.45</v>
      </c>
    </row>
    <row r="247" spans="1:11" x14ac:dyDescent="0.3">
      <c r="A247" t="s">
        <v>192</v>
      </c>
      <c r="B247" s="25">
        <v>45808</v>
      </c>
      <c r="C247">
        <v>482520</v>
      </c>
      <c r="D247" t="s">
        <v>321</v>
      </c>
      <c r="E247" t="s">
        <v>341</v>
      </c>
      <c r="F247">
        <v>120327.71</v>
      </c>
      <c r="G247" s="29">
        <v>2.5554999999999998E-2</v>
      </c>
      <c r="H247">
        <v>1393428.98</v>
      </c>
      <c r="I247">
        <v>406232.16</v>
      </c>
      <c r="J247" s="29">
        <v>0.22570000000000001</v>
      </c>
      <c r="K247">
        <v>4.78</v>
      </c>
    </row>
    <row r="248" spans="1:11" x14ac:dyDescent="0.3">
      <c r="A248" t="s">
        <v>192</v>
      </c>
      <c r="B248" s="25">
        <v>45838</v>
      </c>
      <c r="C248">
        <v>482520</v>
      </c>
      <c r="D248" t="s">
        <v>321</v>
      </c>
      <c r="E248" t="s">
        <v>341</v>
      </c>
      <c r="F248">
        <v>115483.15</v>
      </c>
      <c r="G248" s="29">
        <v>2.4716999999999999E-2</v>
      </c>
      <c r="H248">
        <v>1337327.6299999999</v>
      </c>
      <c r="I248">
        <v>389876.7</v>
      </c>
      <c r="J248" s="29">
        <v>0.22570000000000001</v>
      </c>
      <c r="K248">
        <v>4.29</v>
      </c>
    </row>
    <row r="249" spans="1:11" x14ac:dyDescent="0.3">
      <c r="A249" t="s">
        <v>192</v>
      </c>
      <c r="B249" s="25">
        <v>45869</v>
      </c>
      <c r="C249">
        <v>482520</v>
      </c>
      <c r="D249" t="s">
        <v>321</v>
      </c>
      <c r="E249" t="s">
        <v>341</v>
      </c>
      <c r="F249">
        <v>117627.31</v>
      </c>
      <c r="G249" s="29">
        <v>2.5777000000000001E-2</v>
      </c>
      <c r="H249">
        <v>1362157.64</v>
      </c>
      <c r="I249">
        <v>397115.49</v>
      </c>
      <c r="J249" s="29">
        <v>0.22570000000000001</v>
      </c>
      <c r="K249">
        <v>4.45</v>
      </c>
    </row>
    <row r="250" spans="1:11" x14ac:dyDescent="0.3">
      <c r="A250" t="s">
        <v>192</v>
      </c>
      <c r="B250" s="25">
        <v>45900</v>
      </c>
      <c r="C250">
        <v>482520</v>
      </c>
      <c r="D250" t="s">
        <v>321</v>
      </c>
      <c r="E250" t="s">
        <v>341</v>
      </c>
      <c r="F250">
        <v>119112.66</v>
      </c>
      <c r="G250" s="29">
        <v>2.7459999999999998E-2</v>
      </c>
      <c r="H250">
        <v>1379358.43</v>
      </c>
      <c r="I250">
        <v>402130.11</v>
      </c>
      <c r="J250" s="29">
        <v>0.22570000000000001</v>
      </c>
      <c r="K250">
        <v>4.01</v>
      </c>
    </row>
    <row r="251" spans="1:11" x14ac:dyDescent="0.3">
      <c r="A251" t="s">
        <v>192</v>
      </c>
      <c r="B251" s="25">
        <v>45930</v>
      </c>
      <c r="C251">
        <v>482520</v>
      </c>
      <c r="D251" t="s">
        <v>321</v>
      </c>
      <c r="E251" t="s">
        <v>341</v>
      </c>
      <c r="F251">
        <v>115085.96</v>
      </c>
      <c r="G251" s="29">
        <v>2.5198000000000002E-2</v>
      </c>
      <c r="H251">
        <v>1332728.1000000001</v>
      </c>
      <c r="I251">
        <v>388535.78</v>
      </c>
      <c r="J251" s="29">
        <v>0.22570000000000001</v>
      </c>
      <c r="K251">
        <v>4.71</v>
      </c>
    </row>
    <row r="252" spans="1:11" x14ac:dyDescent="0.3">
      <c r="A252" t="s">
        <v>192</v>
      </c>
      <c r="B252" s="25">
        <v>45961</v>
      </c>
      <c r="C252">
        <v>482520</v>
      </c>
      <c r="D252" t="s">
        <v>321</v>
      </c>
      <c r="E252" t="s">
        <v>341</v>
      </c>
      <c r="F252">
        <v>118850.11</v>
      </c>
      <c r="G252" s="29">
        <v>2.7050999999999999E-2</v>
      </c>
      <c r="H252">
        <v>1376317.99</v>
      </c>
      <c r="I252">
        <v>401243.72</v>
      </c>
      <c r="J252" s="29">
        <v>0.22570000000000001</v>
      </c>
      <c r="K252">
        <v>4.28</v>
      </c>
    </row>
    <row r="253" spans="1:11" x14ac:dyDescent="0.3">
      <c r="A253" t="s">
        <v>192</v>
      </c>
      <c r="B253" s="25">
        <v>45991</v>
      </c>
      <c r="C253">
        <v>482520</v>
      </c>
      <c r="D253" t="s">
        <v>321</v>
      </c>
      <c r="E253" t="s">
        <v>341</v>
      </c>
      <c r="F253">
        <v>113015.84</v>
      </c>
      <c r="G253" s="29">
        <v>2.5965999999999999E-2</v>
      </c>
      <c r="H253">
        <v>1308755.5</v>
      </c>
      <c r="I253">
        <v>381546.95</v>
      </c>
      <c r="J253" s="29">
        <v>0.22570000000000001</v>
      </c>
      <c r="K253">
        <v>4.5599999999999996</v>
      </c>
    </row>
    <row r="254" spans="1:11" x14ac:dyDescent="0.3">
      <c r="A254" t="s">
        <v>192</v>
      </c>
      <c r="B254" s="25">
        <v>45657</v>
      </c>
      <c r="C254">
        <v>805000</v>
      </c>
      <c r="D254" t="s">
        <v>268</v>
      </c>
      <c r="E254" t="s">
        <v>348</v>
      </c>
      <c r="F254">
        <v>162297.76999999999</v>
      </c>
      <c r="G254" s="29">
        <v>3.5708999999999998E-2</v>
      </c>
      <c r="H254">
        <v>1537108.45</v>
      </c>
      <c r="I254">
        <v>437443.5</v>
      </c>
      <c r="J254" s="29">
        <v>0.2215</v>
      </c>
      <c r="K254">
        <v>5.26</v>
      </c>
    </row>
    <row r="255" spans="1:11" x14ac:dyDescent="0.3">
      <c r="A255" t="s">
        <v>192</v>
      </c>
      <c r="B255" s="25">
        <v>45688</v>
      </c>
      <c r="C255">
        <v>805000</v>
      </c>
      <c r="D255" t="s">
        <v>268</v>
      </c>
      <c r="E255" t="s">
        <v>348</v>
      </c>
      <c r="F255">
        <v>174008.37</v>
      </c>
      <c r="G255" s="29">
        <v>3.8245000000000001E-2</v>
      </c>
      <c r="H255">
        <v>1648018.48</v>
      </c>
      <c r="I255">
        <v>469007.23</v>
      </c>
      <c r="J255" s="29">
        <v>0.2215</v>
      </c>
      <c r="K255">
        <v>5.13</v>
      </c>
    </row>
    <row r="256" spans="1:11" x14ac:dyDescent="0.3">
      <c r="A256" t="s">
        <v>192</v>
      </c>
      <c r="B256" s="25">
        <v>45716</v>
      </c>
      <c r="C256">
        <v>805000</v>
      </c>
      <c r="D256" t="s">
        <v>268</v>
      </c>
      <c r="E256" t="s">
        <v>348</v>
      </c>
      <c r="F256">
        <v>149613.88</v>
      </c>
      <c r="G256" s="29">
        <v>3.1899999999999998E-2</v>
      </c>
      <c r="H256">
        <v>1416980.34</v>
      </c>
      <c r="I256">
        <v>403256.42</v>
      </c>
      <c r="J256" s="29">
        <v>0.2215</v>
      </c>
      <c r="K256">
        <v>6.04</v>
      </c>
    </row>
    <row r="257" spans="1:11" x14ac:dyDescent="0.3">
      <c r="A257" t="s">
        <v>192</v>
      </c>
      <c r="B257" s="25">
        <v>45747</v>
      </c>
      <c r="C257">
        <v>805000</v>
      </c>
      <c r="D257" t="s">
        <v>268</v>
      </c>
      <c r="E257" t="s">
        <v>348</v>
      </c>
      <c r="F257">
        <v>156514.04999999999</v>
      </c>
      <c r="G257" s="29">
        <v>3.5452999999999998E-2</v>
      </c>
      <c r="H257">
        <v>1482331.26</v>
      </c>
      <c r="I257">
        <v>421854.54</v>
      </c>
      <c r="J257" s="29">
        <v>0.2215</v>
      </c>
      <c r="K257">
        <v>5.63</v>
      </c>
    </row>
    <row r="258" spans="1:11" x14ac:dyDescent="0.3">
      <c r="A258" t="s">
        <v>192</v>
      </c>
      <c r="B258" s="25">
        <v>45777</v>
      </c>
      <c r="C258">
        <v>805000</v>
      </c>
      <c r="D258" t="s">
        <v>268</v>
      </c>
      <c r="E258" t="s">
        <v>348</v>
      </c>
      <c r="F258">
        <v>149856.82</v>
      </c>
      <c r="G258" s="29">
        <v>3.1751999999999996E-2</v>
      </c>
      <c r="H258">
        <v>1419281.28</v>
      </c>
      <c r="I258">
        <v>403911.24</v>
      </c>
      <c r="J258" s="29">
        <v>0.2215</v>
      </c>
      <c r="K258">
        <v>5.5</v>
      </c>
    </row>
    <row r="259" spans="1:11" x14ac:dyDescent="0.3">
      <c r="A259" t="s">
        <v>192</v>
      </c>
      <c r="B259" s="25">
        <v>45808</v>
      </c>
      <c r="C259">
        <v>805000</v>
      </c>
      <c r="D259" t="s">
        <v>268</v>
      </c>
      <c r="E259" t="s">
        <v>348</v>
      </c>
      <c r="F259">
        <v>120931.41</v>
      </c>
      <c r="G259" s="29">
        <v>2.5682999999999997E-2</v>
      </c>
      <c r="H259">
        <v>1145331.1100000001</v>
      </c>
      <c r="I259">
        <v>325948.15000000002</v>
      </c>
      <c r="J259" s="29">
        <v>0.2215</v>
      </c>
      <c r="K259">
        <v>5.47</v>
      </c>
    </row>
    <row r="260" spans="1:11" x14ac:dyDescent="0.3">
      <c r="A260" t="s">
        <v>192</v>
      </c>
      <c r="B260" s="25">
        <v>45838</v>
      </c>
      <c r="C260">
        <v>805000</v>
      </c>
      <c r="D260" t="s">
        <v>268</v>
      </c>
      <c r="E260" t="s">
        <v>348</v>
      </c>
      <c r="F260">
        <v>160228.18</v>
      </c>
      <c r="G260" s="29">
        <v>3.4293999999999998E-2</v>
      </c>
      <c r="H260">
        <v>1517507.52</v>
      </c>
      <c r="I260">
        <v>431865.3</v>
      </c>
      <c r="J260" s="29">
        <v>0.2215</v>
      </c>
      <c r="K260">
        <v>5.48</v>
      </c>
    </row>
    <row r="261" spans="1:11" x14ac:dyDescent="0.3">
      <c r="A261" t="s">
        <v>192</v>
      </c>
      <c r="B261" s="25">
        <v>45869</v>
      </c>
      <c r="C261">
        <v>805000</v>
      </c>
      <c r="D261" t="s">
        <v>268</v>
      </c>
      <c r="E261" t="s">
        <v>348</v>
      </c>
      <c r="F261">
        <v>164471.79</v>
      </c>
      <c r="G261" s="29">
        <v>3.6041999999999998E-2</v>
      </c>
      <c r="H261">
        <v>1557698.38</v>
      </c>
      <c r="I261">
        <v>443303.16</v>
      </c>
      <c r="J261" s="29">
        <v>0.2215</v>
      </c>
      <c r="K261">
        <v>5.41</v>
      </c>
    </row>
    <row r="262" spans="1:11" x14ac:dyDescent="0.3">
      <c r="A262" t="s">
        <v>192</v>
      </c>
      <c r="B262" s="25">
        <v>45900</v>
      </c>
      <c r="C262">
        <v>805000</v>
      </c>
      <c r="D262" t="s">
        <v>268</v>
      </c>
      <c r="E262" t="s">
        <v>348</v>
      </c>
      <c r="F262">
        <v>179430.29</v>
      </c>
      <c r="G262" s="29">
        <v>4.1365999999999993E-2</v>
      </c>
      <c r="H262">
        <v>1699369.09</v>
      </c>
      <c r="I262">
        <v>483621.03</v>
      </c>
      <c r="J262" s="29">
        <v>0.2215</v>
      </c>
      <c r="K262">
        <v>5.51</v>
      </c>
    </row>
    <row r="263" spans="1:11" x14ac:dyDescent="0.3">
      <c r="A263" t="s">
        <v>192</v>
      </c>
      <c r="B263" s="25">
        <v>45930</v>
      </c>
      <c r="C263">
        <v>805000</v>
      </c>
      <c r="D263" t="s">
        <v>268</v>
      </c>
      <c r="E263" t="s">
        <v>348</v>
      </c>
      <c r="F263">
        <v>138844.39000000001</v>
      </c>
      <c r="G263" s="29">
        <v>3.04E-2</v>
      </c>
      <c r="H263">
        <v>1314983.48</v>
      </c>
      <c r="I263">
        <v>374229.28</v>
      </c>
      <c r="J263" s="29">
        <v>0.2215</v>
      </c>
      <c r="K263">
        <v>5.76</v>
      </c>
    </row>
    <row r="264" spans="1:11" x14ac:dyDescent="0.3">
      <c r="A264" t="s">
        <v>192</v>
      </c>
      <c r="B264" s="25">
        <v>45961</v>
      </c>
      <c r="C264">
        <v>805000</v>
      </c>
      <c r="D264" t="s">
        <v>268</v>
      </c>
      <c r="E264" t="s">
        <v>348</v>
      </c>
      <c r="F264">
        <v>161498.04999999999</v>
      </c>
      <c r="G264" s="29">
        <v>3.6757999999999999E-2</v>
      </c>
      <c r="H264">
        <v>1529534.31</v>
      </c>
      <c r="I264">
        <v>435287.99</v>
      </c>
      <c r="J264" s="29">
        <v>0.2215</v>
      </c>
      <c r="K264">
        <v>5.62</v>
      </c>
    </row>
    <row r="265" spans="1:11" x14ac:dyDescent="0.3">
      <c r="A265" t="s">
        <v>192</v>
      </c>
      <c r="B265" s="25">
        <v>45991</v>
      </c>
      <c r="C265">
        <v>805000</v>
      </c>
      <c r="D265" t="s">
        <v>268</v>
      </c>
      <c r="E265" t="s">
        <v>348</v>
      </c>
      <c r="F265">
        <v>173491.88</v>
      </c>
      <c r="G265" s="29">
        <v>3.9861000000000001E-2</v>
      </c>
      <c r="H265">
        <v>1643126.9</v>
      </c>
      <c r="I265">
        <v>467615.14</v>
      </c>
      <c r="J265" s="29">
        <v>0.2215</v>
      </c>
      <c r="K265">
        <v>5.67</v>
      </c>
    </row>
    <row r="266" spans="1:11" x14ac:dyDescent="0.3">
      <c r="A266" t="s">
        <v>192</v>
      </c>
      <c r="B266" s="25">
        <v>45657</v>
      </c>
      <c r="C266">
        <v>780192</v>
      </c>
      <c r="D266" t="s">
        <v>268</v>
      </c>
      <c r="E266" t="s">
        <v>347</v>
      </c>
      <c r="F266">
        <v>128153.33</v>
      </c>
      <c r="G266" s="29">
        <v>2.8197E-2</v>
      </c>
      <c r="H266">
        <v>1352085.59</v>
      </c>
      <c r="I266">
        <v>389112.6</v>
      </c>
      <c r="J266" s="29">
        <v>0.2235</v>
      </c>
      <c r="K266">
        <v>4.62</v>
      </c>
    </row>
    <row r="267" spans="1:11" x14ac:dyDescent="0.3">
      <c r="A267" t="s">
        <v>192</v>
      </c>
      <c r="B267" s="25">
        <v>45688</v>
      </c>
      <c r="C267">
        <v>780192</v>
      </c>
      <c r="D267" t="s">
        <v>268</v>
      </c>
      <c r="E267" t="s">
        <v>347</v>
      </c>
      <c r="F267">
        <v>129803.51</v>
      </c>
      <c r="G267" s="29">
        <v>2.8528999999999999E-2</v>
      </c>
      <c r="H267">
        <v>1369495.88</v>
      </c>
      <c r="I267">
        <v>394123.06</v>
      </c>
      <c r="J267" s="29">
        <v>0.2235</v>
      </c>
      <c r="K267">
        <v>4.79</v>
      </c>
    </row>
    <row r="268" spans="1:11" x14ac:dyDescent="0.3">
      <c r="A268" t="s">
        <v>192</v>
      </c>
      <c r="B268" s="25">
        <v>45716</v>
      </c>
      <c r="C268">
        <v>780192</v>
      </c>
      <c r="D268" t="s">
        <v>268</v>
      </c>
      <c r="E268" t="s">
        <v>347</v>
      </c>
      <c r="F268">
        <v>134736.51</v>
      </c>
      <c r="G268" s="29">
        <v>2.8727999999999997E-2</v>
      </c>
      <c r="H268">
        <v>1421541.65</v>
      </c>
      <c r="I268">
        <v>409101.15</v>
      </c>
      <c r="J268" s="29">
        <v>0.2235</v>
      </c>
      <c r="K268">
        <v>4.8600000000000003</v>
      </c>
    </row>
    <row r="269" spans="1:11" x14ac:dyDescent="0.3">
      <c r="A269" t="s">
        <v>192</v>
      </c>
      <c r="B269" s="25">
        <v>45747</v>
      </c>
      <c r="C269">
        <v>780192</v>
      </c>
      <c r="D269" t="s">
        <v>268</v>
      </c>
      <c r="E269" t="s">
        <v>347</v>
      </c>
      <c r="F269">
        <v>165875.88</v>
      </c>
      <c r="G269" s="29">
        <v>3.7572999999999995E-2</v>
      </c>
      <c r="H269">
        <v>1750078.44</v>
      </c>
      <c r="I269">
        <v>503649.75</v>
      </c>
      <c r="J269" s="29">
        <v>0.2235</v>
      </c>
      <c r="K269">
        <v>4.6500000000000004</v>
      </c>
    </row>
    <row r="270" spans="1:11" x14ac:dyDescent="0.3">
      <c r="A270" t="s">
        <v>192</v>
      </c>
      <c r="B270" s="25">
        <v>45777</v>
      </c>
      <c r="C270">
        <v>780192</v>
      </c>
      <c r="D270" t="s">
        <v>268</v>
      </c>
      <c r="E270" t="s">
        <v>347</v>
      </c>
      <c r="F270">
        <v>137358.14000000001</v>
      </c>
      <c r="G270" s="29">
        <v>2.9104000000000001E-2</v>
      </c>
      <c r="H270">
        <v>1449201.22</v>
      </c>
      <c r="I270">
        <v>417061.21</v>
      </c>
      <c r="J270" s="29">
        <v>0.2235</v>
      </c>
      <c r="K270">
        <v>5.4</v>
      </c>
    </row>
    <row r="271" spans="1:11" x14ac:dyDescent="0.3">
      <c r="A271" t="s">
        <v>192</v>
      </c>
      <c r="B271" s="25">
        <v>45808</v>
      </c>
      <c r="C271">
        <v>780192</v>
      </c>
      <c r="D271" t="s">
        <v>268</v>
      </c>
      <c r="E271" t="s">
        <v>347</v>
      </c>
      <c r="F271">
        <v>145278.26999999999</v>
      </c>
      <c r="G271" s="29">
        <v>3.0853999999999999E-2</v>
      </c>
      <c r="H271">
        <v>1532762.75</v>
      </c>
      <c r="I271">
        <v>441109.13</v>
      </c>
      <c r="J271" s="29">
        <v>0.2235</v>
      </c>
      <c r="K271">
        <v>5.23</v>
      </c>
    </row>
    <row r="272" spans="1:11" x14ac:dyDescent="0.3">
      <c r="A272" t="s">
        <v>192</v>
      </c>
      <c r="B272" s="25">
        <v>45838</v>
      </c>
      <c r="C272">
        <v>780192</v>
      </c>
      <c r="D272" t="s">
        <v>268</v>
      </c>
      <c r="E272" t="s">
        <v>347</v>
      </c>
      <c r="F272">
        <v>142485.73000000001</v>
      </c>
      <c r="G272" s="29">
        <v>3.0495999999999999E-2</v>
      </c>
      <c r="H272">
        <v>1503299.97</v>
      </c>
      <c r="I272">
        <v>432630.13</v>
      </c>
      <c r="J272" s="29">
        <v>0.2235</v>
      </c>
      <c r="K272">
        <v>4.74</v>
      </c>
    </row>
    <row r="273" spans="1:11" x14ac:dyDescent="0.3">
      <c r="A273" t="s">
        <v>192</v>
      </c>
      <c r="B273" s="25">
        <v>45869</v>
      </c>
      <c r="C273">
        <v>780192</v>
      </c>
      <c r="D273" t="s">
        <v>268</v>
      </c>
      <c r="E273" t="s">
        <v>347</v>
      </c>
      <c r="F273">
        <v>135473.59</v>
      </c>
      <c r="G273" s="29">
        <v>2.9687999999999999E-2</v>
      </c>
      <c r="H273">
        <v>1429318.19</v>
      </c>
      <c r="I273">
        <v>411339.14</v>
      </c>
      <c r="J273" s="29">
        <v>0.2235</v>
      </c>
      <c r="K273">
        <v>5.0199999999999996</v>
      </c>
    </row>
    <row r="274" spans="1:11" x14ac:dyDescent="0.3">
      <c r="A274" t="s">
        <v>192</v>
      </c>
      <c r="B274" s="25">
        <v>45900</v>
      </c>
      <c r="C274">
        <v>780192</v>
      </c>
      <c r="D274" t="s">
        <v>268</v>
      </c>
      <c r="E274" t="s">
        <v>347</v>
      </c>
      <c r="F274">
        <v>142269.19</v>
      </c>
      <c r="G274" s="29">
        <v>3.2799000000000002E-2</v>
      </c>
      <c r="H274">
        <v>1501015.35</v>
      </c>
      <c r="I274">
        <v>431972.64</v>
      </c>
      <c r="J274" s="29">
        <v>0.2235</v>
      </c>
      <c r="K274">
        <v>4.68</v>
      </c>
    </row>
    <row r="275" spans="1:11" x14ac:dyDescent="0.3">
      <c r="A275" t="s">
        <v>192</v>
      </c>
      <c r="B275" s="25">
        <v>45930</v>
      </c>
      <c r="C275">
        <v>780192</v>
      </c>
      <c r="D275" t="s">
        <v>268</v>
      </c>
      <c r="E275" t="s">
        <v>347</v>
      </c>
      <c r="F275">
        <v>148618.65</v>
      </c>
      <c r="G275" s="29">
        <v>3.2539999999999999E-2</v>
      </c>
      <c r="H275">
        <v>1568005.51</v>
      </c>
      <c r="I275">
        <v>451251.54</v>
      </c>
      <c r="J275" s="29">
        <v>0.2235</v>
      </c>
      <c r="K275">
        <v>4.88</v>
      </c>
    </row>
    <row r="276" spans="1:11" x14ac:dyDescent="0.3">
      <c r="A276" t="s">
        <v>192</v>
      </c>
      <c r="B276" s="25">
        <v>45961</v>
      </c>
      <c r="C276">
        <v>780192</v>
      </c>
      <c r="D276" t="s">
        <v>268</v>
      </c>
      <c r="E276" t="s">
        <v>347</v>
      </c>
      <c r="F276">
        <v>132157.78</v>
      </c>
      <c r="G276" s="29">
        <v>3.0079999999999999E-2</v>
      </c>
      <c r="H276">
        <v>1394334.63</v>
      </c>
      <c r="I276">
        <v>401271.32</v>
      </c>
      <c r="J276" s="29">
        <v>0.2235</v>
      </c>
      <c r="K276">
        <v>4.72</v>
      </c>
    </row>
    <row r="277" spans="1:11" x14ac:dyDescent="0.3">
      <c r="A277" t="s">
        <v>192</v>
      </c>
      <c r="B277" s="25">
        <v>45991</v>
      </c>
      <c r="C277">
        <v>780192</v>
      </c>
      <c r="D277" t="s">
        <v>268</v>
      </c>
      <c r="E277" t="s">
        <v>347</v>
      </c>
      <c r="F277">
        <v>153342.51</v>
      </c>
      <c r="G277" s="29">
        <v>3.5231999999999999E-2</v>
      </c>
      <c r="H277">
        <v>1617844.75</v>
      </c>
      <c r="I277">
        <v>465594.62</v>
      </c>
      <c r="J277" s="29">
        <v>0.2235</v>
      </c>
      <c r="K277">
        <v>4.59</v>
      </c>
    </row>
    <row r="278" spans="1:11" x14ac:dyDescent="0.3">
      <c r="A278" t="s">
        <v>192</v>
      </c>
      <c r="B278" s="25">
        <v>45657</v>
      </c>
      <c r="C278">
        <v>729053</v>
      </c>
      <c r="D278" t="s">
        <v>316</v>
      </c>
      <c r="E278" t="s">
        <v>361</v>
      </c>
      <c r="F278">
        <v>51503.95</v>
      </c>
      <c r="G278" s="29">
        <v>1.1332E-2</v>
      </c>
      <c r="H278">
        <v>598592.77</v>
      </c>
      <c r="I278">
        <v>167952.35</v>
      </c>
      <c r="J278" s="29">
        <v>0.21909999999999999</v>
      </c>
      <c r="K278">
        <v>4.5199999999999996</v>
      </c>
    </row>
    <row r="279" spans="1:11" x14ac:dyDescent="0.3">
      <c r="A279" t="s">
        <v>192</v>
      </c>
      <c r="B279" s="25">
        <v>45688</v>
      </c>
      <c r="C279">
        <v>729053</v>
      </c>
      <c r="D279" t="s">
        <v>316</v>
      </c>
      <c r="E279" t="s">
        <v>361</v>
      </c>
      <c r="F279">
        <v>47894.15</v>
      </c>
      <c r="G279" s="29">
        <v>1.0527E-2</v>
      </c>
      <c r="H279">
        <v>556638.73</v>
      </c>
      <c r="I279">
        <v>156180.95000000001</v>
      </c>
      <c r="J279" s="29">
        <v>0.21909999999999999</v>
      </c>
      <c r="K279">
        <v>4.6500000000000004</v>
      </c>
    </row>
    <row r="280" spans="1:11" x14ac:dyDescent="0.3">
      <c r="A280" t="s">
        <v>192</v>
      </c>
      <c r="B280" s="25">
        <v>45716</v>
      </c>
      <c r="C280">
        <v>729053</v>
      </c>
      <c r="D280" t="s">
        <v>316</v>
      </c>
      <c r="E280" t="s">
        <v>361</v>
      </c>
      <c r="F280">
        <v>49318.93</v>
      </c>
      <c r="G280" s="29">
        <v>1.0515000000000002E-2</v>
      </c>
      <c r="H280">
        <v>573197.93000000005</v>
      </c>
      <c r="I280">
        <v>160827.1</v>
      </c>
      <c r="J280" s="29">
        <v>0.21909999999999999</v>
      </c>
      <c r="K280">
        <v>4.34</v>
      </c>
    </row>
    <row r="281" spans="1:11" x14ac:dyDescent="0.3">
      <c r="A281" t="s">
        <v>192</v>
      </c>
      <c r="B281" s="25">
        <v>45747</v>
      </c>
      <c r="C281">
        <v>729053</v>
      </c>
      <c r="D281" t="s">
        <v>316</v>
      </c>
      <c r="E281" t="s">
        <v>361</v>
      </c>
      <c r="F281">
        <v>53613.98</v>
      </c>
      <c r="G281" s="29">
        <v>1.2143999999999999E-2</v>
      </c>
      <c r="H281">
        <v>623116.16</v>
      </c>
      <c r="I281">
        <v>174833.09</v>
      </c>
      <c r="J281" s="29">
        <v>0.21909999999999999</v>
      </c>
      <c r="K281">
        <v>4.45</v>
      </c>
    </row>
    <row r="282" spans="1:11" x14ac:dyDescent="0.3">
      <c r="A282" t="s">
        <v>192</v>
      </c>
      <c r="B282" s="25">
        <v>45777</v>
      </c>
      <c r="C282">
        <v>729053</v>
      </c>
      <c r="D282" t="s">
        <v>316</v>
      </c>
      <c r="E282" t="s">
        <v>361</v>
      </c>
      <c r="F282">
        <v>56979.839999999997</v>
      </c>
      <c r="G282" s="29">
        <v>1.2073E-2</v>
      </c>
      <c r="H282">
        <v>662235.01</v>
      </c>
      <c r="I282">
        <v>185809.01</v>
      </c>
      <c r="J282" s="29">
        <v>0.21909999999999999</v>
      </c>
      <c r="K282">
        <v>4.13</v>
      </c>
    </row>
    <row r="283" spans="1:11" x14ac:dyDescent="0.3">
      <c r="A283" t="s">
        <v>192</v>
      </c>
      <c r="B283" s="25">
        <v>45808</v>
      </c>
      <c r="C283">
        <v>729053</v>
      </c>
      <c r="D283" t="s">
        <v>316</v>
      </c>
      <c r="E283" t="s">
        <v>361</v>
      </c>
      <c r="F283">
        <v>53276.02</v>
      </c>
      <c r="G283" s="29">
        <v>1.1314999999999999E-2</v>
      </c>
      <c r="H283">
        <v>619188.26</v>
      </c>
      <c r="I283">
        <v>173731.01</v>
      </c>
      <c r="J283" s="29">
        <v>0.21909999999999999</v>
      </c>
      <c r="K283">
        <v>4.63</v>
      </c>
    </row>
    <row r="284" spans="1:11" x14ac:dyDescent="0.3">
      <c r="A284" t="s">
        <v>192</v>
      </c>
      <c r="B284" s="25">
        <v>45838</v>
      </c>
      <c r="C284">
        <v>729053</v>
      </c>
      <c r="D284" t="s">
        <v>316</v>
      </c>
      <c r="E284" t="s">
        <v>361</v>
      </c>
      <c r="F284">
        <v>54629.33</v>
      </c>
      <c r="G284" s="29">
        <v>1.1692000000000001E-2</v>
      </c>
      <c r="H284">
        <v>634916.82999999996</v>
      </c>
      <c r="I284">
        <v>178144.11</v>
      </c>
      <c r="J284" s="29">
        <v>0.21909999999999999</v>
      </c>
      <c r="K284">
        <v>4.4400000000000004</v>
      </c>
    </row>
    <row r="285" spans="1:11" x14ac:dyDescent="0.3">
      <c r="A285" t="s">
        <v>192</v>
      </c>
      <c r="B285" s="25">
        <v>45869</v>
      </c>
      <c r="C285">
        <v>729053</v>
      </c>
      <c r="D285" t="s">
        <v>316</v>
      </c>
      <c r="E285" t="s">
        <v>361</v>
      </c>
      <c r="F285">
        <v>47119.92</v>
      </c>
      <c r="G285" s="29">
        <v>1.0326E-2</v>
      </c>
      <c r="H285">
        <v>547640.38</v>
      </c>
      <c r="I285">
        <v>153656.20000000001</v>
      </c>
      <c r="J285" s="29">
        <v>0.21909999999999999</v>
      </c>
      <c r="K285">
        <v>4.72</v>
      </c>
    </row>
    <row r="286" spans="1:11" x14ac:dyDescent="0.3">
      <c r="A286" t="s">
        <v>192</v>
      </c>
      <c r="B286" s="25">
        <v>45900</v>
      </c>
      <c r="C286">
        <v>729053</v>
      </c>
      <c r="D286" t="s">
        <v>316</v>
      </c>
      <c r="E286" t="s">
        <v>361</v>
      </c>
      <c r="F286">
        <v>53943.34</v>
      </c>
      <c r="G286" s="29">
        <v>1.2436000000000001E-2</v>
      </c>
      <c r="H286">
        <v>626944.05000000005</v>
      </c>
      <c r="I286">
        <v>175907.12</v>
      </c>
      <c r="J286" s="29">
        <v>0.21909999999999999</v>
      </c>
      <c r="K286">
        <v>4.46</v>
      </c>
    </row>
    <row r="287" spans="1:11" x14ac:dyDescent="0.3">
      <c r="A287" t="s">
        <v>192</v>
      </c>
      <c r="B287" s="25">
        <v>45930</v>
      </c>
      <c r="C287">
        <v>729053</v>
      </c>
      <c r="D287" t="s">
        <v>316</v>
      </c>
      <c r="E287" t="s">
        <v>361</v>
      </c>
      <c r="F287">
        <v>50073.89</v>
      </c>
      <c r="G287" s="29">
        <v>1.0964E-2</v>
      </c>
      <c r="H287">
        <v>581972.29</v>
      </c>
      <c r="I287">
        <v>163289</v>
      </c>
      <c r="J287" s="29">
        <v>0.21909999999999999</v>
      </c>
      <c r="K287">
        <v>4.2699999999999996</v>
      </c>
    </row>
    <row r="288" spans="1:11" x14ac:dyDescent="0.3">
      <c r="A288" t="s">
        <v>192</v>
      </c>
      <c r="B288" s="25">
        <v>45961</v>
      </c>
      <c r="C288">
        <v>729053</v>
      </c>
      <c r="D288" t="s">
        <v>316</v>
      </c>
      <c r="E288" t="s">
        <v>361</v>
      </c>
      <c r="F288">
        <v>43128.24</v>
      </c>
      <c r="G288" s="29">
        <v>9.8160000000000001E-3</v>
      </c>
      <c r="H288">
        <v>501248.04</v>
      </c>
      <c r="I288">
        <v>140639.5</v>
      </c>
      <c r="J288" s="29">
        <v>0.21909999999999999</v>
      </c>
      <c r="K288">
        <v>4.6500000000000004</v>
      </c>
    </row>
    <row r="289" spans="1:11" x14ac:dyDescent="0.3">
      <c r="A289" t="s">
        <v>192</v>
      </c>
      <c r="B289" s="25">
        <v>45991</v>
      </c>
      <c r="C289">
        <v>729053</v>
      </c>
      <c r="D289" t="s">
        <v>316</v>
      </c>
      <c r="E289" t="s">
        <v>361</v>
      </c>
      <c r="F289">
        <v>42998.66</v>
      </c>
      <c r="G289" s="29">
        <v>9.8790000000000006E-3</v>
      </c>
      <c r="H289">
        <v>499741.97</v>
      </c>
      <c r="I289">
        <v>140216.93</v>
      </c>
      <c r="J289" s="29">
        <v>0.21909999999999999</v>
      </c>
      <c r="K289">
        <v>4.6500000000000004</v>
      </c>
    </row>
    <row r="290" spans="1:11" x14ac:dyDescent="0.3">
      <c r="A290" t="s">
        <v>192</v>
      </c>
      <c r="B290" s="25">
        <v>45657</v>
      </c>
      <c r="C290">
        <v>775835</v>
      </c>
      <c r="D290" t="s">
        <v>322</v>
      </c>
      <c r="E290" t="s">
        <v>351</v>
      </c>
      <c r="F290">
        <v>24404.47</v>
      </c>
      <c r="G290" s="29">
        <v>5.3700000000000006E-3</v>
      </c>
      <c r="H290">
        <v>271715.62</v>
      </c>
      <c r="I290">
        <v>67248.59</v>
      </c>
      <c r="J290" s="29">
        <v>0.19839999999999999</v>
      </c>
      <c r="K290">
        <v>4.51</v>
      </c>
    </row>
    <row r="291" spans="1:11" x14ac:dyDescent="0.3">
      <c r="A291" t="s">
        <v>192</v>
      </c>
      <c r="B291" s="25">
        <v>45688</v>
      </c>
      <c r="C291">
        <v>775835</v>
      </c>
      <c r="D291" t="s">
        <v>322</v>
      </c>
      <c r="E291" t="s">
        <v>351</v>
      </c>
      <c r="F291">
        <v>27440.63</v>
      </c>
      <c r="G291" s="29">
        <v>6.0309999999999999E-3</v>
      </c>
      <c r="H291">
        <v>305519.67</v>
      </c>
      <c r="I291">
        <v>75614.97</v>
      </c>
      <c r="J291" s="29">
        <v>0.19839999999999999</v>
      </c>
      <c r="K291">
        <v>4.87</v>
      </c>
    </row>
    <row r="292" spans="1:11" x14ac:dyDescent="0.3">
      <c r="A292" t="s">
        <v>192</v>
      </c>
      <c r="B292" s="25">
        <v>45716</v>
      </c>
      <c r="C292">
        <v>775835</v>
      </c>
      <c r="D292" t="s">
        <v>322</v>
      </c>
      <c r="E292" t="s">
        <v>351</v>
      </c>
      <c r="F292">
        <v>25143.23</v>
      </c>
      <c r="G292" s="29">
        <v>5.3610000000000003E-3</v>
      </c>
      <c r="H292">
        <v>279940.77</v>
      </c>
      <c r="I292">
        <v>69284.289999999994</v>
      </c>
      <c r="J292" s="29">
        <v>0.19839999999999999</v>
      </c>
      <c r="K292">
        <v>4.42</v>
      </c>
    </row>
    <row r="293" spans="1:11" x14ac:dyDescent="0.3">
      <c r="A293" t="s">
        <v>192</v>
      </c>
      <c r="B293" s="25">
        <v>45747</v>
      </c>
      <c r="C293">
        <v>775835</v>
      </c>
      <c r="D293" t="s">
        <v>322</v>
      </c>
      <c r="E293" t="s">
        <v>351</v>
      </c>
      <c r="F293">
        <v>28935.78</v>
      </c>
      <c r="G293" s="29">
        <v>6.5539999999999999E-3</v>
      </c>
      <c r="H293">
        <v>322166.53000000003</v>
      </c>
      <c r="I293">
        <v>79735</v>
      </c>
      <c r="J293" s="29">
        <v>0.19839999999999999</v>
      </c>
      <c r="K293">
        <v>4.72</v>
      </c>
    </row>
    <row r="294" spans="1:11" x14ac:dyDescent="0.3">
      <c r="A294" t="s">
        <v>192</v>
      </c>
      <c r="B294" s="25">
        <v>45777</v>
      </c>
      <c r="C294">
        <v>775835</v>
      </c>
      <c r="D294" t="s">
        <v>322</v>
      </c>
      <c r="E294" t="s">
        <v>351</v>
      </c>
      <c r="F294">
        <v>21383.57</v>
      </c>
      <c r="G294" s="29">
        <v>4.5310000000000003E-3</v>
      </c>
      <c r="H294">
        <v>238081.32</v>
      </c>
      <c r="I294">
        <v>58924.23</v>
      </c>
      <c r="J294" s="29">
        <v>0.19839999999999999</v>
      </c>
      <c r="K294">
        <v>4.42</v>
      </c>
    </row>
    <row r="295" spans="1:11" x14ac:dyDescent="0.3">
      <c r="A295" t="s">
        <v>192</v>
      </c>
      <c r="B295" s="25">
        <v>45808</v>
      </c>
      <c r="C295">
        <v>775835</v>
      </c>
      <c r="D295" t="s">
        <v>322</v>
      </c>
      <c r="E295" t="s">
        <v>351</v>
      </c>
      <c r="F295">
        <v>24036.92</v>
      </c>
      <c r="G295" s="29">
        <v>5.1049999999999993E-3</v>
      </c>
      <c r="H295">
        <v>267623.28000000003</v>
      </c>
      <c r="I295">
        <v>66235.75</v>
      </c>
      <c r="J295" s="29">
        <v>0.19839999999999999</v>
      </c>
      <c r="K295">
        <v>4.58</v>
      </c>
    </row>
    <row r="296" spans="1:11" x14ac:dyDescent="0.3">
      <c r="A296" t="s">
        <v>192</v>
      </c>
      <c r="B296" s="25">
        <v>45838</v>
      </c>
      <c r="C296">
        <v>775835</v>
      </c>
      <c r="D296" t="s">
        <v>322</v>
      </c>
      <c r="E296" t="s">
        <v>351</v>
      </c>
      <c r="F296">
        <v>27737.03</v>
      </c>
      <c r="G296" s="29">
        <v>5.9370000000000004E-3</v>
      </c>
      <c r="H296">
        <v>308819.76</v>
      </c>
      <c r="I296">
        <v>76431.73</v>
      </c>
      <c r="J296" s="29">
        <v>0.19839999999999999</v>
      </c>
      <c r="K296">
        <v>4.4800000000000004</v>
      </c>
    </row>
    <row r="297" spans="1:11" x14ac:dyDescent="0.3">
      <c r="A297" t="s">
        <v>192</v>
      </c>
      <c r="B297" s="25">
        <v>45869</v>
      </c>
      <c r="C297">
        <v>775835</v>
      </c>
      <c r="D297" t="s">
        <v>322</v>
      </c>
      <c r="E297" t="s">
        <v>351</v>
      </c>
      <c r="F297">
        <v>27208.46</v>
      </c>
      <c r="G297" s="29">
        <v>5.9619999999999994E-3</v>
      </c>
      <c r="H297">
        <v>302934.71000000002</v>
      </c>
      <c r="I297">
        <v>74975.199999999997</v>
      </c>
      <c r="J297" s="29">
        <v>0.19839999999999999</v>
      </c>
      <c r="K297">
        <v>5.16</v>
      </c>
    </row>
    <row r="298" spans="1:11" x14ac:dyDescent="0.3">
      <c r="A298" t="s">
        <v>192</v>
      </c>
      <c r="B298" s="25">
        <v>45900</v>
      </c>
      <c r="C298">
        <v>775835</v>
      </c>
      <c r="D298" t="s">
        <v>322</v>
      </c>
      <c r="E298" t="s">
        <v>351</v>
      </c>
      <c r="F298">
        <v>27029.52</v>
      </c>
      <c r="G298" s="29">
        <v>6.2309999999999996E-3</v>
      </c>
      <c r="H298">
        <v>300942.48</v>
      </c>
      <c r="I298">
        <v>74482.13</v>
      </c>
      <c r="J298" s="29">
        <v>0.19839999999999999</v>
      </c>
      <c r="K298">
        <v>4.93</v>
      </c>
    </row>
    <row r="299" spans="1:11" x14ac:dyDescent="0.3">
      <c r="A299" t="s">
        <v>192</v>
      </c>
      <c r="B299" s="25">
        <v>45930</v>
      </c>
      <c r="C299">
        <v>775835</v>
      </c>
      <c r="D299" t="s">
        <v>322</v>
      </c>
      <c r="E299" t="s">
        <v>351</v>
      </c>
      <c r="F299">
        <v>23609.07</v>
      </c>
      <c r="G299" s="29">
        <v>5.169E-3</v>
      </c>
      <c r="H299">
        <v>262859.69</v>
      </c>
      <c r="I299">
        <v>65056.78</v>
      </c>
      <c r="J299" s="29">
        <v>0.19839999999999999</v>
      </c>
      <c r="K299">
        <v>5.05</v>
      </c>
    </row>
    <row r="300" spans="1:11" x14ac:dyDescent="0.3">
      <c r="A300" t="s">
        <v>192</v>
      </c>
      <c r="B300" s="25">
        <v>45961</v>
      </c>
      <c r="C300">
        <v>775835</v>
      </c>
      <c r="D300" t="s">
        <v>322</v>
      </c>
      <c r="E300" t="s">
        <v>351</v>
      </c>
      <c r="F300">
        <v>27425.26</v>
      </c>
      <c r="G300" s="29">
        <v>6.2420000000000002E-3</v>
      </c>
      <c r="H300">
        <v>305348.56</v>
      </c>
      <c r="I300">
        <v>75572.62</v>
      </c>
      <c r="J300" s="29">
        <v>0.19839999999999999</v>
      </c>
      <c r="K300">
        <v>4.4000000000000004</v>
      </c>
    </row>
    <row r="301" spans="1:11" x14ac:dyDescent="0.3">
      <c r="A301" t="s">
        <v>192</v>
      </c>
      <c r="B301" s="25">
        <v>45991</v>
      </c>
      <c r="C301">
        <v>775835</v>
      </c>
      <c r="D301" t="s">
        <v>322</v>
      </c>
      <c r="E301" t="s">
        <v>351</v>
      </c>
      <c r="F301">
        <v>24369.8</v>
      </c>
      <c r="G301" s="29">
        <v>5.5989999999999998E-3</v>
      </c>
      <c r="H301">
        <v>271329.59999999998</v>
      </c>
      <c r="I301">
        <v>67153.05</v>
      </c>
      <c r="J301" s="29">
        <v>0.19839999999999999</v>
      </c>
      <c r="K301">
        <v>4.75</v>
      </c>
    </row>
    <row r="302" spans="1:11" x14ac:dyDescent="0.3">
      <c r="A302" t="s">
        <v>192</v>
      </c>
      <c r="B302" s="25">
        <v>45657</v>
      </c>
      <c r="C302">
        <v>588137</v>
      </c>
      <c r="D302" t="s">
        <v>322</v>
      </c>
      <c r="E302" t="s">
        <v>340</v>
      </c>
      <c r="F302">
        <v>105105.07</v>
      </c>
      <c r="G302" s="29">
        <v>2.3126000000000001E-2</v>
      </c>
      <c r="H302">
        <v>1158331.22</v>
      </c>
      <c r="I302">
        <v>302798.7</v>
      </c>
      <c r="J302" s="29">
        <v>0.2072</v>
      </c>
      <c r="K302">
        <v>5.03</v>
      </c>
    </row>
    <row r="303" spans="1:11" x14ac:dyDescent="0.3">
      <c r="A303" t="s">
        <v>192</v>
      </c>
      <c r="B303" s="25">
        <v>45688</v>
      </c>
      <c r="C303">
        <v>588137</v>
      </c>
      <c r="D303" t="s">
        <v>322</v>
      </c>
      <c r="E303" t="s">
        <v>340</v>
      </c>
      <c r="F303">
        <v>105014.1</v>
      </c>
      <c r="G303" s="29">
        <v>2.3081000000000001E-2</v>
      </c>
      <c r="H303">
        <v>1157328.6499999999</v>
      </c>
      <c r="I303">
        <v>302536.62</v>
      </c>
      <c r="J303" s="29">
        <v>0.2072</v>
      </c>
      <c r="K303">
        <v>4.66</v>
      </c>
    </row>
    <row r="304" spans="1:11" x14ac:dyDescent="0.3">
      <c r="A304" t="s">
        <v>192</v>
      </c>
      <c r="B304" s="25">
        <v>45716</v>
      </c>
      <c r="C304">
        <v>588137</v>
      </c>
      <c r="D304" t="s">
        <v>322</v>
      </c>
      <c r="E304" t="s">
        <v>340</v>
      </c>
      <c r="F304">
        <v>102598.67</v>
      </c>
      <c r="G304" s="29">
        <v>2.1874999999999999E-2</v>
      </c>
      <c r="H304">
        <v>1130708.95</v>
      </c>
      <c r="I304">
        <v>295577.98</v>
      </c>
      <c r="J304" s="29">
        <v>0.2072</v>
      </c>
      <c r="K304">
        <v>4.4000000000000004</v>
      </c>
    </row>
    <row r="305" spans="1:11" x14ac:dyDescent="0.3">
      <c r="A305" t="s">
        <v>192</v>
      </c>
      <c r="B305" s="25">
        <v>45747</v>
      </c>
      <c r="C305">
        <v>588137</v>
      </c>
      <c r="D305" t="s">
        <v>322</v>
      </c>
      <c r="E305" t="s">
        <v>340</v>
      </c>
      <c r="F305">
        <v>115971.68</v>
      </c>
      <c r="G305" s="29">
        <v>2.6269000000000001E-2</v>
      </c>
      <c r="H305">
        <v>1278088.8799999999</v>
      </c>
      <c r="I305">
        <v>334104.48</v>
      </c>
      <c r="J305" s="29">
        <v>0.2072</v>
      </c>
      <c r="K305">
        <v>4.8899999999999997</v>
      </c>
    </row>
    <row r="306" spans="1:11" x14ac:dyDescent="0.3">
      <c r="A306" t="s">
        <v>192</v>
      </c>
      <c r="B306" s="25">
        <v>45777</v>
      </c>
      <c r="C306">
        <v>588137</v>
      </c>
      <c r="D306" t="s">
        <v>322</v>
      </c>
      <c r="E306" t="s">
        <v>340</v>
      </c>
      <c r="F306">
        <v>123242.09</v>
      </c>
      <c r="G306" s="29">
        <v>2.6113000000000001E-2</v>
      </c>
      <c r="H306">
        <v>1358213.87</v>
      </c>
      <c r="I306">
        <v>355049.91</v>
      </c>
      <c r="J306" s="29">
        <v>0.2072</v>
      </c>
      <c r="K306">
        <v>4.67</v>
      </c>
    </row>
    <row r="307" spans="1:11" x14ac:dyDescent="0.3">
      <c r="A307" t="s">
        <v>192</v>
      </c>
      <c r="B307" s="25">
        <v>45808</v>
      </c>
      <c r="C307">
        <v>588137</v>
      </c>
      <c r="D307" t="s">
        <v>322</v>
      </c>
      <c r="E307" t="s">
        <v>340</v>
      </c>
      <c r="F307">
        <v>108186.79</v>
      </c>
      <c r="G307" s="29">
        <v>2.2976E-2</v>
      </c>
      <c r="H307">
        <v>1192294.01</v>
      </c>
      <c r="I307">
        <v>311676.89</v>
      </c>
      <c r="J307" s="29">
        <v>0.2072</v>
      </c>
      <c r="K307">
        <v>4.83</v>
      </c>
    </row>
    <row r="308" spans="1:11" x14ac:dyDescent="0.3">
      <c r="A308" t="s">
        <v>192</v>
      </c>
      <c r="B308" s="25">
        <v>45838</v>
      </c>
      <c r="C308">
        <v>588137</v>
      </c>
      <c r="D308" t="s">
        <v>322</v>
      </c>
      <c r="E308" t="s">
        <v>340</v>
      </c>
      <c r="F308">
        <v>91272.18</v>
      </c>
      <c r="G308" s="29">
        <v>1.9535E-2</v>
      </c>
      <c r="H308">
        <v>1005883.1</v>
      </c>
      <c r="I308">
        <v>262947.33</v>
      </c>
      <c r="J308" s="29">
        <v>0.2072</v>
      </c>
      <c r="K308">
        <v>4.84</v>
      </c>
    </row>
    <row r="309" spans="1:11" x14ac:dyDescent="0.3">
      <c r="A309" t="s">
        <v>192</v>
      </c>
      <c r="B309" s="25">
        <v>45869</v>
      </c>
      <c r="C309">
        <v>588137</v>
      </c>
      <c r="D309" t="s">
        <v>322</v>
      </c>
      <c r="E309" t="s">
        <v>340</v>
      </c>
      <c r="F309">
        <v>89211.48</v>
      </c>
      <c r="G309" s="29">
        <v>1.9550000000000001E-2</v>
      </c>
      <c r="H309">
        <v>983172.8</v>
      </c>
      <c r="I309">
        <v>257010.64</v>
      </c>
      <c r="J309" s="29">
        <v>0.2072</v>
      </c>
      <c r="K309">
        <v>5.15</v>
      </c>
    </row>
    <row r="310" spans="1:11" x14ac:dyDescent="0.3">
      <c r="A310" t="s">
        <v>192</v>
      </c>
      <c r="B310" s="25">
        <v>45900</v>
      </c>
      <c r="C310">
        <v>588137</v>
      </c>
      <c r="D310" t="s">
        <v>322</v>
      </c>
      <c r="E310" t="s">
        <v>340</v>
      </c>
      <c r="F310">
        <v>103078.68</v>
      </c>
      <c r="G310" s="29">
        <v>2.3763999999999997E-2</v>
      </c>
      <c r="H310">
        <v>1135999</v>
      </c>
      <c r="I310">
        <v>296960.84999999998</v>
      </c>
      <c r="J310" s="29">
        <v>0.2072</v>
      </c>
      <c r="K310">
        <v>5.22</v>
      </c>
    </row>
    <row r="311" spans="1:11" x14ac:dyDescent="0.3">
      <c r="A311" t="s">
        <v>192</v>
      </c>
      <c r="B311" s="25">
        <v>45930</v>
      </c>
      <c r="C311">
        <v>588137</v>
      </c>
      <c r="D311" t="s">
        <v>322</v>
      </c>
      <c r="E311" t="s">
        <v>340</v>
      </c>
      <c r="F311">
        <v>105074.34</v>
      </c>
      <c r="G311" s="29">
        <v>2.3006000000000002E-2</v>
      </c>
      <c r="H311">
        <v>1157992.56</v>
      </c>
      <c r="I311">
        <v>302710.17</v>
      </c>
      <c r="J311" s="29">
        <v>0.2072</v>
      </c>
      <c r="K311">
        <v>4.66</v>
      </c>
    </row>
    <row r="312" spans="1:11" x14ac:dyDescent="0.3">
      <c r="A312" t="s">
        <v>192</v>
      </c>
      <c r="B312" s="25">
        <v>45961</v>
      </c>
      <c r="C312">
        <v>588137</v>
      </c>
      <c r="D312" t="s">
        <v>322</v>
      </c>
      <c r="E312" t="s">
        <v>340</v>
      </c>
      <c r="F312">
        <v>96086.83</v>
      </c>
      <c r="G312" s="29">
        <v>2.1869999999999997E-2</v>
      </c>
      <c r="H312">
        <v>1058944</v>
      </c>
      <c r="I312">
        <v>276817.94</v>
      </c>
      <c r="J312" s="29">
        <v>0.2072</v>
      </c>
      <c r="K312">
        <v>4.7699999999999996</v>
      </c>
    </row>
    <row r="313" spans="1:11" x14ac:dyDescent="0.3">
      <c r="A313" t="s">
        <v>192</v>
      </c>
      <c r="B313" s="25">
        <v>45991</v>
      </c>
      <c r="C313">
        <v>588137</v>
      </c>
      <c r="D313" t="s">
        <v>322</v>
      </c>
      <c r="E313" t="s">
        <v>340</v>
      </c>
      <c r="F313">
        <v>115662.35</v>
      </c>
      <c r="G313" s="29">
        <v>2.6575000000000001E-2</v>
      </c>
      <c r="H313">
        <v>1274679.8500000001</v>
      </c>
      <c r="I313">
        <v>333213.33</v>
      </c>
      <c r="J313" s="29">
        <v>0.2072</v>
      </c>
      <c r="K313">
        <v>4.8499999999999996</v>
      </c>
    </row>
    <row r="314" spans="1:11" x14ac:dyDescent="0.3">
      <c r="A314" t="s">
        <v>192</v>
      </c>
      <c r="B314" s="25">
        <v>45657</v>
      </c>
      <c r="C314">
        <v>120537</v>
      </c>
      <c r="D314" t="s">
        <v>322</v>
      </c>
      <c r="E314" t="s">
        <v>340</v>
      </c>
      <c r="F314">
        <v>56221.9</v>
      </c>
      <c r="G314" s="29">
        <v>1.2370000000000001E-2</v>
      </c>
      <c r="H314">
        <v>690900.99</v>
      </c>
      <c r="I314">
        <v>171270.65</v>
      </c>
      <c r="J314" s="29">
        <v>0.19869999999999999</v>
      </c>
      <c r="K314">
        <v>4.07</v>
      </c>
    </row>
    <row r="315" spans="1:11" x14ac:dyDescent="0.3">
      <c r="A315" t="s">
        <v>192</v>
      </c>
      <c r="B315" s="25">
        <v>45688</v>
      </c>
      <c r="C315">
        <v>120537</v>
      </c>
      <c r="D315" t="s">
        <v>322</v>
      </c>
      <c r="E315" t="s">
        <v>340</v>
      </c>
      <c r="F315">
        <v>46998.91</v>
      </c>
      <c r="G315" s="29">
        <v>1.0329999999999999E-2</v>
      </c>
      <c r="H315">
        <v>577561.32999999996</v>
      </c>
      <c r="I315">
        <v>143174.35999999999</v>
      </c>
      <c r="J315" s="29">
        <v>0.19869999999999999</v>
      </c>
      <c r="K315">
        <v>3.97</v>
      </c>
    </row>
    <row r="316" spans="1:11" x14ac:dyDescent="0.3">
      <c r="A316" t="s">
        <v>192</v>
      </c>
      <c r="B316" s="25">
        <v>45716</v>
      </c>
      <c r="C316">
        <v>120537</v>
      </c>
      <c r="D316" t="s">
        <v>322</v>
      </c>
      <c r="E316" t="s">
        <v>340</v>
      </c>
      <c r="F316">
        <v>58010.82</v>
      </c>
      <c r="G316" s="29">
        <v>1.2369000000000002E-2</v>
      </c>
      <c r="H316">
        <v>712884.65</v>
      </c>
      <c r="I316">
        <v>176720.29</v>
      </c>
      <c r="J316" s="29">
        <v>0.19869999999999999</v>
      </c>
      <c r="K316">
        <v>4.1100000000000003</v>
      </c>
    </row>
    <row r="317" spans="1:11" x14ac:dyDescent="0.3">
      <c r="A317" t="s">
        <v>192</v>
      </c>
      <c r="B317" s="25">
        <v>45747</v>
      </c>
      <c r="C317">
        <v>120537</v>
      </c>
      <c r="D317" t="s">
        <v>322</v>
      </c>
      <c r="E317" t="s">
        <v>340</v>
      </c>
      <c r="F317">
        <v>59105.29</v>
      </c>
      <c r="G317" s="29">
        <v>1.3388000000000001E-2</v>
      </c>
      <c r="H317">
        <v>726334.45</v>
      </c>
      <c r="I317">
        <v>180054.42</v>
      </c>
      <c r="J317" s="29">
        <v>0.19869999999999999</v>
      </c>
      <c r="K317">
        <v>4.4400000000000004</v>
      </c>
    </row>
    <row r="318" spans="1:11" x14ac:dyDescent="0.3">
      <c r="A318" t="s">
        <v>192</v>
      </c>
      <c r="B318" s="25">
        <v>45777</v>
      </c>
      <c r="C318">
        <v>120537</v>
      </c>
      <c r="D318" t="s">
        <v>322</v>
      </c>
      <c r="E318" t="s">
        <v>340</v>
      </c>
      <c r="F318">
        <v>55303.67</v>
      </c>
      <c r="G318" s="29">
        <v>1.1717999999999999E-2</v>
      </c>
      <c r="H318">
        <v>679617.03</v>
      </c>
      <c r="I318">
        <v>168473.42</v>
      </c>
      <c r="J318" s="29">
        <v>0.19869999999999999</v>
      </c>
      <c r="K318">
        <v>4.18</v>
      </c>
    </row>
    <row r="319" spans="1:11" x14ac:dyDescent="0.3">
      <c r="A319" t="s">
        <v>192</v>
      </c>
      <c r="B319" s="25">
        <v>45808</v>
      </c>
      <c r="C319">
        <v>120537</v>
      </c>
      <c r="D319" t="s">
        <v>322</v>
      </c>
      <c r="E319" t="s">
        <v>340</v>
      </c>
      <c r="F319">
        <v>55698.12</v>
      </c>
      <c r="G319" s="29">
        <v>1.1829000000000001E-2</v>
      </c>
      <c r="H319">
        <v>684464.4</v>
      </c>
      <c r="I319">
        <v>169675.06</v>
      </c>
      <c r="J319" s="29">
        <v>0.19869999999999999</v>
      </c>
      <c r="K319">
        <v>4.1500000000000004</v>
      </c>
    </row>
    <row r="320" spans="1:11" x14ac:dyDescent="0.3">
      <c r="A320" t="s">
        <v>192</v>
      </c>
      <c r="B320" s="25">
        <v>45838</v>
      </c>
      <c r="C320">
        <v>120537</v>
      </c>
      <c r="D320" t="s">
        <v>322</v>
      </c>
      <c r="E320" t="s">
        <v>340</v>
      </c>
      <c r="F320">
        <v>53866.04</v>
      </c>
      <c r="G320" s="29">
        <v>1.1529000000000001E-2</v>
      </c>
      <c r="H320">
        <v>661950.27</v>
      </c>
      <c r="I320">
        <v>164093.93</v>
      </c>
      <c r="J320" s="29">
        <v>0.19869999999999999</v>
      </c>
      <c r="K320">
        <v>4.21</v>
      </c>
    </row>
    <row r="321" spans="1:11" x14ac:dyDescent="0.3">
      <c r="A321" t="s">
        <v>192</v>
      </c>
      <c r="B321" s="25">
        <v>45869</v>
      </c>
      <c r="C321">
        <v>120537</v>
      </c>
      <c r="D321" t="s">
        <v>322</v>
      </c>
      <c r="E321" t="s">
        <v>340</v>
      </c>
      <c r="F321">
        <v>55679.3</v>
      </c>
      <c r="G321" s="29">
        <v>1.2201999999999999E-2</v>
      </c>
      <c r="H321">
        <v>684233.03</v>
      </c>
      <c r="I321">
        <v>169617.7</v>
      </c>
      <c r="J321" s="29">
        <v>0.19869999999999999</v>
      </c>
      <c r="K321">
        <v>3.83</v>
      </c>
    </row>
    <row r="322" spans="1:11" x14ac:dyDescent="0.3">
      <c r="A322" t="s">
        <v>192</v>
      </c>
      <c r="B322" s="25">
        <v>45900</v>
      </c>
      <c r="C322">
        <v>120537</v>
      </c>
      <c r="D322" t="s">
        <v>322</v>
      </c>
      <c r="E322" t="s">
        <v>340</v>
      </c>
      <c r="F322">
        <v>50218.400000000001</v>
      </c>
      <c r="G322" s="29">
        <v>1.1576999999999999E-2</v>
      </c>
      <c r="H322">
        <v>617125.04</v>
      </c>
      <c r="I322">
        <v>152981.99</v>
      </c>
      <c r="J322" s="29">
        <v>0.19869999999999999</v>
      </c>
      <c r="K322">
        <v>4.66</v>
      </c>
    </row>
    <row r="323" spans="1:11" x14ac:dyDescent="0.3">
      <c r="A323" t="s">
        <v>192</v>
      </c>
      <c r="B323" s="25">
        <v>45930</v>
      </c>
      <c r="C323">
        <v>120537</v>
      </c>
      <c r="D323" t="s">
        <v>322</v>
      </c>
      <c r="E323" t="s">
        <v>340</v>
      </c>
      <c r="F323">
        <v>51401.94</v>
      </c>
      <c r="G323" s="29">
        <v>1.1254999999999999E-2</v>
      </c>
      <c r="H323">
        <v>631669.31999999995</v>
      </c>
      <c r="I323">
        <v>156587.44</v>
      </c>
      <c r="J323" s="29">
        <v>0.19869999999999999</v>
      </c>
      <c r="K323">
        <v>4.1900000000000004</v>
      </c>
    </row>
    <row r="324" spans="1:11" x14ac:dyDescent="0.3">
      <c r="A324" t="s">
        <v>192</v>
      </c>
      <c r="B324" s="25">
        <v>45961</v>
      </c>
      <c r="C324">
        <v>120537</v>
      </c>
      <c r="D324" t="s">
        <v>322</v>
      </c>
      <c r="E324" t="s">
        <v>340</v>
      </c>
      <c r="F324">
        <v>53062.29</v>
      </c>
      <c r="G324" s="29">
        <v>1.2076999999999999E-2</v>
      </c>
      <c r="H324">
        <v>652073.09</v>
      </c>
      <c r="I324">
        <v>161645.43</v>
      </c>
      <c r="J324" s="29">
        <v>0.19869999999999999</v>
      </c>
      <c r="K324">
        <v>3.88</v>
      </c>
    </row>
    <row r="325" spans="1:11" x14ac:dyDescent="0.3">
      <c r="A325" t="s">
        <v>192</v>
      </c>
      <c r="B325" s="25">
        <v>45991</v>
      </c>
      <c r="C325">
        <v>120537</v>
      </c>
      <c r="D325" t="s">
        <v>322</v>
      </c>
      <c r="E325" t="s">
        <v>340</v>
      </c>
      <c r="F325">
        <v>44306.75</v>
      </c>
      <c r="G325" s="29">
        <v>1.018E-2</v>
      </c>
      <c r="H325">
        <v>544477.77</v>
      </c>
      <c r="I325">
        <v>134973.12</v>
      </c>
      <c r="J325" s="29">
        <v>0.19869999999999999</v>
      </c>
      <c r="K325">
        <v>4.3600000000000003</v>
      </c>
    </row>
    <row r="326" spans="1:11" x14ac:dyDescent="0.3">
      <c r="A326" t="s">
        <v>192</v>
      </c>
      <c r="B326" s="25">
        <v>45657</v>
      </c>
      <c r="C326">
        <v>239163</v>
      </c>
      <c r="D326" t="s">
        <v>324</v>
      </c>
      <c r="E326" t="s">
        <v>345</v>
      </c>
      <c r="F326">
        <v>112760.64</v>
      </c>
      <c r="G326" s="29">
        <v>2.4809999999999999E-2</v>
      </c>
      <c r="H326">
        <v>1382851.66</v>
      </c>
      <c r="I326">
        <v>363608.89</v>
      </c>
      <c r="J326" s="29">
        <v>0.2082</v>
      </c>
      <c r="K326">
        <v>4.3</v>
      </c>
    </row>
    <row r="327" spans="1:11" x14ac:dyDescent="0.3">
      <c r="A327" t="s">
        <v>192</v>
      </c>
      <c r="B327" s="25">
        <v>45688</v>
      </c>
      <c r="C327">
        <v>239163</v>
      </c>
      <c r="D327" t="s">
        <v>324</v>
      </c>
      <c r="E327" t="s">
        <v>345</v>
      </c>
      <c r="F327">
        <v>131048.12</v>
      </c>
      <c r="G327" s="29">
        <v>2.8803000000000002E-2</v>
      </c>
      <c r="H327">
        <v>1607122.01</v>
      </c>
      <c r="I327">
        <v>422578.84</v>
      </c>
      <c r="J327" s="29">
        <v>0.2082</v>
      </c>
      <c r="K327">
        <v>3.79</v>
      </c>
    </row>
    <row r="328" spans="1:11" x14ac:dyDescent="0.3">
      <c r="A328" t="s">
        <v>192</v>
      </c>
      <c r="B328" s="25">
        <v>45716</v>
      </c>
      <c r="C328">
        <v>239163</v>
      </c>
      <c r="D328" t="s">
        <v>324</v>
      </c>
      <c r="E328" t="s">
        <v>345</v>
      </c>
      <c r="F328">
        <v>105330.36</v>
      </c>
      <c r="G328" s="29">
        <v>2.2457999999999999E-2</v>
      </c>
      <c r="H328">
        <v>1291729.57</v>
      </c>
      <c r="I328">
        <v>339649.13</v>
      </c>
      <c r="J328" s="29">
        <v>0.2082</v>
      </c>
      <c r="K328">
        <v>4.59</v>
      </c>
    </row>
    <row r="329" spans="1:11" x14ac:dyDescent="0.3">
      <c r="A329" t="s">
        <v>192</v>
      </c>
      <c r="B329" s="25">
        <v>45747</v>
      </c>
      <c r="C329">
        <v>239163</v>
      </c>
      <c r="D329" t="s">
        <v>324</v>
      </c>
      <c r="E329" t="s">
        <v>345</v>
      </c>
      <c r="F329">
        <v>115829.47</v>
      </c>
      <c r="G329" s="29">
        <v>2.6237E-2</v>
      </c>
      <c r="H329">
        <v>1420486.5</v>
      </c>
      <c r="I329">
        <v>373504.65</v>
      </c>
      <c r="J329" s="29">
        <v>0.2082</v>
      </c>
      <c r="K329">
        <v>4.1100000000000003</v>
      </c>
    </row>
    <row r="330" spans="1:11" x14ac:dyDescent="0.3">
      <c r="A330" t="s">
        <v>192</v>
      </c>
      <c r="B330" s="25">
        <v>45777</v>
      </c>
      <c r="C330">
        <v>239163</v>
      </c>
      <c r="D330" t="s">
        <v>324</v>
      </c>
      <c r="E330" t="s">
        <v>345</v>
      </c>
      <c r="F330">
        <v>135736.91</v>
      </c>
      <c r="G330" s="29">
        <v>2.8759999999999997E-2</v>
      </c>
      <c r="H330">
        <v>1664623.45</v>
      </c>
      <c r="I330">
        <v>437698.35</v>
      </c>
      <c r="J330" s="29">
        <v>0.2082</v>
      </c>
      <c r="K330">
        <v>4.3</v>
      </c>
    </row>
    <row r="331" spans="1:11" x14ac:dyDescent="0.3">
      <c r="A331" t="s">
        <v>192</v>
      </c>
      <c r="B331" s="25">
        <v>45808</v>
      </c>
      <c r="C331">
        <v>239163</v>
      </c>
      <c r="D331" t="s">
        <v>324</v>
      </c>
      <c r="E331" t="s">
        <v>345</v>
      </c>
      <c r="F331">
        <v>108405.54</v>
      </c>
      <c r="G331" s="29">
        <v>2.3022999999999998E-2</v>
      </c>
      <c r="H331">
        <v>1329442.3799999999</v>
      </c>
      <c r="I331">
        <v>349565.39</v>
      </c>
      <c r="J331" s="29">
        <v>0.2082</v>
      </c>
      <c r="K331">
        <v>4.3099999999999996</v>
      </c>
    </row>
    <row r="332" spans="1:11" x14ac:dyDescent="0.3">
      <c r="A332" t="s">
        <v>192</v>
      </c>
      <c r="B332" s="25">
        <v>45838</v>
      </c>
      <c r="C332">
        <v>239163</v>
      </c>
      <c r="D332" t="s">
        <v>324</v>
      </c>
      <c r="E332" t="s">
        <v>345</v>
      </c>
      <c r="F332">
        <v>112949.94</v>
      </c>
      <c r="G332" s="29">
        <v>2.4174999999999999E-2</v>
      </c>
      <c r="H332">
        <v>1385173.05</v>
      </c>
      <c r="I332">
        <v>364219.28</v>
      </c>
      <c r="J332" s="29">
        <v>0.2082</v>
      </c>
      <c r="K332">
        <v>4.09</v>
      </c>
    </row>
    <row r="333" spans="1:11" x14ac:dyDescent="0.3">
      <c r="A333" t="s">
        <v>192</v>
      </c>
      <c r="B333" s="25">
        <v>45869</v>
      </c>
      <c r="C333">
        <v>239163</v>
      </c>
      <c r="D333" t="s">
        <v>324</v>
      </c>
      <c r="E333" t="s">
        <v>345</v>
      </c>
      <c r="F333">
        <v>94005.85</v>
      </c>
      <c r="G333" s="29">
        <v>2.0600999999999998E-2</v>
      </c>
      <c r="H333">
        <v>1152850.3700000001</v>
      </c>
      <c r="I333">
        <v>303132.03999999998</v>
      </c>
      <c r="J333" s="29">
        <v>0.2082</v>
      </c>
      <c r="K333">
        <v>4.16</v>
      </c>
    </row>
    <row r="334" spans="1:11" x14ac:dyDescent="0.3">
      <c r="A334" t="s">
        <v>192</v>
      </c>
      <c r="B334" s="25">
        <v>45900</v>
      </c>
      <c r="C334">
        <v>239163</v>
      </c>
      <c r="D334" t="s">
        <v>324</v>
      </c>
      <c r="E334" t="s">
        <v>345</v>
      </c>
      <c r="F334">
        <v>108045.89</v>
      </c>
      <c r="G334" s="29">
        <v>2.4909000000000001E-2</v>
      </c>
      <c r="H334">
        <v>1325031.77</v>
      </c>
      <c r="I334">
        <v>348405.65</v>
      </c>
      <c r="J334" s="29">
        <v>0.2082</v>
      </c>
      <c r="K334">
        <v>4.34</v>
      </c>
    </row>
    <row r="335" spans="1:11" x14ac:dyDescent="0.3">
      <c r="A335" t="s">
        <v>192</v>
      </c>
      <c r="B335" s="25">
        <v>45930</v>
      </c>
      <c r="C335">
        <v>239163</v>
      </c>
      <c r="D335" t="s">
        <v>324</v>
      </c>
      <c r="E335" t="s">
        <v>345</v>
      </c>
      <c r="F335">
        <v>122955.41</v>
      </c>
      <c r="G335" s="29">
        <v>2.6921E-2</v>
      </c>
      <c r="H335">
        <v>1507876.17</v>
      </c>
      <c r="I335">
        <v>396483.01</v>
      </c>
      <c r="J335" s="29">
        <v>0.2082</v>
      </c>
      <c r="K335">
        <v>4.4400000000000004</v>
      </c>
    </row>
    <row r="336" spans="1:11" x14ac:dyDescent="0.3">
      <c r="A336" t="s">
        <v>192</v>
      </c>
      <c r="B336" s="25">
        <v>45961</v>
      </c>
      <c r="C336">
        <v>239163</v>
      </c>
      <c r="D336" t="s">
        <v>324</v>
      </c>
      <c r="E336" t="s">
        <v>345</v>
      </c>
      <c r="F336">
        <v>106975.9</v>
      </c>
      <c r="G336" s="29">
        <v>2.4348000000000002E-2</v>
      </c>
      <c r="H336">
        <v>1311909.83</v>
      </c>
      <c r="I336">
        <v>344955.35</v>
      </c>
      <c r="J336" s="29">
        <v>0.2082</v>
      </c>
      <c r="K336">
        <v>4.29</v>
      </c>
    </row>
    <row r="337" spans="1:11" x14ac:dyDescent="0.3">
      <c r="A337" t="s">
        <v>192</v>
      </c>
      <c r="B337" s="25">
        <v>45991</v>
      </c>
      <c r="C337">
        <v>239163</v>
      </c>
      <c r="D337" t="s">
        <v>324</v>
      </c>
      <c r="E337" t="s">
        <v>345</v>
      </c>
      <c r="F337">
        <v>125584.39</v>
      </c>
      <c r="G337" s="29">
        <v>2.8854000000000001E-2</v>
      </c>
      <c r="H337">
        <v>1540116.95</v>
      </c>
      <c r="I337">
        <v>404960.44</v>
      </c>
      <c r="J337" s="29">
        <v>0.2082</v>
      </c>
      <c r="K337">
        <v>4.05</v>
      </c>
    </row>
    <row r="338" spans="1:11" x14ac:dyDescent="0.3">
      <c r="A338" t="s">
        <v>192</v>
      </c>
      <c r="B338" s="25">
        <v>45657</v>
      </c>
      <c r="C338">
        <v>676811</v>
      </c>
      <c r="D338" t="s">
        <v>323</v>
      </c>
      <c r="E338" t="s">
        <v>350</v>
      </c>
      <c r="F338">
        <v>73544.83</v>
      </c>
      <c r="G338" s="29">
        <v>1.6182000000000002E-2</v>
      </c>
      <c r="H338">
        <v>733184.94</v>
      </c>
      <c r="I338">
        <v>200066.79</v>
      </c>
      <c r="J338" s="29">
        <v>0.21440000000000001</v>
      </c>
      <c r="K338">
        <v>4.91</v>
      </c>
    </row>
    <row r="339" spans="1:11" x14ac:dyDescent="0.3">
      <c r="A339" t="s">
        <v>192</v>
      </c>
      <c r="B339" s="25">
        <v>45688</v>
      </c>
      <c r="C339">
        <v>676811</v>
      </c>
      <c r="D339" t="s">
        <v>323</v>
      </c>
      <c r="E339" t="s">
        <v>350</v>
      </c>
      <c r="F339">
        <v>91871.48</v>
      </c>
      <c r="G339" s="29">
        <v>2.0192000000000002E-2</v>
      </c>
      <c r="H339">
        <v>915887.48</v>
      </c>
      <c r="I339">
        <v>249921.48</v>
      </c>
      <c r="J339" s="29">
        <v>0.21440000000000001</v>
      </c>
      <c r="K339">
        <v>5.15</v>
      </c>
    </row>
    <row r="340" spans="1:11" x14ac:dyDescent="0.3">
      <c r="A340" t="s">
        <v>192</v>
      </c>
      <c r="B340" s="25">
        <v>45716</v>
      </c>
      <c r="C340">
        <v>676811</v>
      </c>
      <c r="D340" t="s">
        <v>323</v>
      </c>
      <c r="E340" t="s">
        <v>350</v>
      </c>
      <c r="F340">
        <v>116153.71</v>
      </c>
      <c r="G340" s="29">
        <v>2.4766E-2</v>
      </c>
      <c r="H340">
        <v>1157962.51</v>
      </c>
      <c r="I340">
        <v>315977.36</v>
      </c>
      <c r="J340" s="29">
        <v>0.21440000000000001</v>
      </c>
      <c r="K340">
        <v>4.96</v>
      </c>
    </row>
    <row r="341" spans="1:11" x14ac:dyDescent="0.3">
      <c r="A341" t="s">
        <v>192</v>
      </c>
      <c r="B341" s="25">
        <v>45747</v>
      </c>
      <c r="C341">
        <v>676811</v>
      </c>
      <c r="D341" t="s">
        <v>323</v>
      </c>
      <c r="E341" t="s">
        <v>350</v>
      </c>
      <c r="F341">
        <v>111194.21</v>
      </c>
      <c r="G341" s="29">
        <v>2.5187000000000001E-2</v>
      </c>
      <c r="H341">
        <v>1108520.1499999999</v>
      </c>
      <c r="I341">
        <v>302485.84000000003</v>
      </c>
      <c r="J341" s="29">
        <v>0.21440000000000001</v>
      </c>
      <c r="K341">
        <v>5.7</v>
      </c>
    </row>
    <row r="342" spans="1:11" x14ac:dyDescent="0.3">
      <c r="A342" t="s">
        <v>192</v>
      </c>
      <c r="B342" s="25">
        <v>45777</v>
      </c>
      <c r="C342">
        <v>676811</v>
      </c>
      <c r="D342" t="s">
        <v>323</v>
      </c>
      <c r="E342" t="s">
        <v>350</v>
      </c>
      <c r="F342">
        <v>100565.43</v>
      </c>
      <c r="G342" s="29">
        <v>2.1307999999999997E-2</v>
      </c>
      <c r="H342">
        <v>1002559.43</v>
      </c>
      <c r="I342">
        <v>273571.96000000002</v>
      </c>
      <c r="J342" s="29">
        <v>0.21440000000000001</v>
      </c>
      <c r="K342">
        <v>5.04</v>
      </c>
    </row>
    <row r="343" spans="1:11" x14ac:dyDescent="0.3">
      <c r="A343" t="s">
        <v>192</v>
      </c>
      <c r="B343" s="25">
        <v>45808</v>
      </c>
      <c r="C343">
        <v>676811</v>
      </c>
      <c r="D343" t="s">
        <v>323</v>
      </c>
      <c r="E343" t="s">
        <v>350</v>
      </c>
      <c r="F343">
        <v>116968.5</v>
      </c>
      <c r="G343" s="29">
        <v>2.4841000000000002E-2</v>
      </c>
      <c r="H343">
        <v>1166085.3400000001</v>
      </c>
      <c r="I343">
        <v>318193.86</v>
      </c>
      <c r="J343" s="29">
        <v>0.21440000000000001</v>
      </c>
      <c r="K343">
        <v>5.12</v>
      </c>
    </row>
    <row r="344" spans="1:11" x14ac:dyDescent="0.3">
      <c r="A344" t="s">
        <v>192</v>
      </c>
      <c r="B344" s="25">
        <v>45838</v>
      </c>
      <c r="C344">
        <v>676811</v>
      </c>
      <c r="D344" t="s">
        <v>323</v>
      </c>
      <c r="E344" t="s">
        <v>350</v>
      </c>
      <c r="F344">
        <v>84202.44</v>
      </c>
      <c r="G344" s="29">
        <v>1.8022E-2</v>
      </c>
      <c r="H344">
        <v>839433.14</v>
      </c>
      <c r="I344">
        <v>229059.11</v>
      </c>
      <c r="J344" s="29">
        <v>0.21440000000000001</v>
      </c>
      <c r="K344">
        <v>5.03</v>
      </c>
    </row>
    <row r="345" spans="1:11" x14ac:dyDescent="0.3">
      <c r="A345" t="s">
        <v>192</v>
      </c>
      <c r="B345" s="25">
        <v>45869</v>
      </c>
      <c r="C345">
        <v>676811</v>
      </c>
      <c r="D345" t="s">
        <v>323</v>
      </c>
      <c r="E345" t="s">
        <v>350</v>
      </c>
      <c r="F345">
        <v>102527.4</v>
      </c>
      <c r="G345" s="29">
        <v>2.2467999999999998E-2</v>
      </c>
      <c r="H345">
        <v>1022118.78</v>
      </c>
      <c r="I345">
        <v>278909.19</v>
      </c>
      <c r="J345" s="29">
        <v>0.21440000000000001</v>
      </c>
      <c r="K345">
        <v>5.16</v>
      </c>
    </row>
    <row r="346" spans="1:11" x14ac:dyDescent="0.3">
      <c r="A346" t="s">
        <v>192</v>
      </c>
      <c r="B346" s="25">
        <v>45900</v>
      </c>
      <c r="C346">
        <v>676811</v>
      </c>
      <c r="D346" t="s">
        <v>323</v>
      </c>
      <c r="E346" t="s">
        <v>350</v>
      </c>
      <c r="F346">
        <v>84546.58</v>
      </c>
      <c r="G346" s="29">
        <v>1.9491000000000001E-2</v>
      </c>
      <c r="H346">
        <v>842863.89</v>
      </c>
      <c r="I346">
        <v>229995.27</v>
      </c>
      <c r="J346" s="29">
        <v>0.21440000000000001</v>
      </c>
      <c r="K346">
        <v>5.62</v>
      </c>
    </row>
    <row r="347" spans="1:11" x14ac:dyDescent="0.3">
      <c r="A347" t="s">
        <v>192</v>
      </c>
      <c r="B347" s="25">
        <v>45930</v>
      </c>
      <c r="C347">
        <v>676811</v>
      </c>
      <c r="D347" t="s">
        <v>323</v>
      </c>
      <c r="E347" t="s">
        <v>350</v>
      </c>
      <c r="F347">
        <v>101781.31</v>
      </c>
      <c r="G347" s="29">
        <v>2.2284999999999999E-2</v>
      </c>
      <c r="H347">
        <v>1014680.84</v>
      </c>
      <c r="I347">
        <v>276879.58</v>
      </c>
      <c r="J347" s="29">
        <v>0.21440000000000001</v>
      </c>
      <c r="K347">
        <v>5.51</v>
      </c>
    </row>
    <row r="348" spans="1:11" x14ac:dyDescent="0.3">
      <c r="A348" t="s">
        <v>192</v>
      </c>
      <c r="B348" s="25">
        <v>45961</v>
      </c>
      <c r="C348">
        <v>676811</v>
      </c>
      <c r="D348" t="s">
        <v>323</v>
      </c>
      <c r="E348" t="s">
        <v>350</v>
      </c>
      <c r="F348">
        <v>100814.64</v>
      </c>
      <c r="G348" s="29">
        <v>2.2946000000000001E-2</v>
      </c>
      <c r="H348">
        <v>1005043.85</v>
      </c>
      <c r="I348">
        <v>274249.90000000002</v>
      </c>
      <c r="J348" s="29">
        <v>0.21440000000000001</v>
      </c>
      <c r="K348">
        <v>5.17</v>
      </c>
    </row>
    <row r="349" spans="1:11" x14ac:dyDescent="0.3">
      <c r="A349" t="s">
        <v>192</v>
      </c>
      <c r="B349" s="25">
        <v>45991</v>
      </c>
      <c r="C349">
        <v>676811</v>
      </c>
      <c r="D349" t="s">
        <v>323</v>
      </c>
      <c r="E349" t="s">
        <v>350</v>
      </c>
      <c r="F349">
        <v>110477.4</v>
      </c>
      <c r="G349" s="29">
        <v>2.5382999999999999E-2</v>
      </c>
      <c r="H349">
        <v>1101374.1200000001</v>
      </c>
      <c r="I349">
        <v>300535.88</v>
      </c>
      <c r="J349" s="29">
        <v>0.21440000000000001</v>
      </c>
      <c r="K349">
        <v>5.6</v>
      </c>
    </row>
    <row r="350" spans="1:11" x14ac:dyDescent="0.3">
      <c r="A350" t="s">
        <v>192</v>
      </c>
      <c r="B350" s="25">
        <v>45657</v>
      </c>
      <c r="C350">
        <v>777555</v>
      </c>
      <c r="D350" t="s">
        <v>323</v>
      </c>
      <c r="E350" t="s">
        <v>344</v>
      </c>
      <c r="F350">
        <v>58746.16</v>
      </c>
      <c r="G350" s="29">
        <v>1.2926E-2</v>
      </c>
      <c r="H350">
        <v>638084.43999999994</v>
      </c>
      <c r="I350">
        <v>175373.86</v>
      </c>
      <c r="J350" s="29">
        <v>0.21560000000000001</v>
      </c>
      <c r="K350">
        <v>4.7</v>
      </c>
    </row>
    <row r="351" spans="1:11" x14ac:dyDescent="0.3">
      <c r="A351" t="s">
        <v>192</v>
      </c>
      <c r="B351" s="25">
        <v>45688</v>
      </c>
      <c r="C351">
        <v>777555</v>
      </c>
      <c r="D351" t="s">
        <v>323</v>
      </c>
      <c r="E351" t="s">
        <v>344</v>
      </c>
      <c r="F351">
        <v>61876.47</v>
      </c>
      <c r="G351" s="29">
        <v>1.3600000000000001E-2</v>
      </c>
      <c r="H351">
        <v>672084.97</v>
      </c>
      <c r="I351">
        <v>184718.71</v>
      </c>
      <c r="J351" s="29">
        <v>0.21560000000000001</v>
      </c>
      <c r="K351">
        <v>5.07</v>
      </c>
    </row>
    <row r="352" spans="1:11" x14ac:dyDescent="0.3">
      <c r="A352" t="s">
        <v>192</v>
      </c>
      <c r="B352" s="25">
        <v>45716</v>
      </c>
      <c r="C352">
        <v>777555</v>
      </c>
      <c r="D352" t="s">
        <v>323</v>
      </c>
      <c r="E352" t="s">
        <v>344</v>
      </c>
      <c r="F352">
        <v>65857.78</v>
      </c>
      <c r="G352" s="29">
        <v>1.4041999999999999E-2</v>
      </c>
      <c r="H352">
        <v>715328.87</v>
      </c>
      <c r="I352">
        <v>196604.05</v>
      </c>
      <c r="J352" s="29">
        <v>0.21560000000000001</v>
      </c>
      <c r="K352">
        <v>4.95</v>
      </c>
    </row>
    <row r="353" spans="1:11" x14ac:dyDescent="0.3">
      <c r="A353" t="s">
        <v>192</v>
      </c>
      <c r="B353" s="25">
        <v>45747</v>
      </c>
      <c r="C353">
        <v>777555</v>
      </c>
      <c r="D353" t="s">
        <v>323</v>
      </c>
      <c r="E353" t="s">
        <v>344</v>
      </c>
      <c r="F353">
        <v>58253.56</v>
      </c>
      <c r="G353" s="29">
        <v>1.3194999999999998E-2</v>
      </c>
      <c r="H353">
        <v>632734.02</v>
      </c>
      <c r="I353">
        <v>173903.33</v>
      </c>
      <c r="J353" s="29">
        <v>0.21560000000000001</v>
      </c>
      <c r="K353">
        <v>4.3899999999999997</v>
      </c>
    </row>
    <row r="354" spans="1:11" x14ac:dyDescent="0.3">
      <c r="A354" t="s">
        <v>192</v>
      </c>
      <c r="B354" s="25">
        <v>45777</v>
      </c>
      <c r="C354">
        <v>777555</v>
      </c>
      <c r="D354" t="s">
        <v>323</v>
      </c>
      <c r="E354" t="s">
        <v>344</v>
      </c>
      <c r="F354">
        <v>59365.34</v>
      </c>
      <c r="G354" s="29">
        <v>1.2578000000000001E-2</v>
      </c>
      <c r="H354">
        <v>644809.78</v>
      </c>
      <c r="I354">
        <v>177222.28</v>
      </c>
      <c r="J354" s="29">
        <v>0.21560000000000001</v>
      </c>
      <c r="K354">
        <v>4.93</v>
      </c>
    </row>
    <row r="355" spans="1:11" x14ac:dyDescent="0.3">
      <c r="A355" t="s">
        <v>192</v>
      </c>
      <c r="B355" s="25">
        <v>45808</v>
      </c>
      <c r="C355">
        <v>777555</v>
      </c>
      <c r="D355" t="s">
        <v>323</v>
      </c>
      <c r="E355" t="s">
        <v>344</v>
      </c>
      <c r="F355">
        <v>66516.990000000005</v>
      </c>
      <c r="G355" s="29">
        <v>1.4127000000000001E-2</v>
      </c>
      <c r="H355">
        <v>722489.02</v>
      </c>
      <c r="I355">
        <v>198571.98</v>
      </c>
      <c r="J355" s="29">
        <v>0.21560000000000001</v>
      </c>
      <c r="K355">
        <v>4.54</v>
      </c>
    </row>
    <row r="356" spans="1:11" x14ac:dyDescent="0.3">
      <c r="A356" t="s">
        <v>192</v>
      </c>
      <c r="B356" s="25">
        <v>45838</v>
      </c>
      <c r="C356">
        <v>777555</v>
      </c>
      <c r="D356" t="s">
        <v>323</v>
      </c>
      <c r="E356" t="s">
        <v>344</v>
      </c>
      <c r="F356">
        <v>61556.79</v>
      </c>
      <c r="G356" s="29">
        <v>1.3174999999999999E-2</v>
      </c>
      <c r="H356">
        <v>668612.77</v>
      </c>
      <c r="I356">
        <v>183764.4</v>
      </c>
      <c r="J356" s="29">
        <v>0.21560000000000001</v>
      </c>
      <c r="K356">
        <v>4.83</v>
      </c>
    </row>
    <row r="357" spans="1:11" x14ac:dyDescent="0.3">
      <c r="A357" t="s">
        <v>192</v>
      </c>
      <c r="B357" s="25">
        <v>45869</v>
      </c>
      <c r="C357">
        <v>777555</v>
      </c>
      <c r="D357" t="s">
        <v>323</v>
      </c>
      <c r="E357" t="s">
        <v>344</v>
      </c>
      <c r="F357">
        <v>63272.22</v>
      </c>
      <c r="G357" s="29">
        <v>1.3866E-2</v>
      </c>
      <c r="H357">
        <v>687245.25</v>
      </c>
      <c r="I357">
        <v>188885.43</v>
      </c>
      <c r="J357" s="29">
        <v>0.21560000000000001</v>
      </c>
      <c r="K357">
        <v>5.39</v>
      </c>
    </row>
    <row r="358" spans="1:11" x14ac:dyDescent="0.3">
      <c r="A358" t="s">
        <v>192</v>
      </c>
      <c r="B358" s="25">
        <v>45900</v>
      </c>
      <c r="C358">
        <v>777555</v>
      </c>
      <c r="D358" t="s">
        <v>323</v>
      </c>
      <c r="E358" t="s">
        <v>344</v>
      </c>
      <c r="F358">
        <v>64125.279999999999</v>
      </c>
      <c r="G358" s="29">
        <v>1.4782999999999999E-2</v>
      </c>
      <c r="H358">
        <v>696511.01</v>
      </c>
      <c r="I358">
        <v>191432.07</v>
      </c>
      <c r="J358" s="29">
        <v>0.21560000000000001</v>
      </c>
      <c r="K358">
        <v>4.99</v>
      </c>
    </row>
    <row r="359" spans="1:11" x14ac:dyDescent="0.3">
      <c r="A359" t="s">
        <v>192</v>
      </c>
      <c r="B359" s="25">
        <v>45930</v>
      </c>
      <c r="C359">
        <v>777555</v>
      </c>
      <c r="D359" t="s">
        <v>323</v>
      </c>
      <c r="E359" t="s">
        <v>344</v>
      </c>
      <c r="F359">
        <v>59975.67</v>
      </c>
      <c r="G359" s="29">
        <v>1.3132E-2</v>
      </c>
      <c r="H359">
        <v>651439.1</v>
      </c>
      <c r="I359">
        <v>179044.31</v>
      </c>
      <c r="J359" s="29">
        <v>0.21560000000000001</v>
      </c>
      <c r="K359">
        <v>4.8</v>
      </c>
    </row>
    <row r="360" spans="1:11" x14ac:dyDescent="0.3">
      <c r="A360" t="s">
        <v>192</v>
      </c>
      <c r="B360" s="25">
        <v>45961</v>
      </c>
      <c r="C360">
        <v>777555</v>
      </c>
      <c r="D360" t="s">
        <v>323</v>
      </c>
      <c r="E360" t="s">
        <v>344</v>
      </c>
      <c r="F360">
        <v>66262.149999999994</v>
      </c>
      <c r="G360" s="29">
        <v>1.5082E-2</v>
      </c>
      <c r="H360">
        <v>719721.06</v>
      </c>
      <c r="I360">
        <v>197811.22</v>
      </c>
      <c r="J360" s="29">
        <v>0.21560000000000001</v>
      </c>
      <c r="K360">
        <v>4.71</v>
      </c>
    </row>
    <row r="361" spans="1:11" x14ac:dyDescent="0.3">
      <c r="A361" t="s">
        <v>192</v>
      </c>
      <c r="B361" s="25">
        <v>45991</v>
      </c>
      <c r="C361">
        <v>777555</v>
      </c>
      <c r="D361" t="s">
        <v>323</v>
      </c>
      <c r="E361" t="s">
        <v>344</v>
      </c>
      <c r="F361">
        <v>70916.3</v>
      </c>
      <c r="G361" s="29">
        <v>1.6293999999999999E-2</v>
      </c>
      <c r="H361">
        <v>770273.17</v>
      </c>
      <c r="I361">
        <v>211705.18</v>
      </c>
      <c r="J361" s="29">
        <v>0.21560000000000001</v>
      </c>
      <c r="K361">
        <v>4.59</v>
      </c>
    </row>
    <row r="362" spans="1:11" x14ac:dyDescent="0.3">
      <c r="A362" t="s">
        <v>192</v>
      </c>
      <c r="B362" s="25">
        <v>45657</v>
      </c>
      <c r="C362">
        <v>524225</v>
      </c>
      <c r="D362" t="s">
        <v>318</v>
      </c>
      <c r="E362" t="s">
        <v>355</v>
      </c>
      <c r="F362">
        <v>11596.56</v>
      </c>
      <c r="G362" s="29">
        <v>2.552E-3</v>
      </c>
      <c r="H362">
        <v>128801.01</v>
      </c>
      <c r="I362">
        <v>44406.400000000001</v>
      </c>
      <c r="J362" s="29">
        <v>0.25640000000000002</v>
      </c>
      <c r="K362">
        <v>4.57</v>
      </c>
    </row>
    <row r="363" spans="1:11" x14ac:dyDescent="0.3">
      <c r="A363" t="s">
        <v>192</v>
      </c>
      <c r="B363" s="25">
        <v>45688</v>
      </c>
      <c r="C363">
        <v>524225</v>
      </c>
      <c r="D363" t="s">
        <v>318</v>
      </c>
      <c r="E363" t="s">
        <v>355</v>
      </c>
      <c r="F363">
        <v>9914.31</v>
      </c>
      <c r="G363" s="29">
        <v>2.1789999999999999E-3</v>
      </c>
      <c r="H363">
        <v>110116.59</v>
      </c>
      <c r="I363">
        <v>37964.620000000003</v>
      </c>
      <c r="J363" s="29">
        <v>0.25640000000000002</v>
      </c>
      <c r="K363">
        <v>4.8499999999999996</v>
      </c>
    </row>
    <row r="364" spans="1:11" x14ac:dyDescent="0.3">
      <c r="A364" t="s">
        <v>192</v>
      </c>
      <c r="B364" s="25">
        <v>45716</v>
      </c>
      <c r="C364">
        <v>524225</v>
      </c>
      <c r="D364" t="s">
        <v>318</v>
      </c>
      <c r="E364" t="s">
        <v>355</v>
      </c>
      <c r="F364">
        <v>12117.66</v>
      </c>
      <c r="G364" s="29">
        <v>2.5840000000000004E-3</v>
      </c>
      <c r="H364">
        <v>134588.84</v>
      </c>
      <c r="I364">
        <v>46401.86</v>
      </c>
      <c r="J364" s="29">
        <v>0.25640000000000002</v>
      </c>
      <c r="K364">
        <v>4.54</v>
      </c>
    </row>
    <row r="365" spans="1:11" x14ac:dyDescent="0.3">
      <c r="A365" t="s">
        <v>192</v>
      </c>
      <c r="B365" s="25">
        <v>45747</v>
      </c>
      <c r="C365">
        <v>524225</v>
      </c>
      <c r="D365" t="s">
        <v>318</v>
      </c>
      <c r="E365" t="s">
        <v>355</v>
      </c>
      <c r="F365">
        <v>11532.79</v>
      </c>
      <c r="G365" s="29">
        <v>2.6119999999999997E-3</v>
      </c>
      <c r="H365">
        <v>128092.71</v>
      </c>
      <c r="I365">
        <v>44162.2</v>
      </c>
      <c r="J365" s="29">
        <v>0.25640000000000002</v>
      </c>
      <c r="K365">
        <v>4.99</v>
      </c>
    </row>
    <row r="366" spans="1:11" x14ac:dyDescent="0.3">
      <c r="A366" t="s">
        <v>192</v>
      </c>
      <c r="B366" s="25">
        <v>45777</v>
      </c>
      <c r="C366">
        <v>524225</v>
      </c>
      <c r="D366" t="s">
        <v>318</v>
      </c>
      <c r="E366" t="s">
        <v>355</v>
      </c>
      <c r="F366">
        <v>11726.65</v>
      </c>
      <c r="G366" s="29">
        <v>2.4849999999999998E-3</v>
      </c>
      <c r="H366">
        <v>130245.91</v>
      </c>
      <c r="I366">
        <v>44904.56</v>
      </c>
      <c r="J366" s="29">
        <v>0.25640000000000002</v>
      </c>
      <c r="K366">
        <v>5.07</v>
      </c>
    </row>
    <row r="367" spans="1:11" x14ac:dyDescent="0.3">
      <c r="A367" t="s">
        <v>192</v>
      </c>
      <c r="B367" s="25">
        <v>45808</v>
      </c>
      <c r="C367">
        <v>524225</v>
      </c>
      <c r="D367" t="s">
        <v>318</v>
      </c>
      <c r="E367" t="s">
        <v>355</v>
      </c>
      <c r="F367">
        <v>10823.78</v>
      </c>
      <c r="G367" s="29">
        <v>2.2989999999999998E-3</v>
      </c>
      <c r="H367">
        <v>120217.96</v>
      </c>
      <c r="I367">
        <v>41447.25</v>
      </c>
      <c r="J367" s="29">
        <v>0.25640000000000002</v>
      </c>
      <c r="K367">
        <v>4.8899999999999997</v>
      </c>
    </row>
    <row r="368" spans="1:11" x14ac:dyDescent="0.3">
      <c r="A368" t="s">
        <v>192</v>
      </c>
      <c r="B368" s="25">
        <v>45838</v>
      </c>
      <c r="C368">
        <v>524225</v>
      </c>
      <c r="D368" t="s">
        <v>318</v>
      </c>
      <c r="E368" t="s">
        <v>355</v>
      </c>
      <c r="F368">
        <v>11889.85</v>
      </c>
      <c r="G368" s="29">
        <v>2.545E-3</v>
      </c>
      <c r="H368">
        <v>132058.60999999999</v>
      </c>
      <c r="I368">
        <v>45529.52</v>
      </c>
      <c r="J368" s="29">
        <v>0.25640000000000002</v>
      </c>
      <c r="K368">
        <v>4.9000000000000004</v>
      </c>
    </row>
    <row r="369" spans="1:11" x14ac:dyDescent="0.3">
      <c r="A369" t="s">
        <v>192</v>
      </c>
      <c r="B369" s="25">
        <v>45869</v>
      </c>
      <c r="C369">
        <v>524225</v>
      </c>
      <c r="D369" t="s">
        <v>318</v>
      </c>
      <c r="E369" t="s">
        <v>355</v>
      </c>
      <c r="F369">
        <v>14081.46</v>
      </c>
      <c r="G369" s="29">
        <v>3.0859999999999998E-3</v>
      </c>
      <c r="H369">
        <v>156400.39000000001</v>
      </c>
      <c r="I369">
        <v>53921.77</v>
      </c>
      <c r="J369" s="29">
        <v>0.25640000000000002</v>
      </c>
      <c r="K369">
        <v>4.62</v>
      </c>
    </row>
    <row r="370" spans="1:11" x14ac:dyDescent="0.3">
      <c r="A370" t="s">
        <v>192</v>
      </c>
      <c r="B370" s="25">
        <v>45900</v>
      </c>
      <c r="C370">
        <v>524225</v>
      </c>
      <c r="D370" t="s">
        <v>318</v>
      </c>
      <c r="E370" t="s">
        <v>355</v>
      </c>
      <c r="F370">
        <v>12694.81</v>
      </c>
      <c r="G370" s="29">
        <v>2.9270000000000003E-3</v>
      </c>
      <c r="H370">
        <v>140999.16</v>
      </c>
      <c r="I370">
        <v>48611.93</v>
      </c>
      <c r="J370" s="29">
        <v>0.25640000000000002</v>
      </c>
      <c r="K370">
        <v>4.43</v>
      </c>
    </row>
    <row r="371" spans="1:11" x14ac:dyDescent="0.3">
      <c r="A371" t="s">
        <v>192</v>
      </c>
      <c r="B371" s="25">
        <v>45930</v>
      </c>
      <c r="C371">
        <v>524225</v>
      </c>
      <c r="D371" t="s">
        <v>318</v>
      </c>
      <c r="E371" t="s">
        <v>355</v>
      </c>
      <c r="F371">
        <v>11520.94</v>
      </c>
      <c r="G371" s="29">
        <v>2.5230000000000001E-3</v>
      </c>
      <c r="H371">
        <v>127961.18</v>
      </c>
      <c r="I371">
        <v>44116.86</v>
      </c>
      <c r="J371" s="29">
        <v>0.25640000000000002</v>
      </c>
      <c r="K371">
        <v>4.6900000000000004</v>
      </c>
    </row>
    <row r="372" spans="1:11" x14ac:dyDescent="0.3">
      <c r="A372" t="s">
        <v>192</v>
      </c>
      <c r="B372" s="25">
        <v>45961</v>
      </c>
      <c r="C372">
        <v>524225</v>
      </c>
      <c r="D372" t="s">
        <v>318</v>
      </c>
      <c r="E372" t="s">
        <v>355</v>
      </c>
      <c r="F372">
        <v>12522.3</v>
      </c>
      <c r="G372" s="29">
        <v>2.8499999999999997E-3</v>
      </c>
      <c r="H372">
        <v>139083.10999999999</v>
      </c>
      <c r="I372">
        <v>47951.33</v>
      </c>
      <c r="J372" s="29">
        <v>0.25640000000000002</v>
      </c>
      <c r="K372">
        <v>5.0199999999999996</v>
      </c>
    </row>
    <row r="373" spans="1:11" x14ac:dyDescent="0.3">
      <c r="A373" t="s">
        <v>192</v>
      </c>
      <c r="B373" s="25">
        <v>45991</v>
      </c>
      <c r="C373">
        <v>524225</v>
      </c>
      <c r="D373" t="s">
        <v>318</v>
      </c>
      <c r="E373" t="s">
        <v>355</v>
      </c>
      <c r="F373">
        <v>11202.75</v>
      </c>
      <c r="G373" s="29">
        <v>2.5740000000000003E-3</v>
      </c>
      <c r="H373">
        <v>124427.03</v>
      </c>
      <c r="I373">
        <v>42898.400000000001</v>
      </c>
      <c r="J373" s="29">
        <v>0.25640000000000002</v>
      </c>
      <c r="K373">
        <v>4.97</v>
      </c>
    </row>
    <row r="374" spans="1:11" x14ac:dyDescent="0.3">
      <c r="A374" t="s">
        <v>192</v>
      </c>
      <c r="B374" s="25">
        <v>45657</v>
      </c>
      <c r="C374">
        <v>807284</v>
      </c>
      <c r="D374" t="s">
        <v>320</v>
      </c>
      <c r="E374" t="s">
        <v>360</v>
      </c>
      <c r="F374">
        <v>50338.1</v>
      </c>
      <c r="G374" s="29">
        <v>1.1075999999999999E-2</v>
      </c>
      <c r="H374">
        <v>490783.09</v>
      </c>
      <c r="I374">
        <v>136696.41</v>
      </c>
      <c r="J374" s="29">
        <v>0.21790000000000001</v>
      </c>
      <c r="K374">
        <v>5.5</v>
      </c>
    </row>
    <row r="375" spans="1:11" x14ac:dyDescent="0.3">
      <c r="A375" t="s">
        <v>192</v>
      </c>
      <c r="B375" s="25">
        <v>45688</v>
      </c>
      <c r="C375">
        <v>807284</v>
      </c>
      <c r="D375" t="s">
        <v>320</v>
      </c>
      <c r="E375" t="s">
        <v>360</v>
      </c>
      <c r="F375">
        <v>58732.3</v>
      </c>
      <c r="G375" s="29">
        <v>1.2908999999999999E-2</v>
      </c>
      <c r="H375">
        <v>572624.36</v>
      </c>
      <c r="I375">
        <v>159491.43</v>
      </c>
      <c r="J375" s="29">
        <v>0.21790000000000001</v>
      </c>
      <c r="K375">
        <v>5.22</v>
      </c>
    </row>
    <row r="376" spans="1:11" x14ac:dyDescent="0.3">
      <c r="A376" t="s">
        <v>192</v>
      </c>
      <c r="B376" s="25">
        <v>45716</v>
      </c>
      <c r="C376">
        <v>807284</v>
      </c>
      <c r="D376" t="s">
        <v>320</v>
      </c>
      <c r="E376" t="s">
        <v>360</v>
      </c>
      <c r="F376">
        <v>58018</v>
      </c>
      <c r="G376" s="29">
        <v>1.2370000000000001E-2</v>
      </c>
      <c r="H376">
        <v>565660.13</v>
      </c>
      <c r="I376">
        <v>157551.70000000001</v>
      </c>
      <c r="J376" s="29">
        <v>0.21790000000000001</v>
      </c>
      <c r="K376">
        <v>5.68</v>
      </c>
    </row>
    <row r="377" spans="1:11" x14ac:dyDescent="0.3">
      <c r="A377" t="s">
        <v>192</v>
      </c>
      <c r="B377" s="25">
        <v>45747</v>
      </c>
      <c r="C377">
        <v>807284</v>
      </c>
      <c r="D377" t="s">
        <v>320</v>
      </c>
      <c r="E377" t="s">
        <v>360</v>
      </c>
      <c r="F377">
        <v>61635.56</v>
      </c>
      <c r="G377" s="29">
        <v>1.3960999999999999E-2</v>
      </c>
      <c r="H377">
        <v>600930.37</v>
      </c>
      <c r="I377">
        <v>167375.42000000001</v>
      </c>
      <c r="J377" s="29">
        <v>0.21790000000000001</v>
      </c>
      <c r="K377">
        <v>5.99</v>
      </c>
    </row>
    <row r="378" spans="1:11" x14ac:dyDescent="0.3">
      <c r="A378" t="s">
        <v>192</v>
      </c>
      <c r="B378" s="25">
        <v>45777</v>
      </c>
      <c r="C378">
        <v>807284</v>
      </c>
      <c r="D378" t="s">
        <v>320</v>
      </c>
      <c r="E378" t="s">
        <v>360</v>
      </c>
      <c r="F378">
        <v>63610.39</v>
      </c>
      <c r="G378" s="29">
        <v>1.3478E-2</v>
      </c>
      <c r="H378">
        <v>620184.46</v>
      </c>
      <c r="I378">
        <v>172738.21</v>
      </c>
      <c r="J378" s="29">
        <v>0.21790000000000001</v>
      </c>
      <c r="K378">
        <v>5.43</v>
      </c>
    </row>
    <row r="379" spans="1:11" x14ac:dyDescent="0.3">
      <c r="A379" t="s">
        <v>192</v>
      </c>
      <c r="B379" s="25">
        <v>45808</v>
      </c>
      <c r="C379">
        <v>807284</v>
      </c>
      <c r="D379" t="s">
        <v>320</v>
      </c>
      <c r="E379" t="s">
        <v>360</v>
      </c>
      <c r="F379">
        <v>58227.23</v>
      </c>
      <c r="G379" s="29">
        <v>1.2365999999999999E-2</v>
      </c>
      <c r="H379">
        <v>567700.1</v>
      </c>
      <c r="I379">
        <v>158119.89000000001</v>
      </c>
      <c r="J379" s="29">
        <v>0.21790000000000001</v>
      </c>
      <c r="K379">
        <v>5.22</v>
      </c>
    </row>
    <row r="380" spans="1:11" x14ac:dyDescent="0.3">
      <c r="A380" t="s">
        <v>192</v>
      </c>
      <c r="B380" s="25">
        <v>45838</v>
      </c>
      <c r="C380">
        <v>807284</v>
      </c>
      <c r="D380" t="s">
        <v>320</v>
      </c>
      <c r="E380" t="s">
        <v>360</v>
      </c>
      <c r="F380">
        <v>68801.850000000006</v>
      </c>
      <c r="G380" s="29">
        <v>1.4726E-2</v>
      </c>
      <c r="H380">
        <v>670799.76</v>
      </c>
      <c r="I380">
        <v>186835.94</v>
      </c>
      <c r="J380" s="29">
        <v>0.21790000000000001</v>
      </c>
      <c r="K380">
        <v>4.92</v>
      </c>
    </row>
    <row r="381" spans="1:11" x14ac:dyDescent="0.3">
      <c r="A381" t="s">
        <v>192</v>
      </c>
      <c r="B381" s="25">
        <v>45869</v>
      </c>
      <c r="C381">
        <v>807284</v>
      </c>
      <c r="D381" t="s">
        <v>320</v>
      </c>
      <c r="E381" t="s">
        <v>360</v>
      </c>
      <c r="F381">
        <v>59560.800000000003</v>
      </c>
      <c r="G381" s="29">
        <v>1.3051999999999999E-2</v>
      </c>
      <c r="H381">
        <v>580701.97</v>
      </c>
      <c r="I381">
        <v>161741.26</v>
      </c>
      <c r="J381" s="29">
        <v>0.21790000000000001</v>
      </c>
      <c r="K381">
        <v>5.42</v>
      </c>
    </row>
    <row r="382" spans="1:11" x14ac:dyDescent="0.3">
      <c r="A382" t="s">
        <v>192</v>
      </c>
      <c r="B382" s="25">
        <v>45900</v>
      </c>
      <c r="C382">
        <v>807284</v>
      </c>
      <c r="D382" t="s">
        <v>320</v>
      </c>
      <c r="E382" t="s">
        <v>360</v>
      </c>
      <c r="F382">
        <v>58202.080000000002</v>
      </c>
      <c r="G382" s="29">
        <v>1.3418000000000001E-2</v>
      </c>
      <c r="H382">
        <v>567454.81000000006</v>
      </c>
      <c r="I382">
        <v>158051.57</v>
      </c>
      <c r="J382" s="29">
        <v>0.21790000000000001</v>
      </c>
      <c r="K382">
        <v>5.5</v>
      </c>
    </row>
    <row r="383" spans="1:11" x14ac:dyDescent="0.3">
      <c r="A383" t="s">
        <v>192</v>
      </c>
      <c r="B383" s="25">
        <v>45930</v>
      </c>
      <c r="C383">
        <v>807284</v>
      </c>
      <c r="D383" t="s">
        <v>320</v>
      </c>
      <c r="E383" t="s">
        <v>360</v>
      </c>
      <c r="F383">
        <v>56609.37</v>
      </c>
      <c r="G383" s="29">
        <v>1.2395E-2</v>
      </c>
      <c r="H383">
        <v>551926.31000000006</v>
      </c>
      <c r="I383">
        <v>153726.46</v>
      </c>
      <c r="J383" s="29">
        <v>0.21790000000000001</v>
      </c>
      <c r="K383">
        <v>5.01</v>
      </c>
    </row>
    <row r="384" spans="1:11" x14ac:dyDescent="0.3">
      <c r="A384" t="s">
        <v>192</v>
      </c>
      <c r="B384" s="25">
        <v>45961</v>
      </c>
      <c r="C384">
        <v>807284</v>
      </c>
      <c r="D384" t="s">
        <v>320</v>
      </c>
      <c r="E384" t="s">
        <v>360</v>
      </c>
      <c r="F384">
        <v>61266.94</v>
      </c>
      <c r="G384" s="29">
        <v>1.3945000000000001E-2</v>
      </c>
      <c r="H384">
        <v>597336.42000000004</v>
      </c>
      <c r="I384">
        <v>166374.41</v>
      </c>
      <c r="J384" s="29">
        <v>0.21790000000000001</v>
      </c>
      <c r="K384">
        <v>5.68</v>
      </c>
    </row>
    <row r="385" spans="1:11" x14ac:dyDescent="0.3">
      <c r="A385" t="s">
        <v>192</v>
      </c>
      <c r="B385" s="25">
        <v>45991</v>
      </c>
      <c r="C385">
        <v>807284</v>
      </c>
      <c r="D385" t="s">
        <v>320</v>
      </c>
      <c r="E385" t="s">
        <v>360</v>
      </c>
      <c r="F385">
        <v>60799.99</v>
      </c>
      <c r="G385" s="29">
        <v>1.3969000000000001E-2</v>
      </c>
      <c r="H385">
        <v>592783.81000000006</v>
      </c>
      <c r="I385">
        <v>165106.38</v>
      </c>
      <c r="J385" s="29">
        <v>0.21790000000000001</v>
      </c>
      <c r="K385">
        <v>6.01</v>
      </c>
    </row>
    <row r="386" spans="1:11" x14ac:dyDescent="0.3">
      <c r="A386" t="s">
        <v>192</v>
      </c>
      <c r="B386" s="25">
        <v>45657</v>
      </c>
      <c r="C386">
        <v>194091</v>
      </c>
      <c r="D386" t="s">
        <v>268</v>
      </c>
      <c r="E386" t="s">
        <v>348</v>
      </c>
      <c r="F386">
        <v>46559.05</v>
      </c>
      <c r="G386" s="29">
        <v>1.0244E-2</v>
      </c>
      <c r="H386">
        <v>498880.04</v>
      </c>
      <c r="I386">
        <v>148181.28</v>
      </c>
      <c r="J386" s="29">
        <v>0.22900000000000001</v>
      </c>
      <c r="K386">
        <v>5.57</v>
      </c>
    </row>
    <row r="387" spans="1:11" x14ac:dyDescent="0.3">
      <c r="A387" t="s">
        <v>192</v>
      </c>
      <c r="B387" s="25">
        <v>45688</v>
      </c>
      <c r="C387">
        <v>194091</v>
      </c>
      <c r="D387" t="s">
        <v>268</v>
      </c>
      <c r="E387" t="s">
        <v>348</v>
      </c>
      <c r="F387">
        <v>45233.8</v>
      </c>
      <c r="G387" s="29">
        <v>9.9419999999999994E-3</v>
      </c>
      <c r="H387">
        <v>484680</v>
      </c>
      <c r="I387">
        <v>143963.47</v>
      </c>
      <c r="J387" s="29">
        <v>0.22900000000000001</v>
      </c>
      <c r="K387">
        <v>4.66</v>
      </c>
    </row>
    <row r="388" spans="1:11" x14ac:dyDescent="0.3">
      <c r="A388" t="s">
        <v>192</v>
      </c>
      <c r="B388" s="25">
        <v>45716</v>
      </c>
      <c r="C388">
        <v>194091</v>
      </c>
      <c r="D388" t="s">
        <v>268</v>
      </c>
      <c r="E388" t="s">
        <v>348</v>
      </c>
      <c r="F388">
        <v>43339.14</v>
      </c>
      <c r="G388" s="29">
        <v>9.2410000000000009E-3</v>
      </c>
      <c r="H388">
        <v>464378.64</v>
      </c>
      <c r="I388">
        <v>137933.41</v>
      </c>
      <c r="J388" s="29">
        <v>0.22900000000000001</v>
      </c>
      <c r="K388">
        <v>4.72</v>
      </c>
    </row>
    <row r="389" spans="1:11" x14ac:dyDescent="0.3">
      <c r="A389" t="s">
        <v>192</v>
      </c>
      <c r="B389" s="25">
        <v>45747</v>
      </c>
      <c r="C389">
        <v>194091</v>
      </c>
      <c r="D389" t="s">
        <v>268</v>
      </c>
      <c r="E389" t="s">
        <v>348</v>
      </c>
      <c r="F389">
        <v>44857</v>
      </c>
      <c r="G389" s="29">
        <v>1.0161E-2</v>
      </c>
      <c r="H389">
        <v>480642.57</v>
      </c>
      <c r="I389">
        <v>142764.24</v>
      </c>
      <c r="J389" s="29">
        <v>0.22900000000000001</v>
      </c>
      <c r="K389">
        <v>4.6100000000000003</v>
      </c>
    </row>
    <row r="390" spans="1:11" x14ac:dyDescent="0.3">
      <c r="A390" t="s">
        <v>192</v>
      </c>
      <c r="B390" s="25">
        <v>45777</v>
      </c>
      <c r="C390">
        <v>194091</v>
      </c>
      <c r="D390" t="s">
        <v>268</v>
      </c>
      <c r="E390" t="s">
        <v>348</v>
      </c>
      <c r="F390">
        <v>48338.99</v>
      </c>
      <c r="G390" s="29">
        <v>1.0241999999999999E-2</v>
      </c>
      <c r="H390">
        <v>517952.07</v>
      </c>
      <c r="I390">
        <v>153846.21</v>
      </c>
      <c r="J390" s="29">
        <v>0.22900000000000001</v>
      </c>
      <c r="K390">
        <v>4.76</v>
      </c>
    </row>
    <row r="391" spans="1:11" x14ac:dyDescent="0.3">
      <c r="A391" t="s">
        <v>192</v>
      </c>
      <c r="B391" s="25">
        <v>45808</v>
      </c>
      <c r="C391">
        <v>194091</v>
      </c>
      <c r="D391" t="s">
        <v>268</v>
      </c>
      <c r="E391" t="s">
        <v>348</v>
      </c>
      <c r="F391">
        <v>46498.25</v>
      </c>
      <c r="G391" s="29">
        <v>9.8750000000000001E-3</v>
      </c>
      <c r="H391">
        <v>498228.57</v>
      </c>
      <c r="I391">
        <v>147987.78</v>
      </c>
      <c r="J391" s="29">
        <v>0.22900000000000001</v>
      </c>
      <c r="K391">
        <v>4.57</v>
      </c>
    </row>
    <row r="392" spans="1:11" x14ac:dyDescent="0.3">
      <c r="A392" t="s">
        <v>192</v>
      </c>
      <c r="B392" s="25">
        <v>45838</v>
      </c>
      <c r="C392">
        <v>194091</v>
      </c>
      <c r="D392" t="s">
        <v>268</v>
      </c>
      <c r="E392" t="s">
        <v>348</v>
      </c>
      <c r="F392">
        <v>42661.7</v>
      </c>
      <c r="G392" s="29">
        <v>9.1310000000000002E-3</v>
      </c>
      <c r="H392">
        <v>457119.93</v>
      </c>
      <c r="I392">
        <v>135777.35999999999</v>
      </c>
      <c r="J392" s="29">
        <v>0.22900000000000001</v>
      </c>
      <c r="K392">
        <v>5.15</v>
      </c>
    </row>
    <row r="393" spans="1:11" x14ac:dyDescent="0.3">
      <c r="A393" t="s">
        <v>192</v>
      </c>
      <c r="B393" s="25">
        <v>45869</v>
      </c>
      <c r="C393">
        <v>194091</v>
      </c>
      <c r="D393" t="s">
        <v>268</v>
      </c>
      <c r="E393" t="s">
        <v>348</v>
      </c>
      <c r="F393">
        <v>41509.300000000003</v>
      </c>
      <c r="G393" s="29">
        <v>9.0959999999999999E-3</v>
      </c>
      <c r="H393">
        <v>444772</v>
      </c>
      <c r="I393">
        <v>132109.68</v>
      </c>
      <c r="J393" s="29">
        <v>0.22900000000000001</v>
      </c>
      <c r="K393">
        <v>4.68</v>
      </c>
    </row>
    <row r="394" spans="1:11" x14ac:dyDescent="0.3">
      <c r="A394" t="s">
        <v>192</v>
      </c>
      <c r="B394" s="25">
        <v>45900</v>
      </c>
      <c r="C394">
        <v>194091</v>
      </c>
      <c r="D394" t="s">
        <v>268</v>
      </c>
      <c r="E394" t="s">
        <v>348</v>
      </c>
      <c r="F394">
        <v>50357.81</v>
      </c>
      <c r="G394" s="29">
        <v>1.1609000000000001E-2</v>
      </c>
      <c r="H394">
        <v>539583.73</v>
      </c>
      <c r="I394">
        <v>160271.41</v>
      </c>
      <c r="J394" s="29">
        <v>0.22900000000000001</v>
      </c>
      <c r="K394">
        <v>5.19</v>
      </c>
    </row>
    <row r="395" spans="1:11" x14ac:dyDescent="0.3">
      <c r="A395" t="s">
        <v>192</v>
      </c>
      <c r="B395" s="25">
        <v>45930</v>
      </c>
      <c r="C395">
        <v>194091</v>
      </c>
      <c r="D395" t="s">
        <v>268</v>
      </c>
      <c r="E395" t="s">
        <v>348</v>
      </c>
      <c r="F395">
        <v>46992.17</v>
      </c>
      <c r="G395" s="29">
        <v>1.0289E-2</v>
      </c>
      <c r="H395">
        <v>503520.92</v>
      </c>
      <c r="I395">
        <v>149559.75</v>
      </c>
      <c r="J395" s="29">
        <v>0.22900000000000001</v>
      </c>
      <c r="K395">
        <v>4.99</v>
      </c>
    </row>
    <row r="396" spans="1:11" x14ac:dyDescent="0.3">
      <c r="A396" t="s">
        <v>192</v>
      </c>
      <c r="B396" s="25">
        <v>45961</v>
      </c>
      <c r="C396">
        <v>194091</v>
      </c>
      <c r="D396" t="s">
        <v>268</v>
      </c>
      <c r="E396" t="s">
        <v>348</v>
      </c>
      <c r="F396">
        <v>45194.27</v>
      </c>
      <c r="G396" s="29">
        <v>1.0286E-2</v>
      </c>
      <c r="H396">
        <v>484256.39</v>
      </c>
      <c r="I396">
        <v>143837.65</v>
      </c>
      <c r="J396" s="29">
        <v>0.22900000000000001</v>
      </c>
      <c r="K396">
        <v>4.6500000000000004</v>
      </c>
    </row>
    <row r="397" spans="1:11" x14ac:dyDescent="0.3">
      <c r="A397" t="s">
        <v>192</v>
      </c>
      <c r="B397" s="25">
        <v>45991</v>
      </c>
      <c r="C397">
        <v>194091</v>
      </c>
      <c r="D397" t="s">
        <v>268</v>
      </c>
      <c r="E397" t="s">
        <v>348</v>
      </c>
      <c r="F397">
        <v>38809.58</v>
      </c>
      <c r="G397" s="29">
        <v>8.9170000000000013E-3</v>
      </c>
      <c r="H397">
        <v>415844.48</v>
      </c>
      <c r="I397">
        <v>123517.41</v>
      </c>
      <c r="J397" s="29">
        <v>0.22900000000000001</v>
      </c>
      <c r="K397">
        <v>4.84</v>
      </c>
    </row>
    <row r="398" spans="1:11" x14ac:dyDescent="0.3">
      <c r="A398" t="s">
        <v>192</v>
      </c>
      <c r="B398" s="25">
        <v>45657</v>
      </c>
      <c r="C398">
        <v>215782</v>
      </c>
      <c r="D398" t="s">
        <v>324</v>
      </c>
      <c r="E398" t="s">
        <v>352</v>
      </c>
      <c r="F398">
        <v>52531.56</v>
      </c>
      <c r="G398" s="29">
        <v>1.1557999999999999E-2</v>
      </c>
      <c r="H398">
        <v>566419.9</v>
      </c>
      <c r="I398">
        <v>170303.73</v>
      </c>
      <c r="J398" s="29">
        <v>0.23119999999999999</v>
      </c>
      <c r="K398">
        <v>4.92</v>
      </c>
    </row>
    <row r="399" spans="1:11" x14ac:dyDescent="0.3">
      <c r="A399" t="s">
        <v>192</v>
      </c>
      <c r="B399" s="25">
        <v>45688</v>
      </c>
      <c r="C399">
        <v>215782</v>
      </c>
      <c r="D399" t="s">
        <v>324</v>
      </c>
      <c r="E399" t="s">
        <v>352</v>
      </c>
      <c r="F399">
        <v>42705.52</v>
      </c>
      <c r="G399" s="29">
        <v>9.3860000000000002E-3</v>
      </c>
      <c r="H399">
        <v>460470.9</v>
      </c>
      <c r="I399">
        <v>138448.37</v>
      </c>
      <c r="J399" s="29">
        <v>0.23119999999999999</v>
      </c>
      <c r="K399">
        <v>5.28</v>
      </c>
    </row>
    <row r="400" spans="1:11" x14ac:dyDescent="0.3">
      <c r="A400" t="s">
        <v>192</v>
      </c>
      <c r="B400" s="25">
        <v>45716</v>
      </c>
      <c r="C400">
        <v>215782</v>
      </c>
      <c r="D400" t="s">
        <v>324</v>
      </c>
      <c r="E400" t="s">
        <v>352</v>
      </c>
      <c r="F400">
        <v>35569.93</v>
      </c>
      <c r="G400" s="29">
        <v>7.5839999999999996E-3</v>
      </c>
      <c r="H400">
        <v>383531.67</v>
      </c>
      <c r="I400">
        <v>115315.29</v>
      </c>
      <c r="J400" s="29">
        <v>0.23119999999999999</v>
      </c>
      <c r="K400">
        <v>4.5599999999999996</v>
      </c>
    </row>
    <row r="401" spans="1:11" x14ac:dyDescent="0.3">
      <c r="A401" t="s">
        <v>192</v>
      </c>
      <c r="B401" s="25">
        <v>45747</v>
      </c>
      <c r="C401">
        <v>215782</v>
      </c>
      <c r="D401" t="s">
        <v>324</v>
      </c>
      <c r="E401" t="s">
        <v>352</v>
      </c>
      <c r="F401">
        <v>43360.27</v>
      </c>
      <c r="G401" s="29">
        <v>9.8219999999999991E-3</v>
      </c>
      <c r="H401">
        <v>467530.7</v>
      </c>
      <c r="I401">
        <v>140571.01</v>
      </c>
      <c r="J401" s="29">
        <v>0.23119999999999999</v>
      </c>
      <c r="K401">
        <v>5.24</v>
      </c>
    </row>
    <row r="402" spans="1:11" x14ac:dyDescent="0.3">
      <c r="A402" t="s">
        <v>192</v>
      </c>
      <c r="B402" s="25">
        <v>45777</v>
      </c>
      <c r="C402">
        <v>215782</v>
      </c>
      <c r="D402" t="s">
        <v>324</v>
      </c>
      <c r="E402" t="s">
        <v>352</v>
      </c>
      <c r="F402">
        <v>40346.449999999997</v>
      </c>
      <c r="G402" s="29">
        <v>8.5489999999999993E-3</v>
      </c>
      <c r="H402">
        <v>435034.3</v>
      </c>
      <c r="I402">
        <v>130800.42</v>
      </c>
      <c r="J402" s="29">
        <v>0.23119999999999999</v>
      </c>
      <c r="K402">
        <v>4.79</v>
      </c>
    </row>
    <row r="403" spans="1:11" x14ac:dyDescent="0.3">
      <c r="A403" t="s">
        <v>192</v>
      </c>
      <c r="B403" s="25">
        <v>45808</v>
      </c>
      <c r="C403">
        <v>215782</v>
      </c>
      <c r="D403" t="s">
        <v>324</v>
      </c>
      <c r="E403" t="s">
        <v>352</v>
      </c>
      <c r="F403">
        <v>43375.81</v>
      </c>
      <c r="G403" s="29">
        <v>9.2119999999999997E-3</v>
      </c>
      <c r="H403">
        <v>467698.31</v>
      </c>
      <c r="I403">
        <v>140621.41</v>
      </c>
      <c r="J403" s="29">
        <v>0.23119999999999999</v>
      </c>
      <c r="K403">
        <v>4.88</v>
      </c>
    </row>
    <row r="404" spans="1:11" x14ac:dyDescent="0.3">
      <c r="A404" t="s">
        <v>192</v>
      </c>
      <c r="B404" s="25">
        <v>45838</v>
      </c>
      <c r="C404">
        <v>215782</v>
      </c>
      <c r="D404" t="s">
        <v>324</v>
      </c>
      <c r="E404" t="s">
        <v>352</v>
      </c>
      <c r="F404">
        <v>45751.34</v>
      </c>
      <c r="G404" s="29">
        <v>9.7920000000000004E-3</v>
      </c>
      <c r="H404">
        <v>493312.38</v>
      </c>
      <c r="I404">
        <v>148322.71</v>
      </c>
      <c r="J404" s="29">
        <v>0.23119999999999999</v>
      </c>
      <c r="K404">
        <v>4.7300000000000004</v>
      </c>
    </row>
    <row r="405" spans="1:11" x14ac:dyDescent="0.3">
      <c r="A405" t="s">
        <v>192</v>
      </c>
      <c r="B405" s="25">
        <v>45869</v>
      </c>
      <c r="C405">
        <v>215782</v>
      </c>
      <c r="D405" t="s">
        <v>324</v>
      </c>
      <c r="E405" t="s">
        <v>352</v>
      </c>
      <c r="F405">
        <v>46044.55</v>
      </c>
      <c r="G405" s="29">
        <v>1.0089999999999998E-2</v>
      </c>
      <c r="H405">
        <v>496473.86</v>
      </c>
      <c r="I405">
        <v>149273.26999999999</v>
      </c>
      <c r="J405" s="29">
        <v>0.23119999999999999</v>
      </c>
      <c r="K405">
        <v>4.5999999999999996</v>
      </c>
    </row>
    <row r="406" spans="1:11" x14ac:dyDescent="0.3">
      <c r="A406" t="s">
        <v>192</v>
      </c>
      <c r="B406" s="25">
        <v>45900</v>
      </c>
      <c r="C406">
        <v>215782</v>
      </c>
      <c r="D406" t="s">
        <v>324</v>
      </c>
      <c r="E406" t="s">
        <v>352</v>
      </c>
      <c r="F406">
        <v>37563.15</v>
      </c>
      <c r="G406" s="29">
        <v>8.6599999999999993E-3</v>
      </c>
      <c r="H406">
        <v>405023.47</v>
      </c>
      <c r="I406">
        <v>121777.16</v>
      </c>
      <c r="J406" s="29">
        <v>0.23119999999999999</v>
      </c>
      <c r="K406">
        <v>4.7300000000000004</v>
      </c>
    </row>
    <row r="407" spans="1:11" x14ac:dyDescent="0.3">
      <c r="A407" t="s">
        <v>192</v>
      </c>
      <c r="B407" s="25">
        <v>45930</v>
      </c>
      <c r="C407">
        <v>215782</v>
      </c>
      <c r="D407" t="s">
        <v>324</v>
      </c>
      <c r="E407" t="s">
        <v>352</v>
      </c>
      <c r="F407">
        <v>39314.9</v>
      </c>
      <c r="G407" s="29">
        <v>8.6079999999999993E-3</v>
      </c>
      <c r="H407">
        <v>423911.62</v>
      </c>
      <c r="I407">
        <v>127456.2</v>
      </c>
      <c r="J407" s="29">
        <v>0.23119999999999999</v>
      </c>
      <c r="K407">
        <v>4.7</v>
      </c>
    </row>
    <row r="408" spans="1:11" x14ac:dyDescent="0.3">
      <c r="A408" t="s">
        <v>192</v>
      </c>
      <c r="B408" s="25">
        <v>45961</v>
      </c>
      <c r="C408">
        <v>215782</v>
      </c>
      <c r="D408" t="s">
        <v>324</v>
      </c>
      <c r="E408" t="s">
        <v>352</v>
      </c>
      <c r="F408">
        <v>47609.68</v>
      </c>
      <c r="G408" s="29">
        <v>1.0835999999999998E-2</v>
      </c>
      <c r="H408">
        <v>513349.82</v>
      </c>
      <c r="I408">
        <v>154347.31</v>
      </c>
      <c r="J408" s="29">
        <v>0.23119999999999999</v>
      </c>
      <c r="K408">
        <v>4.6100000000000003</v>
      </c>
    </row>
    <row r="409" spans="1:11" x14ac:dyDescent="0.3">
      <c r="A409" t="s">
        <v>192</v>
      </c>
      <c r="B409" s="25">
        <v>45991</v>
      </c>
      <c r="C409">
        <v>215782</v>
      </c>
      <c r="D409" t="s">
        <v>324</v>
      </c>
      <c r="E409" t="s">
        <v>352</v>
      </c>
      <c r="F409">
        <v>46576.37</v>
      </c>
      <c r="G409" s="29">
        <v>1.0701E-2</v>
      </c>
      <c r="H409">
        <v>502208.27</v>
      </c>
      <c r="I409">
        <v>150997.41</v>
      </c>
      <c r="J409" s="29">
        <v>0.23119999999999999</v>
      </c>
      <c r="K409">
        <v>4.7300000000000004</v>
      </c>
    </row>
    <row r="410" spans="1:11" x14ac:dyDescent="0.3">
      <c r="A410" t="s">
        <v>192</v>
      </c>
      <c r="B410" s="25">
        <v>45657</v>
      </c>
      <c r="C410">
        <v>170046</v>
      </c>
      <c r="D410" t="s">
        <v>320</v>
      </c>
      <c r="E410" t="s">
        <v>349</v>
      </c>
      <c r="F410">
        <v>157141.56</v>
      </c>
      <c r="G410" s="29">
        <v>3.4575000000000002E-2</v>
      </c>
      <c r="H410">
        <v>1421455.38</v>
      </c>
      <c r="I410">
        <v>410102.36</v>
      </c>
      <c r="J410" s="29">
        <v>0.22389999999999999</v>
      </c>
      <c r="K410">
        <v>5.54</v>
      </c>
    </row>
    <row r="411" spans="1:11" x14ac:dyDescent="0.3">
      <c r="A411" t="s">
        <v>192</v>
      </c>
      <c r="B411" s="25">
        <v>45688</v>
      </c>
      <c r="C411">
        <v>170046</v>
      </c>
      <c r="D411" t="s">
        <v>320</v>
      </c>
      <c r="E411" t="s">
        <v>349</v>
      </c>
      <c r="F411">
        <v>183865.60000000001</v>
      </c>
      <c r="G411" s="29">
        <v>4.0411000000000002E-2</v>
      </c>
      <c r="H411">
        <v>1663192.96</v>
      </c>
      <c r="I411">
        <v>479845.78</v>
      </c>
      <c r="J411" s="29">
        <v>0.22389999999999999</v>
      </c>
      <c r="K411">
        <v>5.69</v>
      </c>
    </row>
    <row r="412" spans="1:11" x14ac:dyDescent="0.3">
      <c r="A412" t="s">
        <v>192</v>
      </c>
      <c r="B412" s="25">
        <v>45716</v>
      </c>
      <c r="C412">
        <v>170046</v>
      </c>
      <c r="D412" t="s">
        <v>320</v>
      </c>
      <c r="E412" t="s">
        <v>349</v>
      </c>
      <c r="F412">
        <v>179392.3</v>
      </c>
      <c r="G412" s="29">
        <v>3.8248999999999998E-2</v>
      </c>
      <c r="H412">
        <v>1622728.88</v>
      </c>
      <c r="I412">
        <v>468171.54</v>
      </c>
      <c r="J412" s="29">
        <v>0.22389999999999999</v>
      </c>
      <c r="K412">
        <v>5.5</v>
      </c>
    </row>
    <row r="413" spans="1:11" x14ac:dyDescent="0.3">
      <c r="A413" t="s">
        <v>192</v>
      </c>
      <c r="B413" s="25">
        <v>45747</v>
      </c>
      <c r="C413">
        <v>170046</v>
      </c>
      <c r="D413" t="s">
        <v>320</v>
      </c>
      <c r="E413" t="s">
        <v>349</v>
      </c>
      <c r="F413">
        <v>142466.89000000001</v>
      </c>
      <c r="G413" s="29">
        <v>3.2271000000000001E-2</v>
      </c>
      <c r="H413">
        <v>1288712.71</v>
      </c>
      <c r="I413">
        <v>371804.94</v>
      </c>
      <c r="J413" s="29">
        <v>0.22389999999999999</v>
      </c>
      <c r="K413">
        <v>5.82</v>
      </c>
    </row>
    <row r="414" spans="1:11" x14ac:dyDescent="0.3">
      <c r="A414" t="s">
        <v>192</v>
      </c>
      <c r="B414" s="25">
        <v>45777</v>
      </c>
      <c r="C414">
        <v>170046</v>
      </c>
      <c r="D414" t="s">
        <v>320</v>
      </c>
      <c r="E414" t="s">
        <v>349</v>
      </c>
      <c r="F414">
        <v>176738.03</v>
      </c>
      <c r="G414" s="29">
        <v>3.7447000000000001E-2</v>
      </c>
      <c r="H414">
        <v>1598719.18</v>
      </c>
      <c r="I414">
        <v>461244.53</v>
      </c>
      <c r="J414" s="29">
        <v>0.22389999999999999</v>
      </c>
      <c r="K414">
        <v>5.74</v>
      </c>
    </row>
    <row r="415" spans="1:11" x14ac:dyDescent="0.3">
      <c r="A415" t="s">
        <v>192</v>
      </c>
      <c r="B415" s="25">
        <v>45808</v>
      </c>
      <c r="C415">
        <v>170046</v>
      </c>
      <c r="D415" t="s">
        <v>320</v>
      </c>
      <c r="E415" t="s">
        <v>349</v>
      </c>
      <c r="F415">
        <v>169140.28</v>
      </c>
      <c r="G415" s="29">
        <v>3.5921000000000002E-2</v>
      </c>
      <c r="H415">
        <v>1529992.17</v>
      </c>
      <c r="I415">
        <v>441416.18</v>
      </c>
      <c r="J415" s="29">
        <v>0.22389999999999999</v>
      </c>
      <c r="K415">
        <v>5.74</v>
      </c>
    </row>
    <row r="416" spans="1:11" x14ac:dyDescent="0.3">
      <c r="A416" t="s">
        <v>192</v>
      </c>
      <c r="B416" s="25">
        <v>45838</v>
      </c>
      <c r="C416">
        <v>170046</v>
      </c>
      <c r="D416" t="s">
        <v>320</v>
      </c>
      <c r="E416" t="s">
        <v>349</v>
      </c>
      <c r="F416">
        <v>184111.85</v>
      </c>
      <c r="G416" s="29">
        <v>3.9405000000000003E-2</v>
      </c>
      <c r="H416">
        <v>1665420.51</v>
      </c>
      <c r="I416">
        <v>480488.45</v>
      </c>
      <c r="J416" s="29">
        <v>0.22389999999999999</v>
      </c>
      <c r="K416">
        <v>6.08</v>
      </c>
    </row>
    <row r="417" spans="1:11" x14ac:dyDescent="0.3">
      <c r="A417" t="s">
        <v>192</v>
      </c>
      <c r="B417" s="25">
        <v>45869</v>
      </c>
      <c r="C417">
        <v>170046</v>
      </c>
      <c r="D417" t="s">
        <v>320</v>
      </c>
      <c r="E417" t="s">
        <v>349</v>
      </c>
      <c r="F417">
        <v>186714.62</v>
      </c>
      <c r="G417" s="29">
        <v>4.0917000000000002E-2</v>
      </c>
      <c r="H417">
        <v>1688964.34</v>
      </c>
      <c r="I417">
        <v>487281.05</v>
      </c>
      <c r="J417" s="29">
        <v>0.22389999999999999</v>
      </c>
      <c r="K417">
        <v>6.3</v>
      </c>
    </row>
    <row r="418" spans="1:11" x14ac:dyDescent="0.3">
      <c r="A418" t="s">
        <v>192</v>
      </c>
      <c r="B418" s="25">
        <v>45900</v>
      </c>
      <c r="C418">
        <v>170046</v>
      </c>
      <c r="D418" t="s">
        <v>320</v>
      </c>
      <c r="E418" t="s">
        <v>349</v>
      </c>
      <c r="F418">
        <v>155035.59</v>
      </c>
      <c r="G418" s="29">
        <v>3.5741999999999996E-2</v>
      </c>
      <c r="H418">
        <v>1402405.4</v>
      </c>
      <c r="I418">
        <v>404606.27</v>
      </c>
      <c r="J418" s="29">
        <v>0.22389999999999999</v>
      </c>
      <c r="K418">
        <v>5.87</v>
      </c>
    </row>
    <row r="419" spans="1:11" x14ac:dyDescent="0.3">
      <c r="A419" t="s">
        <v>192</v>
      </c>
      <c r="B419" s="25">
        <v>45930</v>
      </c>
      <c r="C419">
        <v>170046</v>
      </c>
      <c r="D419" t="s">
        <v>320</v>
      </c>
      <c r="E419" t="s">
        <v>349</v>
      </c>
      <c r="F419">
        <v>181057.32</v>
      </c>
      <c r="G419" s="29">
        <v>3.9643000000000005E-2</v>
      </c>
      <c r="H419">
        <v>1637790.18</v>
      </c>
      <c r="I419">
        <v>472516.85</v>
      </c>
      <c r="J419" s="29">
        <v>0.22389999999999999</v>
      </c>
      <c r="K419">
        <v>5.81</v>
      </c>
    </row>
    <row r="420" spans="1:11" x14ac:dyDescent="0.3">
      <c r="A420" t="s">
        <v>192</v>
      </c>
      <c r="B420" s="25">
        <v>45961</v>
      </c>
      <c r="C420">
        <v>170046</v>
      </c>
      <c r="D420" t="s">
        <v>320</v>
      </c>
      <c r="E420" t="s">
        <v>349</v>
      </c>
      <c r="F420">
        <v>166831.34</v>
      </c>
      <c r="G420" s="29">
        <v>3.7971999999999999E-2</v>
      </c>
      <c r="H420">
        <v>1509106.24</v>
      </c>
      <c r="I420">
        <v>435390.41</v>
      </c>
      <c r="J420" s="29">
        <v>0.22389999999999999</v>
      </c>
      <c r="K420">
        <v>5.65</v>
      </c>
    </row>
    <row r="421" spans="1:11" x14ac:dyDescent="0.3">
      <c r="A421" t="s">
        <v>192</v>
      </c>
      <c r="B421" s="25">
        <v>45991</v>
      </c>
      <c r="C421">
        <v>170046</v>
      </c>
      <c r="D421" t="s">
        <v>320</v>
      </c>
      <c r="E421" t="s">
        <v>349</v>
      </c>
      <c r="F421">
        <v>142485.82999999999</v>
      </c>
      <c r="G421" s="29">
        <v>3.2738000000000003E-2</v>
      </c>
      <c r="H421">
        <v>1288884.01</v>
      </c>
      <c r="I421">
        <v>371854.36</v>
      </c>
      <c r="J421" s="29">
        <v>0.22389999999999999</v>
      </c>
      <c r="K421">
        <v>5.57</v>
      </c>
    </row>
    <row r="422" spans="1:11" x14ac:dyDescent="0.3">
      <c r="A422" t="s">
        <v>192</v>
      </c>
      <c r="B422" s="25">
        <v>45657</v>
      </c>
      <c r="C422">
        <v>973893</v>
      </c>
      <c r="D422" t="s">
        <v>323</v>
      </c>
      <c r="E422" t="s">
        <v>350</v>
      </c>
      <c r="F422">
        <v>26866.15</v>
      </c>
      <c r="G422" s="29">
        <v>5.9109999999999996E-3</v>
      </c>
      <c r="H422">
        <v>284796.46999999997</v>
      </c>
      <c r="I422">
        <v>76400.67</v>
      </c>
      <c r="J422" s="29">
        <v>0.21149999999999999</v>
      </c>
      <c r="K422">
        <v>5.45</v>
      </c>
    </row>
    <row r="423" spans="1:11" x14ac:dyDescent="0.3">
      <c r="A423" t="s">
        <v>192</v>
      </c>
      <c r="B423" s="25">
        <v>45688</v>
      </c>
      <c r="C423">
        <v>973893</v>
      </c>
      <c r="D423" t="s">
        <v>323</v>
      </c>
      <c r="E423" t="s">
        <v>350</v>
      </c>
      <c r="F423">
        <v>28746.33</v>
      </c>
      <c r="G423" s="29">
        <v>6.3180000000000007E-3</v>
      </c>
      <c r="H423">
        <v>304727.46999999997</v>
      </c>
      <c r="I423">
        <v>81747.44</v>
      </c>
      <c r="J423" s="29">
        <v>0.21149999999999999</v>
      </c>
      <c r="K423">
        <v>5.17</v>
      </c>
    </row>
    <row r="424" spans="1:11" x14ac:dyDescent="0.3">
      <c r="A424" t="s">
        <v>192</v>
      </c>
      <c r="B424" s="25">
        <v>45716</v>
      </c>
      <c r="C424">
        <v>973893</v>
      </c>
      <c r="D424" t="s">
        <v>323</v>
      </c>
      <c r="E424" t="s">
        <v>350</v>
      </c>
      <c r="F424">
        <v>29498.02</v>
      </c>
      <c r="G424" s="29">
        <v>6.2890000000000003E-3</v>
      </c>
      <c r="H424">
        <v>312695.8</v>
      </c>
      <c r="I424">
        <v>83885.06</v>
      </c>
      <c r="J424" s="29">
        <v>0.21149999999999999</v>
      </c>
      <c r="K424">
        <v>4.92</v>
      </c>
    </row>
    <row r="425" spans="1:11" x14ac:dyDescent="0.3">
      <c r="A425" t="s">
        <v>192</v>
      </c>
      <c r="B425" s="25">
        <v>45747</v>
      </c>
      <c r="C425">
        <v>973893</v>
      </c>
      <c r="D425" t="s">
        <v>323</v>
      </c>
      <c r="E425" t="s">
        <v>350</v>
      </c>
      <c r="F425">
        <v>24705.33</v>
      </c>
      <c r="G425" s="29">
        <v>5.5960000000000003E-3</v>
      </c>
      <c r="H425">
        <v>261890.61</v>
      </c>
      <c r="I425">
        <v>70255.850000000006</v>
      </c>
      <c r="J425" s="29">
        <v>0.21149999999999999</v>
      </c>
      <c r="K425">
        <v>4.5999999999999996</v>
      </c>
    </row>
    <row r="426" spans="1:11" x14ac:dyDescent="0.3">
      <c r="A426" t="s">
        <v>192</v>
      </c>
      <c r="B426" s="25">
        <v>45777</v>
      </c>
      <c r="C426">
        <v>973893</v>
      </c>
      <c r="D426" t="s">
        <v>323</v>
      </c>
      <c r="E426" t="s">
        <v>350</v>
      </c>
      <c r="F426">
        <v>28288.33</v>
      </c>
      <c r="G426" s="29">
        <v>5.9940000000000002E-3</v>
      </c>
      <c r="H426">
        <v>299872.36</v>
      </c>
      <c r="I426">
        <v>80444.990000000005</v>
      </c>
      <c r="J426" s="29">
        <v>0.21149999999999999</v>
      </c>
      <c r="K426">
        <v>5.08</v>
      </c>
    </row>
    <row r="427" spans="1:11" x14ac:dyDescent="0.3">
      <c r="A427" t="s">
        <v>192</v>
      </c>
      <c r="B427" s="25">
        <v>45808</v>
      </c>
      <c r="C427">
        <v>973893</v>
      </c>
      <c r="D427" t="s">
        <v>323</v>
      </c>
      <c r="E427" t="s">
        <v>350</v>
      </c>
      <c r="F427">
        <v>25859.75</v>
      </c>
      <c r="G427" s="29">
        <v>5.4920000000000004E-3</v>
      </c>
      <c r="H427">
        <v>274128.05</v>
      </c>
      <c r="I427">
        <v>73538.720000000001</v>
      </c>
      <c r="J427" s="29">
        <v>0.21149999999999999</v>
      </c>
      <c r="K427">
        <v>4.66</v>
      </c>
    </row>
    <row r="428" spans="1:11" x14ac:dyDescent="0.3">
      <c r="A428" t="s">
        <v>192</v>
      </c>
      <c r="B428" s="25">
        <v>45838</v>
      </c>
      <c r="C428">
        <v>973893</v>
      </c>
      <c r="D428" t="s">
        <v>323</v>
      </c>
      <c r="E428" t="s">
        <v>350</v>
      </c>
      <c r="F428">
        <v>27054.13</v>
      </c>
      <c r="G428" s="29">
        <v>5.79E-3</v>
      </c>
      <c r="H428">
        <v>286789.17</v>
      </c>
      <c r="I428">
        <v>76935.240000000005</v>
      </c>
      <c r="J428" s="29">
        <v>0.21149999999999999</v>
      </c>
      <c r="K428">
        <v>5.17</v>
      </c>
    </row>
    <row r="429" spans="1:11" x14ac:dyDescent="0.3">
      <c r="A429" t="s">
        <v>192</v>
      </c>
      <c r="B429" s="25">
        <v>45869</v>
      </c>
      <c r="C429">
        <v>973893</v>
      </c>
      <c r="D429" t="s">
        <v>323</v>
      </c>
      <c r="E429" t="s">
        <v>350</v>
      </c>
      <c r="F429">
        <v>31498.91</v>
      </c>
      <c r="G429" s="29">
        <v>6.9030000000000003E-3</v>
      </c>
      <c r="H429">
        <v>333906.36</v>
      </c>
      <c r="I429">
        <v>89575.09</v>
      </c>
      <c r="J429" s="29">
        <v>0.21149999999999999</v>
      </c>
      <c r="K429">
        <v>5.08</v>
      </c>
    </row>
    <row r="430" spans="1:11" x14ac:dyDescent="0.3">
      <c r="A430" t="s">
        <v>192</v>
      </c>
      <c r="B430" s="25">
        <v>45900</v>
      </c>
      <c r="C430">
        <v>973893</v>
      </c>
      <c r="D430" t="s">
        <v>323</v>
      </c>
      <c r="E430" t="s">
        <v>350</v>
      </c>
      <c r="F430">
        <v>28536.29</v>
      </c>
      <c r="G430" s="29">
        <v>6.5790000000000006E-3</v>
      </c>
      <c r="H430">
        <v>302500.90999999997</v>
      </c>
      <c r="I430">
        <v>81150.14</v>
      </c>
      <c r="J430" s="29">
        <v>0.21149999999999999</v>
      </c>
      <c r="K430">
        <v>4.7300000000000004</v>
      </c>
    </row>
    <row r="431" spans="1:11" x14ac:dyDescent="0.3">
      <c r="A431" t="s">
        <v>192</v>
      </c>
      <c r="B431" s="25">
        <v>45930</v>
      </c>
      <c r="C431">
        <v>973893</v>
      </c>
      <c r="D431" t="s">
        <v>323</v>
      </c>
      <c r="E431" t="s">
        <v>350</v>
      </c>
      <c r="F431">
        <v>29536.44</v>
      </c>
      <c r="G431" s="29">
        <v>6.4670000000000005E-3</v>
      </c>
      <c r="H431">
        <v>313103.14</v>
      </c>
      <c r="I431">
        <v>83994.33</v>
      </c>
      <c r="J431" s="29">
        <v>0.21149999999999999</v>
      </c>
      <c r="K431">
        <v>5.75</v>
      </c>
    </row>
    <row r="432" spans="1:11" x14ac:dyDescent="0.3">
      <c r="A432" t="s">
        <v>192</v>
      </c>
      <c r="B432" s="25">
        <v>45961</v>
      </c>
      <c r="C432">
        <v>973893</v>
      </c>
      <c r="D432" t="s">
        <v>323</v>
      </c>
      <c r="E432" t="s">
        <v>350</v>
      </c>
      <c r="F432">
        <v>30209.14</v>
      </c>
      <c r="G432" s="29">
        <v>6.8760000000000002E-3</v>
      </c>
      <c r="H432">
        <v>320234.09999999998</v>
      </c>
      <c r="I432">
        <v>85907.32</v>
      </c>
      <c r="J432" s="29">
        <v>0.21149999999999999</v>
      </c>
      <c r="K432">
        <v>4.67</v>
      </c>
    </row>
    <row r="433" spans="1:11" x14ac:dyDescent="0.3">
      <c r="A433" t="s">
        <v>192</v>
      </c>
      <c r="B433" s="25">
        <v>45991</v>
      </c>
      <c r="C433">
        <v>973893</v>
      </c>
      <c r="D433" t="s">
        <v>323</v>
      </c>
      <c r="E433" t="s">
        <v>350</v>
      </c>
      <c r="F433">
        <v>26467.27</v>
      </c>
      <c r="G433" s="29">
        <v>6.0809999999999996E-3</v>
      </c>
      <c r="H433">
        <v>280568.09999999998</v>
      </c>
      <c r="I433">
        <v>75266.350000000006</v>
      </c>
      <c r="J433" s="29">
        <v>0.21149999999999999</v>
      </c>
      <c r="K433">
        <v>5.14</v>
      </c>
    </row>
    <row r="434" spans="1:11" x14ac:dyDescent="0.3">
      <c r="A434" t="s">
        <v>192</v>
      </c>
      <c r="B434" s="25">
        <v>45657</v>
      </c>
      <c r="C434">
        <v>792591</v>
      </c>
      <c r="D434" t="s">
        <v>324</v>
      </c>
      <c r="E434" t="s">
        <v>345</v>
      </c>
      <c r="F434">
        <v>99857.83</v>
      </c>
      <c r="G434" s="29">
        <v>2.1970999999999997E-2</v>
      </c>
      <c r="H434">
        <v>1095004.3</v>
      </c>
      <c r="I434">
        <v>311231.40000000002</v>
      </c>
      <c r="J434" s="29">
        <v>0.2213</v>
      </c>
      <c r="K434">
        <v>4.83</v>
      </c>
    </row>
    <row r="435" spans="1:11" x14ac:dyDescent="0.3">
      <c r="A435" t="s">
        <v>192</v>
      </c>
      <c r="B435" s="25">
        <v>45688</v>
      </c>
      <c r="C435">
        <v>792591</v>
      </c>
      <c r="D435" t="s">
        <v>324</v>
      </c>
      <c r="E435" t="s">
        <v>345</v>
      </c>
      <c r="F435">
        <v>85807.73</v>
      </c>
      <c r="G435" s="29">
        <v>1.8859999999999998E-2</v>
      </c>
      <c r="H435">
        <v>940936.06</v>
      </c>
      <c r="I435">
        <v>267440.81</v>
      </c>
      <c r="J435" s="29">
        <v>0.2213</v>
      </c>
      <c r="K435">
        <v>4.7</v>
      </c>
    </row>
    <row r="436" spans="1:11" x14ac:dyDescent="0.3">
      <c r="A436" t="s">
        <v>192</v>
      </c>
      <c r="B436" s="25">
        <v>45716</v>
      </c>
      <c r="C436">
        <v>792591</v>
      </c>
      <c r="D436" t="s">
        <v>324</v>
      </c>
      <c r="E436" t="s">
        <v>345</v>
      </c>
      <c r="F436">
        <v>99173.13</v>
      </c>
      <c r="G436" s="29">
        <v>2.1145000000000001E-2</v>
      </c>
      <c r="H436">
        <v>1087496.1100000001</v>
      </c>
      <c r="I436">
        <v>309097.34999999998</v>
      </c>
      <c r="J436" s="29">
        <v>0.2213</v>
      </c>
      <c r="K436">
        <v>4.9400000000000004</v>
      </c>
    </row>
    <row r="437" spans="1:11" x14ac:dyDescent="0.3">
      <c r="A437" t="s">
        <v>192</v>
      </c>
      <c r="B437" s="25">
        <v>45747</v>
      </c>
      <c r="C437">
        <v>792591</v>
      </c>
      <c r="D437" t="s">
        <v>324</v>
      </c>
      <c r="E437" t="s">
        <v>345</v>
      </c>
      <c r="F437">
        <v>109955.39</v>
      </c>
      <c r="G437" s="29">
        <v>2.4906000000000001E-2</v>
      </c>
      <c r="H437">
        <v>1205730.3700000001</v>
      </c>
      <c r="I437">
        <v>342702.9</v>
      </c>
      <c r="J437" s="29">
        <v>0.2213</v>
      </c>
      <c r="K437">
        <v>4.4000000000000004</v>
      </c>
    </row>
    <row r="438" spans="1:11" x14ac:dyDescent="0.3">
      <c r="A438" t="s">
        <v>192</v>
      </c>
      <c r="B438" s="25">
        <v>45777</v>
      </c>
      <c r="C438">
        <v>792591</v>
      </c>
      <c r="D438" t="s">
        <v>324</v>
      </c>
      <c r="E438" t="s">
        <v>345</v>
      </c>
      <c r="F438">
        <v>89916.76</v>
      </c>
      <c r="G438" s="29">
        <v>1.9051999999999999E-2</v>
      </c>
      <c r="H438">
        <v>985994.13</v>
      </c>
      <c r="I438">
        <v>280247.59999999998</v>
      </c>
      <c r="J438" s="29">
        <v>0.2213</v>
      </c>
      <c r="K438">
        <v>4.87</v>
      </c>
    </row>
    <row r="439" spans="1:11" x14ac:dyDescent="0.3">
      <c r="A439" t="s">
        <v>192</v>
      </c>
      <c r="B439" s="25">
        <v>45808</v>
      </c>
      <c r="C439">
        <v>792591</v>
      </c>
      <c r="D439" t="s">
        <v>324</v>
      </c>
      <c r="E439" t="s">
        <v>345</v>
      </c>
      <c r="F439">
        <v>85681.07</v>
      </c>
      <c r="G439" s="29">
        <v>1.8197000000000001E-2</v>
      </c>
      <c r="H439">
        <v>939547.12</v>
      </c>
      <c r="I439">
        <v>267046.03999999998</v>
      </c>
      <c r="J439" s="29">
        <v>0.2213</v>
      </c>
      <c r="K439">
        <v>4.6900000000000004</v>
      </c>
    </row>
    <row r="440" spans="1:11" x14ac:dyDescent="0.3">
      <c r="A440" t="s">
        <v>192</v>
      </c>
      <c r="B440" s="25">
        <v>45838</v>
      </c>
      <c r="C440">
        <v>792591</v>
      </c>
      <c r="D440" t="s">
        <v>324</v>
      </c>
      <c r="E440" t="s">
        <v>345</v>
      </c>
      <c r="F440">
        <v>71230.23</v>
      </c>
      <c r="G440" s="29">
        <v>1.5245E-2</v>
      </c>
      <c r="H440">
        <v>781084.55</v>
      </c>
      <c r="I440">
        <v>222006.47</v>
      </c>
      <c r="J440" s="29">
        <v>0.2213</v>
      </c>
      <c r="K440">
        <v>4.83</v>
      </c>
    </row>
    <row r="441" spans="1:11" x14ac:dyDescent="0.3">
      <c r="A441" t="s">
        <v>192</v>
      </c>
      <c r="B441" s="25">
        <v>45869</v>
      </c>
      <c r="C441">
        <v>792591</v>
      </c>
      <c r="D441" t="s">
        <v>324</v>
      </c>
      <c r="E441" t="s">
        <v>345</v>
      </c>
      <c r="F441">
        <v>84822.42</v>
      </c>
      <c r="G441" s="29">
        <v>1.8588E-2</v>
      </c>
      <c r="H441">
        <v>930131.48</v>
      </c>
      <c r="I441">
        <v>264369.84000000003</v>
      </c>
      <c r="J441" s="29">
        <v>0.2213</v>
      </c>
      <c r="K441">
        <v>5.12</v>
      </c>
    </row>
    <row r="442" spans="1:11" x14ac:dyDescent="0.3">
      <c r="A442" t="s">
        <v>192</v>
      </c>
      <c r="B442" s="25">
        <v>45900</v>
      </c>
      <c r="C442">
        <v>792591</v>
      </c>
      <c r="D442" t="s">
        <v>324</v>
      </c>
      <c r="E442" t="s">
        <v>345</v>
      </c>
      <c r="F442">
        <v>90880.02</v>
      </c>
      <c r="G442" s="29">
        <v>2.0951000000000001E-2</v>
      </c>
      <c r="H442">
        <v>996556.86</v>
      </c>
      <c r="I442">
        <v>283249.83</v>
      </c>
      <c r="J442" s="29">
        <v>0.2213</v>
      </c>
      <c r="K442">
        <v>4.95</v>
      </c>
    </row>
    <row r="443" spans="1:11" x14ac:dyDescent="0.3">
      <c r="A443" t="s">
        <v>192</v>
      </c>
      <c r="B443" s="25">
        <v>45930</v>
      </c>
      <c r="C443">
        <v>792591</v>
      </c>
      <c r="D443" t="s">
        <v>324</v>
      </c>
      <c r="E443" t="s">
        <v>345</v>
      </c>
      <c r="F443">
        <v>89690.41</v>
      </c>
      <c r="G443" s="29">
        <v>1.9637999999999999E-2</v>
      </c>
      <c r="H443">
        <v>983512.02</v>
      </c>
      <c r="I443">
        <v>279542.12</v>
      </c>
      <c r="J443" s="29">
        <v>0.2213</v>
      </c>
      <c r="K443">
        <v>5.01</v>
      </c>
    </row>
    <row r="444" spans="1:11" x14ac:dyDescent="0.3">
      <c r="A444" t="s">
        <v>192</v>
      </c>
      <c r="B444" s="25">
        <v>45961</v>
      </c>
      <c r="C444">
        <v>792591</v>
      </c>
      <c r="D444" t="s">
        <v>324</v>
      </c>
      <c r="E444" t="s">
        <v>345</v>
      </c>
      <c r="F444">
        <v>90074.75</v>
      </c>
      <c r="G444" s="29">
        <v>2.0501999999999999E-2</v>
      </c>
      <c r="H444">
        <v>987726.65</v>
      </c>
      <c r="I444">
        <v>280740.03000000003</v>
      </c>
      <c r="J444" s="29">
        <v>0.2213</v>
      </c>
      <c r="K444">
        <v>4.2</v>
      </c>
    </row>
    <row r="445" spans="1:11" x14ac:dyDescent="0.3">
      <c r="A445" t="s">
        <v>192</v>
      </c>
      <c r="B445" s="25">
        <v>45991</v>
      </c>
      <c r="C445">
        <v>792591</v>
      </c>
      <c r="D445" t="s">
        <v>324</v>
      </c>
      <c r="E445" t="s">
        <v>345</v>
      </c>
      <c r="F445">
        <v>87256.58</v>
      </c>
      <c r="G445" s="29">
        <v>2.0048E-2</v>
      </c>
      <c r="H445">
        <v>956823.58</v>
      </c>
      <c r="I445">
        <v>271956.5</v>
      </c>
      <c r="J445" s="29">
        <v>0.2213</v>
      </c>
      <c r="K445">
        <v>4.8600000000000003</v>
      </c>
    </row>
    <row r="446" spans="1:11" x14ac:dyDescent="0.3">
      <c r="A446" t="s">
        <v>192</v>
      </c>
      <c r="B446" s="25">
        <v>45657</v>
      </c>
      <c r="C446">
        <v>781650</v>
      </c>
      <c r="D446" t="s">
        <v>323</v>
      </c>
      <c r="E446" t="s">
        <v>342</v>
      </c>
      <c r="F446">
        <v>13616.93</v>
      </c>
      <c r="G446" s="29">
        <v>2.996E-3</v>
      </c>
      <c r="H446">
        <v>143938.12</v>
      </c>
      <c r="I446">
        <v>35772.35</v>
      </c>
      <c r="J446" s="29">
        <v>0.1991</v>
      </c>
      <c r="K446">
        <v>5.19</v>
      </c>
    </row>
    <row r="447" spans="1:11" x14ac:dyDescent="0.3">
      <c r="A447" t="s">
        <v>192</v>
      </c>
      <c r="B447" s="25">
        <v>45688</v>
      </c>
      <c r="C447">
        <v>781650</v>
      </c>
      <c r="D447" t="s">
        <v>323</v>
      </c>
      <c r="E447" t="s">
        <v>342</v>
      </c>
      <c r="F447">
        <v>12237.02</v>
      </c>
      <c r="G447" s="29">
        <v>2.6900000000000001E-3</v>
      </c>
      <c r="H447">
        <v>129351.78</v>
      </c>
      <c r="I447">
        <v>32147.27</v>
      </c>
      <c r="J447" s="29">
        <v>0.1991</v>
      </c>
      <c r="K447">
        <v>4.46</v>
      </c>
    </row>
    <row r="448" spans="1:11" x14ac:dyDescent="0.3">
      <c r="A448" t="s">
        <v>192</v>
      </c>
      <c r="B448" s="25">
        <v>45716</v>
      </c>
      <c r="C448">
        <v>781650</v>
      </c>
      <c r="D448" t="s">
        <v>323</v>
      </c>
      <c r="E448" t="s">
        <v>342</v>
      </c>
      <c r="F448">
        <v>13984.2</v>
      </c>
      <c r="G448" s="29">
        <v>2.9820000000000003E-3</v>
      </c>
      <c r="H448">
        <v>147820.37</v>
      </c>
      <c r="I448">
        <v>36737.19</v>
      </c>
      <c r="J448" s="29">
        <v>0.1991</v>
      </c>
      <c r="K448">
        <v>4.95</v>
      </c>
    </row>
    <row r="449" spans="1:11" x14ac:dyDescent="0.3">
      <c r="A449" t="s">
        <v>192</v>
      </c>
      <c r="B449" s="25">
        <v>45747</v>
      </c>
      <c r="C449">
        <v>781650</v>
      </c>
      <c r="D449" t="s">
        <v>323</v>
      </c>
      <c r="E449" t="s">
        <v>342</v>
      </c>
      <c r="F449">
        <v>14887.73</v>
      </c>
      <c r="G449" s="29">
        <v>3.372E-3</v>
      </c>
      <c r="H449">
        <v>157371.23000000001</v>
      </c>
      <c r="I449">
        <v>39110.83</v>
      </c>
      <c r="J449" s="29">
        <v>0.1991</v>
      </c>
      <c r="K449">
        <v>4.67</v>
      </c>
    </row>
    <row r="450" spans="1:11" x14ac:dyDescent="0.3">
      <c r="A450" t="s">
        <v>192</v>
      </c>
      <c r="B450" s="25">
        <v>45777</v>
      </c>
      <c r="C450">
        <v>781650</v>
      </c>
      <c r="D450" t="s">
        <v>323</v>
      </c>
      <c r="E450" t="s">
        <v>342</v>
      </c>
      <c r="F450">
        <v>13049.52</v>
      </c>
      <c r="G450" s="29">
        <v>2.7650000000000001E-3</v>
      </c>
      <c r="H450">
        <v>137940.35999999999</v>
      </c>
      <c r="I450">
        <v>34281.75</v>
      </c>
      <c r="J450" s="29">
        <v>0.1991</v>
      </c>
      <c r="K450">
        <v>4.47</v>
      </c>
    </row>
    <row r="451" spans="1:11" x14ac:dyDescent="0.3">
      <c r="A451" t="s">
        <v>192</v>
      </c>
      <c r="B451" s="25">
        <v>45808</v>
      </c>
      <c r="C451">
        <v>781650</v>
      </c>
      <c r="D451" t="s">
        <v>323</v>
      </c>
      <c r="E451" t="s">
        <v>342</v>
      </c>
      <c r="F451">
        <v>14385.17</v>
      </c>
      <c r="G451" s="29">
        <v>3.055E-3</v>
      </c>
      <c r="H451">
        <v>152058.82</v>
      </c>
      <c r="I451">
        <v>37790.559999999998</v>
      </c>
      <c r="J451" s="29">
        <v>0.1991</v>
      </c>
      <c r="K451">
        <v>4.55</v>
      </c>
    </row>
    <row r="452" spans="1:11" x14ac:dyDescent="0.3">
      <c r="A452" t="s">
        <v>192</v>
      </c>
      <c r="B452" s="25">
        <v>45838</v>
      </c>
      <c r="C452">
        <v>781650</v>
      </c>
      <c r="D452" t="s">
        <v>323</v>
      </c>
      <c r="E452" t="s">
        <v>342</v>
      </c>
      <c r="F452">
        <v>13336.32</v>
      </c>
      <c r="G452" s="29">
        <v>2.8539999999999998E-3</v>
      </c>
      <c r="H452">
        <v>140971.94</v>
      </c>
      <c r="I452">
        <v>35035.18</v>
      </c>
      <c r="J452" s="29">
        <v>0.1991</v>
      </c>
      <c r="K452">
        <v>5.22</v>
      </c>
    </row>
    <row r="453" spans="1:11" x14ac:dyDescent="0.3">
      <c r="A453" t="s">
        <v>192</v>
      </c>
      <c r="B453" s="25">
        <v>45869</v>
      </c>
      <c r="C453">
        <v>781650</v>
      </c>
      <c r="D453" t="s">
        <v>323</v>
      </c>
      <c r="E453" t="s">
        <v>342</v>
      </c>
      <c r="F453">
        <v>12223.62</v>
      </c>
      <c r="G453" s="29">
        <v>2.6790000000000004E-3</v>
      </c>
      <c r="H453">
        <v>129210.19</v>
      </c>
      <c r="I453">
        <v>32112.080000000002</v>
      </c>
      <c r="J453" s="29">
        <v>0.1991</v>
      </c>
      <c r="K453">
        <v>4.5</v>
      </c>
    </row>
    <row r="454" spans="1:11" x14ac:dyDescent="0.3">
      <c r="A454" t="s">
        <v>192</v>
      </c>
      <c r="B454" s="25">
        <v>45900</v>
      </c>
      <c r="C454">
        <v>781650</v>
      </c>
      <c r="D454" t="s">
        <v>323</v>
      </c>
      <c r="E454" t="s">
        <v>342</v>
      </c>
      <c r="F454">
        <v>15370.46</v>
      </c>
      <c r="G454" s="29">
        <v>3.5430000000000001E-3</v>
      </c>
      <c r="H454">
        <v>162473.87</v>
      </c>
      <c r="I454">
        <v>40378.97</v>
      </c>
      <c r="J454" s="29">
        <v>0.1991</v>
      </c>
      <c r="K454">
        <v>5.23</v>
      </c>
    </row>
    <row r="455" spans="1:11" x14ac:dyDescent="0.3">
      <c r="A455" t="s">
        <v>192</v>
      </c>
      <c r="B455" s="25">
        <v>45930</v>
      </c>
      <c r="C455">
        <v>781650</v>
      </c>
      <c r="D455" t="s">
        <v>323</v>
      </c>
      <c r="E455" t="s">
        <v>342</v>
      </c>
      <c r="F455">
        <v>12360.4</v>
      </c>
      <c r="G455" s="29">
        <v>2.7060000000000001E-3</v>
      </c>
      <c r="H455">
        <v>130655.94</v>
      </c>
      <c r="I455">
        <v>32471.39</v>
      </c>
      <c r="J455" s="29">
        <v>0.1991</v>
      </c>
      <c r="K455">
        <v>5.14</v>
      </c>
    </row>
    <row r="456" spans="1:11" x14ac:dyDescent="0.3">
      <c r="A456" t="s">
        <v>192</v>
      </c>
      <c r="B456" s="25">
        <v>45961</v>
      </c>
      <c r="C456">
        <v>781650</v>
      </c>
      <c r="D456" t="s">
        <v>323</v>
      </c>
      <c r="E456" t="s">
        <v>342</v>
      </c>
      <c r="F456">
        <v>15463.38</v>
      </c>
      <c r="G456" s="29">
        <v>3.5199999999999997E-3</v>
      </c>
      <c r="H456">
        <v>163456.07</v>
      </c>
      <c r="I456">
        <v>40623.07</v>
      </c>
      <c r="J456" s="29">
        <v>0.1991</v>
      </c>
      <c r="K456">
        <v>5.0599999999999996</v>
      </c>
    </row>
    <row r="457" spans="1:11" x14ac:dyDescent="0.3">
      <c r="A457" t="s">
        <v>192</v>
      </c>
      <c r="B457" s="25">
        <v>45991</v>
      </c>
      <c r="C457">
        <v>781650</v>
      </c>
      <c r="D457" t="s">
        <v>323</v>
      </c>
      <c r="E457" t="s">
        <v>342</v>
      </c>
      <c r="F457">
        <v>13419.25</v>
      </c>
      <c r="G457" s="29">
        <v>3.0830000000000002E-3</v>
      </c>
      <c r="H457">
        <v>141848.63</v>
      </c>
      <c r="I457">
        <v>35253.06</v>
      </c>
      <c r="J457" s="29">
        <v>0.1991</v>
      </c>
      <c r="K457">
        <v>4.67</v>
      </c>
    </row>
    <row r="458" spans="1:11" x14ac:dyDescent="0.3">
      <c r="A458" t="s">
        <v>192</v>
      </c>
      <c r="B458" s="25">
        <v>45657</v>
      </c>
      <c r="C458">
        <v>414746</v>
      </c>
      <c r="D458" t="s">
        <v>318</v>
      </c>
      <c r="E458" t="s">
        <v>359</v>
      </c>
      <c r="F458">
        <v>57354.13</v>
      </c>
      <c r="G458" s="29">
        <v>1.2619E-2</v>
      </c>
      <c r="H458">
        <v>616707.09</v>
      </c>
      <c r="I458">
        <v>195859.07</v>
      </c>
      <c r="J458" s="29">
        <v>0.24099999999999999</v>
      </c>
      <c r="K458">
        <v>4.7699999999999996</v>
      </c>
    </row>
    <row r="459" spans="1:11" x14ac:dyDescent="0.3">
      <c r="A459" t="s">
        <v>192</v>
      </c>
      <c r="B459" s="25">
        <v>45688</v>
      </c>
      <c r="C459">
        <v>414746</v>
      </c>
      <c r="D459" t="s">
        <v>318</v>
      </c>
      <c r="E459" t="s">
        <v>359</v>
      </c>
      <c r="F459">
        <v>81169.259999999995</v>
      </c>
      <c r="G459" s="29">
        <v>1.7840000000000002E-2</v>
      </c>
      <c r="H459">
        <v>872782.15</v>
      </c>
      <c r="I459">
        <v>277185.56</v>
      </c>
      <c r="J459" s="29">
        <v>0.24099999999999999</v>
      </c>
      <c r="K459">
        <v>5.01</v>
      </c>
    </row>
    <row r="460" spans="1:11" x14ac:dyDescent="0.3">
      <c r="A460" t="s">
        <v>192</v>
      </c>
      <c r="B460" s="25">
        <v>45716</v>
      </c>
      <c r="C460">
        <v>414746</v>
      </c>
      <c r="D460" t="s">
        <v>318</v>
      </c>
      <c r="E460" t="s">
        <v>359</v>
      </c>
      <c r="F460">
        <v>69619.88</v>
      </c>
      <c r="G460" s="29">
        <v>1.4844E-2</v>
      </c>
      <c r="H460">
        <v>748596.07</v>
      </c>
      <c r="I460">
        <v>237745.49</v>
      </c>
      <c r="J460" s="29">
        <v>0.24099999999999999</v>
      </c>
      <c r="K460">
        <v>4.54</v>
      </c>
    </row>
    <row r="461" spans="1:11" x14ac:dyDescent="0.3">
      <c r="A461" t="s">
        <v>192</v>
      </c>
      <c r="B461" s="25">
        <v>45747</v>
      </c>
      <c r="C461">
        <v>414746</v>
      </c>
      <c r="D461" t="s">
        <v>318</v>
      </c>
      <c r="E461" t="s">
        <v>359</v>
      </c>
      <c r="F461">
        <v>81494.19</v>
      </c>
      <c r="G461" s="29">
        <v>1.8460000000000001E-2</v>
      </c>
      <c r="H461">
        <v>876276.01</v>
      </c>
      <c r="I461">
        <v>278295.17</v>
      </c>
      <c r="J461" s="29">
        <v>0.24099999999999999</v>
      </c>
      <c r="K461">
        <v>4.68</v>
      </c>
    </row>
    <row r="462" spans="1:11" x14ac:dyDescent="0.3">
      <c r="A462" t="s">
        <v>192</v>
      </c>
      <c r="B462" s="25">
        <v>45777</v>
      </c>
      <c r="C462">
        <v>414746</v>
      </c>
      <c r="D462" t="s">
        <v>318</v>
      </c>
      <c r="E462" t="s">
        <v>359</v>
      </c>
      <c r="F462">
        <v>89780.55</v>
      </c>
      <c r="G462" s="29">
        <v>1.9023000000000002E-2</v>
      </c>
      <c r="H462">
        <v>965376.1</v>
      </c>
      <c r="I462">
        <v>306592.34000000003</v>
      </c>
      <c r="J462" s="29">
        <v>0.24099999999999999</v>
      </c>
      <c r="K462">
        <v>5.17</v>
      </c>
    </row>
    <row r="463" spans="1:11" x14ac:dyDescent="0.3">
      <c r="A463" t="s">
        <v>192</v>
      </c>
      <c r="B463" s="25">
        <v>45808</v>
      </c>
      <c r="C463">
        <v>414746</v>
      </c>
      <c r="D463" t="s">
        <v>318</v>
      </c>
      <c r="E463" t="s">
        <v>359</v>
      </c>
      <c r="F463">
        <v>73855.64</v>
      </c>
      <c r="G463" s="29">
        <v>1.5685000000000001E-2</v>
      </c>
      <c r="H463">
        <v>794141.62</v>
      </c>
      <c r="I463">
        <v>252210.24</v>
      </c>
      <c r="J463" s="29">
        <v>0.24099999999999999</v>
      </c>
      <c r="K463">
        <v>5.13</v>
      </c>
    </row>
    <row r="464" spans="1:11" x14ac:dyDescent="0.3">
      <c r="A464" t="s">
        <v>192</v>
      </c>
      <c r="B464" s="25">
        <v>45838</v>
      </c>
      <c r="C464">
        <v>414746</v>
      </c>
      <c r="D464" t="s">
        <v>318</v>
      </c>
      <c r="E464" t="s">
        <v>359</v>
      </c>
      <c r="F464">
        <v>87523.839999999997</v>
      </c>
      <c r="G464" s="29">
        <v>1.8733E-2</v>
      </c>
      <c r="H464">
        <v>941110.59</v>
      </c>
      <c r="I464">
        <v>298885.89</v>
      </c>
      <c r="J464" s="29">
        <v>0.24099999999999999</v>
      </c>
      <c r="K464">
        <v>5.14</v>
      </c>
    </row>
    <row r="465" spans="1:11" x14ac:dyDescent="0.3">
      <c r="A465" t="s">
        <v>192</v>
      </c>
      <c r="B465" s="25">
        <v>45869</v>
      </c>
      <c r="C465">
        <v>414746</v>
      </c>
      <c r="D465" t="s">
        <v>318</v>
      </c>
      <c r="E465" t="s">
        <v>359</v>
      </c>
      <c r="F465">
        <v>77145.73</v>
      </c>
      <c r="G465" s="29">
        <v>1.6906000000000001E-2</v>
      </c>
      <c r="H465">
        <v>829518.68</v>
      </c>
      <c r="I465">
        <v>263445.58</v>
      </c>
      <c r="J465" s="29">
        <v>0.24099999999999999</v>
      </c>
      <c r="K465">
        <v>4.87</v>
      </c>
    </row>
    <row r="466" spans="1:11" x14ac:dyDescent="0.3">
      <c r="A466" t="s">
        <v>192</v>
      </c>
      <c r="B466" s="25">
        <v>45900</v>
      </c>
      <c r="C466">
        <v>414746</v>
      </c>
      <c r="D466" t="s">
        <v>318</v>
      </c>
      <c r="E466" t="s">
        <v>359</v>
      </c>
      <c r="F466">
        <v>72680.11</v>
      </c>
      <c r="G466" s="29">
        <v>1.6756E-2</v>
      </c>
      <c r="H466">
        <v>781501.62</v>
      </c>
      <c r="I466">
        <v>248195.92</v>
      </c>
      <c r="J466" s="29">
        <v>0.24099999999999999</v>
      </c>
      <c r="K466">
        <v>4.8600000000000003</v>
      </c>
    </row>
    <row r="467" spans="1:11" x14ac:dyDescent="0.3">
      <c r="A467" t="s">
        <v>192</v>
      </c>
      <c r="B467" s="25">
        <v>45930</v>
      </c>
      <c r="C467">
        <v>414746</v>
      </c>
      <c r="D467" t="s">
        <v>318</v>
      </c>
      <c r="E467" t="s">
        <v>359</v>
      </c>
      <c r="F467">
        <v>85691.87</v>
      </c>
      <c r="G467" s="29">
        <v>1.8762000000000001E-2</v>
      </c>
      <c r="H467">
        <v>921412.07</v>
      </c>
      <c r="I467">
        <v>292629.86</v>
      </c>
      <c r="J467" s="29">
        <v>0.24099999999999999</v>
      </c>
      <c r="K467">
        <v>5.04</v>
      </c>
    </row>
    <row r="468" spans="1:11" x14ac:dyDescent="0.3">
      <c r="A468" t="s">
        <v>192</v>
      </c>
      <c r="B468" s="25">
        <v>45961</v>
      </c>
      <c r="C468">
        <v>414746</v>
      </c>
      <c r="D468" t="s">
        <v>318</v>
      </c>
      <c r="E468" t="s">
        <v>359</v>
      </c>
      <c r="F468">
        <v>79241.69</v>
      </c>
      <c r="G468" s="29">
        <v>1.8036E-2</v>
      </c>
      <c r="H468">
        <v>852055.8</v>
      </c>
      <c r="I468">
        <v>270603.11</v>
      </c>
      <c r="J468" s="29">
        <v>0.24099999999999999</v>
      </c>
      <c r="K468">
        <v>4.8099999999999996</v>
      </c>
    </row>
    <row r="469" spans="1:11" x14ac:dyDescent="0.3">
      <c r="A469" t="s">
        <v>192</v>
      </c>
      <c r="B469" s="25">
        <v>45991</v>
      </c>
      <c r="C469">
        <v>414746</v>
      </c>
      <c r="D469" t="s">
        <v>318</v>
      </c>
      <c r="E469" t="s">
        <v>359</v>
      </c>
      <c r="F469">
        <v>75174.92</v>
      </c>
      <c r="G469" s="29">
        <v>1.7271999999999999E-2</v>
      </c>
      <c r="H469">
        <v>808327.28</v>
      </c>
      <c r="I469">
        <v>256715.44</v>
      </c>
      <c r="J469" s="29">
        <v>0.24099999999999999</v>
      </c>
      <c r="K469">
        <v>5.05</v>
      </c>
    </row>
    <row r="470" spans="1:11" x14ac:dyDescent="0.3">
      <c r="A470" t="s">
        <v>192</v>
      </c>
      <c r="B470" s="25">
        <v>45657</v>
      </c>
      <c r="C470">
        <v>473360</v>
      </c>
      <c r="D470" t="s">
        <v>324</v>
      </c>
      <c r="E470" t="s">
        <v>345</v>
      </c>
      <c r="F470">
        <v>160779.04999999999</v>
      </c>
      <c r="G470" s="29">
        <v>3.5375000000000004E-2</v>
      </c>
      <c r="H470">
        <v>1599639.75</v>
      </c>
      <c r="I470">
        <v>436356.82</v>
      </c>
      <c r="J470" s="29">
        <v>0.21429999999999999</v>
      </c>
      <c r="K470">
        <v>5.73</v>
      </c>
    </row>
    <row r="471" spans="1:11" x14ac:dyDescent="0.3">
      <c r="A471" t="s">
        <v>192</v>
      </c>
      <c r="B471" s="25">
        <v>45688</v>
      </c>
      <c r="C471">
        <v>473360</v>
      </c>
      <c r="D471" t="s">
        <v>324</v>
      </c>
      <c r="E471" t="s">
        <v>345</v>
      </c>
      <c r="F471">
        <v>153671.19</v>
      </c>
      <c r="G471" s="29">
        <v>3.3774999999999999E-2</v>
      </c>
      <c r="H471">
        <v>1528921.49</v>
      </c>
      <c r="I471">
        <v>417065.98</v>
      </c>
      <c r="J471" s="29">
        <v>0.21429999999999999</v>
      </c>
      <c r="K471">
        <v>5.48</v>
      </c>
    </row>
    <row r="472" spans="1:11" x14ac:dyDescent="0.3">
      <c r="A472" t="s">
        <v>192</v>
      </c>
      <c r="B472" s="25">
        <v>45716</v>
      </c>
      <c r="C472">
        <v>473360</v>
      </c>
      <c r="D472" t="s">
        <v>324</v>
      </c>
      <c r="E472" t="s">
        <v>345</v>
      </c>
      <c r="F472">
        <v>173566.75</v>
      </c>
      <c r="G472" s="29">
        <v>3.7006999999999998E-2</v>
      </c>
      <c r="H472">
        <v>1726868.44</v>
      </c>
      <c r="I472">
        <v>471062.82</v>
      </c>
      <c r="J472" s="29">
        <v>0.21429999999999999</v>
      </c>
      <c r="K472">
        <v>5.32</v>
      </c>
    </row>
    <row r="473" spans="1:11" x14ac:dyDescent="0.3">
      <c r="A473" t="s">
        <v>192</v>
      </c>
      <c r="B473" s="25">
        <v>45747</v>
      </c>
      <c r="C473">
        <v>473360</v>
      </c>
      <c r="D473" t="s">
        <v>324</v>
      </c>
      <c r="E473" t="s">
        <v>345</v>
      </c>
      <c r="F473">
        <v>157056.45000000001</v>
      </c>
      <c r="G473" s="29">
        <v>3.5575000000000002E-2</v>
      </c>
      <c r="H473">
        <v>1562602.48</v>
      </c>
      <c r="I473">
        <v>426253.62</v>
      </c>
      <c r="J473" s="29">
        <v>0.21429999999999999</v>
      </c>
      <c r="K473">
        <v>5.43</v>
      </c>
    </row>
    <row r="474" spans="1:11" x14ac:dyDescent="0.3">
      <c r="A474" t="s">
        <v>192</v>
      </c>
      <c r="B474" s="25">
        <v>45777</v>
      </c>
      <c r="C474">
        <v>473360</v>
      </c>
      <c r="D474" t="s">
        <v>324</v>
      </c>
      <c r="E474" t="s">
        <v>345</v>
      </c>
      <c r="F474">
        <v>160165.07999999999</v>
      </c>
      <c r="G474" s="29">
        <v>3.3936000000000001E-2</v>
      </c>
      <c r="H474">
        <v>1593531.14</v>
      </c>
      <c r="I474">
        <v>434690.48</v>
      </c>
      <c r="J474" s="29">
        <v>0.21429999999999999</v>
      </c>
      <c r="K474">
        <v>5.21</v>
      </c>
    </row>
    <row r="475" spans="1:11" x14ac:dyDescent="0.3">
      <c r="A475" t="s">
        <v>192</v>
      </c>
      <c r="B475" s="25">
        <v>45808</v>
      </c>
      <c r="C475">
        <v>473360</v>
      </c>
      <c r="D475" t="s">
        <v>324</v>
      </c>
      <c r="E475" t="s">
        <v>345</v>
      </c>
      <c r="F475">
        <v>161396.99</v>
      </c>
      <c r="G475" s="29">
        <v>3.4277000000000002E-2</v>
      </c>
      <c r="H475">
        <v>1605787.76</v>
      </c>
      <c r="I475">
        <v>438033.9</v>
      </c>
      <c r="J475" s="29">
        <v>0.21429999999999999</v>
      </c>
      <c r="K475">
        <v>5.44</v>
      </c>
    </row>
    <row r="476" spans="1:11" x14ac:dyDescent="0.3">
      <c r="A476" t="s">
        <v>192</v>
      </c>
      <c r="B476" s="25">
        <v>45838</v>
      </c>
      <c r="C476">
        <v>473360</v>
      </c>
      <c r="D476" t="s">
        <v>324</v>
      </c>
      <c r="E476" t="s">
        <v>345</v>
      </c>
      <c r="F476">
        <v>145353.69</v>
      </c>
      <c r="G476" s="29">
        <v>3.1110000000000002E-2</v>
      </c>
      <c r="H476">
        <v>1446168.17</v>
      </c>
      <c r="I476">
        <v>394492.15999999997</v>
      </c>
      <c r="J476" s="29">
        <v>0.21429999999999999</v>
      </c>
      <c r="K476">
        <v>5.39</v>
      </c>
    </row>
    <row r="477" spans="1:11" x14ac:dyDescent="0.3">
      <c r="A477" t="s">
        <v>192</v>
      </c>
      <c r="B477" s="25">
        <v>45869</v>
      </c>
      <c r="C477">
        <v>473360</v>
      </c>
      <c r="D477" t="s">
        <v>324</v>
      </c>
      <c r="E477" t="s">
        <v>345</v>
      </c>
      <c r="F477">
        <v>166778.1</v>
      </c>
      <c r="G477" s="29">
        <v>3.6547999999999997E-2</v>
      </c>
      <c r="H477">
        <v>1659326.07</v>
      </c>
      <c r="I477">
        <v>452638.32</v>
      </c>
      <c r="J477" s="29">
        <v>0.21429999999999999</v>
      </c>
      <c r="K477">
        <v>5.09</v>
      </c>
    </row>
    <row r="478" spans="1:11" x14ac:dyDescent="0.3">
      <c r="A478" t="s">
        <v>192</v>
      </c>
      <c r="B478" s="25">
        <v>45900</v>
      </c>
      <c r="C478">
        <v>473360</v>
      </c>
      <c r="D478" t="s">
        <v>324</v>
      </c>
      <c r="E478" t="s">
        <v>345</v>
      </c>
      <c r="F478">
        <v>183650.68</v>
      </c>
      <c r="G478" s="29">
        <v>4.2339000000000002E-2</v>
      </c>
      <c r="H478">
        <v>1827196.53</v>
      </c>
      <c r="I478">
        <v>498430.76</v>
      </c>
      <c r="J478" s="29">
        <v>0.21429999999999999</v>
      </c>
      <c r="K478">
        <v>5.03</v>
      </c>
    </row>
    <row r="479" spans="1:11" x14ac:dyDescent="0.3">
      <c r="A479" t="s">
        <v>192</v>
      </c>
      <c r="B479" s="25">
        <v>45930</v>
      </c>
      <c r="C479">
        <v>473360</v>
      </c>
      <c r="D479" t="s">
        <v>324</v>
      </c>
      <c r="E479" t="s">
        <v>345</v>
      </c>
      <c r="F479">
        <v>179434.69</v>
      </c>
      <c r="G479" s="29">
        <v>3.9287999999999997E-2</v>
      </c>
      <c r="H479">
        <v>1785250.34</v>
      </c>
      <c r="I479">
        <v>486988.5</v>
      </c>
      <c r="J479" s="29">
        <v>0.21429999999999999</v>
      </c>
      <c r="K479">
        <v>5.27</v>
      </c>
    </row>
    <row r="480" spans="1:11" x14ac:dyDescent="0.3">
      <c r="A480" t="s">
        <v>192</v>
      </c>
      <c r="B480" s="25">
        <v>45961</v>
      </c>
      <c r="C480">
        <v>473360</v>
      </c>
      <c r="D480" t="s">
        <v>324</v>
      </c>
      <c r="E480" t="s">
        <v>345</v>
      </c>
      <c r="F480">
        <v>149291.22</v>
      </c>
      <c r="G480" s="29">
        <v>3.3980000000000003E-2</v>
      </c>
      <c r="H480">
        <v>1485343.79</v>
      </c>
      <c r="I480">
        <v>405178.66</v>
      </c>
      <c r="J480" s="29">
        <v>0.21429999999999999</v>
      </c>
      <c r="K480">
        <v>5.18</v>
      </c>
    </row>
    <row r="481" spans="1:11" x14ac:dyDescent="0.3">
      <c r="A481" t="s">
        <v>192</v>
      </c>
      <c r="B481" s="25">
        <v>45991</v>
      </c>
      <c r="C481">
        <v>473360</v>
      </c>
      <c r="D481" t="s">
        <v>324</v>
      </c>
      <c r="E481" t="s">
        <v>345</v>
      </c>
      <c r="F481">
        <v>156401.15</v>
      </c>
      <c r="G481" s="29">
        <v>3.5935000000000002E-2</v>
      </c>
      <c r="H481">
        <v>1556082.72</v>
      </c>
      <c r="I481">
        <v>424475.13</v>
      </c>
      <c r="J481" s="29">
        <v>0.21429999999999999</v>
      </c>
      <c r="K481">
        <v>5.28</v>
      </c>
    </row>
    <row r="482" spans="1:11" x14ac:dyDescent="0.3">
      <c r="A482" t="s">
        <v>191</v>
      </c>
      <c r="B482" s="25">
        <v>45657</v>
      </c>
      <c r="C482">
        <v>847097</v>
      </c>
      <c r="D482" t="s">
        <v>323</v>
      </c>
      <c r="E482" t="s">
        <v>350</v>
      </c>
      <c r="F482">
        <v>35576.36</v>
      </c>
      <c r="G482" s="29">
        <v>1.0320000000000001E-2</v>
      </c>
      <c r="H482">
        <v>406721.1</v>
      </c>
      <c r="I482">
        <v>63542.01</v>
      </c>
      <c r="J482" s="29">
        <v>0.1351</v>
      </c>
      <c r="K482">
        <v>4</v>
      </c>
    </row>
    <row r="483" spans="1:11" x14ac:dyDescent="0.3">
      <c r="A483" t="s">
        <v>191</v>
      </c>
      <c r="B483" s="25">
        <v>45688</v>
      </c>
      <c r="C483">
        <v>847097</v>
      </c>
      <c r="D483" t="s">
        <v>323</v>
      </c>
      <c r="E483" t="s">
        <v>350</v>
      </c>
      <c r="F483">
        <v>34362.19</v>
      </c>
      <c r="G483" s="29">
        <v>1.0669E-2</v>
      </c>
      <c r="H483">
        <v>392840.36</v>
      </c>
      <c r="I483">
        <v>61373.42</v>
      </c>
      <c r="J483" s="29">
        <v>0.1351</v>
      </c>
      <c r="K483">
        <v>5.05</v>
      </c>
    </row>
    <row r="484" spans="1:11" x14ac:dyDescent="0.3">
      <c r="A484" t="s">
        <v>191</v>
      </c>
      <c r="B484" s="25">
        <v>45716</v>
      </c>
      <c r="C484">
        <v>847097</v>
      </c>
      <c r="D484" t="s">
        <v>323</v>
      </c>
      <c r="E484" t="s">
        <v>350</v>
      </c>
      <c r="F484">
        <v>40195.550000000003</v>
      </c>
      <c r="G484" s="29">
        <v>1.1655E-2</v>
      </c>
      <c r="H484">
        <v>459529.28</v>
      </c>
      <c r="I484">
        <v>71792.22</v>
      </c>
      <c r="J484" s="29">
        <v>0.1351</v>
      </c>
      <c r="K484">
        <v>5.32</v>
      </c>
    </row>
    <row r="485" spans="1:11" x14ac:dyDescent="0.3">
      <c r="A485" t="s">
        <v>191</v>
      </c>
      <c r="B485" s="25">
        <v>45747</v>
      </c>
      <c r="C485">
        <v>847097</v>
      </c>
      <c r="D485" t="s">
        <v>323</v>
      </c>
      <c r="E485" t="s">
        <v>350</v>
      </c>
      <c r="F485">
        <v>33217.54</v>
      </c>
      <c r="G485" s="29">
        <v>1.048E-2</v>
      </c>
      <c r="H485">
        <v>379754.27</v>
      </c>
      <c r="I485">
        <v>59328.98</v>
      </c>
      <c r="J485" s="29">
        <v>0.1351</v>
      </c>
      <c r="K485">
        <v>4.55</v>
      </c>
    </row>
    <row r="486" spans="1:11" x14ac:dyDescent="0.3">
      <c r="A486" t="s">
        <v>191</v>
      </c>
      <c r="B486" s="25">
        <v>45777</v>
      </c>
      <c r="C486">
        <v>847097</v>
      </c>
      <c r="D486" t="s">
        <v>323</v>
      </c>
      <c r="E486" t="s">
        <v>350</v>
      </c>
      <c r="F486">
        <v>39570.43</v>
      </c>
      <c r="G486" s="29">
        <v>1.1987000000000001E-2</v>
      </c>
      <c r="H486">
        <v>452382.68</v>
      </c>
      <c r="I486">
        <v>70675.710000000006</v>
      </c>
      <c r="J486" s="29">
        <v>0.1351</v>
      </c>
      <c r="K486">
        <v>4.71</v>
      </c>
    </row>
    <row r="487" spans="1:11" x14ac:dyDescent="0.3">
      <c r="A487" t="s">
        <v>191</v>
      </c>
      <c r="B487" s="25">
        <v>45808</v>
      </c>
      <c r="C487">
        <v>847097</v>
      </c>
      <c r="D487" t="s">
        <v>323</v>
      </c>
      <c r="E487" t="s">
        <v>350</v>
      </c>
      <c r="F487">
        <v>33833.269999999997</v>
      </c>
      <c r="G487" s="29">
        <v>9.784000000000001E-3</v>
      </c>
      <c r="H487">
        <v>386793.49</v>
      </c>
      <c r="I487">
        <v>60428.72</v>
      </c>
      <c r="J487" s="29">
        <v>0.1351</v>
      </c>
      <c r="K487">
        <v>4.68</v>
      </c>
    </row>
    <row r="488" spans="1:11" x14ac:dyDescent="0.3">
      <c r="A488" t="s">
        <v>191</v>
      </c>
      <c r="B488" s="25">
        <v>45838</v>
      </c>
      <c r="C488">
        <v>847097</v>
      </c>
      <c r="D488" t="s">
        <v>323</v>
      </c>
      <c r="E488" t="s">
        <v>350</v>
      </c>
      <c r="F488">
        <v>36405.230000000003</v>
      </c>
      <c r="G488" s="29">
        <v>1.2241999999999999E-2</v>
      </c>
      <c r="H488">
        <v>416197.1</v>
      </c>
      <c r="I488">
        <v>65022.44</v>
      </c>
      <c r="J488" s="29">
        <v>0.1351</v>
      </c>
      <c r="K488">
        <v>4.4400000000000004</v>
      </c>
    </row>
    <row r="489" spans="1:11" x14ac:dyDescent="0.3">
      <c r="A489" t="s">
        <v>191</v>
      </c>
      <c r="B489" s="25">
        <v>45869</v>
      </c>
      <c r="C489">
        <v>847097</v>
      </c>
      <c r="D489" t="s">
        <v>323</v>
      </c>
      <c r="E489" t="s">
        <v>350</v>
      </c>
      <c r="F489">
        <v>34076.620000000003</v>
      </c>
      <c r="G489" s="29">
        <v>1.1349E-2</v>
      </c>
      <c r="H489">
        <v>389575.57</v>
      </c>
      <c r="I489">
        <v>60863.360000000001</v>
      </c>
      <c r="J489" s="29">
        <v>0.1351</v>
      </c>
      <c r="K489">
        <v>4.5599999999999996</v>
      </c>
    </row>
    <row r="490" spans="1:11" x14ac:dyDescent="0.3">
      <c r="A490" t="s">
        <v>191</v>
      </c>
      <c r="B490" s="25">
        <v>45900</v>
      </c>
      <c r="C490">
        <v>847097</v>
      </c>
      <c r="D490" t="s">
        <v>323</v>
      </c>
      <c r="E490" t="s">
        <v>350</v>
      </c>
      <c r="F490">
        <v>32556.75</v>
      </c>
      <c r="G490" s="29">
        <v>9.4520000000000003E-3</v>
      </c>
      <c r="H490">
        <v>372199.88</v>
      </c>
      <c r="I490">
        <v>58148.76</v>
      </c>
      <c r="J490" s="29">
        <v>0.1351</v>
      </c>
      <c r="K490">
        <v>4.49</v>
      </c>
    </row>
    <row r="491" spans="1:11" x14ac:dyDescent="0.3">
      <c r="A491" t="s">
        <v>191</v>
      </c>
      <c r="B491" s="25">
        <v>45930</v>
      </c>
      <c r="C491">
        <v>847097</v>
      </c>
      <c r="D491" t="s">
        <v>323</v>
      </c>
      <c r="E491" t="s">
        <v>350</v>
      </c>
      <c r="F491">
        <v>40831.040000000001</v>
      </c>
      <c r="G491" s="29">
        <v>1.2750999999999998E-2</v>
      </c>
      <c r="H491">
        <v>466794.4</v>
      </c>
      <c r="I491">
        <v>72927.25</v>
      </c>
      <c r="J491" s="29">
        <v>0.1351</v>
      </c>
      <c r="K491">
        <v>4.7300000000000004</v>
      </c>
    </row>
    <row r="492" spans="1:11" x14ac:dyDescent="0.3">
      <c r="A492" t="s">
        <v>191</v>
      </c>
      <c r="B492" s="25">
        <v>45961</v>
      </c>
      <c r="C492">
        <v>847097</v>
      </c>
      <c r="D492" t="s">
        <v>323</v>
      </c>
      <c r="E492" t="s">
        <v>350</v>
      </c>
      <c r="F492">
        <v>34374.94</v>
      </c>
      <c r="G492" s="29">
        <v>1.1137999999999999E-2</v>
      </c>
      <c r="H492">
        <v>392986.1</v>
      </c>
      <c r="I492">
        <v>61396.19</v>
      </c>
      <c r="J492" s="29">
        <v>0.1351</v>
      </c>
      <c r="K492">
        <v>4.8</v>
      </c>
    </row>
    <row r="493" spans="1:11" x14ac:dyDescent="0.3">
      <c r="A493" t="s">
        <v>191</v>
      </c>
      <c r="B493" s="25">
        <v>45991</v>
      </c>
      <c r="C493">
        <v>847097</v>
      </c>
      <c r="D493" t="s">
        <v>323</v>
      </c>
      <c r="E493" t="s">
        <v>350</v>
      </c>
      <c r="F493">
        <v>44869.27</v>
      </c>
      <c r="G493" s="29">
        <v>1.4723999999999999E-2</v>
      </c>
      <c r="H493">
        <v>512960.86</v>
      </c>
      <c r="I493">
        <v>80139.839999999997</v>
      </c>
      <c r="J493" s="29">
        <v>0.1351</v>
      </c>
      <c r="K493">
        <v>4.62</v>
      </c>
    </row>
    <row r="494" spans="1:11" x14ac:dyDescent="0.3">
      <c r="A494" t="s">
        <v>191</v>
      </c>
      <c r="B494" s="25">
        <v>45657</v>
      </c>
      <c r="C494">
        <v>592670</v>
      </c>
      <c r="D494" t="s">
        <v>318</v>
      </c>
      <c r="E494" t="s">
        <v>355</v>
      </c>
      <c r="F494">
        <v>35099.599999999999</v>
      </c>
      <c r="G494" s="29">
        <v>1.0182E-2</v>
      </c>
      <c r="H494">
        <v>392449.55</v>
      </c>
      <c r="I494">
        <v>68958.44</v>
      </c>
      <c r="J494" s="29">
        <v>0.14949999999999999</v>
      </c>
      <c r="K494">
        <v>4.55</v>
      </c>
    </row>
    <row r="495" spans="1:11" x14ac:dyDescent="0.3">
      <c r="A495" t="s">
        <v>191</v>
      </c>
      <c r="B495" s="25">
        <v>45688</v>
      </c>
      <c r="C495">
        <v>592670</v>
      </c>
      <c r="D495" t="s">
        <v>318</v>
      </c>
      <c r="E495" t="s">
        <v>355</v>
      </c>
      <c r="F495">
        <v>41335.83</v>
      </c>
      <c r="G495" s="29">
        <v>1.2834000000000002E-2</v>
      </c>
      <c r="H495">
        <v>462177</v>
      </c>
      <c r="I495">
        <v>81210.45</v>
      </c>
      <c r="J495" s="29">
        <v>0.14949999999999999</v>
      </c>
      <c r="K495">
        <v>4.63</v>
      </c>
    </row>
    <row r="496" spans="1:11" x14ac:dyDescent="0.3">
      <c r="A496" t="s">
        <v>191</v>
      </c>
      <c r="B496" s="25">
        <v>45716</v>
      </c>
      <c r="C496">
        <v>592670</v>
      </c>
      <c r="D496" t="s">
        <v>318</v>
      </c>
      <c r="E496" t="s">
        <v>355</v>
      </c>
      <c r="F496">
        <v>35383.94</v>
      </c>
      <c r="G496" s="29">
        <v>1.026E-2</v>
      </c>
      <c r="H496">
        <v>395628.71</v>
      </c>
      <c r="I496">
        <v>69517.06</v>
      </c>
      <c r="J496" s="29">
        <v>0.14949999999999999</v>
      </c>
      <c r="K496">
        <v>4.4000000000000004</v>
      </c>
    </row>
    <row r="497" spans="1:11" x14ac:dyDescent="0.3">
      <c r="A497" t="s">
        <v>191</v>
      </c>
      <c r="B497" s="25">
        <v>45747</v>
      </c>
      <c r="C497">
        <v>592670</v>
      </c>
      <c r="D497" t="s">
        <v>318</v>
      </c>
      <c r="E497" t="s">
        <v>355</v>
      </c>
      <c r="F497">
        <v>34984.19</v>
      </c>
      <c r="G497" s="29">
        <v>1.1037999999999999E-2</v>
      </c>
      <c r="H497">
        <v>391159.18</v>
      </c>
      <c r="I497">
        <v>68731.710000000006</v>
      </c>
      <c r="J497" s="29">
        <v>0.14949999999999999</v>
      </c>
      <c r="K497">
        <v>4.67</v>
      </c>
    </row>
    <row r="498" spans="1:11" x14ac:dyDescent="0.3">
      <c r="A498" t="s">
        <v>191</v>
      </c>
      <c r="B498" s="25">
        <v>45777</v>
      </c>
      <c r="C498">
        <v>592670</v>
      </c>
      <c r="D498" t="s">
        <v>318</v>
      </c>
      <c r="E498" t="s">
        <v>355</v>
      </c>
      <c r="F498">
        <v>29977.38</v>
      </c>
      <c r="G498" s="29">
        <v>9.0810000000000005E-3</v>
      </c>
      <c r="H498">
        <v>335177.90999999997</v>
      </c>
      <c r="I498">
        <v>58895.08</v>
      </c>
      <c r="J498" s="29">
        <v>0.14949999999999999</v>
      </c>
      <c r="K498">
        <v>4.9400000000000004</v>
      </c>
    </row>
    <row r="499" spans="1:11" x14ac:dyDescent="0.3">
      <c r="A499" t="s">
        <v>191</v>
      </c>
      <c r="B499" s="25">
        <v>45808</v>
      </c>
      <c r="C499">
        <v>592670</v>
      </c>
      <c r="D499" t="s">
        <v>318</v>
      </c>
      <c r="E499" t="s">
        <v>355</v>
      </c>
      <c r="F499">
        <v>32687.87</v>
      </c>
      <c r="G499" s="29">
        <v>9.4529999999999996E-3</v>
      </c>
      <c r="H499">
        <v>365483.87</v>
      </c>
      <c r="I499">
        <v>64220.23</v>
      </c>
      <c r="J499" s="29">
        <v>0.14949999999999999</v>
      </c>
      <c r="K499">
        <v>4.87</v>
      </c>
    </row>
    <row r="500" spans="1:11" x14ac:dyDescent="0.3">
      <c r="A500" t="s">
        <v>191</v>
      </c>
      <c r="B500" s="25">
        <v>45838</v>
      </c>
      <c r="C500">
        <v>592670</v>
      </c>
      <c r="D500" t="s">
        <v>318</v>
      </c>
      <c r="E500" t="s">
        <v>355</v>
      </c>
      <c r="F500">
        <v>33866.18</v>
      </c>
      <c r="G500" s="29">
        <v>1.1388000000000001E-2</v>
      </c>
      <c r="H500">
        <v>378658.65</v>
      </c>
      <c r="I500">
        <v>66535.199999999997</v>
      </c>
      <c r="J500" s="29">
        <v>0.14949999999999999</v>
      </c>
      <c r="K500">
        <v>4.51</v>
      </c>
    </row>
    <row r="501" spans="1:11" x14ac:dyDescent="0.3">
      <c r="A501" t="s">
        <v>191</v>
      </c>
      <c r="B501" s="25">
        <v>45869</v>
      </c>
      <c r="C501">
        <v>592670</v>
      </c>
      <c r="D501" t="s">
        <v>318</v>
      </c>
      <c r="E501" t="s">
        <v>355</v>
      </c>
      <c r="F501">
        <v>35601.279999999999</v>
      </c>
      <c r="G501" s="29">
        <v>1.1856999999999999E-2</v>
      </c>
      <c r="H501">
        <v>398058.85</v>
      </c>
      <c r="I501">
        <v>69944.070000000007</v>
      </c>
      <c r="J501" s="29">
        <v>0.14949999999999999</v>
      </c>
      <c r="K501">
        <v>4.46</v>
      </c>
    </row>
    <row r="502" spans="1:11" x14ac:dyDescent="0.3">
      <c r="A502" t="s">
        <v>191</v>
      </c>
      <c r="B502" s="25">
        <v>45900</v>
      </c>
      <c r="C502">
        <v>592670</v>
      </c>
      <c r="D502" t="s">
        <v>318</v>
      </c>
      <c r="E502" t="s">
        <v>355</v>
      </c>
      <c r="F502">
        <v>32280.59</v>
      </c>
      <c r="G502" s="29">
        <v>9.3720000000000001E-3</v>
      </c>
      <c r="H502">
        <v>360930.09</v>
      </c>
      <c r="I502">
        <v>63420.07</v>
      </c>
      <c r="J502" s="29">
        <v>0.14949999999999999</v>
      </c>
      <c r="K502">
        <v>4.63</v>
      </c>
    </row>
    <row r="503" spans="1:11" x14ac:dyDescent="0.3">
      <c r="A503" t="s">
        <v>191</v>
      </c>
      <c r="B503" s="25">
        <v>45930</v>
      </c>
      <c r="C503">
        <v>592670</v>
      </c>
      <c r="D503" t="s">
        <v>318</v>
      </c>
      <c r="E503" t="s">
        <v>355</v>
      </c>
      <c r="F503">
        <v>35582.74</v>
      </c>
      <c r="G503" s="29">
        <v>1.1112E-2</v>
      </c>
      <c r="H503">
        <v>397851.55</v>
      </c>
      <c r="I503">
        <v>69907.64</v>
      </c>
      <c r="J503" s="29">
        <v>0.14949999999999999</v>
      </c>
      <c r="K503">
        <v>4.6399999999999997</v>
      </c>
    </row>
    <row r="504" spans="1:11" x14ac:dyDescent="0.3">
      <c r="A504" t="s">
        <v>191</v>
      </c>
      <c r="B504" s="25">
        <v>45961</v>
      </c>
      <c r="C504">
        <v>592670</v>
      </c>
      <c r="D504" t="s">
        <v>318</v>
      </c>
      <c r="E504" t="s">
        <v>355</v>
      </c>
      <c r="F504">
        <v>28723.03</v>
      </c>
      <c r="G504" s="29">
        <v>9.3069999999999993E-3</v>
      </c>
      <c r="H504">
        <v>321152.89</v>
      </c>
      <c r="I504">
        <v>56430.7</v>
      </c>
      <c r="J504" s="29">
        <v>0.14949999999999999</v>
      </c>
      <c r="K504">
        <v>4.26</v>
      </c>
    </row>
    <row r="505" spans="1:11" x14ac:dyDescent="0.3">
      <c r="A505" t="s">
        <v>191</v>
      </c>
      <c r="B505" s="25">
        <v>45991</v>
      </c>
      <c r="C505">
        <v>592670</v>
      </c>
      <c r="D505" t="s">
        <v>318</v>
      </c>
      <c r="E505" t="s">
        <v>355</v>
      </c>
      <c r="F505">
        <v>31961.54</v>
      </c>
      <c r="G505" s="29">
        <v>1.0487999999999999E-2</v>
      </c>
      <c r="H505">
        <v>357362.84</v>
      </c>
      <c r="I505">
        <v>62793.26</v>
      </c>
      <c r="J505" s="29">
        <v>0.14949999999999999</v>
      </c>
      <c r="K505">
        <v>4.51</v>
      </c>
    </row>
    <row r="506" spans="1:11" x14ac:dyDescent="0.3">
      <c r="A506" t="s">
        <v>191</v>
      </c>
      <c r="B506" s="25">
        <v>45657</v>
      </c>
      <c r="C506">
        <v>823674</v>
      </c>
      <c r="D506" t="s">
        <v>318</v>
      </c>
      <c r="E506" t="s">
        <v>355</v>
      </c>
      <c r="F506">
        <v>31186.75</v>
      </c>
      <c r="G506" s="29">
        <v>9.0469999999999995E-3</v>
      </c>
      <c r="H506">
        <v>391196.83</v>
      </c>
      <c r="I506">
        <v>83042.25</v>
      </c>
      <c r="J506" s="29">
        <v>0.17510000000000001</v>
      </c>
      <c r="K506">
        <v>4.13</v>
      </c>
    </row>
    <row r="507" spans="1:11" x14ac:dyDescent="0.3">
      <c r="A507" t="s">
        <v>191</v>
      </c>
      <c r="B507" s="25">
        <v>45688</v>
      </c>
      <c r="C507">
        <v>823674</v>
      </c>
      <c r="D507" t="s">
        <v>318</v>
      </c>
      <c r="E507" t="s">
        <v>355</v>
      </c>
      <c r="F507">
        <v>29922.25</v>
      </c>
      <c r="G507" s="29">
        <v>9.2899999999999996E-3</v>
      </c>
      <c r="H507">
        <v>375335.28</v>
      </c>
      <c r="I507">
        <v>79675.199999999997</v>
      </c>
      <c r="J507" s="29">
        <v>0.17510000000000001</v>
      </c>
      <c r="K507">
        <v>4.41</v>
      </c>
    </row>
    <row r="508" spans="1:11" x14ac:dyDescent="0.3">
      <c r="A508" t="s">
        <v>191</v>
      </c>
      <c r="B508" s="25">
        <v>45716</v>
      </c>
      <c r="C508">
        <v>823674</v>
      </c>
      <c r="D508" t="s">
        <v>318</v>
      </c>
      <c r="E508" t="s">
        <v>355</v>
      </c>
      <c r="F508">
        <v>26772.03</v>
      </c>
      <c r="G508" s="29">
        <v>7.7629999999999999E-3</v>
      </c>
      <c r="H508">
        <v>335819.99</v>
      </c>
      <c r="I508">
        <v>71286.990000000005</v>
      </c>
      <c r="J508" s="29">
        <v>0.17510000000000001</v>
      </c>
      <c r="K508">
        <v>4.38</v>
      </c>
    </row>
    <row r="509" spans="1:11" x14ac:dyDescent="0.3">
      <c r="A509" t="s">
        <v>191</v>
      </c>
      <c r="B509" s="25">
        <v>45747</v>
      </c>
      <c r="C509">
        <v>823674</v>
      </c>
      <c r="D509" t="s">
        <v>318</v>
      </c>
      <c r="E509" t="s">
        <v>355</v>
      </c>
      <c r="F509">
        <v>26600.36</v>
      </c>
      <c r="G509" s="29">
        <v>8.3930000000000012E-3</v>
      </c>
      <c r="H509">
        <v>333666.53000000003</v>
      </c>
      <c r="I509">
        <v>70829.86</v>
      </c>
      <c r="J509" s="29">
        <v>0.17510000000000001</v>
      </c>
      <c r="K509">
        <v>4.0999999999999996</v>
      </c>
    </row>
    <row r="510" spans="1:11" x14ac:dyDescent="0.3">
      <c r="A510" t="s">
        <v>191</v>
      </c>
      <c r="B510" s="25">
        <v>45777</v>
      </c>
      <c r="C510">
        <v>823674</v>
      </c>
      <c r="D510" t="s">
        <v>318</v>
      </c>
      <c r="E510" t="s">
        <v>355</v>
      </c>
      <c r="F510">
        <v>27585.91</v>
      </c>
      <c r="G510" s="29">
        <v>8.3569999999999998E-3</v>
      </c>
      <c r="H510">
        <v>346028.99</v>
      </c>
      <c r="I510">
        <v>73454.14</v>
      </c>
      <c r="J510" s="29">
        <v>0.17510000000000001</v>
      </c>
      <c r="K510">
        <v>3.93</v>
      </c>
    </row>
    <row r="511" spans="1:11" x14ac:dyDescent="0.3">
      <c r="A511" t="s">
        <v>191</v>
      </c>
      <c r="B511" s="25">
        <v>45808</v>
      </c>
      <c r="C511">
        <v>823674</v>
      </c>
      <c r="D511" t="s">
        <v>318</v>
      </c>
      <c r="E511" t="s">
        <v>355</v>
      </c>
      <c r="F511">
        <v>29277.78</v>
      </c>
      <c r="G511" s="29">
        <v>8.4670000000000006E-3</v>
      </c>
      <c r="H511">
        <v>367251.35</v>
      </c>
      <c r="I511">
        <v>77959.16</v>
      </c>
      <c r="J511" s="29">
        <v>0.17510000000000001</v>
      </c>
      <c r="K511">
        <v>4.09</v>
      </c>
    </row>
    <row r="512" spans="1:11" x14ac:dyDescent="0.3">
      <c r="A512" t="s">
        <v>191</v>
      </c>
      <c r="B512" s="25">
        <v>45838</v>
      </c>
      <c r="C512">
        <v>823674</v>
      </c>
      <c r="D512" t="s">
        <v>318</v>
      </c>
      <c r="E512" t="s">
        <v>355</v>
      </c>
      <c r="F512">
        <v>31555.56</v>
      </c>
      <c r="G512" s="29">
        <v>1.0610999999999999E-2</v>
      </c>
      <c r="H512">
        <v>395823.05</v>
      </c>
      <c r="I512">
        <v>84024.29</v>
      </c>
      <c r="J512" s="29">
        <v>0.17510000000000001</v>
      </c>
      <c r="K512">
        <v>4</v>
      </c>
    </row>
    <row r="513" spans="1:11" x14ac:dyDescent="0.3">
      <c r="A513" t="s">
        <v>191</v>
      </c>
      <c r="B513" s="25">
        <v>45869</v>
      </c>
      <c r="C513">
        <v>823674</v>
      </c>
      <c r="D513" t="s">
        <v>318</v>
      </c>
      <c r="E513" t="s">
        <v>355</v>
      </c>
      <c r="F513">
        <v>25914.09</v>
      </c>
      <c r="G513" s="29">
        <v>8.6300000000000005E-3</v>
      </c>
      <c r="H513">
        <v>325058.27</v>
      </c>
      <c r="I513">
        <v>69002.53</v>
      </c>
      <c r="J513" s="29">
        <v>0.17510000000000001</v>
      </c>
      <c r="K513">
        <v>4.26</v>
      </c>
    </row>
    <row r="514" spans="1:11" x14ac:dyDescent="0.3">
      <c r="A514" t="s">
        <v>191</v>
      </c>
      <c r="B514" s="25">
        <v>45900</v>
      </c>
      <c r="C514">
        <v>823674</v>
      </c>
      <c r="D514" t="s">
        <v>318</v>
      </c>
      <c r="E514" t="s">
        <v>355</v>
      </c>
      <c r="F514">
        <v>26724.25</v>
      </c>
      <c r="G514" s="29">
        <v>7.7590000000000003E-3</v>
      </c>
      <c r="H514">
        <v>335220.67</v>
      </c>
      <c r="I514">
        <v>71159.77</v>
      </c>
      <c r="J514" s="29">
        <v>0.17510000000000001</v>
      </c>
      <c r="K514">
        <v>4.3499999999999996</v>
      </c>
    </row>
    <row r="515" spans="1:11" x14ac:dyDescent="0.3">
      <c r="A515" t="s">
        <v>191</v>
      </c>
      <c r="B515" s="25">
        <v>45930</v>
      </c>
      <c r="C515">
        <v>823674</v>
      </c>
      <c r="D515" t="s">
        <v>318</v>
      </c>
      <c r="E515" t="s">
        <v>355</v>
      </c>
      <c r="F515">
        <v>30165.18</v>
      </c>
      <c r="G515" s="29">
        <v>9.4199999999999996E-3</v>
      </c>
      <c r="H515">
        <v>378382.62</v>
      </c>
      <c r="I515">
        <v>80322.080000000002</v>
      </c>
      <c r="J515" s="29">
        <v>0.17510000000000001</v>
      </c>
      <c r="K515">
        <v>4.18</v>
      </c>
    </row>
    <row r="516" spans="1:11" x14ac:dyDescent="0.3">
      <c r="A516" t="s">
        <v>191</v>
      </c>
      <c r="B516" s="25">
        <v>45961</v>
      </c>
      <c r="C516">
        <v>823674</v>
      </c>
      <c r="D516" t="s">
        <v>318</v>
      </c>
      <c r="E516" t="s">
        <v>355</v>
      </c>
      <c r="F516">
        <v>28644.11</v>
      </c>
      <c r="G516" s="29">
        <v>9.2820000000000003E-3</v>
      </c>
      <c r="H516">
        <v>359302.76</v>
      </c>
      <c r="I516">
        <v>76271.86</v>
      </c>
      <c r="J516" s="29">
        <v>0.17510000000000001</v>
      </c>
      <c r="K516">
        <v>4.03</v>
      </c>
    </row>
    <row r="517" spans="1:11" x14ac:dyDescent="0.3">
      <c r="A517" t="s">
        <v>191</v>
      </c>
      <c r="B517" s="25">
        <v>45991</v>
      </c>
      <c r="C517">
        <v>823674</v>
      </c>
      <c r="D517" t="s">
        <v>318</v>
      </c>
      <c r="E517" t="s">
        <v>355</v>
      </c>
      <c r="F517">
        <v>33390.660000000003</v>
      </c>
      <c r="G517" s="29">
        <v>1.0957E-2</v>
      </c>
      <c r="H517">
        <v>418841.91</v>
      </c>
      <c r="I517">
        <v>88910.67</v>
      </c>
      <c r="J517" s="29">
        <v>0.17510000000000001</v>
      </c>
      <c r="K517">
        <v>4.3099999999999996</v>
      </c>
    </row>
    <row r="518" spans="1:11" x14ac:dyDescent="0.3">
      <c r="A518" t="s">
        <v>191</v>
      </c>
      <c r="B518" s="25">
        <v>45657</v>
      </c>
      <c r="C518">
        <v>585896</v>
      </c>
      <c r="D518" t="s">
        <v>318</v>
      </c>
      <c r="E518" t="s">
        <v>359</v>
      </c>
      <c r="F518">
        <v>76122.06</v>
      </c>
      <c r="G518" s="29">
        <v>2.2082000000000001E-2</v>
      </c>
      <c r="H518">
        <v>891128.12</v>
      </c>
      <c r="I518">
        <v>154423.5</v>
      </c>
      <c r="J518" s="29">
        <v>0.1477</v>
      </c>
      <c r="K518">
        <v>4.59</v>
      </c>
    </row>
    <row r="519" spans="1:11" x14ac:dyDescent="0.3">
      <c r="A519" t="s">
        <v>191</v>
      </c>
      <c r="B519" s="25">
        <v>45688</v>
      </c>
      <c r="C519">
        <v>585896</v>
      </c>
      <c r="D519" t="s">
        <v>318</v>
      </c>
      <c r="E519" t="s">
        <v>359</v>
      </c>
      <c r="F519">
        <v>100016.33</v>
      </c>
      <c r="G519" s="29">
        <v>3.1053000000000001E-2</v>
      </c>
      <c r="H519">
        <v>1170848</v>
      </c>
      <c r="I519">
        <v>202896.14</v>
      </c>
      <c r="J519" s="29">
        <v>0.1477</v>
      </c>
      <c r="K519">
        <v>4.34</v>
      </c>
    </row>
    <row r="520" spans="1:11" x14ac:dyDescent="0.3">
      <c r="A520" t="s">
        <v>191</v>
      </c>
      <c r="B520" s="25">
        <v>45716</v>
      </c>
      <c r="C520">
        <v>585896</v>
      </c>
      <c r="D520" t="s">
        <v>318</v>
      </c>
      <c r="E520" t="s">
        <v>359</v>
      </c>
      <c r="F520">
        <v>88105.31</v>
      </c>
      <c r="G520" s="29">
        <v>2.5547E-2</v>
      </c>
      <c r="H520">
        <v>1031410.84</v>
      </c>
      <c r="I520">
        <v>178733.08</v>
      </c>
      <c r="J520" s="29">
        <v>0.1477</v>
      </c>
      <c r="K520">
        <v>4.3099999999999996</v>
      </c>
    </row>
    <row r="521" spans="1:11" x14ac:dyDescent="0.3">
      <c r="A521" t="s">
        <v>191</v>
      </c>
      <c r="B521" s="25">
        <v>45747</v>
      </c>
      <c r="C521">
        <v>585896</v>
      </c>
      <c r="D521" t="s">
        <v>318</v>
      </c>
      <c r="E521" t="s">
        <v>359</v>
      </c>
      <c r="F521">
        <v>76339.87</v>
      </c>
      <c r="G521" s="29">
        <v>2.4086E-2</v>
      </c>
      <c r="H521">
        <v>893677.93</v>
      </c>
      <c r="I521">
        <v>154865.35999999999</v>
      </c>
      <c r="J521" s="29">
        <v>0.1477</v>
      </c>
      <c r="K521">
        <v>4.4000000000000004</v>
      </c>
    </row>
    <row r="522" spans="1:11" x14ac:dyDescent="0.3">
      <c r="A522" t="s">
        <v>191</v>
      </c>
      <c r="B522" s="25">
        <v>45777</v>
      </c>
      <c r="C522">
        <v>585896</v>
      </c>
      <c r="D522" t="s">
        <v>318</v>
      </c>
      <c r="E522" t="s">
        <v>359</v>
      </c>
      <c r="F522">
        <v>81616.44</v>
      </c>
      <c r="G522" s="29">
        <v>2.4723999999999999E-2</v>
      </c>
      <c r="H522">
        <v>955448.43</v>
      </c>
      <c r="I522">
        <v>165569.57</v>
      </c>
      <c r="J522" s="29">
        <v>0.1477</v>
      </c>
      <c r="K522">
        <v>4.4800000000000004</v>
      </c>
    </row>
    <row r="523" spans="1:11" x14ac:dyDescent="0.3">
      <c r="A523" t="s">
        <v>191</v>
      </c>
      <c r="B523" s="25">
        <v>45808</v>
      </c>
      <c r="C523">
        <v>585896</v>
      </c>
      <c r="D523" t="s">
        <v>318</v>
      </c>
      <c r="E523" t="s">
        <v>359</v>
      </c>
      <c r="F523">
        <v>83694.61</v>
      </c>
      <c r="G523" s="29">
        <v>2.4203000000000002E-2</v>
      </c>
      <c r="H523">
        <v>979776.7</v>
      </c>
      <c r="I523">
        <v>169785.41</v>
      </c>
      <c r="J523" s="29">
        <v>0.1477</v>
      </c>
      <c r="K523">
        <v>4.57</v>
      </c>
    </row>
    <row r="524" spans="1:11" x14ac:dyDescent="0.3">
      <c r="A524" t="s">
        <v>191</v>
      </c>
      <c r="B524" s="25">
        <v>45838</v>
      </c>
      <c r="C524">
        <v>585896</v>
      </c>
      <c r="D524" t="s">
        <v>318</v>
      </c>
      <c r="E524" t="s">
        <v>359</v>
      </c>
      <c r="F524">
        <v>83550.5</v>
      </c>
      <c r="G524" s="29">
        <v>2.8094999999999998E-2</v>
      </c>
      <c r="H524">
        <v>978089.7</v>
      </c>
      <c r="I524">
        <v>169493.07</v>
      </c>
      <c r="J524" s="29">
        <v>0.1477</v>
      </c>
      <c r="K524">
        <v>4.1399999999999997</v>
      </c>
    </row>
    <row r="525" spans="1:11" x14ac:dyDescent="0.3">
      <c r="A525" t="s">
        <v>191</v>
      </c>
      <c r="B525" s="25">
        <v>45869</v>
      </c>
      <c r="C525">
        <v>585896</v>
      </c>
      <c r="D525" t="s">
        <v>318</v>
      </c>
      <c r="E525" t="s">
        <v>359</v>
      </c>
      <c r="F525">
        <v>83295.12</v>
      </c>
      <c r="G525" s="29">
        <v>2.7740999999999998E-2</v>
      </c>
      <c r="H525">
        <v>975100.08</v>
      </c>
      <c r="I525">
        <v>168975</v>
      </c>
      <c r="J525" s="29">
        <v>0.1477</v>
      </c>
      <c r="K525">
        <v>4.3</v>
      </c>
    </row>
    <row r="526" spans="1:11" x14ac:dyDescent="0.3">
      <c r="A526" t="s">
        <v>191</v>
      </c>
      <c r="B526" s="25">
        <v>45900</v>
      </c>
      <c r="C526">
        <v>585896</v>
      </c>
      <c r="D526" t="s">
        <v>318</v>
      </c>
      <c r="E526" t="s">
        <v>359</v>
      </c>
      <c r="F526">
        <v>91446.63</v>
      </c>
      <c r="G526" s="29">
        <v>2.6549999999999997E-2</v>
      </c>
      <c r="H526">
        <v>1070526.22</v>
      </c>
      <c r="I526">
        <v>185511.38</v>
      </c>
      <c r="J526" s="29">
        <v>0.1477</v>
      </c>
      <c r="K526">
        <v>4.16</v>
      </c>
    </row>
    <row r="527" spans="1:11" x14ac:dyDescent="0.3">
      <c r="A527" t="s">
        <v>191</v>
      </c>
      <c r="B527" s="25">
        <v>45930</v>
      </c>
      <c r="C527">
        <v>585896</v>
      </c>
      <c r="D527" t="s">
        <v>318</v>
      </c>
      <c r="E527" t="s">
        <v>359</v>
      </c>
      <c r="F527">
        <v>78347.91</v>
      </c>
      <c r="G527" s="29">
        <v>2.4466000000000002E-2</v>
      </c>
      <c r="H527">
        <v>917185.25</v>
      </c>
      <c r="I527">
        <v>158938.94</v>
      </c>
      <c r="J527" s="29">
        <v>0.1477</v>
      </c>
      <c r="K527">
        <v>4.2300000000000004</v>
      </c>
    </row>
    <row r="528" spans="1:11" x14ac:dyDescent="0.3">
      <c r="A528" t="s">
        <v>191</v>
      </c>
      <c r="B528" s="25">
        <v>45961</v>
      </c>
      <c r="C528">
        <v>585896</v>
      </c>
      <c r="D528" t="s">
        <v>318</v>
      </c>
      <c r="E528" t="s">
        <v>359</v>
      </c>
      <c r="F528">
        <v>88081.919999999998</v>
      </c>
      <c r="G528" s="29">
        <v>2.8540999999999997E-2</v>
      </c>
      <c r="H528">
        <v>1031137.01</v>
      </c>
      <c r="I528">
        <v>178685.63</v>
      </c>
      <c r="J528" s="29">
        <v>0.1477</v>
      </c>
      <c r="K528">
        <v>4.58</v>
      </c>
    </row>
    <row r="529" spans="1:11" x14ac:dyDescent="0.3">
      <c r="A529" t="s">
        <v>191</v>
      </c>
      <c r="B529" s="25">
        <v>45991</v>
      </c>
      <c r="C529">
        <v>585896</v>
      </c>
      <c r="D529" t="s">
        <v>318</v>
      </c>
      <c r="E529" t="s">
        <v>359</v>
      </c>
      <c r="F529">
        <v>76155.14</v>
      </c>
      <c r="G529" s="29">
        <v>2.4990000000000002E-2</v>
      </c>
      <c r="H529">
        <v>891515.44</v>
      </c>
      <c r="I529">
        <v>154490.62</v>
      </c>
      <c r="J529" s="29">
        <v>0.1477</v>
      </c>
      <c r="K529">
        <v>4.7</v>
      </c>
    </row>
    <row r="530" spans="1:11" x14ac:dyDescent="0.3">
      <c r="A530" t="s">
        <v>191</v>
      </c>
      <c r="B530" s="25">
        <v>45657</v>
      </c>
      <c r="C530">
        <v>573766</v>
      </c>
      <c r="D530" t="s">
        <v>316</v>
      </c>
      <c r="E530" t="s">
        <v>358</v>
      </c>
      <c r="F530">
        <v>47592.05</v>
      </c>
      <c r="G530" s="29">
        <v>1.3806000000000001E-2</v>
      </c>
      <c r="H530">
        <v>588967.35</v>
      </c>
      <c r="I530">
        <v>113486.14</v>
      </c>
      <c r="J530" s="29">
        <v>0.16159999999999999</v>
      </c>
      <c r="K530">
        <v>4.42</v>
      </c>
    </row>
    <row r="531" spans="1:11" x14ac:dyDescent="0.3">
      <c r="A531" t="s">
        <v>191</v>
      </c>
      <c r="B531" s="25">
        <v>45688</v>
      </c>
      <c r="C531">
        <v>573766</v>
      </c>
      <c r="D531" t="s">
        <v>316</v>
      </c>
      <c r="E531" t="s">
        <v>358</v>
      </c>
      <c r="F531">
        <v>48291.17</v>
      </c>
      <c r="G531" s="29">
        <v>1.4994E-2</v>
      </c>
      <c r="H531">
        <v>597619.22</v>
      </c>
      <c r="I531">
        <v>115153.24</v>
      </c>
      <c r="J531" s="29">
        <v>0.16159999999999999</v>
      </c>
      <c r="K531">
        <v>4.2</v>
      </c>
    </row>
    <row r="532" spans="1:11" x14ac:dyDescent="0.3">
      <c r="A532" t="s">
        <v>191</v>
      </c>
      <c r="B532" s="25">
        <v>45716</v>
      </c>
      <c r="C532">
        <v>573766</v>
      </c>
      <c r="D532" t="s">
        <v>316</v>
      </c>
      <c r="E532" t="s">
        <v>358</v>
      </c>
      <c r="F532">
        <v>45680.25</v>
      </c>
      <c r="G532" s="29">
        <v>1.3245E-2</v>
      </c>
      <c r="H532">
        <v>565308.21</v>
      </c>
      <c r="I532">
        <v>108927.34</v>
      </c>
      <c r="J532" s="29">
        <v>0.16159999999999999</v>
      </c>
      <c r="K532">
        <v>4.42</v>
      </c>
    </row>
    <row r="533" spans="1:11" x14ac:dyDescent="0.3">
      <c r="A533" t="s">
        <v>191</v>
      </c>
      <c r="B533" s="25">
        <v>45747</v>
      </c>
      <c r="C533">
        <v>573766</v>
      </c>
      <c r="D533" t="s">
        <v>316</v>
      </c>
      <c r="E533" t="s">
        <v>358</v>
      </c>
      <c r="F533">
        <v>48450.92</v>
      </c>
      <c r="G533" s="29">
        <v>1.5285999999999999E-2</v>
      </c>
      <c r="H533">
        <v>599596.14</v>
      </c>
      <c r="I533">
        <v>115534.16</v>
      </c>
      <c r="J533" s="29">
        <v>0.16159999999999999</v>
      </c>
      <c r="K533">
        <v>4.17</v>
      </c>
    </row>
    <row r="534" spans="1:11" x14ac:dyDescent="0.3">
      <c r="A534" t="s">
        <v>191</v>
      </c>
      <c r="B534" s="25">
        <v>45777</v>
      </c>
      <c r="C534">
        <v>573766</v>
      </c>
      <c r="D534" t="s">
        <v>316</v>
      </c>
      <c r="E534" t="s">
        <v>358</v>
      </c>
      <c r="F534">
        <v>46044.76</v>
      </c>
      <c r="G534" s="29">
        <v>1.3948E-2</v>
      </c>
      <c r="H534">
        <v>569819.15</v>
      </c>
      <c r="I534">
        <v>109796.54</v>
      </c>
      <c r="J534" s="29">
        <v>0.16159999999999999</v>
      </c>
      <c r="K534">
        <v>4.25</v>
      </c>
    </row>
    <row r="535" spans="1:11" x14ac:dyDescent="0.3">
      <c r="A535" t="s">
        <v>191</v>
      </c>
      <c r="B535" s="25">
        <v>45808</v>
      </c>
      <c r="C535">
        <v>573766</v>
      </c>
      <c r="D535" t="s">
        <v>316</v>
      </c>
      <c r="E535" t="s">
        <v>358</v>
      </c>
      <c r="F535">
        <v>46863.53</v>
      </c>
      <c r="G535" s="29">
        <v>1.3552E-2</v>
      </c>
      <c r="H535">
        <v>579951.68999999994</v>
      </c>
      <c r="I535">
        <v>111748.94</v>
      </c>
      <c r="J535" s="29">
        <v>0.16159999999999999</v>
      </c>
      <c r="K535">
        <v>4.51</v>
      </c>
    </row>
    <row r="536" spans="1:11" x14ac:dyDescent="0.3">
      <c r="A536" t="s">
        <v>191</v>
      </c>
      <c r="B536" s="25">
        <v>45838</v>
      </c>
      <c r="C536">
        <v>573766</v>
      </c>
      <c r="D536" t="s">
        <v>316</v>
      </c>
      <c r="E536" t="s">
        <v>358</v>
      </c>
      <c r="F536">
        <v>46624.94</v>
      </c>
      <c r="G536" s="29">
        <v>1.5678000000000001E-2</v>
      </c>
      <c r="H536">
        <v>576999.07999999996</v>
      </c>
      <c r="I536">
        <v>111180.01</v>
      </c>
      <c r="J536" s="29">
        <v>0.16159999999999999</v>
      </c>
      <c r="K536">
        <v>3.77</v>
      </c>
    </row>
    <row r="537" spans="1:11" x14ac:dyDescent="0.3">
      <c r="A537" t="s">
        <v>191</v>
      </c>
      <c r="B537" s="25">
        <v>45869</v>
      </c>
      <c r="C537">
        <v>573766</v>
      </c>
      <c r="D537" t="s">
        <v>316</v>
      </c>
      <c r="E537" t="s">
        <v>358</v>
      </c>
      <c r="F537">
        <v>45501.81</v>
      </c>
      <c r="G537" s="29">
        <v>1.5154000000000001E-2</v>
      </c>
      <c r="H537">
        <v>563099.91</v>
      </c>
      <c r="I537">
        <v>108501.83</v>
      </c>
      <c r="J537" s="29">
        <v>0.16159999999999999</v>
      </c>
      <c r="K537">
        <v>4.3</v>
      </c>
    </row>
    <row r="538" spans="1:11" x14ac:dyDescent="0.3">
      <c r="A538" t="s">
        <v>191</v>
      </c>
      <c r="B538" s="25">
        <v>45900</v>
      </c>
      <c r="C538">
        <v>573766</v>
      </c>
      <c r="D538" t="s">
        <v>316</v>
      </c>
      <c r="E538" t="s">
        <v>358</v>
      </c>
      <c r="F538">
        <v>46296.19</v>
      </c>
      <c r="G538" s="29">
        <v>1.3441000000000002E-2</v>
      </c>
      <c r="H538">
        <v>572930.68999999994</v>
      </c>
      <c r="I538">
        <v>110396.09</v>
      </c>
      <c r="J538" s="29">
        <v>0.16159999999999999</v>
      </c>
      <c r="K538">
        <v>3.91</v>
      </c>
    </row>
    <row r="539" spans="1:11" x14ac:dyDescent="0.3">
      <c r="A539" t="s">
        <v>191</v>
      </c>
      <c r="B539" s="25">
        <v>45930</v>
      </c>
      <c r="C539">
        <v>573766</v>
      </c>
      <c r="D539" t="s">
        <v>316</v>
      </c>
      <c r="E539" t="s">
        <v>358</v>
      </c>
      <c r="F539">
        <v>49077.19</v>
      </c>
      <c r="G539" s="29">
        <v>1.5325999999999999E-2</v>
      </c>
      <c r="H539">
        <v>607346.46</v>
      </c>
      <c r="I539">
        <v>117027.55</v>
      </c>
      <c r="J539" s="29">
        <v>0.16159999999999999</v>
      </c>
      <c r="K539">
        <v>4.3899999999999997</v>
      </c>
    </row>
    <row r="540" spans="1:11" x14ac:dyDescent="0.3">
      <c r="A540" t="s">
        <v>191</v>
      </c>
      <c r="B540" s="25">
        <v>45961</v>
      </c>
      <c r="C540">
        <v>573766</v>
      </c>
      <c r="D540" t="s">
        <v>316</v>
      </c>
      <c r="E540" t="s">
        <v>358</v>
      </c>
      <c r="F540">
        <v>39976.839999999997</v>
      </c>
      <c r="G540" s="29">
        <v>1.2954E-2</v>
      </c>
      <c r="H540">
        <v>494726.66</v>
      </c>
      <c r="I540">
        <v>95327.22</v>
      </c>
      <c r="J540" s="29">
        <v>0.16159999999999999</v>
      </c>
      <c r="K540">
        <v>4.47</v>
      </c>
    </row>
    <row r="541" spans="1:11" x14ac:dyDescent="0.3">
      <c r="A541" t="s">
        <v>191</v>
      </c>
      <c r="B541" s="25">
        <v>45991</v>
      </c>
      <c r="C541">
        <v>573766</v>
      </c>
      <c r="D541" t="s">
        <v>316</v>
      </c>
      <c r="E541" t="s">
        <v>358</v>
      </c>
      <c r="F541">
        <v>48092.14</v>
      </c>
      <c r="G541" s="29">
        <v>1.5781E-2</v>
      </c>
      <c r="H541">
        <v>595156.19999999995</v>
      </c>
      <c r="I541">
        <v>114678.65</v>
      </c>
      <c r="J541" s="29">
        <v>0.16159999999999999</v>
      </c>
      <c r="K541">
        <v>4.1100000000000003</v>
      </c>
    </row>
    <row r="542" spans="1:11" x14ac:dyDescent="0.3">
      <c r="A542" t="s">
        <v>191</v>
      </c>
      <c r="B542" s="25">
        <v>45657</v>
      </c>
      <c r="C542">
        <v>285413</v>
      </c>
      <c r="D542" t="s">
        <v>318</v>
      </c>
      <c r="E542" t="s">
        <v>355</v>
      </c>
      <c r="F542">
        <v>24285.19</v>
      </c>
      <c r="G542" s="29">
        <v>7.045E-3</v>
      </c>
      <c r="H542">
        <v>290877.21999999997</v>
      </c>
      <c r="I542">
        <v>56943.18</v>
      </c>
      <c r="J542" s="29">
        <v>0.16370000000000001</v>
      </c>
      <c r="K542">
        <v>4.21</v>
      </c>
    </row>
    <row r="543" spans="1:11" x14ac:dyDescent="0.3">
      <c r="A543" t="s">
        <v>191</v>
      </c>
      <c r="B543" s="25">
        <v>45688</v>
      </c>
      <c r="C543">
        <v>285413</v>
      </c>
      <c r="D543" t="s">
        <v>318</v>
      </c>
      <c r="E543" t="s">
        <v>355</v>
      </c>
      <c r="F543">
        <v>24665.24</v>
      </c>
      <c r="G543" s="29">
        <v>7.6580000000000007E-3</v>
      </c>
      <c r="H543">
        <v>295429.33</v>
      </c>
      <c r="I543">
        <v>57834.32</v>
      </c>
      <c r="J543" s="29">
        <v>0.16370000000000001</v>
      </c>
      <c r="K543">
        <v>4.5</v>
      </c>
    </row>
    <row r="544" spans="1:11" x14ac:dyDescent="0.3">
      <c r="A544" t="s">
        <v>191</v>
      </c>
      <c r="B544" s="25">
        <v>45716</v>
      </c>
      <c r="C544">
        <v>285413</v>
      </c>
      <c r="D544" t="s">
        <v>318</v>
      </c>
      <c r="E544" t="s">
        <v>355</v>
      </c>
      <c r="F544">
        <v>25949.8</v>
      </c>
      <c r="G544" s="29">
        <v>7.5239999999999994E-3</v>
      </c>
      <c r="H544">
        <v>310815.19</v>
      </c>
      <c r="I544">
        <v>60846.31</v>
      </c>
      <c r="J544" s="29">
        <v>0.16370000000000001</v>
      </c>
      <c r="K544">
        <v>4.17</v>
      </c>
    </row>
    <row r="545" spans="1:11" x14ac:dyDescent="0.3">
      <c r="A545" t="s">
        <v>191</v>
      </c>
      <c r="B545" s="25">
        <v>45747</v>
      </c>
      <c r="C545">
        <v>285413</v>
      </c>
      <c r="D545" t="s">
        <v>318</v>
      </c>
      <c r="E545" t="s">
        <v>355</v>
      </c>
      <c r="F545">
        <v>26305.25</v>
      </c>
      <c r="G545" s="29">
        <v>8.2989999999999991E-3</v>
      </c>
      <c r="H545">
        <v>315072.53000000003</v>
      </c>
      <c r="I545">
        <v>61679.74</v>
      </c>
      <c r="J545" s="29">
        <v>0.16370000000000001</v>
      </c>
      <c r="K545">
        <v>4.04</v>
      </c>
    </row>
    <row r="546" spans="1:11" x14ac:dyDescent="0.3">
      <c r="A546" t="s">
        <v>191</v>
      </c>
      <c r="B546" s="25">
        <v>45777</v>
      </c>
      <c r="C546">
        <v>285413</v>
      </c>
      <c r="D546" t="s">
        <v>318</v>
      </c>
      <c r="E546" t="s">
        <v>355</v>
      </c>
      <c r="F546">
        <v>25358.82</v>
      </c>
      <c r="G546" s="29">
        <v>7.6819999999999996E-3</v>
      </c>
      <c r="H546">
        <v>303736.69</v>
      </c>
      <c r="I546">
        <v>59460.6</v>
      </c>
      <c r="J546" s="29">
        <v>0.16370000000000001</v>
      </c>
      <c r="K546">
        <v>4.18</v>
      </c>
    </row>
    <row r="547" spans="1:11" x14ac:dyDescent="0.3">
      <c r="A547" t="s">
        <v>191</v>
      </c>
      <c r="B547" s="25">
        <v>45808</v>
      </c>
      <c r="C547">
        <v>285413</v>
      </c>
      <c r="D547" t="s">
        <v>318</v>
      </c>
      <c r="E547" t="s">
        <v>355</v>
      </c>
      <c r="F547">
        <v>22338.53</v>
      </c>
      <c r="G547" s="29">
        <v>6.4600000000000005E-3</v>
      </c>
      <c r="H547">
        <v>267561</v>
      </c>
      <c r="I547">
        <v>52378.720000000001</v>
      </c>
      <c r="J547" s="29">
        <v>0.16370000000000001</v>
      </c>
      <c r="K547">
        <v>3.99</v>
      </c>
    </row>
    <row r="548" spans="1:11" x14ac:dyDescent="0.3">
      <c r="A548" t="s">
        <v>191</v>
      </c>
      <c r="B548" s="25">
        <v>45838</v>
      </c>
      <c r="C548">
        <v>285413</v>
      </c>
      <c r="D548" t="s">
        <v>318</v>
      </c>
      <c r="E548" t="s">
        <v>355</v>
      </c>
      <c r="F548">
        <v>21500.43</v>
      </c>
      <c r="G548" s="29">
        <v>7.2299999999999994E-3</v>
      </c>
      <c r="H548">
        <v>257522.61</v>
      </c>
      <c r="I548">
        <v>50413.56</v>
      </c>
      <c r="J548" s="29">
        <v>0.16370000000000001</v>
      </c>
      <c r="K548">
        <v>4.37</v>
      </c>
    </row>
    <row r="549" spans="1:11" x14ac:dyDescent="0.3">
      <c r="A549" t="s">
        <v>191</v>
      </c>
      <c r="B549" s="25">
        <v>45869</v>
      </c>
      <c r="C549">
        <v>285413</v>
      </c>
      <c r="D549" t="s">
        <v>318</v>
      </c>
      <c r="E549" t="s">
        <v>355</v>
      </c>
      <c r="F549">
        <v>30215.46</v>
      </c>
      <c r="G549" s="29">
        <v>1.0062999999999999E-2</v>
      </c>
      <c r="H549">
        <v>361907.36</v>
      </c>
      <c r="I549">
        <v>70848.3</v>
      </c>
      <c r="J549" s="29">
        <v>0.16370000000000001</v>
      </c>
      <c r="K549">
        <v>3.98</v>
      </c>
    </row>
    <row r="550" spans="1:11" x14ac:dyDescent="0.3">
      <c r="A550" t="s">
        <v>191</v>
      </c>
      <c r="B550" s="25">
        <v>45900</v>
      </c>
      <c r="C550">
        <v>285413</v>
      </c>
      <c r="D550" t="s">
        <v>318</v>
      </c>
      <c r="E550" t="s">
        <v>355</v>
      </c>
      <c r="F550">
        <v>25775.72</v>
      </c>
      <c r="G550" s="29">
        <v>7.4830000000000001E-3</v>
      </c>
      <c r="H550">
        <v>308730.11</v>
      </c>
      <c r="I550">
        <v>60438.13</v>
      </c>
      <c r="J550" s="29">
        <v>0.16370000000000001</v>
      </c>
      <c r="K550">
        <v>4.3</v>
      </c>
    </row>
    <row r="551" spans="1:11" x14ac:dyDescent="0.3">
      <c r="A551" t="s">
        <v>191</v>
      </c>
      <c r="B551" s="25">
        <v>45930</v>
      </c>
      <c r="C551">
        <v>285413</v>
      </c>
      <c r="D551" t="s">
        <v>318</v>
      </c>
      <c r="E551" t="s">
        <v>355</v>
      </c>
      <c r="F551">
        <v>22042.04</v>
      </c>
      <c r="G551" s="29">
        <v>6.8830000000000002E-3</v>
      </c>
      <c r="H551">
        <v>264009.75</v>
      </c>
      <c r="I551">
        <v>51683.51</v>
      </c>
      <c r="J551" s="29">
        <v>0.16370000000000001</v>
      </c>
      <c r="K551">
        <v>4.2</v>
      </c>
    </row>
    <row r="552" spans="1:11" x14ac:dyDescent="0.3">
      <c r="A552" t="s">
        <v>191</v>
      </c>
      <c r="B552" s="25">
        <v>45961</v>
      </c>
      <c r="C552">
        <v>285413</v>
      </c>
      <c r="D552" t="s">
        <v>318</v>
      </c>
      <c r="E552" t="s">
        <v>355</v>
      </c>
      <c r="F552">
        <v>22668.65</v>
      </c>
      <c r="G552" s="29">
        <v>7.3450000000000008E-3</v>
      </c>
      <c r="H552">
        <v>271514.98</v>
      </c>
      <c r="I552">
        <v>53152.76</v>
      </c>
      <c r="J552" s="29">
        <v>0.16370000000000001</v>
      </c>
      <c r="K552">
        <v>4.1500000000000004</v>
      </c>
    </row>
    <row r="553" spans="1:11" x14ac:dyDescent="0.3">
      <c r="A553" t="s">
        <v>191</v>
      </c>
      <c r="B553" s="25">
        <v>45991</v>
      </c>
      <c r="C553">
        <v>285413</v>
      </c>
      <c r="D553" t="s">
        <v>318</v>
      </c>
      <c r="E553" t="s">
        <v>355</v>
      </c>
      <c r="F553">
        <v>25829.78</v>
      </c>
      <c r="G553" s="29">
        <v>8.4760000000000009E-3</v>
      </c>
      <c r="H553">
        <v>309377.64</v>
      </c>
      <c r="I553">
        <v>60564.89</v>
      </c>
      <c r="J553" s="29">
        <v>0.16370000000000001</v>
      </c>
      <c r="K553">
        <v>4.43</v>
      </c>
    </row>
    <row r="554" spans="1:11" x14ac:dyDescent="0.3">
      <c r="A554" t="s">
        <v>191</v>
      </c>
      <c r="B554" s="25">
        <v>45657</v>
      </c>
      <c r="C554">
        <v>385027</v>
      </c>
      <c r="D554" t="s">
        <v>323</v>
      </c>
      <c r="E554" t="s">
        <v>344</v>
      </c>
      <c r="F554">
        <v>23570.21</v>
      </c>
      <c r="G554" s="29">
        <v>6.8369999999999993E-3</v>
      </c>
      <c r="H554">
        <v>288489.5</v>
      </c>
      <c r="I554">
        <v>47882.07</v>
      </c>
      <c r="J554" s="29">
        <v>0.14230000000000001</v>
      </c>
      <c r="K554">
        <v>4.47</v>
      </c>
    </row>
    <row r="555" spans="1:11" x14ac:dyDescent="0.3">
      <c r="A555" t="s">
        <v>191</v>
      </c>
      <c r="B555" s="25">
        <v>45688</v>
      </c>
      <c r="C555">
        <v>385027</v>
      </c>
      <c r="D555" t="s">
        <v>323</v>
      </c>
      <c r="E555" t="s">
        <v>344</v>
      </c>
      <c r="F555">
        <v>24653.03</v>
      </c>
      <c r="G555" s="29">
        <v>7.6539999999999993E-3</v>
      </c>
      <c r="H555">
        <v>301742.76</v>
      </c>
      <c r="I555">
        <v>50081.79</v>
      </c>
      <c r="J555" s="29">
        <v>0.14230000000000001</v>
      </c>
      <c r="K555">
        <v>4.3099999999999996</v>
      </c>
    </row>
    <row r="556" spans="1:11" x14ac:dyDescent="0.3">
      <c r="A556" t="s">
        <v>191</v>
      </c>
      <c r="B556" s="25">
        <v>45716</v>
      </c>
      <c r="C556">
        <v>385027</v>
      </c>
      <c r="D556" t="s">
        <v>323</v>
      </c>
      <c r="E556" t="s">
        <v>344</v>
      </c>
      <c r="F556">
        <v>26729.99</v>
      </c>
      <c r="G556" s="29">
        <v>7.7510000000000001E-3</v>
      </c>
      <c r="H556">
        <v>327163.92</v>
      </c>
      <c r="I556">
        <v>54301.07</v>
      </c>
      <c r="J556" s="29">
        <v>0.14230000000000001</v>
      </c>
      <c r="K556">
        <v>4.3499999999999996</v>
      </c>
    </row>
    <row r="557" spans="1:11" x14ac:dyDescent="0.3">
      <c r="A557" t="s">
        <v>191</v>
      </c>
      <c r="B557" s="25">
        <v>45747</v>
      </c>
      <c r="C557">
        <v>385027</v>
      </c>
      <c r="D557" t="s">
        <v>323</v>
      </c>
      <c r="E557" t="s">
        <v>344</v>
      </c>
      <c r="F557">
        <v>22552.79</v>
      </c>
      <c r="G557" s="29">
        <v>7.1159999999999999E-3</v>
      </c>
      <c r="H557">
        <v>276036.71000000002</v>
      </c>
      <c r="I557">
        <v>45815.22</v>
      </c>
      <c r="J557" s="29">
        <v>0.14230000000000001</v>
      </c>
      <c r="K557">
        <v>4.63</v>
      </c>
    </row>
    <row r="558" spans="1:11" x14ac:dyDescent="0.3">
      <c r="A558" t="s">
        <v>191</v>
      </c>
      <c r="B558" s="25">
        <v>45777</v>
      </c>
      <c r="C558">
        <v>385027</v>
      </c>
      <c r="D558" t="s">
        <v>323</v>
      </c>
      <c r="E558" t="s">
        <v>344</v>
      </c>
      <c r="F558">
        <v>19488.080000000002</v>
      </c>
      <c r="G558" s="29">
        <v>5.9030000000000003E-3</v>
      </c>
      <c r="H558">
        <v>238525.98</v>
      </c>
      <c r="I558">
        <v>39589.370000000003</v>
      </c>
      <c r="J558" s="29">
        <v>0.14230000000000001</v>
      </c>
      <c r="K558">
        <v>4.2300000000000004</v>
      </c>
    </row>
    <row r="559" spans="1:11" x14ac:dyDescent="0.3">
      <c r="A559" t="s">
        <v>191</v>
      </c>
      <c r="B559" s="25">
        <v>45808</v>
      </c>
      <c r="C559">
        <v>385027</v>
      </c>
      <c r="D559" t="s">
        <v>323</v>
      </c>
      <c r="E559" t="s">
        <v>344</v>
      </c>
      <c r="F559">
        <v>24667.91</v>
      </c>
      <c r="G559" s="29">
        <v>7.1340000000000006E-3</v>
      </c>
      <c r="H559">
        <v>301924.89</v>
      </c>
      <c r="I559">
        <v>50112.01</v>
      </c>
      <c r="J559" s="29">
        <v>0.14230000000000001</v>
      </c>
      <c r="K559">
        <v>4.2300000000000004</v>
      </c>
    </row>
    <row r="560" spans="1:11" x14ac:dyDescent="0.3">
      <c r="A560" t="s">
        <v>191</v>
      </c>
      <c r="B560" s="25">
        <v>45838</v>
      </c>
      <c r="C560">
        <v>385027</v>
      </c>
      <c r="D560" t="s">
        <v>323</v>
      </c>
      <c r="E560" t="s">
        <v>344</v>
      </c>
      <c r="F560">
        <v>25623.41</v>
      </c>
      <c r="G560" s="29">
        <v>8.6160000000000004E-3</v>
      </c>
      <c r="H560">
        <v>313619.90000000002</v>
      </c>
      <c r="I560">
        <v>52053.1</v>
      </c>
      <c r="J560" s="29">
        <v>0.14230000000000001</v>
      </c>
      <c r="K560">
        <v>4.25</v>
      </c>
    </row>
    <row r="561" spans="1:11" x14ac:dyDescent="0.3">
      <c r="A561" t="s">
        <v>191</v>
      </c>
      <c r="B561" s="25">
        <v>45869</v>
      </c>
      <c r="C561">
        <v>385027</v>
      </c>
      <c r="D561" t="s">
        <v>323</v>
      </c>
      <c r="E561" t="s">
        <v>344</v>
      </c>
      <c r="F561">
        <v>21171.79</v>
      </c>
      <c r="G561" s="29">
        <v>7.0509999999999991E-3</v>
      </c>
      <c r="H561">
        <v>259133.91</v>
      </c>
      <c r="I561">
        <v>43009.78</v>
      </c>
      <c r="J561" s="29">
        <v>0.14230000000000001</v>
      </c>
      <c r="K561">
        <v>4.03</v>
      </c>
    </row>
    <row r="562" spans="1:11" x14ac:dyDescent="0.3">
      <c r="A562" t="s">
        <v>191</v>
      </c>
      <c r="B562" s="25">
        <v>45900</v>
      </c>
      <c r="C562">
        <v>385027</v>
      </c>
      <c r="D562" t="s">
        <v>323</v>
      </c>
      <c r="E562" t="s">
        <v>344</v>
      </c>
      <c r="F562">
        <v>25987.71</v>
      </c>
      <c r="G562" s="29">
        <v>7.5449999999999996E-3</v>
      </c>
      <c r="H562">
        <v>318078.73</v>
      </c>
      <c r="I562">
        <v>52793.15</v>
      </c>
      <c r="J562" s="29">
        <v>0.14230000000000001</v>
      </c>
      <c r="K562">
        <v>4.57</v>
      </c>
    </row>
    <row r="563" spans="1:11" x14ac:dyDescent="0.3">
      <c r="A563" t="s">
        <v>191</v>
      </c>
      <c r="B563" s="25">
        <v>45930</v>
      </c>
      <c r="C563">
        <v>385027</v>
      </c>
      <c r="D563" t="s">
        <v>323</v>
      </c>
      <c r="E563" t="s">
        <v>344</v>
      </c>
      <c r="F563">
        <v>27439.439999999999</v>
      </c>
      <c r="G563" s="29">
        <v>8.5690000000000002E-3</v>
      </c>
      <c r="H563">
        <v>335847.26</v>
      </c>
      <c r="I563">
        <v>55742.28</v>
      </c>
      <c r="J563" s="29">
        <v>0.14230000000000001</v>
      </c>
      <c r="K563">
        <v>4.93</v>
      </c>
    </row>
    <row r="564" spans="1:11" x14ac:dyDescent="0.3">
      <c r="A564" t="s">
        <v>191</v>
      </c>
      <c r="B564" s="25">
        <v>45961</v>
      </c>
      <c r="C564">
        <v>385027</v>
      </c>
      <c r="D564" t="s">
        <v>323</v>
      </c>
      <c r="E564" t="s">
        <v>344</v>
      </c>
      <c r="F564">
        <v>27242.35</v>
      </c>
      <c r="G564" s="29">
        <v>8.8269999999999998E-3</v>
      </c>
      <c r="H564">
        <v>333434.98</v>
      </c>
      <c r="I564">
        <v>55341.9</v>
      </c>
      <c r="J564" s="29">
        <v>0.14230000000000001</v>
      </c>
      <c r="K564">
        <v>4.41</v>
      </c>
    </row>
    <row r="565" spans="1:11" x14ac:dyDescent="0.3">
      <c r="A565" t="s">
        <v>191</v>
      </c>
      <c r="B565" s="25">
        <v>45991</v>
      </c>
      <c r="C565">
        <v>385027</v>
      </c>
      <c r="D565" t="s">
        <v>323</v>
      </c>
      <c r="E565" t="s">
        <v>344</v>
      </c>
      <c r="F565">
        <v>24706.91</v>
      </c>
      <c r="G565" s="29">
        <v>8.1079999999999989E-3</v>
      </c>
      <c r="H565">
        <v>302402.24</v>
      </c>
      <c r="I565">
        <v>50191.24</v>
      </c>
      <c r="J565" s="29">
        <v>0.14230000000000001</v>
      </c>
      <c r="K565">
        <v>4.3</v>
      </c>
    </row>
    <row r="566" spans="1:11" x14ac:dyDescent="0.3">
      <c r="A566" t="s">
        <v>191</v>
      </c>
      <c r="B566" s="25">
        <v>45657</v>
      </c>
      <c r="C566">
        <v>542975</v>
      </c>
      <c r="D566" t="s">
        <v>324</v>
      </c>
      <c r="E566" t="s">
        <v>339</v>
      </c>
      <c r="F566">
        <v>92579.96</v>
      </c>
      <c r="G566" s="29">
        <v>2.6856000000000001E-2</v>
      </c>
      <c r="H566">
        <v>1099648.96</v>
      </c>
      <c r="I566">
        <v>202721.57</v>
      </c>
      <c r="J566" s="29">
        <v>0.15570000000000001</v>
      </c>
      <c r="K566">
        <v>4.26</v>
      </c>
    </row>
    <row r="567" spans="1:11" x14ac:dyDescent="0.3">
      <c r="A567" t="s">
        <v>191</v>
      </c>
      <c r="B567" s="25">
        <v>45688</v>
      </c>
      <c r="C567">
        <v>542975</v>
      </c>
      <c r="D567" t="s">
        <v>324</v>
      </c>
      <c r="E567" t="s">
        <v>339</v>
      </c>
      <c r="F567">
        <v>117262.07</v>
      </c>
      <c r="G567" s="29">
        <v>3.6408000000000003E-2</v>
      </c>
      <c r="H567">
        <v>1392818.8</v>
      </c>
      <c r="I567">
        <v>256767.77</v>
      </c>
      <c r="J567" s="29">
        <v>0.15570000000000001</v>
      </c>
      <c r="K567">
        <v>4.12</v>
      </c>
    </row>
    <row r="568" spans="1:11" x14ac:dyDescent="0.3">
      <c r="A568" t="s">
        <v>191</v>
      </c>
      <c r="B568" s="25">
        <v>45716</v>
      </c>
      <c r="C568">
        <v>542975</v>
      </c>
      <c r="D568" t="s">
        <v>324</v>
      </c>
      <c r="E568" t="s">
        <v>339</v>
      </c>
      <c r="F568">
        <v>108581.54</v>
      </c>
      <c r="G568" s="29">
        <v>3.1483999999999998E-2</v>
      </c>
      <c r="H568">
        <v>1289712.93</v>
      </c>
      <c r="I568">
        <v>237760.08</v>
      </c>
      <c r="J568" s="29">
        <v>0.15570000000000001</v>
      </c>
      <c r="K568">
        <v>4.47</v>
      </c>
    </row>
    <row r="569" spans="1:11" x14ac:dyDescent="0.3">
      <c r="A569" t="s">
        <v>191</v>
      </c>
      <c r="B569" s="25">
        <v>45747</v>
      </c>
      <c r="C569">
        <v>542975</v>
      </c>
      <c r="D569" t="s">
        <v>324</v>
      </c>
      <c r="E569" t="s">
        <v>339</v>
      </c>
      <c r="F569">
        <v>111583.34</v>
      </c>
      <c r="G569" s="29">
        <v>3.5205E-2</v>
      </c>
      <c r="H569">
        <v>1325367.81</v>
      </c>
      <c r="I569">
        <v>244333.1</v>
      </c>
      <c r="J569" s="29">
        <v>0.15570000000000001</v>
      </c>
      <c r="K569">
        <v>4.5199999999999996</v>
      </c>
    </row>
    <row r="570" spans="1:11" x14ac:dyDescent="0.3">
      <c r="A570" t="s">
        <v>191</v>
      </c>
      <c r="B570" s="25">
        <v>45777</v>
      </c>
      <c r="C570">
        <v>542975</v>
      </c>
      <c r="D570" t="s">
        <v>324</v>
      </c>
      <c r="E570" t="s">
        <v>339</v>
      </c>
      <c r="F570">
        <v>109574.33</v>
      </c>
      <c r="G570" s="29">
        <v>3.3193E-2</v>
      </c>
      <c r="H570">
        <v>1301505.1200000001</v>
      </c>
      <c r="I570">
        <v>239933.99</v>
      </c>
      <c r="J570" s="29">
        <v>0.15570000000000001</v>
      </c>
      <c r="K570">
        <v>4.57</v>
      </c>
    </row>
    <row r="571" spans="1:11" x14ac:dyDescent="0.3">
      <c r="A571" t="s">
        <v>191</v>
      </c>
      <c r="B571" s="25">
        <v>45808</v>
      </c>
      <c r="C571">
        <v>542975</v>
      </c>
      <c r="D571" t="s">
        <v>324</v>
      </c>
      <c r="E571" t="s">
        <v>339</v>
      </c>
      <c r="F571">
        <v>112713.39</v>
      </c>
      <c r="G571" s="29">
        <v>3.2594999999999999E-2</v>
      </c>
      <c r="H571">
        <v>1338790.3600000001</v>
      </c>
      <c r="I571">
        <v>246807.57</v>
      </c>
      <c r="J571" s="29">
        <v>0.15570000000000001</v>
      </c>
      <c r="K571">
        <v>4.3</v>
      </c>
    </row>
    <row r="572" spans="1:11" x14ac:dyDescent="0.3">
      <c r="A572" t="s">
        <v>191</v>
      </c>
      <c r="B572" s="25">
        <v>45838</v>
      </c>
      <c r="C572">
        <v>542975</v>
      </c>
      <c r="D572" t="s">
        <v>324</v>
      </c>
      <c r="E572" t="s">
        <v>339</v>
      </c>
      <c r="F572">
        <v>91163.42</v>
      </c>
      <c r="G572" s="29">
        <v>3.0655000000000002E-2</v>
      </c>
      <c r="H572">
        <v>1082823.5</v>
      </c>
      <c r="I572">
        <v>199619.78</v>
      </c>
      <c r="J572" s="29">
        <v>0.15570000000000001</v>
      </c>
      <c r="K572">
        <v>4.3600000000000003</v>
      </c>
    </row>
    <row r="573" spans="1:11" x14ac:dyDescent="0.3">
      <c r="A573" t="s">
        <v>191</v>
      </c>
      <c r="B573" s="25">
        <v>45869</v>
      </c>
      <c r="C573">
        <v>542975</v>
      </c>
      <c r="D573" t="s">
        <v>324</v>
      </c>
      <c r="E573" t="s">
        <v>339</v>
      </c>
      <c r="F573">
        <v>110573.51</v>
      </c>
      <c r="G573" s="29">
        <v>3.6825999999999998E-2</v>
      </c>
      <c r="H573">
        <v>1313373.23</v>
      </c>
      <c r="I573">
        <v>242121.89</v>
      </c>
      <c r="J573" s="29">
        <v>0.15570000000000001</v>
      </c>
      <c r="K573">
        <v>4.79</v>
      </c>
    </row>
    <row r="574" spans="1:11" x14ac:dyDescent="0.3">
      <c r="A574" t="s">
        <v>191</v>
      </c>
      <c r="B574" s="25">
        <v>45900</v>
      </c>
      <c r="C574">
        <v>542975</v>
      </c>
      <c r="D574" t="s">
        <v>324</v>
      </c>
      <c r="E574" t="s">
        <v>339</v>
      </c>
      <c r="F574">
        <v>106407.41</v>
      </c>
      <c r="G574" s="29">
        <v>3.0893E-2</v>
      </c>
      <c r="H574">
        <v>1263889.07</v>
      </c>
      <c r="I574">
        <v>232999.43</v>
      </c>
      <c r="J574" s="29">
        <v>0.15570000000000001</v>
      </c>
      <c r="K574">
        <v>4.53</v>
      </c>
    </row>
    <row r="575" spans="1:11" x14ac:dyDescent="0.3">
      <c r="A575" t="s">
        <v>191</v>
      </c>
      <c r="B575" s="25">
        <v>45930</v>
      </c>
      <c r="C575">
        <v>542975</v>
      </c>
      <c r="D575" t="s">
        <v>324</v>
      </c>
      <c r="E575" t="s">
        <v>339</v>
      </c>
      <c r="F575">
        <v>113762.44</v>
      </c>
      <c r="G575" s="29">
        <v>3.5525000000000001E-2</v>
      </c>
      <c r="H575">
        <v>1351250.8</v>
      </c>
      <c r="I575">
        <v>249104.66</v>
      </c>
      <c r="J575" s="29">
        <v>0.15570000000000001</v>
      </c>
      <c r="K575">
        <v>4.2699999999999996</v>
      </c>
    </row>
    <row r="576" spans="1:11" x14ac:dyDescent="0.3">
      <c r="A576" t="s">
        <v>191</v>
      </c>
      <c r="B576" s="25">
        <v>45961</v>
      </c>
      <c r="C576">
        <v>542975</v>
      </c>
      <c r="D576" t="s">
        <v>324</v>
      </c>
      <c r="E576" t="s">
        <v>339</v>
      </c>
      <c r="F576">
        <v>105730.98</v>
      </c>
      <c r="G576" s="29">
        <v>3.4259999999999999E-2</v>
      </c>
      <c r="H576">
        <v>1255854.47</v>
      </c>
      <c r="I576">
        <v>231518.24</v>
      </c>
      <c r="J576" s="29">
        <v>0.15570000000000001</v>
      </c>
      <c r="K576">
        <v>3.75</v>
      </c>
    </row>
    <row r="577" spans="1:11" x14ac:dyDescent="0.3">
      <c r="A577" t="s">
        <v>191</v>
      </c>
      <c r="B577" s="25">
        <v>45991</v>
      </c>
      <c r="C577">
        <v>542975</v>
      </c>
      <c r="D577" t="s">
        <v>324</v>
      </c>
      <c r="E577" t="s">
        <v>339</v>
      </c>
      <c r="F577">
        <v>99687.679999999993</v>
      </c>
      <c r="G577" s="29">
        <v>3.2711999999999998E-2</v>
      </c>
      <c r="H577">
        <v>1184073.23</v>
      </c>
      <c r="I577">
        <v>218285.28</v>
      </c>
      <c r="J577" s="29">
        <v>0.15570000000000001</v>
      </c>
      <c r="K577">
        <v>4.1399999999999997</v>
      </c>
    </row>
    <row r="578" spans="1:11" x14ac:dyDescent="0.3">
      <c r="A578" t="s">
        <v>191</v>
      </c>
      <c r="B578" s="25">
        <v>45657</v>
      </c>
      <c r="C578">
        <v>508707</v>
      </c>
      <c r="D578" t="s">
        <v>321</v>
      </c>
      <c r="E578" t="s">
        <v>357</v>
      </c>
      <c r="F578">
        <v>1129.75</v>
      </c>
      <c r="G578" s="29">
        <v>3.28E-4</v>
      </c>
      <c r="H578">
        <v>14077.76</v>
      </c>
      <c r="I578">
        <v>2479.5</v>
      </c>
      <c r="J578" s="29">
        <v>0.14979999999999999</v>
      </c>
      <c r="K578">
        <v>4.3</v>
      </c>
    </row>
    <row r="579" spans="1:11" x14ac:dyDescent="0.3">
      <c r="A579" t="s">
        <v>191</v>
      </c>
      <c r="B579" s="25">
        <v>45688</v>
      </c>
      <c r="C579">
        <v>508707</v>
      </c>
      <c r="D579" t="s">
        <v>321</v>
      </c>
      <c r="E579" t="s">
        <v>357</v>
      </c>
      <c r="F579">
        <v>932.93</v>
      </c>
      <c r="G579" s="29">
        <v>2.9E-4</v>
      </c>
      <c r="H579">
        <v>11625.17</v>
      </c>
      <c r="I579">
        <v>2047.53</v>
      </c>
      <c r="J579" s="29">
        <v>0.14979999999999999</v>
      </c>
      <c r="K579">
        <v>3.91</v>
      </c>
    </row>
    <row r="580" spans="1:11" x14ac:dyDescent="0.3">
      <c r="A580" t="s">
        <v>191</v>
      </c>
      <c r="B580" s="25">
        <v>45716</v>
      </c>
      <c r="C580">
        <v>508707</v>
      </c>
      <c r="D580" t="s">
        <v>321</v>
      </c>
      <c r="E580" t="s">
        <v>357</v>
      </c>
      <c r="F580">
        <v>1164.4000000000001</v>
      </c>
      <c r="G580" s="29">
        <v>3.3799999999999998E-4</v>
      </c>
      <c r="H580">
        <v>14509.56</v>
      </c>
      <c r="I580">
        <v>2555.5500000000002</v>
      </c>
      <c r="J580" s="29">
        <v>0.14979999999999999</v>
      </c>
      <c r="K580">
        <v>4.03</v>
      </c>
    </row>
    <row r="581" spans="1:11" x14ac:dyDescent="0.3">
      <c r="A581" t="s">
        <v>191</v>
      </c>
      <c r="B581" s="25">
        <v>45747</v>
      </c>
      <c r="C581">
        <v>508707</v>
      </c>
      <c r="D581" t="s">
        <v>321</v>
      </c>
      <c r="E581" t="s">
        <v>357</v>
      </c>
      <c r="F581">
        <v>1056.32</v>
      </c>
      <c r="G581" s="29">
        <v>3.3300000000000002E-4</v>
      </c>
      <c r="H581">
        <v>13162.78</v>
      </c>
      <c r="I581">
        <v>2318.34</v>
      </c>
      <c r="J581" s="29">
        <v>0.14979999999999999</v>
      </c>
      <c r="K581">
        <v>4.3</v>
      </c>
    </row>
    <row r="582" spans="1:11" x14ac:dyDescent="0.3">
      <c r="A582" t="s">
        <v>191</v>
      </c>
      <c r="B582" s="25">
        <v>45777</v>
      </c>
      <c r="C582">
        <v>508707</v>
      </c>
      <c r="D582" t="s">
        <v>321</v>
      </c>
      <c r="E582" t="s">
        <v>357</v>
      </c>
      <c r="F582">
        <v>1162.58</v>
      </c>
      <c r="G582" s="29">
        <v>3.5200000000000005E-4</v>
      </c>
      <c r="H582">
        <v>14486.77</v>
      </c>
      <c r="I582">
        <v>2551.54</v>
      </c>
      <c r="J582" s="29">
        <v>0.14979999999999999</v>
      </c>
      <c r="K582">
        <v>4.03</v>
      </c>
    </row>
    <row r="583" spans="1:11" x14ac:dyDescent="0.3">
      <c r="A583" t="s">
        <v>191</v>
      </c>
      <c r="B583" s="25">
        <v>45808</v>
      </c>
      <c r="C583">
        <v>508707</v>
      </c>
      <c r="D583" t="s">
        <v>321</v>
      </c>
      <c r="E583" t="s">
        <v>357</v>
      </c>
      <c r="F583">
        <v>1087.26</v>
      </c>
      <c r="G583" s="29">
        <v>3.1399999999999999E-4</v>
      </c>
      <c r="H583">
        <v>13548.26</v>
      </c>
      <c r="I583">
        <v>2386.2399999999998</v>
      </c>
      <c r="J583" s="29">
        <v>0.14979999999999999</v>
      </c>
      <c r="K583">
        <v>4.3</v>
      </c>
    </row>
    <row r="584" spans="1:11" x14ac:dyDescent="0.3">
      <c r="A584" t="s">
        <v>191</v>
      </c>
      <c r="B584" s="25">
        <v>45838</v>
      </c>
      <c r="C584">
        <v>508707</v>
      </c>
      <c r="D584" t="s">
        <v>321</v>
      </c>
      <c r="E584" t="s">
        <v>357</v>
      </c>
      <c r="F584">
        <v>1192.18</v>
      </c>
      <c r="G584" s="29">
        <v>4.0099999999999999E-4</v>
      </c>
      <c r="H584">
        <v>14855.7</v>
      </c>
      <c r="I584">
        <v>2616.52</v>
      </c>
      <c r="J584" s="29">
        <v>0.14979999999999999</v>
      </c>
      <c r="K584">
        <v>4.0599999999999996</v>
      </c>
    </row>
    <row r="585" spans="1:11" x14ac:dyDescent="0.3">
      <c r="A585" t="s">
        <v>191</v>
      </c>
      <c r="B585" s="25">
        <v>45869</v>
      </c>
      <c r="C585">
        <v>508707</v>
      </c>
      <c r="D585" t="s">
        <v>321</v>
      </c>
      <c r="E585" t="s">
        <v>357</v>
      </c>
      <c r="F585">
        <v>971.71</v>
      </c>
      <c r="G585" s="29">
        <v>3.2399999999999996E-4</v>
      </c>
      <c r="H585">
        <v>12108.44</v>
      </c>
      <c r="I585">
        <v>2132.64</v>
      </c>
      <c r="J585" s="29">
        <v>0.14979999999999999</v>
      </c>
      <c r="K585">
        <v>4.1100000000000003</v>
      </c>
    </row>
    <row r="586" spans="1:11" x14ac:dyDescent="0.3">
      <c r="A586" t="s">
        <v>191</v>
      </c>
      <c r="B586" s="25">
        <v>45900</v>
      </c>
      <c r="C586">
        <v>508707</v>
      </c>
      <c r="D586" t="s">
        <v>321</v>
      </c>
      <c r="E586" t="s">
        <v>357</v>
      </c>
      <c r="F586">
        <v>1056.93</v>
      </c>
      <c r="G586" s="29">
        <v>3.0700000000000004E-4</v>
      </c>
      <c r="H586">
        <v>13170.31</v>
      </c>
      <c r="I586">
        <v>2319.67</v>
      </c>
      <c r="J586" s="29">
        <v>0.14979999999999999</v>
      </c>
      <c r="K586">
        <v>4.4800000000000004</v>
      </c>
    </row>
    <row r="587" spans="1:11" x14ac:dyDescent="0.3">
      <c r="A587" t="s">
        <v>191</v>
      </c>
      <c r="B587" s="25">
        <v>45930</v>
      </c>
      <c r="C587">
        <v>508707</v>
      </c>
      <c r="D587" t="s">
        <v>321</v>
      </c>
      <c r="E587" t="s">
        <v>357</v>
      </c>
      <c r="F587">
        <v>1136.96</v>
      </c>
      <c r="G587" s="29">
        <v>3.5499999999999996E-4</v>
      </c>
      <c r="H587">
        <v>14167.6</v>
      </c>
      <c r="I587">
        <v>2495.3200000000002</v>
      </c>
      <c r="J587" s="29">
        <v>0.14979999999999999</v>
      </c>
      <c r="K587">
        <v>4.22</v>
      </c>
    </row>
    <row r="588" spans="1:11" x14ac:dyDescent="0.3">
      <c r="A588" t="s">
        <v>191</v>
      </c>
      <c r="B588" s="25">
        <v>45961</v>
      </c>
      <c r="C588">
        <v>508707</v>
      </c>
      <c r="D588" t="s">
        <v>321</v>
      </c>
      <c r="E588" t="s">
        <v>357</v>
      </c>
      <c r="F588">
        <v>1054.27</v>
      </c>
      <c r="G588" s="29">
        <v>3.4200000000000002E-4</v>
      </c>
      <c r="H588">
        <v>13137.17</v>
      </c>
      <c r="I588">
        <v>2313.83</v>
      </c>
      <c r="J588" s="29">
        <v>0.14979999999999999</v>
      </c>
      <c r="K588">
        <v>4.3099999999999996</v>
      </c>
    </row>
    <row r="589" spans="1:11" x14ac:dyDescent="0.3">
      <c r="A589" t="s">
        <v>191</v>
      </c>
      <c r="B589" s="25">
        <v>45991</v>
      </c>
      <c r="C589">
        <v>508707</v>
      </c>
      <c r="D589" t="s">
        <v>321</v>
      </c>
      <c r="E589" t="s">
        <v>357</v>
      </c>
      <c r="F589">
        <v>846.31</v>
      </c>
      <c r="G589" s="29">
        <v>2.7799999999999998E-4</v>
      </c>
      <c r="H589">
        <v>10545.76</v>
      </c>
      <c r="I589">
        <v>1857.41</v>
      </c>
      <c r="J589" s="29">
        <v>0.14979999999999999</v>
      </c>
      <c r="K589">
        <v>4.43</v>
      </c>
    </row>
    <row r="590" spans="1:11" x14ac:dyDescent="0.3">
      <c r="A590" t="s">
        <v>191</v>
      </c>
      <c r="B590" s="25">
        <v>45657</v>
      </c>
      <c r="C590">
        <v>299823</v>
      </c>
      <c r="D590" t="s">
        <v>317</v>
      </c>
      <c r="E590" t="s">
        <v>356</v>
      </c>
      <c r="F590">
        <v>85940.92</v>
      </c>
      <c r="G590" s="29">
        <v>2.4929999999999997E-2</v>
      </c>
      <c r="H590">
        <v>1054364.02</v>
      </c>
      <c r="I590">
        <v>213559.08</v>
      </c>
      <c r="J590" s="29">
        <v>0.16839999999999999</v>
      </c>
      <c r="K590">
        <v>4.16</v>
      </c>
    </row>
    <row r="591" spans="1:11" x14ac:dyDescent="0.3">
      <c r="A591" t="s">
        <v>191</v>
      </c>
      <c r="B591" s="25">
        <v>45688</v>
      </c>
      <c r="C591">
        <v>299823</v>
      </c>
      <c r="D591" t="s">
        <v>317</v>
      </c>
      <c r="E591" t="s">
        <v>356</v>
      </c>
      <c r="F591">
        <v>97192.1</v>
      </c>
      <c r="G591" s="29">
        <v>3.0176999999999999E-2</v>
      </c>
      <c r="H591">
        <v>1192398.78</v>
      </c>
      <c r="I591">
        <v>241517.71</v>
      </c>
      <c r="J591" s="29">
        <v>0.16839999999999999</v>
      </c>
      <c r="K591">
        <v>4.33</v>
      </c>
    </row>
    <row r="592" spans="1:11" x14ac:dyDescent="0.3">
      <c r="A592" t="s">
        <v>191</v>
      </c>
      <c r="B592" s="25">
        <v>45716</v>
      </c>
      <c r="C592">
        <v>299823</v>
      </c>
      <c r="D592" t="s">
        <v>317</v>
      </c>
      <c r="E592" t="s">
        <v>356</v>
      </c>
      <c r="F592">
        <v>79592.27</v>
      </c>
      <c r="G592" s="29">
        <v>2.3077999999999998E-2</v>
      </c>
      <c r="H592">
        <v>976475.77</v>
      </c>
      <c r="I592">
        <v>197782.99</v>
      </c>
      <c r="J592" s="29">
        <v>0.16839999999999999</v>
      </c>
      <c r="K592">
        <v>4.43</v>
      </c>
    </row>
    <row r="593" spans="1:11" x14ac:dyDescent="0.3">
      <c r="A593" t="s">
        <v>191</v>
      </c>
      <c r="B593" s="25">
        <v>45747</v>
      </c>
      <c r="C593">
        <v>299823</v>
      </c>
      <c r="D593" t="s">
        <v>317</v>
      </c>
      <c r="E593" t="s">
        <v>356</v>
      </c>
      <c r="F593">
        <v>90828.96</v>
      </c>
      <c r="G593" s="29">
        <v>2.8656999999999998E-2</v>
      </c>
      <c r="H593">
        <v>1114332.8400000001</v>
      </c>
      <c r="I593">
        <v>225705.63</v>
      </c>
      <c r="J593" s="29">
        <v>0.16839999999999999</v>
      </c>
      <c r="K593">
        <v>4.5</v>
      </c>
    </row>
    <row r="594" spans="1:11" x14ac:dyDescent="0.3">
      <c r="A594" t="s">
        <v>191</v>
      </c>
      <c r="B594" s="25">
        <v>45777</v>
      </c>
      <c r="C594">
        <v>299823</v>
      </c>
      <c r="D594" t="s">
        <v>317</v>
      </c>
      <c r="E594" t="s">
        <v>356</v>
      </c>
      <c r="F594">
        <v>83419.360000000001</v>
      </c>
      <c r="G594" s="29">
        <v>2.5270000000000001E-2</v>
      </c>
      <c r="H594">
        <v>1023428.34</v>
      </c>
      <c r="I594">
        <v>207293.13</v>
      </c>
      <c r="J594" s="29">
        <v>0.16839999999999999</v>
      </c>
      <c r="K594">
        <v>4.09</v>
      </c>
    </row>
    <row r="595" spans="1:11" x14ac:dyDescent="0.3">
      <c r="A595" t="s">
        <v>191</v>
      </c>
      <c r="B595" s="25">
        <v>45808</v>
      </c>
      <c r="C595">
        <v>299823</v>
      </c>
      <c r="D595" t="s">
        <v>317</v>
      </c>
      <c r="E595" t="s">
        <v>356</v>
      </c>
      <c r="F595">
        <v>97984.8</v>
      </c>
      <c r="G595" s="29">
        <v>2.8336E-2</v>
      </c>
      <c r="H595">
        <v>1202124.1000000001</v>
      </c>
      <c r="I595">
        <v>243487.55</v>
      </c>
      <c r="J595" s="29">
        <v>0.16839999999999999</v>
      </c>
      <c r="K595">
        <v>4.43</v>
      </c>
    </row>
    <row r="596" spans="1:11" x14ac:dyDescent="0.3">
      <c r="A596" t="s">
        <v>191</v>
      </c>
      <c r="B596" s="25">
        <v>45838</v>
      </c>
      <c r="C596">
        <v>299823</v>
      </c>
      <c r="D596" t="s">
        <v>317</v>
      </c>
      <c r="E596" t="s">
        <v>356</v>
      </c>
      <c r="F596">
        <v>82200.929999999993</v>
      </c>
      <c r="G596" s="29">
        <v>2.7640999999999999E-2</v>
      </c>
      <c r="H596">
        <v>1008480.07</v>
      </c>
      <c r="I596">
        <v>204265.39</v>
      </c>
      <c r="J596" s="29">
        <v>0.16839999999999999</v>
      </c>
      <c r="K596">
        <v>3.93</v>
      </c>
    </row>
    <row r="597" spans="1:11" x14ac:dyDescent="0.3">
      <c r="A597" t="s">
        <v>191</v>
      </c>
      <c r="B597" s="25">
        <v>45869</v>
      </c>
      <c r="C597">
        <v>299823</v>
      </c>
      <c r="D597" t="s">
        <v>317</v>
      </c>
      <c r="E597" t="s">
        <v>356</v>
      </c>
      <c r="F597">
        <v>78128.94</v>
      </c>
      <c r="G597" s="29">
        <v>2.6019999999999998E-2</v>
      </c>
      <c r="H597">
        <v>958522.99</v>
      </c>
      <c r="I597">
        <v>194146.69</v>
      </c>
      <c r="J597" s="29">
        <v>0.16839999999999999</v>
      </c>
      <c r="K597">
        <v>4.42</v>
      </c>
    </row>
    <row r="598" spans="1:11" x14ac:dyDescent="0.3">
      <c r="A598" t="s">
        <v>191</v>
      </c>
      <c r="B598" s="25">
        <v>45900</v>
      </c>
      <c r="C598">
        <v>299823</v>
      </c>
      <c r="D598" t="s">
        <v>317</v>
      </c>
      <c r="E598" t="s">
        <v>356</v>
      </c>
      <c r="F598">
        <v>81451.259999999995</v>
      </c>
      <c r="G598" s="29">
        <v>2.3647999999999999E-2</v>
      </c>
      <c r="H598">
        <v>999282.68</v>
      </c>
      <c r="I598">
        <v>202402.48</v>
      </c>
      <c r="J598" s="29">
        <v>0.16839999999999999</v>
      </c>
      <c r="K598">
        <v>4.72</v>
      </c>
    </row>
    <row r="599" spans="1:11" x14ac:dyDescent="0.3">
      <c r="A599" t="s">
        <v>191</v>
      </c>
      <c r="B599" s="25">
        <v>45930</v>
      </c>
      <c r="C599">
        <v>299823</v>
      </c>
      <c r="D599" t="s">
        <v>317</v>
      </c>
      <c r="E599" t="s">
        <v>356</v>
      </c>
      <c r="F599">
        <v>86202.3</v>
      </c>
      <c r="G599" s="29">
        <v>2.6918999999999998E-2</v>
      </c>
      <c r="H599">
        <v>1057570.81</v>
      </c>
      <c r="I599">
        <v>214208.61</v>
      </c>
      <c r="J599" s="29">
        <v>0.16839999999999999</v>
      </c>
      <c r="K599">
        <v>4.3</v>
      </c>
    </row>
    <row r="600" spans="1:11" x14ac:dyDescent="0.3">
      <c r="A600" t="s">
        <v>191</v>
      </c>
      <c r="B600" s="25">
        <v>45961</v>
      </c>
      <c r="C600">
        <v>299823</v>
      </c>
      <c r="D600" t="s">
        <v>317</v>
      </c>
      <c r="E600" t="s">
        <v>356</v>
      </c>
      <c r="F600">
        <v>90509.55</v>
      </c>
      <c r="G600" s="29">
        <v>2.9328E-2</v>
      </c>
      <c r="H600">
        <v>1110414.1200000001</v>
      </c>
      <c r="I600">
        <v>224911.9</v>
      </c>
      <c r="J600" s="29">
        <v>0.16839999999999999</v>
      </c>
      <c r="K600">
        <v>4.51</v>
      </c>
    </row>
    <row r="601" spans="1:11" x14ac:dyDescent="0.3">
      <c r="A601" t="s">
        <v>191</v>
      </c>
      <c r="B601" s="25">
        <v>45991</v>
      </c>
      <c r="C601">
        <v>299823</v>
      </c>
      <c r="D601" t="s">
        <v>317</v>
      </c>
      <c r="E601" t="s">
        <v>356</v>
      </c>
      <c r="F601">
        <v>76438.960000000006</v>
      </c>
      <c r="G601" s="29">
        <v>2.5083000000000001E-2</v>
      </c>
      <c r="H601">
        <v>937789.5</v>
      </c>
      <c r="I601">
        <v>189947.17</v>
      </c>
      <c r="J601" s="29">
        <v>0.16839999999999999</v>
      </c>
      <c r="K601">
        <v>4.42</v>
      </c>
    </row>
    <row r="602" spans="1:11" x14ac:dyDescent="0.3">
      <c r="A602" t="s">
        <v>191</v>
      </c>
      <c r="B602" s="25">
        <v>45657</v>
      </c>
      <c r="C602">
        <v>580582</v>
      </c>
      <c r="D602" t="s">
        <v>268</v>
      </c>
      <c r="E602" t="s">
        <v>347</v>
      </c>
      <c r="F602">
        <v>97283.44</v>
      </c>
      <c r="G602" s="29">
        <v>2.8220000000000002E-2</v>
      </c>
      <c r="H602">
        <v>1047351.45</v>
      </c>
      <c r="I602">
        <v>239203.41</v>
      </c>
      <c r="J602" s="29">
        <v>0.18590000000000001</v>
      </c>
      <c r="K602">
        <v>5.09</v>
      </c>
    </row>
    <row r="603" spans="1:11" x14ac:dyDescent="0.3">
      <c r="A603" t="s">
        <v>191</v>
      </c>
      <c r="B603" s="25">
        <v>45688</v>
      </c>
      <c r="C603">
        <v>580582</v>
      </c>
      <c r="D603" t="s">
        <v>268</v>
      </c>
      <c r="E603" t="s">
        <v>347</v>
      </c>
      <c r="F603">
        <v>90345.78</v>
      </c>
      <c r="G603" s="29">
        <v>2.8051E-2</v>
      </c>
      <c r="H603">
        <v>972660.84</v>
      </c>
      <c r="I603">
        <v>222144.9</v>
      </c>
      <c r="J603" s="29">
        <v>0.18590000000000001</v>
      </c>
      <c r="K603">
        <v>4.8099999999999996</v>
      </c>
    </row>
    <row r="604" spans="1:11" x14ac:dyDescent="0.3">
      <c r="A604" t="s">
        <v>191</v>
      </c>
      <c r="B604" s="25">
        <v>45716</v>
      </c>
      <c r="C604">
        <v>580582</v>
      </c>
      <c r="D604" t="s">
        <v>268</v>
      </c>
      <c r="E604" t="s">
        <v>347</v>
      </c>
      <c r="F604">
        <v>107303.89</v>
      </c>
      <c r="G604" s="29">
        <v>3.1112999999999998E-2</v>
      </c>
      <c r="H604">
        <v>1155231.48</v>
      </c>
      <c r="I604">
        <v>263842</v>
      </c>
      <c r="J604" s="29">
        <v>0.18590000000000001</v>
      </c>
      <c r="K604">
        <v>4.4800000000000004</v>
      </c>
    </row>
    <row r="605" spans="1:11" x14ac:dyDescent="0.3">
      <c r="A605" t="s">
        <v>191</v>
      </c>
      <c r="B605" s="25">
        <v>45747</v>
      </c>
      <c r="C605">
        <v>580582</v>
      </c>
      <c r="D605" t="s">
        <v>268</v>
      </c>
      <c r="E605" t="s">
        <v>347</v>
      </c>
      <c r="F605">
        <v>101864.4</v>
      </c>
      <c r="G605" s="29">
        <v>3.2139000000000001E-2</v>
      </c>
      <c r="H605">
        <v>1096670.05</v>
      </c>
      <c r="I605">
        <v>250467.23</v>
      </c>
      <c r="J605" s="29">
        <v>0.18590000000000001</v>
      </c>
      <c r="K605">
        <v>4.82</v>
      </c>
    </row>
    <row r="606" spans="1:11" x14ac:dyDescent="0.3">
      <c r="A606" t="s">
        <v>191</v>
      </c>
      <c r="B606" s="25">
        <v>45777</v>
      </c>
      <c r="C606">
        <v>580582</v>
      </c>
      <c r="D606" t="s">
        <v>268</v>
      </c>
      <c r="E606" t="s">
        <v>347</v>
      </c>
      <c r="F606">
        <v>114618.18</v>
      </c>
      <c r="G606" s="29">
        <v>3.4721000000000002E-2</v>
      </c>
      <c r="H606">
        <v>1233976.97</v>
      </c>
      <c r="I606">
        <v>281826.59999999998</v>
      </c>
      <c r="J606" s="29">
        <v>0.18590000000000001</v>
      </c>
      <c r="K606">
        <v>5.13</v>
      </c>
    </row>
    <row r="607" spans="1:11" x14ac:dyDescent="0.3">
      <c r="A607" t="s">
        <v>191</v>
      </c>
      <c r="B607" s="25">
        <v>45808</v>
      </c>
      <c r="C607">
        <v>580582</v>
      </c>
      <c r="D607" t="s">
        <v>268</v>
      </c>
      <c r="E607" t="s">
        <v>347</v>
      </c>
      <c r="F607">
        <v>116788.88</v>
      </c>
      <c r="G607" s="29">
        <v>3.3773999999999998E-2</v>
      </c>
      <c r="H607">
        <v>1257346.6299999999</v>
      </c>
      <c r="I607">
        <v>287163.96999999997</v>
      </c>
      <c r="J607" s="29">
        <v>0.18590000000000001</v>
      </c>
      <c r="K607">
        <v>5.03</v>
      </c>
    </row>
    <row r="608" spans="1:11" x14ac:dyDescent="0.3">
      <c r="A608" t="s">
        <v>191</v>
      </c>
      <c r="B608" s="25">
        <v>45838</v>
      </c>
      <c r="C608">
        <v>580582</v>
      </c>
      <c r="D608" t="s">
        <v>268</v>
      </c>
      <c r="E608" t="s">
        <v>347</v>
      </c>
      <c r="F608">
        <v>89784.12</v>
      </c>
      <c r="G608" s="29">
        <v>3.0190999999999999E-2</v>
      </c>
      <c r="H608">
        <v>966614</v>
      </c>
      <c r="I608">
        <v>220763.87</v>
      </c>
      <c r="J608" s="29">
        <v>0.18590000000000001</v>
      </c>
      <c r="K608">
        <v>4.8099999999999996</v>
      </c>
    </row>
    <row r="609" spans="1:11" x14ac:dyDescent="0.3">
      <c r="A609" t="s">
        <v>191</v>
      </c>
      <c r="B609" s="25">
        <v>45869</v>
      </c>
      <c r="C609">
        <v>580582</v>
      </c>
      <c r="D609" t="s">
        <v>268</v>
      </c>
      <c r="E609" t="s">
        <v>347</v>
      </c>
      <c r="F609">
        <v>108590.89</v>
      </c>
      <c r="G609" s="29">
        <v>3.6164999999999996E-2</v>
      </c>
      <c r="H609">
        <v>1169087.3</v>
      </c>
      <c r="I609">
        <v>267006.52</v>
      </c>
      <c r="J609" s="29">
        <v>0.18590000000000001</v>
      </c>
      <c r="K609">
        <v>4.63</v>
      </c>
    </row>
    <row r="610" spans="1:11" x14ac:dyDescent="0.3">
      <c r="A610" t="s">
        <v>191</v>
      </c>
      <c r="B610" s="25">
        <v>45900</v>
      </c>
      <c r="C610">
        <v>580582</v>
      </c>
      <c r="D610" t="s">
        <v>268</v>
      </c>
      <c r="E610" t="s">
        <v>347</v>
      </c>
      <c r="F610">
        <v>109519.3</v>
      </c>
      <c r="G610" s="29">
        <v>3.1796999999999999E-2</v>
      </c>
      <c r="H610">
        <v>1179082.47</v>
      </c>
      <c r="I610">
        <v>269289.31</v>
      </c>
      <c r="J610" s="29">
        <v>0.18590000000000001</v>
      </c>
      <c r="K610">
        <v>4.5999999999999996</v>
      </c>
    </row>
    <row r="611" spans="1:11" x14ac:dyDescent="0.3">
      <c r="A611" t="s">
        <v>191</v>
      </c>
      <c r="B611" s="25">
        <v>45930</v>
      </c>
      <c r="C611">
        <v>580582</v>
      </c>
      <c r="D611" t="s">
        <v>268</v>
      </c>
      <c r="E611" t="s">
        <v>347</v>
      </c>
      <c r="F611">
        <v>91308.94</v>
      </c>
      <c r="G611" s="29">
        <v>2.8513999999999998E-2</v>
      </c>
      <c r="H611">
        <v>983030.21</v>
      </c>
      <c r="I611">
        <v>224513.15</v>
      </c>
      <c r="J611" s="29">
        <v>0.18590000000000001</v>
      </c>
      <c r="K611">
        <v>5.46</v>
      </c>
    </row>
    <row r="612" spans="1:11" x14ac:dyDescent="0.3">
      <c r="A612" t="s">
        <v>191</v>
      </c>
      <c r="B612" s="25">
        <v>45961</v>
      </c>
      <c r="C612">
        <v>580582</v>
      </c>
      <c r="D612" t="s">
        <v>268</v>
      </c>
      <c r="E612" t="s">
        <v>347</v>
      </c>
      <c r="F612">
        <v>98877.86</v>
      </c>
      <c r="G612" s="29">
        <v>3.2038999999999998E-2</v>
      </c>
      <c r="H612">
        <v>1064517.04</v>
      </c>
      <c r="I612">
        <v>243123.84</v>
      </c>
      <c r="J612" s="29">
        <v>0.18590000000000001</v>
      </c>
      <c r="K612">
        <v>4.9400000000000004</v>
      </c>
    </row>
    <row r="613" spans="1:11" x14ac:dyDescent="0.3">
      <c r="A613" t="s">
        <v>191</v>
      </c>
      <c r="B613" s="25">
        <v>45991</v>
      </c>
      <c r="C613">
        <v>580582</v>
      </c>
      <c r="D613" t="s">
        <v>268</v>
      </c>
      <c r="E613" t="s">
        <v>347</v>
      </c>
      <c r="F613">
        <v>104067.22</v>
      </c>
      <c r="G613" s="29">
        <v>3.4148999999999999E-2</v>
      </c>
      <c r="H613">
        <v>1120385.58</v>
      </c>
      <c r="I613">
        <v>255883.59</v>
      </c>
      <c r="J613" s="29">
        <v>0.18590000000000001</v>
      </c>
      <c r="K613">
        <v>5.09</v>
      </c>
    </row>
    <row r="614" spans="1:11" x14ac:dyDescent="0.3">
      <c r="A614" t="s">
        <v>191</v>
      </c>
      <c r="B614" s="25">
        <v>45657</v>
      </c>
      <c r="C614">
        <v>957522</v>
      </c>
      <c r="D614" t="s">
        <v>322</v>
      </c>
      <c r="E614" t="s">
        <v>351</v>
      </c>
      <c r="F614">
        <v>32663.17</v>
      </c>
      <c r="G614" s="29">
        <v>9.4750000000000008E-3</v>
      </c>
      <c r="H614">
        <v>456822.03</v>
      </c>
      <c r="I614">
        <v>99030.99</v>
      </c>
      <c r="J614" s="29">
        <v>0.1782</v>
      </c>
      <c r="K614">
        <v>3.4</v>
      </c>
    </row>
    <row r="615" spans="1:11" x14ac:dyDescent="0.3">
      <c r="A615" t="s">
        <v>191</v>
      </c>
      <c r="B615" s="25">
        <v>45688</v>
      </c>
      <c r="C615">
        <v>957522</v>
      </c>
      <c r="D615" t="s">
        <v>322</v>
      </c>
      <c r="E615" t="s">
        <v>351</v>
      </c>
      <c r="F615">
        <v>26413.82</v>
      </c>
      <c r="G615" s="29">
        <v>8.201E-3</v>
      </c>
      <c r="H615">
        <v>369419.64</v>
      </c>
      <c r="I615">
        <v>80083.69</v>
      </c>
      <c r="J615" s="29">
        <v>0.1782</v>
      </c>
      <c r="K615">
        <v>3.83</v>
      </c>
    </row>
    <row r="616" spans="1:11" x14ac:dyDescent="0.3">
      <c r="A616" t="s">
        <v>191</v>
      </c>
      <c r="B616" s="25">
        <v>45716</v>
      </c>
      <c r="C616">
        <v>957522</v>
      </c>
      <c r="D616" t="s">
        <v>322</v>
      </c>
      <c r="E616" t="s">
        <v>351</v>
      </c>
      <c r="F616">
        <v>27134.799999999999</v>
      </c>
      <c r="G616" s="29">
        <v>7.868E-3</v>
      </c>
      <c r="H616">
        <v>379503.16</v>
      </c>
      <c r="I616">
        <v>82269.62</v>
      </c>
      <c r="J616" s="29">
        <v>0.1782</v>
      </c>
      <c r="K616">
        <v>3.85</v>
      </c>
    </row>
    <row r="617" spans="1:11" x14ac:dyDescent="0.3">
      <c r="A617" t="s">
        <v>191</v>
      </c>
      <c r="B617" s="25">
        <v>45747</v>
      </c>
      <c r="C617">
        <v>957522</v>
      </c>
      <c r="D617" t="s">
        <v>322</v>
      </c>
      <c r="E617" t="s">
        <v>351</v>
      </c>
      <c r="F617">
        <v>27864.82</v>
      </c>
      <c r="G617" s="29">
        <v>8.7910000000000002E-3</v>
      </c>
      <c r="H617">
        <v>389713.05</v>
      </c>
      <c r="I617">
        <v>84482.95</v>
      </c>
      <c r="J617" s="29">
        <v>0.1782</v>
      </c>
      <c r="K617">
        <v>3.71</v>
      </c>
    </row>
    <row r="618" spans="1:11" x14ac:dyDescent="0.3">
      <c r="A618" t="s">
        <v>191</v>
      </c>
      <c r="B618" s="25">
        <v>45777</v>
      </c>
      <c r="C618">
        <v>957522</v>
      </c>
      <c r="D618" t="s">
        <v>322</v>
      </c>
      <c r="E618" t="s">
        <v>351</v>
      </c>
      <c r="F618">
        <v>30357.14</v>
      </c>
      <c r="G618" s="29">
        <v>9.1959999999999993E-3</v>
      </c>
      <c r="H618">
        <v>424570.22</v>
      </c>
      <c r="I618">
        <v>92039.37</v>
      </c>
      <c r="J618" s="29">
        <v>0.1782</v>
      </c>
      <c r="K618">
        <v>3.72</v>
      </c>
    </row>
    <row r="619" spans="1:11" x14ac:dyDescent="0.3">
      <c r="A619" t="s">
        <v>191</v>
      </c>
      <c r="B619" s="25">
        <v>45808</v>
      </c>
      <c r="C619">
        <v>957522</v>
      </c>
      <c r="D619" t="s">
        <v>322</v>
      </c>
      <c r="E619" t="s">
        <v>351</v>
      </c>
      <c r="F619">
        <v>30611.61</v>
      </c>
      <c r="G619" s="29">
        <v>8.8520000000000005E-3</v>
      </c>
      <c r="H619">
        <v>428129.21</v>
      </c>
      <c r="I619">
        <v>92810.89</v>
      </c>
      <c r="J619" s="29">
        <v>0.1782</v>
      </c>
      <c r="K619">
        <v>3.44</v>
      </c>
    </row>
    <row r="620" spans="1:11" x14ac:dyDescent="0.3">
      <c r="A620" t="s">
        <v>191</v>
      </c>
      <c r="B620" s="25">
        <v>45838</v>
      </c>
      <c r="C620">
        <v>957522</v>
      </c>
      <c r="D620" t="s">
        <v>322</v>
      </c>
      <c r="E620" t="s">
        <v>351</v>
      </c>
      <c r="F620">
        <v>29104.18</v>
      </c>
      <c r="G620" s="29">
        <v>9.7870000000000006E-3</v>
      </c>
      <c r="H620">
        <v>407046.56</v>
      </c>
      <c r="I620">
        <v>88240.55</v>
      </c>
      <c r="J620" s="29">
        <v>0.1782</v>
      </c>
      <c r="K620">
        <v>3.55</v>
      </c>
    </row>
    <row r="621" spans="1:11" x14ac:dyDescent="0.3">
      <c r="A621" t="s">
        <v>191</v>
      </c>
      <c r="B621" s="25">
        <v>45869</v>
      </c>
      <c r="C621">
        <v>957522</v>
      </c>
      <c r="D621" t="s">
        <v>322</v>
      </c>
      <c r="E621" t="s">
        <v>351</v>
      </c>
      <c r="F621">
        <v>35195.699999999997</v>
      </c>
      <c r="G621" s="29">
        <v>1.1722E-2</v>
      </c>
      <c r="H621">
        <v>492241.65</v>
      </c>
      <c r="I621">
        <v>106709.34</v>
      </c>
      <c r="J621" s="29">
        <v>0.1782</v>
      </c>
      <c r="K621">
        <v>3.52</v>
      </c>
    </row>
    <row r="622" spans="1:11" x14ac:dyDescent="0.3">
      <c r="A622" t="s">
        <v>191</v>
      </c>
      <c r="B622" s="25">
        <v>45900</v>
      </c>
      <c r="C622">
        <v>957522</v>
      </c>
      <c r="D622" t="s">
        <v>322</v>
      </c>
      <c r="E622" t="s">
        <v>351</v>
      </c>
      <c r="F622">
        <v>31233.200000000001</v>
      </c>
      <c r="G622" s="29">
        <v>9.0679999999999997E-3</v>
      </c>
      <c r="H622">
        <v>436822.63</v>
      </c>
      <c r="I622">
        <v>94695.47</v>
      </c>
      <c r="J622" s="29">
        <v>0.1782</v>
      </c>
      <c r="K622">
        <v>3.51</v>
      </c>
    </row>
    <row r="623" spans="1:11" x14ac:dyDescent="0.3">
      <c r="A623" t="s">
        <v>191</v>
      </c>
      <c r="B623" s="25">
        <v>45930</v>
      </c>
      <c r="C623">
        <v>957522</v>
      </c>
      <c r="D623" t="s">
        <v>322</v>
      </c>
      <c r="E623" t="s">
        <v>351</v>
      </c>
      <c r="F623">
        <v>23662.36</v>
      </c>
      <c r="G623" s="29">
        <v>7.3889999999999997E-3</v>
      </c>
      <c r="H623">
        <v>330938.11</v>
      </c>
      <c r="I623">
        <v>71741.570000000007</v>
      </c>
      <c r="J623" s="29">
        <v>0.1782</v>
      </c>
      <c r="K623">
        <v>3.81</v>
      </c>
    </row>
    <row r="624" spans="1:11" x14ac:dyDescent="0.3">
      <c r="A624" t="s">
        <v>191</v>
      </c>
      <c r="B624" s="25">
        <v>45961</v>
      </c>
      <c r="C624">
        <v>957522</v>
      </c>
      <c r="D624" t="s">
        <v>322</v>
      </c>
      <c r="E624" t="s">
        <v>351</v>
      </c>
      <c r="F624">
        <v>33054.879999999997</v>
      </c>
      <c r="G624" s="29">
        <v>1.0711E-2</v>
      </c>
      <c r="H624">
        <v>462300.4</v>
      </c>
      <c r="I624">
        <v>100218.61</v>
      </c>
      <c r="J624" s="29">
        <v>0.1782</v>
      </c>
      <c r="K624">
        <v>3.64</v>
      </c>
    </row>
    <row r="625" spans="1:11" x14ac:dyDescent="0.3">
      <c r="A625" t="s">
        <v>191</v>
      </c>
      <c r="B625" s="25">
        <v>45991</v>
      </c>
      <c r="C625">
        <v>957522</v>
      </c>
      <c r="D625" t="s">
        <v>322</v>
      </c>
      <c r="E625" t="s">
        <v>351</v>
      </c>
      <c r="F625">
        <v>31990.13</v>
      </c>
      <c r="G625" s="29">
        <v>1.0497000000000001E-2</v>
      </c>
      <c r="H625">
        <v>447409.04</v>
      </c>
      <c r="I625">
        <v>96990.42</v>
      </c>
      <c r="J625" s="29">
        <v>0.1782</v>
      </c>
      <c r="K625">
        <v>3.36</v>
      </c>
    </row>
    <row r="626" spans="1:11" x14ac:dyDescent="0.3">
      <c r="A626" t="s">
        <v>191</v>
      </c>
      <c r="B626" s="25">
        <v>45657</v>
      </c>
      <c r="C626">
        <v>807325</v>
      </c>
      <c r="D626" t="s">
        <v>320</v>
      </c>
      <c r="E626" t="s">
        <v>343</v>
      </c>
      <c r="F626">
        <v>4822.8500000000004</v>
      </c>
      <c r="G626" s="29">
        <v>1.3990000000000001E-3</v>
      </c>
      <c r="H626">
        <v>57986.57</v>
      </c>
      <c r="I626">
        <v>11635.66</v>
      </c>
      <c r="J626" s="29">
        <v>0.1671</v>
      </c>
      <c r="K626">
        <v>4.12</v>
      </c>
    </row>
    <row r="627" spans="1:11" x14ac:dyDescent="0.3">
      <c r="A627" t="s">
        <v>191</v>
      </c>
      <c r="B627" s="25">
        <v>45688</v>
      </c>
      <c r="C627">
        <v>807325</v>
      </c>
      <c r="D627" t="s">
        <v>320</v>
      </c>
      <c r="E627" t="s">
        <v>343</v>
      </c>
      <c r="F627">
        <v>5181.3100000000004</v>
      </c>
      <c r="G627" s="29">
        <v>1.609E-3</v>
      </c>
      <c r="H627">
        <v>62296.5</v>
      </c>
      <c r="I627">
        <v>12500.5</v>
      </c>
      <c r="J627" s="29">
        <v>0.1671</v>
      </c>
      <c r="K627">
        <v>4.05</v>
      </c>
    </row>
    <row r="628" spans="1:11" x14ac:dyDescent="0.3">
      <c r="A628" t="s">
        <v>191</v>
      </c>
      <c r="B628" s="25">
        <v>45716</v>
      </c>
      <c r="C628">
        <v>807325</v>
      </c>
      <c r="D628" t="s">
        <v>320</v>
      </c>
      <c r="E628" t="s">
        <v>343</v>
      </c>
      <c r="F628">
        <v>5236.5</v>
      </c>
      <c r="G628" s="29">
        <v>1.5179999999999998E-3</v>
      </c>
      <c r="H628">
        <v>62959.97</v>
      </c>
      <c r="I628">
        <v>12633.63</v>
      </c>
      <c r="J628" s="29">
        <v>0.1671</v>
      </c>
      <c r="K628">
        <v>4.51</v>
      </c>
    </row>
    <row r="629" spans="1:11" x14ac:dyDescent="0.3">
      <c r="A629" t="s">
        <v>191</v>
      </c>
      <c r="B629" s="25">
        <v>45747</v>
      </c>
      <c r="C629">
        <v>807325</v>
      </c>
      <c r="D629" t="s">
        <v>320</v>
      </c>
      <c r="E629" t="s">
        <v>343</v>
      </c>
      <c r="F629">
        <v>6157.65</v>
      </c>
      <c r="G629" s="29">
        <v>1.9430000000000001E-3</v>
      </c>
      <c r="H629">
        <v>74035.27</v>
      </c>
      <c r="I629">
        <v>14856.02</v>
      </c>
      <c r="J629" s="29">
        <v>0.1671</v>
      </c>
      <c r="K629">
        <v>4.46</v>
      </c>
    </row>
    <row r="630" spans="1:11" x14ac:dyDescent="0.3">
      <c r="A630" t="s">
        <v>191</v>
      </c>
      <c r="B630" s="25">
        <v>45777</v>
      </c>
      <c r="C630">
        <v>807325</v>
      </c>
      <c r="D630" t="s">
        <v>320</v>
      </c>
      <c r="E630" t="s">
        <v>343</v>
      </c>
      <c r="F630">
        <v>5763.63</v>
      </c>
      <c r="G630" s="29">
        <v>1.7460000000000002E-3</v>
      </c>
      <c r="H630">
        <v>69297.88</v>
      </c>
      <c r="I630">
        <v>13905.41</v>
      </c>
      <c r="J630" s="29">
        <v>0.1671</v>
      </c>
      <c r="K630">
        <v>4.1500000000000004</v>
      </c>
    </row>
    <row r="631" spans="1:11" x14ac:dyDescent="0.3">
      <c r="A631" t="s">
        <v>191</v>
      </c>
      <c r="B631" s="25">
        <v>45808</v>
      </c>
      <c r="C631">
        <v>807325</v>
      </c>
      <c r="D631" t="s">
        <v>320</v>
      </c>
      <c r="E631" t="s">
        <v>343</v>
      </c>
      <c r="F631">
        <v>5477.21</v>
      </c>
      <c r="G631" s="29">
        <v>1.5840000000000001E-3</v>
      </c>
      <c r="H631">
        <v>65854.2</v>
      </c>
      <c r="I631">
        <v>13214.39</v>
      </c>
      <c r="J631" s="29">
        <v>0.1671</v>
      </c>
      <c r="K631">
        <v>4.3499999999999996</v>
      </c>
    </row>
    <row r="632" spans="1:11" x14ac:dyDescent="0.3">
      <c r="A632" t="s">
        <v>191</v>
      </c>
      <c r="B632" s="25">
        <v>45838</v>
      </c>
      <c r="C632">
        <v>807325</v>
      </c>
      <c r="D632" t="s">
        <v>320</v>
      </c>
      <c r="E632" t="s">
        <v>343</v>
      </c>
      <c r="F632">
        <v>5033.71</v>
      </c>
      <c r="G632" s="29">
        <v>1.6930000000000001E-3</v>
      </c>
      <c r="H632">
        <v>60521.85</v>
      </c>
      <c r="I632">
        <v>12144.4</v>
      </c>
      <c r="J632" s="29">
        <v>0.1671</v>
      </c>
      <c r="K632">
        <v>3.89</v>
      </c>
    </row>
    <row r="633" spans="1:11" x14ac:dyDescent="0.3">
      <c r="A633" t="s">
        <v>191</v>
      </c>
      <c r="B633" s="25">
        <v>45869</v>
      </c>
      <c r="C633">
        <v>807325</v>
      </c>
      <c r="D633" t="s">
        <v>320</v>
      </c>
      <c r="E633" t="s">
        <v>343</v>
      </c>
      <c r="F633">
        <v>5783.14</v>
      </c>
      <c r="G633" s="29">
        <v>1.926E-3</v>
      </c>
      <c r="H633">
        <v>69532.41</v>
      </c>
      <c r="I633">
        <v>13952.47</v>
      </c>
      <c r="J633" s="29">
        <v>0.1671</v>
      </c>
      <c r="K633">
        <v>4.49</v>
      </c>
    </row>
    <row r="634" spans="1:11" x14ac:dyDescent="0.3">
      <c r="A634" t="s">
        <v>191</v>
      </c>
      <c r="B634" s="25">
        <v>45900</v>
      </c>
      <c r="C634">
        <v>807325</v>
      </c>
      <c r="D634" t="s">
        <v>320</v>
      </c>
      <c r="E634" t="s">
        <v>343</v>
      </c>
      <c r="F634">
        <v>5214.83</v>
      </c>
      <c r="G634" s="29">
        <v>1.5140000000000002E-3</v>
      </c>
      <c r="H634">
        <v>62699.43</v>
      </c>
      <c r="I634">
        <v>12581.35</v>
      </c>
      <c r="J634" s="29">
        <v>0.1671</v>
      </c>
      <c r="K634">
        <v>4.34</v>
      </c>
    </row>
    <row r="635" spans="1:11" x14ac:dyDescent="0.3">
      <c r="A635" t="s">
        <v>191</v>
      </c>
      <c r="B635" s="25">
        <v>45930</v>
      </c>
      <c r="C635">
        <v>807325</v>
      </c>
      <c r="D635" t="s">
        <v>320</v>
      </c>
      <c r="E635" t="s">
        <v>343</v>
      </c>
      <c r="F635">
        <v>5063.9399999999996</v>
      </c>
      <c r="G635" s="29">
        <v>1.5809999999999999E-3</v>
      </c>
      <c r="H635">
        <v>60885.25</v>
      </c>
      <c r="I635">
        <v>12217.32</v>
      </c>
      <c r="J635" s="29">
        <v>0.1671</v>
      </c>
      <c r="K635">
        <v>4.25</v>
      </c>
    </row>
    <row r="636" spans="1:11" x14ac:dyDescent="0.3">
      <c r="A636" t="s">
        <v>191</v>
      </c>
      <c r="B636" s="25">
        <v>45961</v>
      </c>
      <c r="C636">
        <v>807325</v>
      </c>
      <c r="D636" t="s">
        <v>320</v>
      </c>
      <c r="E636" t="s">
        <v>343</v>
      </c>
      <c r="F636">
        <v>5278.24</v>
      </c>
      <c r="G636" s="29">
        <v>1.7100000000000001E-3</v>
      </c>
      <c r="H636">
        <v>63461.86</v>
      </c>
      <c r="I636">
        <v>12734.34</v>
      </c>
      <c r="J636" s="29">
        <v>0.1671</v>
      </c>
      <c r="K636">
        <v>4.46</v>
      </c>
    </row>
    <row r="637" spans="1:11" x14ac:dyDescent="0.3">
      <c r="A637" t="s">
        <v>191</v>
      </c>
      <c r="B637" s="25">
        <v>45991</v>
      </c>
      <c r="C637">
        <v>807325</v>
      </c>
      <c r="D637" t="s">
        <v>320</v>
      </c>
      <c r="E637" t="s">
        <v>343</v>
      </c>
      <c r="F637">
        <v>5306.78</v>
      </c>
      <c r="G637" s="29">
        <v>1.7410000000000001E-3</v>
      </c>
      <c r="H637">
        <v>63804.98</v>
      </c>
      <c r="I637">
        <v>12803.19</v>
      </c>
      <c r="J637" s="29">
        <v>0.1671</v>
      </c>
      <c r="K637">
        <v>4.0199999999999996</v>
      </c>
    </row>
    <row r="638" spans="1:11" x14ac:dyDescent="0.3">
      <c r="A638" t="s">
        <v>191</v>
      </c>
      <c r="B638" s="25">
        <v>45657</v>
      </c>
      <c r="C638">
        <v>606929</v>
      </c>
      <c r="D638" t="s">
        <v>321</v>
      </c>
      <c r="E638" t="s">
        <v>341</v>
      </c>
      <c r="F638">
        <v>122688.13</v>
      </c>
      <c r="G638" s="29">
        <v>3.5589000000000003E-2</v>
      </c>
      <c r="H638">
        <v>1292316.96</v>
      </c>
      <c r="I638">
        <v>232709.56</v>
      </c>
      <c r="J638" s="29">
        <v>0.15260000000000001</v>
      </c>
      <c r="K638">
        <v>4.6100000000000003</v>
      </c>
    </row>
    <row r="639" spans="1:11" x14ac:dyDescent="0.3">
      <c r="A639" t="s">
        <v>191</v>
      </c>
      <c r="B639" s="25">
        <v>45688</v>
      </c>
      <c r="C639">
        <v>606929</v>
      </c>
      <c r="D639" t="s">
        <v>321</v>
      </c>
      <c r="E639" t="s">
        <v>341</v>
      </c>
      <c r="F639">
        <v>126228.82</v>
      </c>
      <c r="G639" s="29">
        <v>3.9191999999999998E-2</v>
      </c>
      <c r="H639">
        <v>1329612.26</v>
      </c>
      <c r="I639">
        <v>239425.38</v>
      </c>
      <c r="J639" s="29">
        <v>0.15260000000000001</v>
      </c>
      <c r="K639">
        <v>4.6399999999999997</v>
      </c>
    </row>
    <row r="640" spans="1:11" x14ac:dyDescent="0.3">
      <c r="A640" t="s">
        <v>191</v>
      </c>
      <c r="B640" s="25">
        <v>45716</v>
      </c>
      <c r="C640">
        <v>606929</v>
      </c>
      <c r="D640" t="s">
        <v>321</v>
      </c>
      <c r="E640" t="s">
        <v>341</v>
      </c>
      <c r="F640">
        <v>114245</v>
      </c>
      <c r="G640" s="29">
        <v>3.3126000000000003E-2</v>
      </c>
      <c r="H640">
        <v>1203382.5900000001</v>
      </c>
      <c r="I640">
        <v>216695.01</v>
      </c>
      <c r="J640" s="29">
        <v>0.15260000000000001</v>
      </c>
      <c r="K640">
        <v>4.97</v>
      </c>
    </row>
    <row r="641" spans="1:11" x14ac:dyDescent="0.3">
      <c r="A641" t="s">
        <v>191</v>
      </c>
      <c r="B641" s="25">
        <v>45747</v>
      </c>
      <c r="C641">
        <v>606929</v>
      </c>
      <c r="D641" t="s">
        <v>321</v>
      </c>
      <c r="E641" t="s">
        <v>341</v>
      </c>
      <c r="F641">
        <v>130103.44</v>
      </c>
      <c r="G641" s="29">
        <v>4.1048000000000001E-2</v>
      </c>
      <c r="H641">
        <v>1370425.01</v>
      </c>
      <c r="I641">
        <v>246774.6</v>
      </c>
      <c r="J641" s="29">
        <v>0.15260000000000001</v>
      </c>
      <c r="K641">
        <v>4.84</v>
      </c>
    </row>
    <row r="642" spans="1:11" x14ac:dyDescent="0.3">
      <c r="A642" t="s">
        <v>191</v>
      </c>
      <c r="B642" s="25">
        <v>45777</v>
      </c>
      <c r="C642">
        <v>606929</v>
      </c>
      <c r="D642" t="s">
        <v>321</v>
      </c>
      <c r="E642" t="s">
        <v>341</v>
      </c>
      <c r="F642">
        <v>122677.56</v>
      </c>
      <c r="G642" s="29">
        <v>3.7162000000000001E-2</v>
      </c>
      <c r="H642">
        <v>1292205.69</v>
      </c>
      <c r="I642">
        <v>232689.52</v>
      </c>
      <c r="J642" s="29">
        <v>0.15260000000000001</v>
      </c>
      <c r="K642">
        <v>4.8499999999999996</v>
      </c>
    </row>
    <row r="643" spans="1:11" x14ac:dyDescent="0.3">
      <c r="A643" t="s">
        <v>191</v>
      </c>
      <c r="B643" s="25">
        <v>45808</v>
      </c>
      <c r="C643">
        <v>606929</v>
      </c>
      <c r="D643" t="s">
        <v>321</v>
      </c>
      <c r="E643" t="s">
        <v>341</v>
      </c>
      <c r="F643">
        <v>118656.02</v>
      </c>
      <c r="G643" s="29">
        <v>3.4313999999999997E-2</v>
      </c>
      <c r="H643">
        <v>1249845.3400000001</v>
      </c>
      <c r="I643">
        <v>225061.63</v>
      </c>
      <c r="J643" s="29">
        <v>0.15260000000000001</v>
      </c>
      <c r="K643">
        <v>4.5599999999999996</v>
      </c>
    </row>
    <row r="644" spans="1:11" x14ac:dyDescent="0.3">
      <c r="A644" t="s">
        <v>191</v>
      </c>
      <c r="B644" s="25">
        <v>45838</v>
      </c>
      <c r="C644">
        <v>606929</v>
      </c>
      <c r="D644" t="s">
        <v>321</v>
      </c>
      <c r="E644" t="s">
        <v>341</v>
      </c>
      <c r="F644">
        <v>128920.63</v>
      </c>
      <c r="G644" s="29">
        <v>4.3352000000000002E-2</v>
      </c>
      <c r="H644">
        <v>1357966.1</v>
      </c>
      <c r="I644">
        <v>244531.1</v>
      </c>
      <c r="J644" s="29">
        <v>0.15260000000000001</v>
      </c>
      <c r="K644">
        <v>4.7300000000000004</v>
      </c>
    </row>
    <row r="645" spans="1:11" x14ac:dyDescent="0.3">
      <c r="A645" t="s">
        <v>191</v>
      </c>
      <c r="B645" s="25">
        <v>45869</v>
      </c>
      <c r="C645">
        <v>606929</v>
      </c>
      <c r="D645" t="s">
        <v>321</v>
      </c>
      <c r="E645" t="s">
        <v>341</v>
      </c>
      <c r="F645">
        <v>130025.66</v>
      </c>
      <c r="G645" s="29">
        <v>4.3304000000000002E-2</v>
      </c>
      <c r="H645">
        <v>1369605.79</v>
      </c>
      <c r="I645">
        <v>246627.08</v>
      </c>
      <c r="J645" s="29">
        <v>0.15260000000000001</v>
      </c>
      <c r="K645">
        <v>4.82</v>
      </c>
    </row>
    <row r="646" spans="1:11" x14ac:dyDescent="0.3">
      <c r="A646" t="s">
        <v>191</v>
      </c>
      <c r="B646" s="25">
        <v>45900</v>
      </c>
      <c r="C646">
        <v>606929</v>
      </c>
      <c r="D646" t="s">
        <v>321</v>
      </c>
      <c r="E646" t="s">
        <v>341</v>
      </c>
      <c r="F646">
        <v>98647.03</v>
      </c>
      <c r="G646" s="29">
        <v>2.8639999999999999E-2</v>
      </c>
      <c r="H646">
        <v>1039083.64</v>
      </c>
      <c r="I646">
        <v>187109.44</v>
      </c>
      <c r="J646" s="29">
        <v>0.15260000000000001</v>
      </c>
      <c r="K646">
        <v>4.5199999999999996</v>
      </c>
    </row>
    <row r="647" spans="1:11" x14ac:dyDescent="0.3">
      <c r="A647" t="s">
        <v>191</v>
      </c>
      <c r="B647" s="25">
        <v>45930</v>
      </c>
      <c r="C647">
        <v>606929</v>
      </c>
      <c r="D647" t="s">
        <v>321</v>
      </c>
      <c r="E647" t="s">
        <v>341</v>
      </c>
      <c r="F647">
        <v>122150.96</v>
      </c>
      <c r="G647" s="29">
        <v>3.8144999999999998E-2</v>
      </c>
      <c r="H647">
        <v>1286658.8</v>
      </c>
      <c r="I647">
        <v>231690.69</v>
      </c>
      <c r="J647" s="29">
        <v>0.15260000000000001</v>
      </c>
      <c r="K647">
        <v>4.83</v>
      </c>
    </row>
    <row r="648" spans="1:11" x14ac:dyDescent="0.3">
      <c r="A648" t="s">
        <v>191</v>
      </c>
      <c r="B648" s="25">
        <v>45961</v>
      </c>
      <c r="C648">
        <v>606929</v>
      </c>
      <c r="D648" t="s">
        <v>321</v>
      </c>
      <c r="E648" t="s">
        <v>341</v>
      </c>
      <c r="F648">
        <v>112432.09</v>
      </c>
      <c r="G648" s="29">
        <v>3.6430999999999998E-2</v>
      </c>
      <c r="H648">
        <v>1184286.5</v>
      </c>
      <c r="I648">
        <v>213256.34</v>
      </c>
      <c r="J648" s="29">
        <v>0.15260000000000001</v>
      </c>
      <c r="K648">
        <v>4.93</v>
      </c>
    </row>
    <row r="649" spans="1:11" x14ac:dyDescent="0.3">
      <c r="A649" t="s">
        <v>191</v>
      </c>
      <c r="B649" s="25">
        <v>45991</v>
      </c>
      <c r="C649">
        <v>606929</v>
      </c>
      <c r="D649" t="s">
        <v>321</v>
      </c>
      <c r="E649" t="s">
        <v>341</v>
      </c>
      <c r="F649">
        <v>108331.7</v>
      </c>
      <c r="G649" s="29">
        <v>3.5548999999999997E-2</v>
      </c>
      <c r="H649">
        <v>1141095.73</v>
      </c>
      <c r="I649">
        <v>205478.91</v>
      </c>
      <c r="J649" s="29">
        <v>0.15260000000000001</v>
      </c>
      <c r="K649">
        <v>4.96</v>
      </c>
    </row>
    <row r="650" spans="1:11" x14ac:dyDescent="0.3">
      <c r="A650" t="s">
        <v>191</v>
      </c>
      <c r="B650" s="25">
        <v>45657</v>
      </c>
      <c r="C650">
        <v>817748</v>
      </c>
      <c r="D650" t="s">
        <v>268</v>
      </c>
      <c r="E650" t="s">
        <v>348</v>
      </c>
      <c r="F650">
        <v>40371.379999999997</v>
      </c>
      <c r="G650" s="29">
        <v>1.1711000000000001E-2</v>
      </c>
      <c r="H650">
        <v>499913.11</v>
      </c>
      <c r="I650">
        <v>100133.56</v>
      </c>
      <c r="J650" s="29">
        <v>0.16689999999999999</v>
      </c>
      <c r="K650">
        <v>4.58</v>
      </c>
    </row>
    <row r="651" spans="1:11" x14ac:dyDescent="0.3">
      <c r="A651" t="s">
        <v>191</v>
      </c>
      <c r="B651" s="25">
        <v>45688</v>
      </c>
      <c r="C651">
        <v>817748</v>
      </c>
      <c r="D651" t="s">
        <v>268</v>
      </c>
      <c r="E651" t="s">
        <v>348</v>
      </c>
      <c r="F651">
        <v>43047.74</v>
      </c>
      <c r="G651" s="29">
        <v>1.3365999999999999E-2</v>
      </c>
      <c r="H651">
        <v>533054.06999999995</v>
      </c>
      <c r="I651">
        <v>106771.76</v>
      </c>
      <c r="J651" s="29">
        <v>0.16689999999999999</v>
      </c>
      <c r="K651">
        <v>4.0599999999999996</v>
      </c>
    </row>
    <row r="652" spans="1:11" x14ac:dyDescent="0.3">
      <c r="A652" t="s">
        <v>191</v>
      </c>
      <c r="B652" s="25">
        <v>45716</v>
      </c>
      <c r="C652">
        <v>817748</v>
      </c>
      <c r="D652" t="s">
        <v>268</v>
      </c>
      <c r="E652" t="s">
        <v>348</v>
      </c>
      <c r="F652">
        <v>40871.440000000002</v>
      </c>
      <c r="G652" s="29">
        <v>1.1851E-2</v>
      </c>
      <c r="H652">
        <v>506105.28</v>
      </c>
      <c r="I652">
        <v>101373.86</v>
      </c>
      <c r="J652" s="29">
        <v>0.16689999999999999</v>
      </c>
      <c r="K652">
        <v>4.22</v>
      </c>
    </row>
    <row r="653" spans="1:11" x14ac:dyDescent="0.3">
      <c r="A653" t="s">
        <v>191</v>
      </c>
      <c r="B653" s="25">
        <v>45747</v>
      </c>
      <c r="C653">
        <v>817748</v>
      </c>
      <c r="D653" t="s">
        <v>268</v>
      </c>
      <c r="E653" t="s">
        <v>348</v>
      </c>
      <c r="F653">
        <v>48564.42</v>
      </c>
      <c r="G653" s="29">
        <v>1.5322000000000001E-2</v>
      </c>
      <c r="H653">
        <v>601366.26</v>
      </c>
      <c r="I653">
        <v>120454.82</v>
      </c>
      <c r="J653" s="29">
        <v>0.16689999999999999</v>
      </c>
      <c r="K653">
        <v>4.2300000000000004</v>
      </c>
    </row>
    <row r="654" spans="1:11" x14ac:dyDescent="0.3">
      <c r="A654" t="s">
        <v>191</v>
      </c>
      <c r="B654" s="25">
        <v>45777</v>
      </c>
      <c r="C654">
        <v>817748</v>
      </c>
      <c r="D654" t="s">
        <v>268</v>
      </c>
      <c r="E654" t="s">
        <v>348</v>
      </c>
      <c r="F654">
        <v>39716.74</v>
      </c>
      <c r="G654" s="29">
        <v>1.2031E-2</v>
      </c>
      <c r="H654">
        <v>491806.71</v>
      </c>
      <c r="I654">
        <v>98509.83</v>
      </c>
      <c r="J654" s="29">
        <v>0.16689999999999999</v>
      </c>
      <c r="K654">
        <v>4.66</v>
      </c>
    </row>
    <row r="655" spans="1:11" x14ac:dyDescent="0.3">
      <c r="A655" t="s">
        <v>191</v>
      </c>
      <c r="B655" s="25">
        <v>45808</v>
      </c>
      <c r="C655">
        <v>817748</v>
      </c>
      <c r="D655" t="s">
        <v>268</v>
      </c>
      <c r="E655" t="s">
        <v>348</v>
      </c>
      <c r="F655">
        <v>35238.269999999997</v>
      </c>
      <c r="G655" s="29">
        <v>1.0189999999999999E-2</v>
      </c>
      <c r="H655">
        <v>436350.5</v>
      </c>
      <c r="I655">
        <v>87401.85</v>
      </c>
      <c r="J655" s="29">
        <v>0.16689999999999999</v>
      </c>
      <c r="K655">
        <v>4.38</v>
      </c>
    </row>
    <row r="656" spans="1:11" x14ac:dyDescent="0.3">
      <c r="A656" t="s">
        <v>191</v>
      </c>
      <c r="B656" s="25">
        <v>45838</v>
      </c>
      <c r="C656">
        <v>817748</v>
      </c>
      <c r="D656" t="s">
        <v>268</v>
      </c>
      <c r="E656" t="s">
        <v>348</v>
      </c>
      <c r="F656">
        <v>39638.85</v>
      </c>
      <c r="G656" s="29">
        <v>1.3329000000000001E-2</v>
      </c>
      <c r="H656">
        <v>490842.18</v>
      </c>
      <c r="I656">
        <v>98316.63</v>
      </c>
      <c r="J656" s="29">
        <v>0.16689999999999999</v>
      </c>
      <c r="K656">
        <v>4.18</v>
      </c>
    </row>
    <row r="657" spans="1:11" x14ac:dyDescent="0.3">
      <c r="A657" t="s">
        <v>191</v>
      </c>
      <c r="B657" s="25">
        <v>45869</v>
      </c>
      <c r="C657">
        <v>817748</v>
      </c>
      <c r="D657" t="s">
        <v>268</v>
      </c>
      <c r="E657" t="s">
        <v>348</v>
      </c>
      <c r="F657">
        <v>44250.5</v>
      </c>
      <c r="G657" s="29">
        <v>1.4737E-2</v>
      </c>
      <c r="H657">
        <v>547947.62</v>
      </c>
      <c r="I657">
        <v>109754.96</v>
      </c>
      <c r="J657" s="29">
        <v>0.16689999999999999</v>
      </c>
      <c r="K657">
        <v>3.72</v>
      </c>
    </row>
    <row r="658" spans="1:11" x14ac:dyDescent="0.3">
      <c r="A658" t="s">
        <v>191</v>
      </c>
      <c r="B658" s="25">
        <v>45900</v>
      </c>
      <c r="C658">
        <v>817748</v>
      </c>
      <c r="D658" t="s">
        <v>268</v>
      </c>
      <c r="E658" t="s">
        <v>348</v>
      </c>
      <c r="F658">
        <v>44744.62</v>
      </c>
      <c r="G658" s="29">
        <v>1.2990999999999999E-2</v>
      </c>
      <c r="H658">
        <v>554066.24</v>
      </c>
      <c r="I658">
        <v>110980.54</v>
      </c>
      <c r="J658" s="29">
        <v>0.16689999999999999</v>
      </c>
      <c r="K658">
        <v>4.16</v>
      </c>
    </row>
    <row r="659" spans="1:11" x14ac:dyDescent="0.3">
      <c r="A659" t="s">
        <v>191</v>
      </c>
      <c r="B659" s="25">
        <v>45930</v>
      </c>
      <c r="C659">
        <v>817748</v>
      </c>
      <c r="D659" t="s">
        <v>268</v>
      </c>
      <c r="E659" t="s">
        <v>348</v>
      </c>
      <c r="F659">
        <v>39949.43</v>
      </c>
      <c r="G659" s="29">
        <v>1.2475E-2</v>
      </c>
      <c r="H659">
        <v>494688.16</v>
      </c>
      <c r="I659">
        <v>99086.99</v>
      </c>
      <c r="J659" s="29">
        <v>0.16689999999999999</v>
      </c>
      <c r="K659">
        <v>4.25</v>
      </c>
    </row>
    <row r="660" spans="1:11" x14ac:dyDescent="0.3">
      <c r="A660" t="s">
        <v>191</v>
      </c>
      <c r="B660" s="25">
        <v>45961</v>
      </c>
      <c r="C660">
        <v>817748</v>
      </c>
      <c r="D660" t="s">
        <v>268</v>
      </c>
      <c r="E660" t="s">
        <v>348</v>
      </c>
      <c r="F660">
        <v>47377.43</v>
      </c>
      <c r="G660" s="29">
        <v>1.5351999999999999E-2</v>
      </c>
      <c r="H660">
        <v>586668</v>
      </c>
      <c r="I660">
        <v>117510.73</v>
      </c>
      <c r="J660" s="29">
        <v>0.16689999999999999</v>
      </c>
      <c r="K660">
        <v>4.16</v>
      </c>
    </row>
    <row r="661" spans="1:11" x14ac:dyDescent="0.3">
      <c r="A661" t="s">
        <v>191</v>
      </c>
      <c r="B661" s="25">
        <v>45991</v>
      </c>
      <c r="C661">
        <v>817748</v>
      </c>
      <c r="D661" t="s">
        <v>268</v>
      </c>
      <c r="E661" t="s">
        <v>348</v>
      </c>
      <c r="F661">
        <v>43762.65</v>
      </c>
      <c r="G661" s="29">
        <v>1.4360999999999999E-2</v>
      </c>
      <c r="H661">
        <v>541906.65</v>
      </c>
      <c r="I661">
        <v>108544.95</v>
      </c>
      <c r="J661" s="29">
        <v>0.16689999999999999</v>
      </c>
      <c r="K661">
        <v>4.4000000000000004</v>
      </c>
    </row>
    <row r="662" spans="1:11" x14ac:dyDescent="0.3">
      <c r="A662" t="s">
        <v>191</v>
      </c>
      <c r="B662" s="25">
        <v>45657</v>
      </c>
      <c r="C662">
        <v>911372</v>
      </c>
      <c r="D662" t="s">
        <v>323</v>
      </c>
      <c r="E662" t="s">
        <v>342</v>
      </c>
      <c r="F662">
        <v>100333.04</v>
      </c>
      <c r="G662" s="29">
        <v>2.9104999999999999E-2</v>
      </c>
      <c r="H662">
        <v>1182101.49</v>
      </c>
      <c r="I662">
        <v>224047.92</v>
      </c>
      <c r="J662" s="29">
        <v>0.1593</v>
      </c>
      <c r="K662">
        <v>4.22</v>
      </c>
    </row>
    <row r="663" spans="1:11" x14ac:dyDescent="0.3">
      <c r="A663" t="s">
        <v>191</v>
      </c>
      <c r="B663" s="25">
        <v>45688</v>
      </c>
      <c r="C663">
        <v>911372</v>
      </c>
      <c r="D663" t="s">
        <v>323</v>
      </c>
      <c r="E663" t="s">
        <v>342</v>
      </c>
      <c r="F663">
        <v>94386.5</v>
      </c>
      <c r="G663" s="29">
        <v>2.9304999999999998E-2</v>
      </c>
      <c r="H663">
        <v>1112040.6100000001</v>
      </c>
      <c r="I663">
        <v>210769.03</v>
      </c>
      <c r="J663" s="29">
        <v>0.1593</v>
      </c>
      <c r="K663">
        <v>4.41</v>
      </c>
    </row>
    <row r="664" spans="1:11" x14ac:dyDescent="0.3">
      <c r="A664" t="s">
        <v>191</v>
      </c>
      <c r="B664" s="25">
        <v>45716</v>
      </c>
      <c r="C664">
        <v>911372</v>
      </c>
      <c r="D664" t="s">
        <v>323</v>
      </c>
      <c r="E664" t="s">
        <v>342</v>
      </c>
      <c r="F664">
        <v>103675.73</v>
      </c>
      <c r="G664" s="29">
        <v>3.0061000000000001E-2</v>
      </c>
      <c r="H664">
        <v>1221484.29</v>
      </c>
      <c r="I664">
        <v>231512.28</v>
      </c>
      <c r="J664" s="29">
        <v>0.1593</v>
      </c>
      <c r="K664">
        <v>4.57</v>
      </c>
    </row>
    <row r="665" spans="1:11" x14ac:dyDescent="0.3">
      <c r="A665" t="s">
        <v>191</v>
      </c>
      <c r="B665" s="25">
        <v>45747</v>
      </c>
      <c r="C665">
        <v>911372</v>
      </c>
      <c r="D665" t="s">
        <v>323</v>
      </c>
      <c r="E665" t="s">
        <v>342</v>
      </c>
      <c r="F665">
        <v>100910.39</v>
      </c>
      <c r="G665" s="29">
        <v>3.1838000000000005E-2</v>
      </c>
      <c r="H665">
        <v>1188903.7</v>
      </c>
      <c r="I665">
        <v>225337.17</v>
      </c>
      <c r="J665" s="29">
        <v>0.1593</v>
      </c>
      <c r="K665">
        <v>4.2</v>
      </c>
    </row>
    <row r="666" spans="1:11" x14ac:dyDescent="0.3">
      <c r="A666" t="s">
        <v>191</v>
      </c>
      <c r="B666" s="25">
        <v>45777</v>
      </c>
      <c r="C666">
        <v>911372</v>
      </c>
      <c r="D666" t="s">
        <v>323</v>
      </c>
      <c r="E666" t="s">
        <v>342</v>
      </c>
      <c r="F666">
        <v>86503.32</v>
      </c>
      <c r="G666" s="29">
        <v>2.6204000000000002E-2</v>
      </c>
      <c r="H666">
        <v>1019162.8</v>
      </c>
      <c r="I666">
        <v>193165.57</v>
      </c>
      <c r="J666" s="29">
        <v>0.1593</v>
      </c>
      <c r="K666">
        <v>4.3499999999999996</v>
      </c>
    </row>
    <row r="667" spans="1:11" x14ac:dyDescent="0.3">
      <c r="A667" t="s">
        <v>191</v>
      </c>
      <c r="B667" s="25">
        <v>45808</v>
      </c>
      <c r="C667">
        <v>911372</v>
      </c>
      <c r="D667" t="s">
        <v>323</v>
      </c>
      <c r="E667" t="s">
        <v>342</v>
      </c>
      <c r="F667">
        <v>100985.19</v>
      </c>
      <c r="G667" s="29">
        <v>2.9203E-2</v>
      </c>
      <c r="H667">
        <v>1189785</v>
      </c>
      <c r="I667">
        <v>225504.2</v>
      </c>
      <c r="J667" s="29">
        <v>0.1593</v>
      </c>
      <c r="K667">
        <v>3.93</v>
      </c>
    </row>
    <row r="668" spans="1:11" x14ac:dyDescent="0.3">
      <c r="A668" t="s">
        <v>191</v>
      </c>
      <c r="B668" s="25">
        <v>45838</v>
      </c>
      <c r="C668">
        <v>911372</v>
      </c>
      <c r="D668" t="s">
        <v>323</v>
      </c>
      <c r="E668" t="s">
        <v>342</v>
      </c>
      <c r="F668">
        <v>106242.39</v>
      </c>
      <c r="G668" s="29">
        <v>3.5726000000000001E-2</v>
      </c>
      <c r="H668">
        <v>1251724.06</v>
      </c>
      <c r="I668">
        <v>237243.73</v>
      </c>
      <c r="J668" s="29">
        <v>0.1593</v>
      </c>
      <c r="K668">
        <v>4.57</v>
      </c>
    </row>
    <row r="669" spans="1:11" x14ac:dyDescent="0.3">
      <c r="A669" t="s">
        <v>191</v>
      </c>
      <c r="B669" s="25">
        <v>45869</v>
      </c>
      <c r="C669">
        <v>911372</v>
      </c>
      <c r="D669" t="s">
        <v>323</v>
      </c>
      <c r="E669" t="s">
        <v>342</v>
      </c>
      <c r="F669">
        <v>102457.28</v>
      </c>
      <c r="G669" s="29">
        <v>3.4123000000000001E-2</v>
      </c>
      <c r="H669">
        <v>1207128.76</v>
      </c>
      <c r="I669">
        <v>228791.43</v>
      </c>
      <c r="J669" s="29">
        <v>0.1593</v>
      </c>
      <c r="K669">
        <v>4.3499999999999996</v>
      </c>
    </row>
    <row r="670" spans="1:11" x14ac:dyDescent="0.3">
      <c r="A670" t="s">
        <v>191</v>
      </c>
      <c r="B670" s="25">
        <v>45900</v>
      </c>
      <c r="C670">
        <v>911372</v>
      </c>
      <c r="D670" t="s">
        <v>323</v>
      </c>
      <c r="E670" t="s">
        <v>342</v>
      </c>
      <c r="F670">
        <v>96689.94</v>
      </c>
      <c r="G670" s="29">
        <v>2.8072E-2</v>
      </c>
      <c r="H670">
        <v>1139179.28</v>
      </c>
      <c r="I670">
        <v>215912.72</v>
      </c>
      <c r="J670" s="29">
        <v>0.1593</v>
      </c>
      <c r="K670">
        <v>4.66</v>
      </c>
    </row>
    <row r="671" spans="1:11" x14ac:dyDescent="0.3">
      <c r="A671" t="s">
        <v>191</v>
      </c>
      <c r="B671" s="25">
        <v>45930</v>
      </c>
      <c r="C671">
        <v>911372</v>
      </c>
      <c r="D671" t="s">
        <v>323</v>
      </c>
      <c r="E671" t="s">
        <v>342</v>
      </c>
      <c r="F671">
        <v>87075.97</v>
      </c>
      <c r="G671" s="29">
        <v>2.7191999999999997E-2</v>
      </c>
      <c r="H671">
        <v>1025909.68</v>
      </c>
      <c r="I671">
        <v>194444.33</v>
      </c>
      <c r="J671" s="29">
        <v>0.1593</v>
      </c>
      <c r="K671">
        <v>4.17</v>
      </c>
    </row>
    <row r="672" spans="1:11" x14ac:dyDescent="0.3">
      <c r="A672" t="s">
        <v>191</v>
      </c>
      <c r="B672" s="25">
        <v>45961</v>
      </c>
      <c r="C672">
        <v>911372</v>
      </c>
      <c r="D672" t="s">
        <v>323</v>
      </c>
      <c r="E672" t="s">
        <v>342</v>
      </c>
      <c r="F672">
        <v>91054.67</v>
      </c>
      <c r="G672" s="29">
        <v>2.9504000000000002E-2</v>
      </c>
      <c r="H672">
        <v>1072785.81</v>
      </c>
      <c r="I672">
        <v>203328.93</v>
      </c>
      <c r="J672" s="29">
        <v>0.1593</v>
      </c>
      <c r="K672">
        <v>4.0599999999999996</v>
      </c>
    </row>
    <row r="673" spans="1:11" x14ac:dyDescent="0.3">
      <c r="A673" t="s">
        <v>191</v>
      </c>
      <c r="B673" s="25">
        <v>45991</v>
      </c>
      <c r="C673">
        <v>911372</v>
      </c>
      <c r="D673" t="s">
        <v>323</v>
      </c>
      <c r="E673" t="s">
        <v>342</v>
      </c>
      <c r="F673">
        <v>99179.67</v>
      </c>
      <c r="G673" s="29">
        <v>3.2545999999999999E-2</v>
      </c>
      <c r="H673">
        <v>1168512.72</v>
      </c>
      <c r="I673">
        <v>221472.39</v>
      </c>
      <c r="J673" s="29">
        <v>0.1593</v>
      </c>
      <c r="K673">
        <v>4.5</v>
      </c>
    </row>
    <row r="674" spans="1:11" x14ac:dyDescent="0.3">
      <c r="A674" t="s">
        <v>191</v>
      </c>
      <c r="B674" s="25">
        <v>45657</v>
      </c>
      <c r="C674">
        <v>383382</v>
      </c>
      <c r="D674" t="s">
        <v>317</v>
      </c>
      <c r="E674" t="s">
        <v>338</v>
      </c>
      <c r="F674">
        <v>101902.35</v>
      </c>
      <c r="G674" s="29">
        <v>2.9559999999999999E-2</v>
      </c>
      <c r="H674">
        <v>1308083.1399999999</v>
      </c>
      <c r="I674">
        <v>215103.32</v>
      </c>
      <c r="J674" s="29">
        <v>0.14119999999999999</v>
      </c>
      <c r="K674">
        <v>4.26</v>
      </c>
    </row>
    <row r="675" spans="1:11" x14ac:dyDescent="0.3">
      <c r="A675" t="s">
        <v>191</v>
      </c>
      <c r="B675" s="25">
        <v>45688</v>
      </c>
      <c r="C675">
        <v>383382</v>
      </c>
      <c r="D675" t="s">
        <v>317</v>
      </c>
      <c r="E675" t="s">
        <v>338</v>
      </c>
      <c r="F675">
        <v>91631.83</v>
      </c>
      <c r="G675" s="29">
        <v>2.8450000000000003E-2</v>
      </c>
      <c r="H675">
        <v>1176244.22</v>
      </c>
      <c r="I675">
        <v>193423.52</v>
      </c>
      <c r="J675" s="29">
        <v>0.14119999999999999</v>
      </c>
      <c r="K675">
        <v>4</v>
      </c>
    </row>
    <row r="676" spans="1:11" x14ac:dyDescent="0.3">
      <c r="A676" t="s">
        <v>191</v>
      </c>
      <c r="B676" s="25">
        <v>45716</v>
      </c>
      <c r="C676">
        <v>383382</v>
      </c>
      <c r="D676" t="s">
        <v>317</v>
      </c>
      <c r="E676" t="s">
        <v>338</v>
      </c>
      <c r="F676">
        <v>101746.58</v>
      </c>
      <c r="G676" s="29">
        <v>2.9502E-2</v>
      </c>
      <c r="H676">
        <v>1306083.55</v>
      </c>
      <c r="I676">
        <v>214774.51</v>
      </c>
      <c r="J676" s="29">
        <v>0.14119999999999999</v>
      </c>
      <c r="K676">
        <v>3.86</v>
      </c>
    </row>
    <row r="677" spans="1:11" x14ac:dyDescent="0.3">
      <c r="A677" t="s">
        <v>191</v>
      </c>
      <c r="B677" s="25">
        <v>45747</v>
      </c>
      <c r="C677">
        <v>383382</v>
      </c>
      <c r="D677" t="s">
        <v>317</v>
      </c>
      <c r="E677" t="s">
        <v>338</v>
      </c>
      <c r="F677">
        <v>106976.16</v>
      </c>
      <c r="G677" s="29">
        <v>3.3751000000000003E-2</v>
      </c>
      <c r="H677">
        <v>1373213.84</v>
      </c>
      <c r="I677">
        <v>225813.52</v>
      </c>
      <c r="J677" s="29">
        <v>0.14119999999999999</v>
      </c>
      <c r="K677">
        <v>3.98</v>
      </c>
    </row>
    <row r="678" spans="1:11" x14ac:dyDescent="0.3">
      <c r="A678" t="s">
        <v>191</v>
      </c>
      <c r="B678" s="25">
        <v>45777</v>
      </c>
      <c r="C678">
        <v>383382</v>
      </c>
      <c r="D678" t="s">
        <v>317</v>
      </c>
      <c r="E678" t="s">
        <v>338</v>
      </c>
      <c r="F678">
        <v>87348.25</v>
      </c>
      <c r="G678" s="29">
        <v>2.6459999999999997E-2</v>
      </c>
      <c r="H678">
        <v>1121257.49</v>
      </c>
      <c r="I678">
        <v>184381.41</v>
      </c>
      <c r="J678" s="29">
        <v>0.14119999999999999</v>
      </c>
      <c r="K678">
        <v>3.77</v>
      </c>
    </row>
    <row r="679" spans="1:11" x14ac:dyDescent="0.3">
      <c r="A679" t="s">
        <v>191</v>
      </c>
      <c r="B679" s="25">
        <v>45808</v>
      </c>
      <c r="C679">
        <v>383382</v>
      </c>
      <c r="D679" t="s">
        <v>317</v>
      </c>
      <c r="E679" t="s">
        <v>338</v>
      </c>
      <c r="F679">
        <v>95988.41</v>
      </c>
      <c r="G679" s="29">
        <v>2.7757999999999998E-2</v>
      </c>
      <c r="H679">
        <v>1232168.1100000001</v>
      </c>
      <c r="I679">
        <v>202619.73</v>
      </c>
      <c r="J679" s="29">
        <v>0.14119999999999999</v>
      </c>
      <c r="K679">
        <v>4.03</v>
      </c>
    </row>
    <row r="680" spans="1:11" x14ac:dyDescent="0.3">
      <c r="A680" t="s">
        <v>191</v>
      </c>
      <c r="B680" s="25">
        <v>45838</v>
      </c>
      <c r="C680">
        <v>383382</v>
      </c>
      <c r="D680" t="s">
        <v>317</v>
      </c>
      <c r="E680" t="s">
        <v>338</v>
      </c>
      <c r="F680">
        <v>98376.02</v>
      </c>
      <c r="G680" s="29">
        <v>3.3080999999999999E-2</v>
      </c>
      <c r="H680">
        <v>1262816.9099999999</v>
      </c>
      <c r="I680">
        <v>207659.67</v>
      </c>
      <c r="J680" s="29">
        <v>0.14119999999999999</v>
      </c>
      <c r="K680">
        <v>4.09</v>
      </c>
    </row>
    <row r="681" spans="1:11" x14ac:dyDescent="0.3">
      <c r="A681" t="s">
        <v>191</v>
      </c>
      <c r="B681" s="25">
        <v>45869</v>
      </c>
      <c r="C681">
        <v>383382</v>
      </c>
      <c r="D681" t="s">
        <v>317</v>
      </c>
      <c r="E681" t="s">
        <v>338</v>
      </c>
      <c r="F681">
        <v>100227.46</v>
      </c>
      <c r="G681" s="29">
        <v>3.338E-2</v>
      </c>
      <c r="H681">
        <v>1286583.2</v>
      </c>
      <c r="I681">
        <v>211567.84</v>
      </c>
      <c r="J681" s="29">
        <v>0.14119999999999999</v>
      </c>
      <c r="K681">
        <v>4.34</v>
      </c>
    </row>
    <row r="682" spans="1:11" x14ac:dyDescent="0.3">
      <c r="A682" t="s">
        <v>191</v>
      </c>
      <c r="B682" s="25">
        <v>45900</v>
      </c>
      <c r="C682">
        <v>383382</v>
      </c>
      <c r="D682" t="s">
        <v>317</v>
      </c>
      <c r="E682" t="s">
        <v>338</v>
      </c>
      <c r="F682">
        <v>85158.15</v>
      </c>
      <c r="G682" s="29">
        <v>2.4723999999999999E-2</v>
      </c>
      <c r="H682">
        <v>1093144.06</v>
      </c>
      <c r="I682">
        <v>179758.39</v>
      </c>
      <c r="J682" s="29">
        <v>0.14119999999999999</v>
      </c>
      <c r="K682">
        <v>3.93</v>
      </c>
    </row>
    <row r="683" spans="1:11" x14ac:dyDescent="0.3">
      <c r="A683" t="s">
        <v>191</v>
      </c>
      <c r="B683" s="25">
        <v>45930</v>
      </c>
      <c r="C683">
        <v>383382</v>
      </c>
      <c r="D683" t="s">
        <v>317</v>
      </c>
      <c r="E683" t="s">
        <v>338</v>
      </c>
      <c r="F683">
        <v>94682.36</v>
      </c>
      <c r="G683" s="29">
        <v>2.9567E-2</v>
      </c>
      <c r="H683">
        <v>1215402.8600000001</v>
      </c>
      <c r="I683">
        <v>199862.83</v>
      </c>
      <c r="J683" s="29">
        <v>0.14119999999999999</v>
      </c>
      <c r="K683">
        <v>4.21</v>
      </c>
    </row>
    <row r="684" spans="1:11" x14ac:dyDescent="0.3">
      <c r="A684" t="s">
        <v>191</v>
      </c>
      <c r="B684" s="25">
        <v>45961</v>
      </c>
      <c r="C684">
        <v>383382</v>
      </c>
      <c r="D684" t="s">
        <v>317</v>
      </c>
      <c r="E684" t="s">
        <v>338</v>
      </c>
      <c r="F684">
        <v>92999.81</v>
      </c>
      <c r="G684" s="29">
        <v>3.0135000000000002E-2</v>
      </c>
      <c r="H684">
        <v>1193804.52</v>
      </c>
      <c r="I684">
        <v>196311.16</v>
      </c>
      <c r="J684" s="29">
        <v>0.14119999999999999</v>
      </c>
      <c r="K684">
        <v>3.99</v>
      </c>
    </row>
    <row r="685" spans="1:11" x14ac:dyDescent="0.3">
      <c r="A685" t="s">
        <v>191</v>
      </c>
      <c r="B685" s="25">
        <v>45991</v>
      </c>
      <c r="C685">
        <v>383382</v>
      </c>
      <c r="D685" t="s">
        <v>317</v>
      </c>
      <c r="E685" t="s">
        <v>338</v>
      </c>
      <c r="F685">
        <v>112616.81</v>
      </c>
      <c r="G685" s="29">
        <v>3.6955000000000002E-2</v>
      </c>
      <c r="H685">
        <v>1445620.81</v>
      </c>
      <c r="I685">
        <v>237720.24</v>
      </c>
      <c r="J685" s="29">
        <v>0.14119999999999999</v>
      </c>
      <c r="K685">
        <v>3.85</v>
      </c>
    </row>
    <row r="686" spans="1:11" x14ac:dyDescent="0.3">
      <c r="A686" t="s">
        <v>191</v>
      </c>
      <c r="B686" s="25">
        <v>45657</v>
      </c>
      <c r="C686">
        <v>864271</v>
      </c>
      <c r="D686" t="s">
        <v>318</v>
      </c>
      <c r="E686" t="s">
        <v>355</v>
      </c>
      <c r="F686">
        <v>85303.72</v>
      </c>
      <c r="G686" s="29">
        <v>2.4745E-2</v>
      </c>
      <c r="H686">
        <v>1077012.05</v>
      </c>
      <c r="I686">
        <v>182188.51</v>
      </c>
      <c r="J686" s="29">
        <v>0.1447</v>
      </c>
      <c r="K686">
        <v>4.09</v>
      </c>
    </row>
    <row r="687" spans="1:11" x14ac:dyDescent="0.3">
      <c r="A687" t="s">
        <v>191</v>
      </c>
      <c r="B687" s="25">
        <v>45688</v>
      </c>
      <c r="C687">
        <v>864271</v>
      </c>
      <c r="D687" t="s">
        <v>318</v>
      </c>
      <c r="E687" t="s">
        <v>355</v>
      </c>
      <c r="F687">
        <v>99490.04</v>
      </c>
      <c r="G687" s="29">
        <v>3.0890000000000001E-2</v>
      </c>
      <c r="H687">
        <v>1256123.1299999999</v>
      </c>
      <c r="I687">
        <v>212487.13</v>
      </c>
      <c r="J687" s="29">
        <v>0.1447</v>
      </c>
      <c r="K687">
        <v>3.98</v>
      </c>
    </row>
    <row r="688" spans="1:11" x14ac:dyDescent="0.3">
      <c r="A688" t="s">
        <v>191</v>
      </c>
      <c r="B688" s="25">
        <v>45716</v>
      </c>
      <c r="C688">
        <v>864271</v>
      </c>
      <c r="D688" t="s">
        <v>318</v>
      </c>
      <c r="E688" t="s">
        <v>355</v>
      </c>
      <c r="F688">
        <v>92154.78</v>
      </c>
      <c r="G688" s="29">
        <v>2.6720999999999998E-2</v>
      </c>
      <c r="H688">
        <v>1163511</v>
      </c>
      <c r="I688">
        <v>196820.77</v>
      </c>
      <c r="J688" s="29">
        <v>0.1447</v>
      </c>
      <c r="K688">
        <v>4.12</v>
      </c>
    </row>
    <row r="689" spans="1:11" x14ac:dyDescent="0.3">
      <c r="A689" t="s">
        <v>191</v>
      </c>
      <c r="B689" s="25">
        <v>45747</v>
      </c>
      <c r="C689">
        <v>864271</v>
      </c>
      <c r="D689" t="s">
        <v>318</v>
      </c>
      <c r="E689" t="s">
        <v>355</v>
      </c>
      <c r="F689">
        <v>123690.74</v>
      </c>
      <c r="G689" s="29">
        <v>3.9024999999999997E-2</v>
      </c>
      <c r="H689">
        <v>1561671.9</v>
      </c>
      <c r="I689">
        <v>264174.09000000003</v>
      </c>
      <c r="J689" s="29">
        <v>0.1447</v>
      </c>
      <c r="K689">
        <v>3.9</v>
      </c>
    </row>
    <row r="690" spans="1:11" x14ac:dyDescent="0.3">
      <c r="A690" t="s">
        <v>191</v>
      </c>
      <c r="B690" s="25">
        <v>45777</v>
      </c>
      <c r="C690">
        <v>864271</v>
      </c>
      <c r="D690" t="s">
        <v>318</v>
      </c>
      <c r="E690" t="s">
        <v>355</v>
      </c>
      <c r="F690">
        <v>99292.03</v>
      </c>
      <c r="G690" s="29">
        <v>3.0078000000000001E-2</v>
      </c>
      <c r="H690">
        <v>1253623.18</v>
      </c>
      <c r="I690">
        <v>212064.24</v>
      </c>
      <c r="J690" s="29">
        <v>0.1447</v>
      </c>
      <c r="K690">
        <v>3.9</v>
      </c>
    </row>
    <row r="691" spans="1:11" x14ac:dyDescent="0.3">
      <c r="A691" t="s">
        <v>191</v>
      </c>
      <c r="B691" s="25">
        <v>45808</v>
      </c>
      <c r="C691">
        <v>864271</v>
      </c>
      <c r="D691" t="s">
        <v>318</v>
      </c>
      <c r="E691" t="s">
        <v>355</v>
      </c>
      <c r="F691">
        <v>98346.21</v>
      </c>
      <c r="G691" s="29">
        <v>2.844E-2</v>
      </c>
      <c r="H691">
        <v>1241681.6499999999</v>
      </c>
      <c r="I691">
        <v>210044.2</v>
      </c>
      <c r="J691" s="29">
        <v>0.1447</v>
      </c>
      <c r="K691">
        <v>3.95</v>
      </c>
    </row>
    <row r="692" spans="1:11" x14ac:dyDescent="0.3">
      <c r="A692" t="s">
        <v>191</v>
      </c>
      <c r="B692" s="25">
        <v>45838</v>
      </c>
      <c r="C692">
        <v>864271</v>
      </c>
      <c r="D692" t="s">
        <v>318</v>
      </c>
      <c r="E692" t="s">
        <v>355</v>
      </c>
      <c r="F692">
        <v>112016.76</v>
      </c>
      <c r="G692" s="29">
        <v>3.7666999999999999E-2</v>
      </c>
      <c r="H692">
        <v>1414280.69</v>
      </c>
      <c r="I692">
        <v>239241.24</v>
      </c>
      <c r="J692" s="29">
        <v>0.1447</v>
      </c>
      <c r="K692">
        <v>4.08</v>
      </c>
    </row>
    <row r="693" spans="1:11" x14ac:dyDescent="0.3">
      <c r="A693" t="s">
        <v>191</v>
      </c>
      <c r="B693" s="25">
        <v>45869</v>
      </c>
      <c r="C693">
        <v>864271</v>
      </c>
      <c r="D693" t="s">
        <v>318</v>
      </c>
      <c r="E693" t="s">
        <v>355</v>
      </c>
      <c r="F693">
        <v>107390.88</v>
      </c>
      <c r="G693" s="29">
        <v>3.5765999999999999E-2</v>
      </c>
      <c r="H693">
        <v>1355876.15</v>
      </c>
      <c r="I693">
        <v>229361.46</v>
      </c>
      <c r="J693" s="29">
        <v>0.1447</v>
      </c>
      <c r="K693">
        <v>4.2699999999999996</v>
      </c>
    </row>
    <row r="694" spans="1:11" x14ac:dyDescent="0.3">
      <c r="A694" t="s">
        <v>191</v>
      </c>
      <c r="B694" s="25">
        <v>45900</v>
      </c>
      <c r="C694">
        <v>864271</v>
      </c>
      <c r="D694" t="s">
        <v>318</v>
      </c>
      <c r="E694" t="s">
        <v>355</v>
      </c>
      <c r="F694">
        <v>106609.68</v>
      </c>
      <c r="G694" s="29">
        <v>3.0952E-2</v>
      </c>
      <c r="H694">
        <v>1346013.02</v>
      </c>
      <c r="I694">
        <v>227693</v>
      </c>
      <c r="J694" s="29">
        <v>0.1447</v>
      </c>
      <c r="K694">
        <v>4.1900000000000004</v>
      </c>
    </row>
    <row r="695" spans="1:11" x14ac:dyDescent="0.3">
      <c r="A695" t="s">
        <v>191</v>
      </c>
      <c r="B695" s="25">
        <v>45930</v>
      </c>
      <c r="C695">
        <v>864271</v>
      </c>
      <c r="D695" t="s">
        <v>318</v>
      </c>
      <c r="E695" t="s">
        <v>355</v>
      </c>
      <c r="F695">
        <v>108028.94</v>
      </c>
      <c r="G695" s="29">
        <v>3.3735000000000001E-2</v>
      </c>
      <c r="H695">
        <v>1363932.04</v>
      </c>
      <c r="I695">
        <v>230724.2</v>
      </c>
      <c r="J695" s="29">
        <v>0.1447</v>
      </c>
      <c r="K695">
        <v>4.12</v>
      </c>
    </row>
    <row r="696" spans="1:11" x14ac:dyDescent="0.3">
      <c r="A696" t="s">
        <v>191</v>
      </c>
      <c r="B696" s="25">
        <v>45961</v>
      </c>
      <c r="C696">
        <v>864271</v>
      </c>
      <c r="D696" t="s">
        <v>318</v>
      </c>
      <c r="E696" t="s">
        <v>355</v>
      </c>
      <c r="F696">
        <v>95756.24</v>
      </c>
      <c r="G696" s="29">
        <v>3.1027999999999997E-2</v>
      </c>
      <c r="H696">
        <v>1208981.5900000001</v>
      </c>
      <c r="I696">
        <v>204512.62</v>
      </c>
      <c r="J696" s="29">
        <v>0.1447</v>
      </c>
      <c r="K696">
        <v>4.24</v>
      </c>
    </row>
    <row r="697" spans="1:11" x14ac:dyDescent="0.3">
      <c r="A697" t="s">
        <v>191</v>
      </c>
      <c r="B697" s="25">
        <v>45991</v>
      </c>
      <c r="C697">
        <v>864271</v>
      </c>
      <c r="D697" t="s">
        <v>318</v>
      </c>
      <c r="E697" t="s">
        <v>355</v>
      </c>
      <c r="F697">
        <v>102077.7</v>
      </c>
      <c r="G697" s="29">
        <v>3.3496999999999999E-2</v>
      </c>
      <c r="H697">
        <v>1288793.92</v>
      </c>
      <c r="I697">
        <v>218013.76</v>
      </c>
      <c r="J697" s="29">
        <v>0.1447</v>
      </c>
      <c r="K697">
        <v>3.89</v>
      </c>
    </row>
    <row r="698" spans="1:11" x14ac:dyDescent="0.3">
      <c r="A698" t="s">
        <v>191</v>
      </c>
      <c r="B698" s="25">
        <v>45657</v>
      </c>
      <c r="C698">
        <v>153414</v>
      </c>
      <c r="D698" t="s">
        <v>319</v>
      </c>
      <c r="E698" t="s">
        <v>354</v>
      </c>
      <c r="F698">
        <v>65460.99</v>
      </c>
      <c r="G698" s="29">
        <v>1.8988999999999999E-2</v>
      </c>
      <c r="H698">
        <v>785384.85</v>
      </c>
      <c r="I698">
        <v>167250.04999999999</v>
      </c>
      <c r="J698" s="29">
        <v>0.17560000000000001</v>
      </c>
      <c r="K698">
        <v>4.3600000000000003</v>
      </c>
    </row>
    <row r="699" spans="1:11" x14ac:dyDescent="0.3">
      <c r="A699" t="s">
        <v>191</v>
      </c>
      <c r="B699" s="25">
        <v>45688</v>
      </c>
      <c r="C699">
        <v>153414</v>
      </c>
      <c r="D699" t="s">
        <v>319</v>
      </c>
      <c r="E699" t="s">
        <v>354</v>
      </c>
      <c r="F699">
        <v>60452.3</v>
      </c>
      <c r="G699" s="29">
        <v>1.8769000000000001E-2</v>
      </c>
      <c r="H699">
        <v>725291.84</v>
      </c>
      <c r="I699">
        <v>154453.07</v>
      </c>
      <c r="J699" s="29">
        <v>0.17560000000000001</v>
      </c>
      <c r="K699">
        <v>3.93</v>
      </c>
    </row>
    <row r="700" spans="1:11" x14ac:dyDescent="0.3">
      <c r="A700" t="s">
        <v>191</v>
      </c>
      <c r="B700" s="25">
        <v>45716</v>
      </c>
      <c r="C700">
        <v>153414</v>
      </c>
      <c r="D700" t="s">
        <v>319</v>
      </c>
      <c r="E700" t="s">
        <v>354</v>
      </c>
      <c r="F700">
        <v>70204.67</v>
      </c>
      <c r="G700" s="29">
        <v>2.0355999999999999E-2</v>
      </c>
      <c r="H700">
        <v>842298.3</v>
      </c>
      <c r="I700">
        <v>179369.94</v>
      </c>
      <c r="J700" s="29">
        <v>0.17560000000000001</v>
      </c>
      <c r="K700">
        <v>4.09</v>
      </c>
    </row>
    <row r="701" spans="1:11" x14ac:dyDescent="0.3">
      <c r="A701" t="s">
        <v>191</v>
      </c>
      <c r="B701" s="25">
        <v>45747</v>
      </c>
      <c r="C701">
        <v>153414</v>
      </c>
      <c r="D701" t="s">
        <v>319</v>
      </c>
      <c r="E701" t="s">
        <v>354</v>
      </c>
      <c r="F701">
        <v>72494.570000000007</v>
      </c>
      <c r="G701" s="29">
        <v>2.2872E-2</v>
      </c>
      <c r="H701">
        <v>869771.99</v>
      </c>
      <c r="I701">
        <v>185220.55</v>
      </c>
      <c r="J701" s="29">
        <v>0.17560000000000001</v>
      </c>
      <c r="K701">
        <v>4.53</v>
      </c>
    </row>
    <row r="702" spans="1:11" x14ac:dyDescent="0.3">
      <c r="A702" t="s">
        <v>191</v>
      </c>
      <c r="B702" s="25">
        <v>45777</v>
      </c>
      <c r="C702">
        <v>153414</v>
      </c>
      <c r="D702" t="s">
        <v>319</v>
      </c>
      <c r="E702" t="s">
        <v>354</v>
      </c>
      <c r="F702">
        <v>57875.199999999997</v>
      </c>
      <c r="G702" s="29">
        <v>1.7532000000000002E-2</v>
      </c>
      <c r="H702">
        <v>694372.36</v>
      </c>
      <c r="I702">
        <v>147868.67000000001</v>
      </c>
      <c r="J702" s="29">
        <v>0.17560000000000001</v>
      </c>
      <c r="K702">
        <v>4.55</v>
      </c>
    </row>
    <row r="703" spans="1:11" x14ac:dyDescent="0.3">
      <c r="A703" t="s">
        <v>191</v>
      </c>
      <c r="B703" s="25">
        <v>45808</v>
      </c>
      <c r="C703">
        <v>153414</v>
      </c>
      <c r="D703" t="s">
        <v>319</v>
      </c>
      <c r="E703" t="s">
        <v>354</v>
      </c>
      <c r="F703">
        <v>72490.69</v>
      </c>
      <c r="G703" s="29">
        <v>2.0962999999999999E-2</v>
      </c>
      <c r="H703">
        <v>869725.44</v>
      </c>
      <c r="I703">
        <v>185210.63</v>
      </c>
      <c r="J703" s="29">
        <v>0.17560000000000001</v>
      </c>
      <c r="K703">
        <v>4.41</v>
      </c>
    </row>
    <row r="704" spans="1:11" x14ac:dyDescent="0.3">
      <c r="A704" t="s">
        <v>191</v>
      </c>
      <c r="B704" s="25">
        <v>45838</v>
      </c>
      <c r="C704">
        <v>153414</v>
      </c>
      <c r="D704" t="s">
        <v>319</v>
      </c>
      <c r="E704" t="s">
        <v>354</v>
      </c>
      <c r="F704">
        <v>71444.759999999995</v>
      </c>
      <c r="G704" s="29">
        <v>2.4024E-2</v>
      </c>
      <c r="H704">
        <v>857176.64</v>
      </c>
      <c r="I704">
        <v>182538.33</v>
      </c>
      <c r="J704" s="29">
        <v>0.17560000000000001</v>
      </c>
      <c r="K704">
        <v>4.1100000000000003</v>
      </c>
    </row>
    <row r="705" spans="1:11" x14ac:dyDescent="0.3">
      <c r="A705" t="s">
        <v>191</v>
      </c>
      <c r="B705" s="25">
        <v>45869</v>
      </c>
      <c r="C705">
        <v>153414</v>
      </c>
      <c r="D705" t="s">
        <v>319</v>
      </c>
      <c r="E705" t="s">
        <v>354</v>
      </c>
      <c r="F705">
        <v>67985.09</v>
      </c>
      <c r="G705" s="29">
        <v>2.2642000000000002E-2</v>
      </c>
      <c r="H705">
        <v>815668.39</v>
      </c>
      <c r="I705">
        <v>173699.03</v>
      </c>
      <c r="J705" s="29">
        <v>0.17560000000000001</v>
      </c>
      <c r="K705">
        <v>4.17</v>
      </c>
    </row>
    <row r="706" spans="1:11" x14ac:dyDescent="0.3">
      <c r="A706" t="s">
        <v>191</v>
      </c>
      <c r="B706" s="25">
        <v>45900</v>
      </c>
      <c r="C706">
        <v>153414</v>
      </c>
      <c r="D706" t="s">
        <v>319</v>
      </c>
      <c r="E706" t="s">
        <v>354</v>
      </c>
      <c r="F706">
        <v>71838.37</v>
      </c>
      <c r="G706" s="29">
        <v>2.0857000000000001E-2</v>
      </c>
      <c r="H706">
        <v>861899.12</v>
      </c>
      <c r="I706">
        <v>183544</v>
      </c>
      <c r="J706" s="29">
        <v>0.17560000000000001</v>
      </c>
      <c r="K706">
        <v>4.63</v>
      </c>
    </row>
    <row r="707" spans="1:11" x14ac:dyDescent="0.3">
      <c r="A707" t="s">
        <v>191</v>
      </c>
      <c r="B707" s="25">
        <v>45930</v>
      </c>
      <c r="C707">
        <v>153414</v>
      </c>
      <c r="D707" t="s">
        <v>319</v>
      </c>
      <c r="E707" t="s">
        <v>354</v>
      </c>
      <c r="F707">
        <v>67057.31</v>
      </c>
      <c r="G707" s="29">
        <v>2.094E-2</v>
      </c>
      <c r="H707">
        <v>804537.07</v>
      </c>
      <c r="I707">
        <v>171328.58</v>
      </c>
      <c r="J707" s="29">
        <v>0.17560000000000001</v>
      </c>
      <c r="K707">
        <v>4.1900000000000004</v>
      </c>
    </row>
    <row r="708" spans="1:11" x14ac:dyDescent="0.3">
      <c r="A708" t="s">
        <v>191</v>
      </c>
      <c r="B708" s="25">
        <v>45961</v>
      </c>
      <c r="C708">
        <v>153414</v>
      </c>
      <c r="D708" t="s">
        <v>319</v>
      </c>
      <c r="E708" t="s">
        <v>354</v>
      </c>
      <c r="F708">
        <v>67071.520000000004</v>
      </c>
      <c r="G708" s="29">
        <v>2.1732999999999999E-2</v>
      </c>
      <c r="H708">
        <v>804707.54</v>
      </c>
      <c r="I708">
        <v>171364.88</v>
      </c>
      <c r="J708" s="29">
        <v>0.17560000000000001</v>
      </c>
      <c r="K708">
        <v>4.08</v>
      </c>
    </row>
    <row r="709" spans="1:11" x14ac:dyDescent="0.3">
      <c r="A709" t="s">
        <v>191</v>
      </c>
      <c r="B709" s="25">
        <v>45991</v>
      </c>
      <c r="C709">
        <v>153414</v>
      </c>
      <c r="D709" t="s">
        <v>319</v>
      </c>
      <c r="E709" t="s">
        <v>354</v>
      </c>
      <c r="F709">
        <v>69813.19</v>
      </c>
      <c r="G709" s="29">
        <v>2.2909000000000002E-2</v>
      </c>
      <c r="H709">
        <v>837601.46</v>
      </c>
      <c r="I709">
        <v>178369.74</v>
      </c>
      <c r="J709" s="29">
        <v>0.17560000000000001</v>
      </c>
      <c r="K709">
        <v>3.93</v>
      </c>
    </row>
    <row r="710" spans="1:11" x14ac:dyDescent="0.3">
      <c r="A710" t="s">
        <v>191</v>
      </c>
      <c r="B710" s="25">
        <v>45657</v>
      </c>
      <c r="C710">
        <v>540539</v>
      </c>
      <c r="D710" t="s">
        <v>318</v>
      </c>
      <c r="E710" t="s">
        <v>353</v>
      </c>
      <c r="F710">
        <v>80234.2</v>
      </c>
      <c r="G710" s="29">
        <v>2.3274E-2</v>
      </c>
      <c r="H710">
        <v>880224.5</v>
      </c>
      <c r="I710">
        <v>175724.35</v>
      </c>
      <c r="J710" s="29">
        <v>0.16639999999999999</v>
      </c>
      <c r="K710">
        <v>4.51</v>
      </c>
    </row>
    <row r="711" spans="1:11" x14ac:dyDescent="0.3">
      <c r="A711" t="s">
        <v>191</v>
      </c>
      <c r="B711" s="25">
        <v>45688</v>
      </c>
      <c r="C711">
        <v>540539</v>
      </c>
      <c r="D711" t="s">
        <v>318</v>
      </c>
      <c r="E711" t="s">
        <v>353</v>
      </c>
      <c r="F711">
        <v>87364.28</v>
      </c>
      <c r="G711" s="29">
        <v>2.7125E-2</v>
      </c>
      <c r="H711">
        <v>958446.28</v>
      </c>
      <c r="I711">
        <v>191340.22</v>
      </c>
      <c r="J711" s="29">
        <v>0.16639999999999999</v>
      </c>
      <c r="K711">
        <v>4.95</v>
      </c>
    </row>
    <row r="712" spans="1:11" x14ac:dyDescent="0.3">
      <c r="A712" t="s">
        <v>191</v>
      </c>
      <c r="B712" s="25">
        <v>45716</v>
      </c>
      <c r="C712">
        <v>540539</v>
      </c>
      <c r="D712" t="s">
        <v>318</v>
      </c>
      <c r="E712" t="s">
        <v>353</v>
      </c>
      <c r="F712">
        <v>77503.350000000006</v>
      </c>
      <c r="G712" s="29">
        <v>2.2473E-2</v>
      </c>
      <c r="H712">
        <v>850265.09</v>
      </c>
      <c r="I712">
        <v>169743.38</v>
      </c>
      <c r="J712" s="29">
        <v>0.16639999999999999</v>
      </c>
      <c r="K712">
        <v>4.8</v>
      </c>
    </row>
    <row r="713" spans="1:11" x14ac:dyDescent="0.3">
      <c r="A713" t="s">
        <v>191</v>
      </c>
      <c r="B713" s="25">
        <v>45747</v>
      </c>
      <c r="C713">
        <v>540539</v>
      </c>
      <c r="D713" t="s">
        <v>318</v>
      </c>
      <c r="E713" t="s">
        <v>353</v>
      </c>
      <c r="F713">
        <v>87053.24</v>
      </c>
      <c r="G713" s="29">
        <v>2.7466000000000001E-2</v>
      </c>
      <c r="H713">
        <v>955034.04</v>
      </c>
      <c r="I713">
        <v>190659.02</v>
      </c>
      <c r="J713" s="29">
        <v>0.16639999999999999</v>
      </c>
      <c r="K713">
        <v>5.19</v>
      </c>
    </row>
    <row r="714" spans="1:11" x14ac:dyDescent="0.3">
      <c r="A714" t="s">
        <v>191</v>
      </c>
      <c r="B714" s="25">
        <v>45777</v>
      </c>
      <c r="C714">
        <v>540539</v>
      </c>
      <c r="D714" t="s">
        <v>318</v>
      </c>
      <c r="E714" t="s">
        <v>353</v>
      </c>
      <c r="F714">
        <v>75877.75</v>
      </c>
      <c r="G714" s="29">
        <v>2.2985000000000002E-2</v>
      </c>
      <c r="H714">
        <v>832431.23</v>
      </c>
      <c r="I714">
        <v>166183.1</v>
      </c>
      <c r="J714" s="29">
        <v>0.16639999999999999</v>
      </c>
      <c r="K714">
        <v>4.88</v>
      </c>
    </row>
    <row r="715" spans="1:11" x14ac:dyDescent="0.3">
      <c r="A715" t="s">
        <v>191</v>
      </c>
      <c r="B715" s="25">
        <v>45808</v>
      </c>
      <c r="C715">
        <v>540539</v>
      </c>
      <c r="D715" t="s">
        <v>318</v>
      </c>
      <c r="E715" t="s">
        <v>353</v>
      </c>
      <c r="F715">
        <v>78014.3</v>
      </c>
      <c r="G715" s="29">
        <v>2.2561000000000001E-2</v>
      </c>
      <c r="H715">
        <v>855870.62</v>
      </c>
      <c r="I715">
        <v>170862.45</v>
      </c>
      <c r="J715" s="29">
        <v>0.16639999999999999</v>
      </c>
      <c r="K715">
        <v>4.75</v>
      </c>
    </row>
    <row r="716" spans="1:11" x14ac:dyDescent="0.3">
      <c r="A716" t="s">
        <v>191</v>
      </c>
      <c r="B716" s="25">
        <v>45838</v>
      </c>
      <c r="C716">
        <v>540539</v>
      </c>
      <c r="D716" t="s">
        <v>318</v>
      </c>
      <c r="E716" t="s">
        <v>353</v>
      </c>
      <c r="F716">
        <v>69374.080000000002</v>
      </c>
      <c r="G716" s="29">
        <v>2.3328000000000002E-2</v>
      </c>
      <c r="H716">
        <v>761081.42</v>
      </c>
      <c r="I716">
        <v>151939.13</v>
      </c>
      <c r="J716" s="29">
        <v>0.16639999999999999</v>
      </c>
      <c r="K716">
        <v>4.6100000000000003</v>
      </c>
    </row>
    <row r="717" spans="1:11" x14ac:dyDescent="0.3">
      <c r="A717" t="s">
        <v>191</v>
      </c>
      <c r="B717" s="25">
        <v>45869</v>
      </c>
      <c r="C717">
        <v>540539</v>
      </c>
      <c r="D717" t="s">
        <v>318</v>
      </c>
      <c r="E717" t="s">
        <v>353</v>
      </c>
      <c r="F717">
        <v>76521.72</v>
      </c>
      <c r="G717" s="29">
        <v>2.5485000000000001E-2</v>
      </c>
      <c r="H717">
        <v>839495.95</v>
      </c>
      <c r="I717">
        <v>167593.48000000001</v>
      </c>
      <c r="J717" s="29">
        <v>0.16639999999999999</v>
      </c>
      <c r="K717">
        <v>4.45</v>
      </c>
    </row>
    <row r="718" spans="1:11" x14ac:dyDescent="0.3">
      <c r="A718" t="s">
        <v>191</v>
      </c>
      <c r="B718" s="25">
        <v>45900</v>
      </c>
      <c r="C718">
        <v>540539</v>
      </c>
      <c r="D718" t="s">
        <v>318</v>
      </c>
      <c r="E718" t="s">
        <v>353</v>
      </c>
      <c r="F718">
        <v>86780.7</v>
      </c>
      <c r="G718" s="29">
        <v>2.5194999999999999E-2</v>
      </c>
      <c r="H718">
        <v>952044.1</v>
      </c>
      <c r="I718">
        <v>190062.12</v>
      </c>
      <c r="J718" s="29">
        <v>0.16639999999999999</v>
      </c>
      <c r="K718">
        <v>4.8600000000000003</v>
      </c>
    </row>
    <row r="719" spans="1:11" x14ac:dyDescent="0.3">
      <c r="A719" t="s">
        <v>191</v>
      </c>
      <c r="B719" s="25">
        <v>45930</v>
      </c>
      <c r="C719">
        <v>540539</v>
      </c>
      <c r="D719" t="s">
        <v>318</v>
      </c>
      <c r="E719" t="s">
        <v>353</v>
      </c>
      <c r="F719">
        <v>88018.15</v>
      </c>
      <c r="G719" s="29">
        <v>2.7486E-2</v>
      </c>
      <c r="H719">
        <v>965619.74</v>
      </c>
      <c r="I719">
        <v>192772.3</v>
      </c>
      <c r="J719" s="29">
        <v>0.16639999999999999</v>
      </c>
      <c r="K719">
        <v>4.6399999999999997</v>
      </c>
    </row>
    <row r="720" spans="1:11" x14ac:dyDescent="0.3">
      <c r="A720" t="s">
        <v>191</v>
      </c>
      <c r="B720" s="25">
        <v>45961</v>
      </c>
      <c r="C720">
        <v>540539</v>
      </c>
      <c r="D720" t="s">
        <v>318</v>
      </c>
      <c r="E720" t="s">
        <v>353</v>
      </c>
      <c r="F720">
        <v>87584.25</v>
      </c>
      <c r="G720" s="29">
        <v>2.8380000000000002E-2</v>
      </c>
      <c r="H720">
        <v>960859.58</v>
      </c>
      <c r="I720">
        <v>191822</v>
      </c>
      <c r="J720" s="29">
        <v>0.16639999999999999</v>
      </c>
      <c r="K720">
        <v>4.5999999999999996</v>
      </c>
    </row>
    <row r="721" spans="1:11" x14ac:dyDescent="0.3">
      <c r="A721" t="s">
        <v>191</v>
      </c>
      <c r="B721" s="25">
        <v>45991</v>
      </c>
      <c r="C721">
        <v>540539</v>
      </c>
      <c r="D721" t="s">
        <v>318</v>
      </c>
      <c r="E721" t="s">
        <v>353</v>
      </c>
      <c r="F721">
        <v>77178.53</v>
      </c>
      <c r="G721" s="29">
        <v>2.5326000000000001E-2</v>
      </c>
      <c r="H721">
        <v>846701.6</v>
      </c>
      <c r="I721">
        <v>169031.98</v>
      </c>
      <c r="J721" s="29">
        <v>0.16639999999999999</v>
      </c>
      <c r="K721">
        <v>4.78</v>
      </c>
    </row>
    <row r="722" spans="1:11" x14ac:dyDescent="0.3">
      <c r="A722" t="s">
        <v>186</v>
      </c>
      <c r="B722" s="25">
        <v>45657</v>
      </c>
      <c r="C722">
        <v>356980</v>
      </c>
      <c r="D722" t="s">
        <v>322</v>
      </c>
      <c r="E722" t="s">
        <v>351</v>
      </c>
      <c r="F722">
        <v>242188.14</v>
      </c>
      <c r="G722" s="29">
        <v>1.5023999999999999E-2</v>
      </c>
      <c r="H722">
        <v>1573895.26</v>
      </c>
      <c r="I722">
        <v>763061.27</v>
      </c>
      <c r="J722" s="29">
        <v>0.32650000000000001</v>
      </c>
      <c r="K722">
        <v>8.0399999999999991</v>
      </c>
    </row>
    <row r="723" spans="1:11" x14ac:dyDescent="0.3">
      <c r="A723" t="s">
        <v>186</v>
      </c>
      <c r="B723" s="25">
        <v>45688</v>
      </c>
      <c r="C723">
        <v>356980</v>
      </c>
      <c r="D723" t="s">
        <v>322</v>
      </c>
      <c r="E723" t="s">
        <v>351</v>
      </c>
      <c r="F723">
        <v>262977.02</v>
      </c>
      <c r="G723" s="29">
        <v>1.703E-2</v>
      </c>
      <c r="H723">
        <v>1708994.85</v>
      </c>
      <c r="I723">
        <v>828560.72</v>
      </c>
      <c r="J723" s="29">
        <v>0.32650000000000001</v>
      </c>
      <c r="K723">
        <v>8.06</v>
      </c>
    </row>
    <row r="724" spans="1:11" x14ac:dyDescent="0.3">
      <c r="A724" t="s">
        <v>186</v>
      </c>
      <c r="B724" s="25">
        <v>45716</v>
      </c>
      <c r="C724">
        <v>356980</v>
      </c>
      <c r="D724" t="s">
        <v>322</v>
      </c>
      <c r="E724" t="s">
        <v>351</v>
      </c>
      <c r="F724">
        <v>306449.31</v>
      </c>
      <c r="G724" s="29">
        <v>1.9862999999999999E-2</v>
      </c>
      <c r="H724">
        <v>1991505.91</v>
      </c>
      <c r="I724">
        <v>965528.7</v>
      </c>
      <c r="J724" s="29">
        <v>0.32650000000000001</v>
      </c>
      <c r="K724">
        <v>7.73</v>
      </c>
    </row>
    <row r="725" spans="1:11" x14ac:dyDescent="0.3">
      <c r="A725" t="s">
        <v>186</v>
      </c>
      <c r="B725" s="25">
        <v>45747</v>
      </c>
      <c r="C725">
        <v>356980</v>
      </c>
      <c r="D725" t="s">
        <v>322</v>
      </c>
      <c r="E725" t="s">
        <v>351</v>
      </c>
      <c r="F725">
        <v>266135.83</v>
      </c>
      <c r="G725" s="29">
        <v>1.7666999999999999E-2</v>
      </c>
      <c r="H725">
        <v>1729522.8</v>
      </c>
      <c r="I725">
        <v>838513.15</v>
      </c>
      <c r="J725" s="29">
        <v>0.32650000000000001</v>
      </c>
      <c r="K725">
        <v>8.44</v>
      </c>
    </row>
    <row r="726" spans="1:11" x14ac:dyDescent="0.3">
      <c r="A726" t="s">
        <v>186</v>
      </c>
      <c r="B726" s="25">
        <v>45777</v>
      </c>
      <c r="C726">
        <v>356980</v>
      </c>
      <c r="D726" t="s">
        <v>322</v>
      </c>
      <c r="E726" t="s">
        <v>351</v>
      </c>
      <c r="F726">
        <v>242069.71</v>
      </c>
      <c r="G726" s="29">
        <v>1.5347999999999999E-2</v>
      </c>
      <c r="H726">
        <v>1573125.59</v>
      </c>
      <c r="I726">
        <v>762688.12</v>
      </c>
      <c r="J726" s="29">
        <v>0.32650000000000001</v>
      </c>
      <c r="K726">
        <v>8.01</v>
      </c>
    </row>
    <row r="727" spans="1:11" x14ac:dyDescent="0.3">
      <c r="A727" t="s">
        <v>186</v>
      </c>
      <c r="B727" s="25">
        <v>45808</v>
      </c>
      <c r="C727">
        <v>356980</v>
      </c>
      <c r="D727" t="s">
        <v>322</v>
      </c>
      <c r="E727" t="s">
        <v>351</v>
      </c>
      <c r="F727">
        <v>220864.52</v>
      </c>
      <c r="G727" s="29">
        <v>1.4207000000000001E-2</v>
      </c>
      <c r="H727">
        <v>1435320.56</v>
      </c>
      <c r="I727">
        <v>695877.01</v>
      </c>
      <c r="J727" s="29">
        <v>0.32650000000000001</v>
      </c>
      <c r="K727">
        <v>8.8000000000000007</v>
      </c>
    </row>
    <row r="728" spans="1:11" x14ac:dyDescent="0.3">
      <c r="A728" t="s">
        <v>186</v>
      </c>
      <c r="B728" s="25">
        <v>45838</v>
      </c>
      <c r="C728">
        <v>356980</v>
      </c>
      <c r="D728" t="s">
        <v>322</v>
      </c>
      <c r="E728" t="s">
        <v>351</v>
      </c>
      <c r="F728">
        <v>231340.46</v>
      </c>
      <c r="G728" s="29">
        <v>1.4668E-2</v>
      </c>
      <c r="H728">
        <v>1503399.97</v>
      </c>
      <c r="I728">
        <v>728883.51</v>
      </c>
      <c r="J728" s="29">
        <v>0.32650000000000001</v>
      </c>
      <c r="K728">
        <v>8.24</v>
      </c>
    </row>
    <row r="729" spans="1:11" x14ac:dyDescent="0.3">
      <c r="A729" t="s">
        <v>186</v>
      </c>
      <c r="B729" s="25">
        <v>45869</v>
      </c>
      <c r="C729">
        <v>356980</v>
      </c>
      <c r="D729" t="s">
        <v>322</v>
      </c>
      <c r="E729" t="s">
        <v>351</v>
      </c>
      <c r="F729">
        <v>257265.98</v>
      </c>
      <c r="G729" s="29">
        <v>1.7145999999999998E-2</v>
      </c>
      <c r="H729">
        <v>1671880.81</v>
      </c>
      <c r="I729">
        <v>810566.96</v>
      </c>
      <c r="J729" s="29">
        <v>0.32650000000000001</v>
      </c>
      <c r="K729">
        <v>7.57</v>
      </c>
    </row>
    <row r="730" spans="1:11" x14ac:dyDescent="0.3">
      <c r="A730" t="s">
        <v>186</v>
      </c>
      <c r="B730" s="25">
        <v>45900</v>
      </c>
      <c r="C730">
        <v>356980</v>
      </c>
      <c r="D730" t="s">
        <v>322</v>
      </c>
      <c r="E730" t="s">
        <v>351</v>
      </c>
      <c r="F730">
        <v>272101.40999999997</v>
      </c>
      <c r="G730" s="29">
        <v>1.8047000000000001E-2</v>
      </c>
      <c r="H730">
        <v>1768291.01</v>
      </c>
      <c r="I730">
        <v>857308.89</v>
      </c>
      <c r="J730" s="29">
        <v>0.32650000000000001</v>
      </c>
      <c r="K730">
        <v>8.08</v>
      </c>
    </row>
    <row r="731" spans="1:11" x14ac:dyDescent="0.3">
      <c r="A731" t="s">
        <v>186</v>
      </c>
      <c r="B731" s="25">
        <v>45930</v>
      </c>
      <c r="C731">
        <v>356980</v>
      </c>
      <c r="D731" t="s">
        <v>322</v>
      </c>
      <c r="E731" t="s">
        <v>351</v>
      </c>
      <c r="F731">
        <v>296164.94</v>
      </c>
      <c r="G731" s="29">
        <v>1.9744999999999999E-2</v>
      </c>
      <c r="H731">
        <v>1924671.43</v>
      </c>
      <c r="I731">
        <v>933125.77</v>
      </c>
      <c r="J731" s="29">
        <v>0.32650000000000001</v>
      </c>
      <c r="K731">
        <v>8.19</v>
      </c>
    </row>
    <row r="732" spans="1:11" x14ac:dyDescent="0.3">
      <c r="A732" t="s">
        <v>186</v>
      </c>
      <c r="B732" s="25">
        <v>45961</v>
      </c>
      <c r="C732">
        <v>356980</v>
      </c>
      <c r="D732" t="s">
        <v>322</v>
      </c>
      <c r="E732" t="s">
        <v>351</v>
      </c>
      <c r="F732">
        <v>299555.57</v>
      </c>
      <c r="G732" s="29">
        <v>2.0087999999999998E-2</v>
      </c>
      <c r="H732">
        <v>1946705.9</v>
      </c>
      <c r="I732">
        <v>943808.6</v>
      </c>
      <c r="J732" s="29">
        <v>0.32650000000000001</v>
      </c>
      <c r="K732">
        <v>8.23</v>
      </c>
    </row>
    <row r="733" spans="1:11" x14ac:dyDescent="0.3">
      <c r="A733" t="s">
        <v>186</v>
      </c>
      <c r="B733" s="25">
        <v>45991</v>
      </c>
      <c r="C733">
        <v>356980</v>
      </c>
      <c r="D733" t="s">
        <v>322</v>
      </c>
      <c r="E733" t="s">
        <v>351</v>
      </c>
      <c r="F733">
        <v>232433.73</v>
      </c>
      <c r="G733" s="29">
        <v>1.4651000000000001E-2</v>
      </c>
      <c r="H733">
        <v>1510504.79</v>
      </c>
      <c r="I733">
        <v>732328.09</v>
      </c>
      <c r="J733" s="29">
        <v>0.32650000000000001</v>
      </c>
      <c r="K733">
        <v>8.24</v>
      </c>
    </row>
    <row r="734" spans="1:11" x14ac:dyDescent="0.3">
      <c r="A734" t="s">
        <v>186</v>
      </c>
      <c r="B734" s="25">
        <v>45657</v>
      </c>
      <c r="C734">
        <v>320682</v>
      </c>
      <c r="D734" t="s">
        <v>323</v>
      </c>
      <c r="E734" t="s">
        <v>344</v>
      </c>
      <c r="F734">
        <v>276417.65000000002</v>
      </c>
      <c r="G734" s="29">
        <v>1.7146999999999999E-2</v>
      </c>
      <c r="H734">
        <v>1982040.39</v>
      </c>
      <c r="I734">
        <v>884496.95</v>
      </c>
      <c r="J734" s="29">
        <v>0.30859999999999999</v>
      </c>
      <c r="K734">
        <v>6.7</v>
      </c>
    </row>
    <row r="735" spans="1:11" x14ac:dyDescent="0.3">
      <c r="A735" t="s">
        <v>186</v>
      </c>
      <c r="B735" s="25">
        <v>45688</v>
      </c>
      <c r="C735">
        <v>320682</v>
      </c>
      <c r="D735" t="s">
        <v>323</v>
      </c>
      <c r="E735" t="s">
        <v>344</v>
      </c>
      <c r="F735">
        <v>294481.63</v>
      </c>
      <c r="G735" s="29">
        <v>1.907E-2</v>
      </c>
      <c r="H735">
        <v>2111567.3199999998</v>
      </c>
      <c r="I735">
        <v>942299.09</v>
      </c>
      <c r="J735" s="29">
        <v>0.30859999999999999</v>
      </c>
      <c r="K735">
        <v>6.91</v>
      </c>
    </row>
    <row r="736" spans="1:11" x14ac:dyDescent="0.3">
      <c r="A736" t="s">
        <v>186</v>
      </c>
      <c r="B736" s="25">
        <v>45716</v>
      </c>
      <c r="C736">
        <v>320682</v>
      </c>
      <c r="D736" t="s">
        <v>323</v>
      </c>
      <c r="E736" t="s">
        <v>344</v>
      </c>
      <c r="F736">
        <v>207101.69</v>
      </c>
      <c r="G736" s="29">
        <v>1.3423000000000001E-2</v>
      </c>
      <c r="H736">
        <v>1485013.36</v>
      </c>
      <c r="I736">
        <v>662695.77</v>
      </c>
      <c r="J736" s="29">
        <v>0.30859999999999999</v>
      </c>
      <c r="K736">
        <v>7.2</v>
      </c>
    </row>
    <row r="737" spans="1:11" x14ac:dyDescent="0.3">
      <c r="A737" t="s">
        <v>186</v>
      </c>
      <c r="B737" s="25">
        <v>45747</v>
      </c>
      <c r="C737">
        <v>320682</v>
      </c>
      <c r="D737" t="s">
        <v>323</v>
      </c>
      <c r="E737" t="s">
        <v>344</v>
      </c>
      <c r="F737">
        <v>260761.65</v>
      </c>
      <c r="G737" s="29">
        <v>1.7310000000000002E-2</v>
      </c>
      <c r="H737">
        <v>1869779.75</v>
      </c>
      <c r="I737">
        <v>834399.99</v>
      </c>
      <c r="J737" s="29">
        <v>0.30859999999999999</v>
      </c>
      <c r="K737">
        <v>7.24</v>
      </c>
    </row>
    <row r="738" spans="1:11" x14ac:dyDescent="0.3">
      <c r="A738" t="s">
        <v>186</v>
      </c>
      <c r="B738" s="25">
        <v>45777</v>
      </c>
      <c r="C738">
        <v>320682</v>
      </c>
      <c r="D738" t="s">
        <v>323</v>
      </c>
      <c r="E738" t="s">
        <v>344</v>
      </c>
      <c r="F738">
        <v>234072.07</v>
      </c>
      <c r="G738" s="29">
        <v>1.4841E-2</v>
      </c>
      <c r="H738">
        <v>1678403.31</v>
      </c>
      <c r="I738">
        <v>748997.15</v>
      </c>
      <c r="J738" s="29">
        <v>0.30859999999999999</v>
      </c>
      <c r="K738">
        <v>7.44</v>
      </c>
    </row>
    <row r="739" spans="1:11" x14ac:dyDescent="0.3">
      <c r="A739" t="s">
        <v>186</v>
      </c>
      <c r="B739" s="25">
        <v>45808</v>
      </c>
      <c r="C739">
        <v>320682</v>
      </c>
      <c r="D739" t="s">
        <v>323</v>
      </c>
      <c r="E739" t="s">
        <v>344</v>
      </c>
      <c r="F739">
        <v>270240.88</v>
      </c>
      <c r="G739" s="29">
        <v>1.7382999999999999E-2</v>
      </c>
      <c r="H739">
        <v>1937750.12</v>
      </c>
      <c r="I739">
        <v>864732.16000000003</v>
      </c>
      <c r="J739" s="29">
        <v>0.30859999999999999</v>
      </c>
      <c r="K739">
        <v>7.3</v>
      </c>
    </row>
    <row r="740" spans="1:11" x14ac:dyDescent="0.3">
      <c r="A740" t="s">
        <v>186</v>
      </c>
      <c r="B740" s="25">
        <v>45838</v>
      </c>
      <c r="C740">
        <v>320682</v>
      </c>
      <c r="D740" t="s">
        <v>323</v>
      </c>
      <c r="E740" t="s">
        <v>344</v>
      </c>
      <c r="F740">
        <v>247800.84</v>
      </c>
      <c r="G740" s="29">
        <v>1.5712E-2</v>
      </c>
      <c r="H740">
        <v>1776844.85</v>
      </c>
      <c r="I740">
        <v>792927.25</v>
      </c>
      <c r="J740" s="29">
        <v>0.30859999999999999</v>
      </c>
      <c r="K740">
        <v>7.26</v>
      </c>
    </row>
    <row r="741" spans="1:11" x14ac:dyDescent="0.3">
      <c r="A741" t="s">
        <v>186</v>
      </c>
      <c r="B741" s="25">
        <v>45869</v>
      </c>
      <c r="C741">
        <v>320682</v>
      </c>
      <c r="D741" t="s">
        <v>323</v>
      </c>
      <c r="E741" t="s">
        <v>344</v>
      </c>
      <c r="F741">
        <v>243156.93</v>
      </c>
      <c r="G741" s="29">
        <v>1.6205000000000001E-2</v>
      </c>
      <c r="H741">
        <v>1743545.86</v>
      </c>
      <c r="I741">
        <v>778067.39</v>
      </c>
      <c r="J741" s="29">
        <v>0.30859999999999999</v>
      </c>
      <c r="K741">
        <v>8.19</v>
      </c>
    </row>
    <row r="742" spans="1:11" x14ac:dyDescent="0.3">
      <c r="A742" t="s">
        <v>186</v>
      </c>
      <c r="B742" s="25">
        <v>45900</v>
      </c>
      <c r="C742">
        <v>320682</v>
      </c>
      <c r="D742" t="s">
        <v>323</v>
      </c>
      <c r="E742" t="s">
        <v>344</v>
      </c>
      <c r="F742">
        <v>254964.11</v>
      </c>
      <c r="G742" s="29">
        <v>1.6910000000000001E-2</v>
      </c>
      <c r="H742">
        <v>1828208.71</v>
      </c>
      <c r="I742">
        <v>815848.67</v>
      </c>
      <c r="J742" s="29">
        <v>0.30859999999999999</v>
      </c>
      <c r="K742">
        <v>6.45</v>
      </c>
    </row>
    <row r="743" spans="1:11" x14ac:dyDescent="0.3">
      <c r="A743" t="s">
        <v>186</v>
      </c>
      <c r="B743" s="25">
        <v>45930</v>
      </c>
      <c r="C743">
        <v>320682</v>
      </c>
      <c r="D743" t="s">
        <v>323</v>
      </c>
      <c r="E743" t="s">
        <v>344</v>
      </c>
      <c r="F743">
        <v>246180.65</v>
      </c>
      <c r="G743" s="29">
        <v>1.6413000000000001E-2</v>
      </c>
      <c r="H743">
        <v>1765227.34</v>
      </c>
      <c r="I743">
        <v>787742.87</v>
      </c>
      <c r="J743" s="29">
        <v>0.30859999999999999</v>
      </c>
      <c r="K743">
        <v>7.13</v>
      </c>
    </row>
    <row r="744" spans="1:11" x14ac:dyDescent="0.3">
      <c r="A744" t="s">
        <v>186</v>
      </c>
      <c r="B744" s="25">
        <v>45961</v>
      </c>
      <c r="C744">
        <v>320682</v>
      </c>
      <c r="D744" t="s">
        <v>323</v>
      </c>
      <c r="E744" t="s">
        <v>344</v>
      </c>
      <c r="F744">
        <v>205325.37</v>
      </c>
      <c r="G744" s="29">
        <v>1.3769E-2</v>
      </c>
      <c r="H744">
        <v>1472276.36</v>
      </c>
      <c r="I744">
        <v>657011.81000000006</v>
      </c>
      <c r="J744" s="29">
        <v>0.30859999999999999</v>
      </c>
      <c r="K744">
        <v>7.1</v>
      </c>
    </row>
    <row r="745" spans="1:11" x14ac:dyDescent="0.3">
      <c r="A745" t="s">
        <v>186</v>
      </c>
      <c r="B745" s="25">
        <v>45991</v>
      </c>
      <c r="C745">
        <v>320682</v>
      </c>
      <c r="D745" t="s">
        <v>323</v>
      </c>
      <c r="E745" t="s">
        <v>344</v>
      </c>
      <c r="F745">
        <v>247796.08</v>
      </c>
      <c r="G745" s="29">
        <v>1.5619000000000001E-2</v>
      </c>
      <c r="H745">
        <v>1776810.68</v>
      </c>
      <c r="I745">
        <v>792912.01</v>
      </c>
      <c r="J745" s="29">
        <v>0.30859999999999999</v>
      </c>
      <c r="K745">
        <v>7.51</v>
      </c>
    </row>
    <row r="746" spans="1:11" x14ac:dyDescent="0.3">
      <c r="A746" t="s">
        <v>186</v>
      </c>
      <c r="B746" s="25">
        <v>45657</v>
      </c>
      <c r="C746">
        <v>267184</v>
      </c>
      <c r="D746" t="s">
        <v>323</v>
      </c>
      <c r="E746" t="s">
        <v>350</v>
      </c>
      <c r="F746">
        <v>235681.32</v>
      </c>
      <c r="G746" s="29">
        <v>1.4619999999999999E-2</v>
      </c>
      <c r="H746">
        <v>1758757.73</v>
      </c>
      <c r="I746">
        <v>851805.61</v>
      </c>
      <c r="J746" s="29">
        <v>0.32629999999999998</v>
      </c>
      <c r="K746">
        <v>6.22</v>
      </c>
    </row>
    <row r="747" spans="1:11" x14ac:dyDescent="0.3">
      <c r="A747" t="s">
        <v>186</v>
      </c>
      <c r="B747" s="25">
        <v>45688</v>
      </c>
      <c r="C747">
        <v>267184</v>
      </c>
      <c r="D747" t="s">
        <v>323</v>
      </c>
      <c r="E747" t="s">
        <v>350</v>
      </c>
      <c r="F747">
        <v>191625.37</v>
      </c>
      <c r="G747" s="29">
        <v>1.2410000000000001E-2</v>
      </c>
      <c r="H747">
        <v>1429992.86</v>
      </c>
      <c r="I747">
        <v>692577.45</v>
      </c>
      <c r="J747" s="29">
        <v>0.32629999999999998</v>
      </c>
      <c r="K747">
        <v>7.37</v>
      </c>
    </row>
    <row r="748" spans="1:11" x14ac:dyDescent="0.3">
      <c r="A748" t="s">
        <v>186</v>
      </c>
      <c r="B748" s="25">
        <v>45716</v>
      </c>
      <c r="C748">
        <v>267184</v>
      </c>
      <c r="D748" t="s">
        <v>323</v>
      </c>
      <c r="E748" t="s">
        <v>350</v>
      </c>
      <c r="F748">
        <v>217537.23</v>
      </c>
      <c r="G748" s="29">
        <v>1.41E-2</v>
      </c>
      <c r="H748">
        <v>1623358.55</v>
      </c>
      <c r="I748">
        <v>786228.77</v>
      </c>
      <c r="J748" s="29">
        <v>0.32629999999999998</v>
      </c>
      <c r="K748">
        <v>7.12</v>
      </c>
    </row>
    <row r="749" spans="1:11" x14ac:dyDescent="0.3">
      <c r="A749" t="s">
        <v>186</v>
      </c>
      <c r="B749" s="25">
        <v>45747</v>
      </c>
      <c r="C749">
        <v>267184</v>
      </c>
      <c r="D749" t="s">
        <v>323</v>
      </c>
      <c r="E749" t="s">
        <v>350</v>
      </c>
      <c r="F749">
        <v>227858.81</v>
      </c>
      <c r="G749" s="29">
        <v>1.5125999999999999E-2</v>
      </c>
      <c r="H749">
        <v>1700382.76</v>
      </c>
      <c r="I749">
        <v>823533.31</v>
      </c>
      <c r="J749" s="29">
        <v>0.32629999999999998</v>
      </c>
      <c r="K749">
        <v>6.75</v>
      </c>
    </row>
    <row r="750" spans="1:11" x14ac:dyDescent="0.3">
      <c r="A750" t="s">
        <v>186</v>
      </c>
      <c r="B750" s="25">
        <v>45777</v>
      </c>
      <c r="C750">
        <v>267184</v>
      </c>
      <c r="D750" t="s">
        <v>323</v>
      </c>
      <c r="E750" t="s">
        <v>350</v>
      </c>
      <c r="F750">
        <v>234782.89</v>
      </c>
      <c r="G750" s="29">
        <v>1.4886E-2</v>
      </c>
      <c r="H750">
        <v>1752053.28</v>
      </c>
      <c r="I750">
        <v>848558.5</v>
      </c>
      <c r="J750" s="29">
        <v>0.32629999999999998</v>
      </c>
      <c r="K750">
        <v>7.48</v>
      </c>
    </row>
    <row r="751" spans="1:11" x14ac:dyDescent="0.3">
      <c r="A751" t="s">
        <v>186</v>
      </c>
      <c r="B751" s="25">
        <v>45808</v>
      </c>
      <c r="C751">
        <v>267184</v>
      </c>
      <c r="D751" t="s">
        <v>323</v>
      </c>
      <c r="E751" t="s">
        <v>350</v>
      </c>
      <c r="F751">
        <v>212095.86</v>
      </c>
      <c r="G751" s="29">
        <v>1.3643000000000001E-2</v>
      </c>
      <c r="H751">
        <v>1582752.68</v>
      </c>
      <c r="I751">
        <v>766562.44</v>
      </c>
      <c r="J751" s="29">
        <v>0.32629999999999998</v>
      </c>
      <c r="K751">
        <v>7.36</v>
      </c>
    </row>
    <row r="752" spans="1:11" x14ac:dyDescent="0.3">
      <c r="A752" t="s">
        <v>186</v>
      </c>
      <c r="B752" s="25">
        <v>45838</v>
      </c>
      <c r="C752">
        <v>267184</v>
      </c>
      <c r="D752" t="s">
        <v>323</v>
      </c>
      <c r="E752" t="s">
        <v>350</v>
      </c>
      <c r="F752">
        <v>225626.26</v>
      </c>
      <c r="G752" s="29">
        <v>1.4306000000000001E-2</v>
      </c>
      <c r="H752">
        <v>1683722.45</v>
      </c>
      <c r="I752">
        <v>815464.35</v>
      </c>
      <c r="J752" s="29">
        <v>0.32629999999999998</v>
      </c>
      <c r="K752">
        <v>6.71</v>
      </c>
    </row>
    <row r="753" spans="1:11" x14ac:dyDescent="0.3">
      <c r="A753" t="s">
        <v>186</v>
      </c>
      <c r="B753" s="25">
        <v>45869</v>
      </c>
      <c r="C753">
        <v>267184</v>
      </c>
      <c r="D753" t="s">
        <v>323</v>
      </c>
      <c r="E753" t="s">
        <v>350</v>
      </c>
      <c r="F753">
        <v>203374.13</v>
      </c>
      <c r="G753" s="29">
        <v>1.3554E-2</v>
      </c>
      <c r="H753">
        <v>1517667.32</v>
      </c>
      <c r="I753">
        <v>735040.14</v>
      </c>
      <c r="J753" s="29">
        <v>0.32629999999999998</v>
      </c>
      <c r="K753">
        <v>7.56</v>
      </c>
    </row>
    <row r="754" spans="1:11" x14ac:dyDescent="0.3">
      <c r="A754" t="s">
        <v>186</v>
      </c>
      <c r="B754" s="25">
        <v>45900</v>
      </c>
      <c r="C754">
        <v>267184</v>
      </c>
      <c r="D754" t="s">
        <v>323</v>
      </c>
      <c r="E754" t="s">
        <v>350</v>
      </c>
      <c r="F754">
        <v>198343.51</v>
      </c>
      <c r="G754" s="29">
        <v>1.3154999999999998E-2</v>
      </c>
      <c r="H754">
        <v>1480126.59</v>
      </c>
      <c r="I754">
        <v>716858.33</v>
      </c>
      <c r="J754" s="29">
        <v>0.32629999999999998</v>
      </c>
      <c r="K754">
        <v>7.12</v>
      </c>
    </row>
    <row r="755" spans="1:11" x14ac:dyDescent="0.3">
      <c r="A755" t="s">
        <v>186</v>
      </c>
      <c r="B755" s="25">
        <v>45930</v>
      </c>
      <c r="C755">
        <v>267184</v>
      </c>
      <c r="D755" t="s">
        <v>323</v>
      </c>
      <c r="E755" t="s">
        <v>350</v>
      </c>
      <c r="F755">
        <v>220218.66</v>
      </c>
      <c r="G755" s="29">
        <v>1.4681999999999999E-2</v>
      </c>
      <c r="H755">
        <v>1643368.61</v>
      </c>
      <c r="I755">
        <v>795920.08</v>
      </c>
      <c r="J755" s="29">
        <v>0.32629999999999998</v>
      </c>
      <c r="K755">
        <v>6.68</v>
      </c>
    </row>
    <row r="756" spans="1:11" x14ac:dyDescent="0.3">
      <c r="A756" t="s">
        <v>186</v>
      </c>
      <c r="B756" s="25">
        <v>45961</v>
      </c>
      <c r="C756">
        <v>267184</v>
      </c>
      <c r="D756" t="s">
        <v>323</v>
      </c>
      <c r="E756" t="s">
        <v>350</v>
      </c>
      <c r="F756">
        <v>218578.85</v>
      </c>
      <c r="G756" s="29">
        <v>1.4657999999999999E-2</v>
      </c>
      <c r="H756">
        <v>1631131.61</v>
      </c>
      <c r="I756">
        <v>789993.43</v>
      </c>
      <c r="J756" s="29">
        <v>0.32629999999999998</v>
      </c>
      <c r="K756">
        <v>7.21</v>
      </c>
    </row>
    <row r="757" spans="1:11" x14ac:dyDescent="0.3">
      <c r="A757" t="s">
        <v>186</v>
      </c>
      <c r="B757" s="25">
        <v>45991</v>
      </c>
      <c r="C757">
        <v>267184</v>
      </c>
      <c r="D757" t="s">
        <v>323</v>
      </c>
      <c r="E757" t="s">
        <v>350</v>
      </c>
      <c r="F757">
        <v>210748.49</v>
      </c>
      <c r="G757" s="29">
        <v>1.3284000000000001E-2</v>
      </c>
      <c r="H757">
        <v>1572697.99</v>
      </c>
      <c r="I757">
        <v>761692.73</v>
      </c>
      <c r="J757" s="29">
        <v>0.32629999999999998</v>
      </c>
      <c r="K757">
        <v>6.7</v>
      </c>
    </row>
    <row r="758" spans="1:11" x14ac:dyDescent="0.3">
      <c r="A758" t="s">
        <v>186</v>
      </c>
      <c r="B758" s="25">
        <v>45657</v>
      </c>
      <c r="C758">
        <v>251467</v>
      </c>
      <c r="D758" t="s">
        <v>324</v>
      </c>
      <c r="E758" t="s">
        <v>346</v>
      </c>
      <c r="F758">
        <v>174384.31</v>
      </c>
      <c r="G758" s="29">
        <v>1.0818000000000001E-2</v>
      </c>
      <c r="H758">
        <v>1276526.3799999999</v>
      </c>
      <c r="I758">
        <v>548745.65</v>
      </c>
      <c r="J758" s="29">
        <v>0.30059999999999998</v>
      </c>
      <c r="K758">
        <v>7.5</v>
      </c>
    </row>
    <row r="759" spans="1:11" x14ac:dyDescent="0.3">
      <c r="A759" t="s">
        <v>186</v>
      </c>
      <c r="B759" s="25">
        <v>45688</v>
      </c>
      <c r="C759">
        <v>251467</v>
      </c>
      <c r="D759" t="s">
        <v>324</v>
      </c>
      <c r="E759" t="s">
        <v>346</v>
      </c>
      <c r="F759">
        <v>172256.08</v>
      </c>
      <c r="G759" s="29">
        <v>1.1155E-2</v>
      </c>
      <c r="H759">
        <v>1260947.3400000001</v>
      </c>
      <c r="I759">
        <v>542048.62</v>
      </c>
      <c r="J759" s="29">
        <v>0.30059999999999998</v>
      </c>
      <c r="K759">
        <v>7.58</v>
      </c>
    </row>
    <row r="760" spans="1:11" x14ac:dyDescent="0.3">
      <c r="A760" t="s">
        <v>186</v>
      </c>
      <c r="B760" s="25">
        <v>45716</v>
      </c>
      <c r="C760">
        <v>251467</v>
      </c>
      <c r="D760" t="s">
        <v>324</v>
      </c>
      <c r="E760" t="s">
        <v>346</v>
      </c>
      <c r="F760">
        <v>179023.39</v>
      </c>
      <c r="G760" s="29">
        <v>1.1603E-2</v>
      </c>
      <c r="H760">
        <v>1310485.32</v>
      </c>
      <c r="I760">
        <v>563343.72</v>
      </c>
      <c r="J760" s="29">
        <v>0.30059999999999998</v>
      </c>
      <c r="K760">
        <v>6.89</v>
      </c>
    </row>
    <row r="761" spans="1:11" x14ac:dyDescent="0.3">
      <c r="A761" t="s">
        <v>186</v>
      </c>
      <c r="B761" s="25">
        <v>45747</v>
      </c>
      <c r="C761">
        <v>251467</v>
      </c>
      <c r="D761" t="s">
        <v>324</v>
      </c>
      <c r="E761" t="s">
        <v>346</v>
      </c>
      <c r="F761">
        <v>143950.01999999999</v>
      </c>
      <c r="G761" s="29">
        <v>9.5560000000000003E-3</v>
      </c>
      <c r="H761">
        <v>1053741.58</v>
      </c>
      <c r="I761">
        <v>452976.23</v>
      </c>
      <c r="J761" s="29">
        <v>0.30059999999999998</v>
      </c>
      <c r="K761">
        <v>7.03</v>
      </c>
    </row>
    <row r="762" spans="1:11" x14ac:dyDescent="0.3">
      <c r="A762" t="s">
        <v>186</v>
      </c>
      <c r="B762" s="25">
        <v>45777</v>
      </c>
      <c r="C762">
        <v>251467</v>
      </c>
      <c r="D762" t="s">
        <v>324</v>
      </c>
      <c r="E762" t="s">
        <v>346</v>
      </c>
      <c r="F762">
        <v>154863.15</v>
      </c>
      <c r="G762" s="29">
        <v>9.8189999999999996E-3</v>
      </c>
      <c r="H762">
        <v>1133627.74</v>
      </c>
      <c r="I762">
        <v>487317.22</v>
      </c>
      <c r="J762" s="29">
        <v>0.30059999999999998</v>
      </c>
      <c r="K762">
        <v>7.05</v>
      </c>
    </row>
    <row r="763" spans="1:11" x14ac:dyDescent="0.3">
      <c r="A763" t="s">
        <v>186</v>
      </c>
      <c r="B763" s="25">
        <v>45808</v>
      </c>
      <c r="C763">
        <v>251467</v>
      </c>
      <c r="D763" t="s">
        <v>324</v>
      </c>
      <c r="E763" t="s">
        <v>346</v>
      </c>
      <c r="F763">
        <v>171052.61</v>
      </c>
      <c r="G763" s="29">
        <v>1.1003000000000001E-2</v>
      </c>
      <c r="H763">
        <v>1252137.67</v>
      </c>
      <c r="I763">
        <v>538261.56999999995</v>
      </c>
      <c r="J763" s="29">
        <v>0.30059999999999998</v>
      </c>
      <c r="K763">
        <v>6.82</v>
      </c>
    </row>
    <row r="764" spans="1:11" x14ac:dyDescent="0.3">
      <c r="A764" t="s">
        <v>186</v>
      </c>
      <c r="B764" s="25">
        <v>45838</v>
      </c>
      <c r="C764">
        <v>251467</v>
      </c>
      <c r="D764" t="s">
        <v>324</v>
      </c>
      <c r="E764" t="s">
        <v>346</v>
      </c>
      <c r="F764">
        <v>199606.51</v>
      </c>
      <c r="G764" s="29">
        <v>1.2656000000000001E-2</v>
      </c>
      <c r="H764">
        <v>1461157.67</v>
      </c>
      <c r="I764">
        <v>628113.86</v>
      </c>
      <c r="J764" s="29">
        <v>0.30059999999999998</v>
      </c>
      <c r="K764">
        <v>7.12</v>
      </c>
    </row>
    <row r="765" spans="1:11" x14ac:dyDescent="0.3">
      <c r="A765" t="s">
        <v>186</v>
      </c>
      <c r="B765" s="25">
        <v>45869</v>
      </c>
      <c r="C765">
        <v>251467</v>
      </c>
      <c r="D765" t="s">
        <v>324</v>
      </c>
      <c r="E765" t="s">
        <v>346</v>
      </c>
      <c r="F765">
        <v>158614.9</v>
      </c>
      <c r="G765" s="29">
        <v>1.0570999999999999E-2</v>
      </c>
      <c r="H765">
        <v>1161091.28</v>
      </c>
      <c r="I765">
        <v>499123.09</v>
      </c>
      <c r="J765" s="29">
        <v>0.30059999999999998</v>
      </c>
      <c r="K765">
        <v>7.47</v>
      </c>
    </row>
    <row r="766" spans="1:11" x14ac:dyDescent="0.3">
      <c r="A766" t="s">
        <v>186</v>
      </c>
      <c r="B766" s="25">
        <v>45900</v>
      </c>
      <c r="C766">
        <v>251467</v>
      </c>
      <c r="D766" t="s">
        <v>324</v>
      </c>
      <c r="E766" t="s">
        <v>346</v>
      </c>
      <c r="F766">
        <v>172831.76</v>
      </c>
      <c r="G766" s="29">
        <v>1.1463000000000001E-2</v>
      </c>
      <c r="H766">
        <v>1265161.3700000001</v>
      </c>
      <c r="I766">
        <v>543860.13</v>
      </c>
      <c r="J766" s="29">
        <v>0.30059999999999998</v>
      </c>
      <c r="K766">
        <v>7.53</v>
      </c>
    </row>
    <row r="767" spans="1:11" x14ac:dyDescent="0.3">
      <c r="A767" t="s">
        <v>186</v>
      </c>
      <c r="B767" s="25">
        <v>45930</v>
      </c>
      <c r="C767">
        <v>251467</v>
      </c>
      <c r="D767" t="s">
        <v>324</v>
      </c>
      <c r="E767" t="s">
        <v>346</v>
      </c>
      <c r="F767">
        <v>157502.06</v>
      </c>
      <c r="G767" s="29">
        <v>1.0501E-2</v>
      </c>
      <c r="H767">
        <v>1152945.04</v>
      </c>
      <c r="I767">
        <v>495621.23</v>
      </c>
      <c r="J767" s="29">
        <v>0.30059999999999998</v>
      </c>
      <c r="K767">
        <v>7.22</v>
      </c>
    </row>
    <row r="768" spans="1:11" x14ac:dyDescent="0.3">
      <c r="A768" t="s">
        <v>186</v>
      </c>
      <c r="B768" s="25">
        <v>45961</v>
      </c>
      <c r="C768">
        <v>251467</v>
      </c>
      <c r="D768" t="s">
        <v>324</v>
      </c>
      <c r="E768" t="s">
        <v>346</v>
      </c>
      <c r="F768">
        <v>173656.79</v>
      </c>
      <c r="G768" s="29">
        <v>1.1645000000000001E-2</v>
      </c>
      <c r="H768">
        <v>1271200.79</v>
      </c>
      <c r="I768">
        <v>546456.31999999995</v>
      </c>
      <c r="J768" s="29">
        <v>0.30059999999999998</v>
      </c>
      <c r="K768">
        <v>7.39</v>
      </c>
    </row>
    <row r="769" spans="1:11" x14ac:dyDescent="0.3">
      <c r="A769" t="s">
        <v>186</v>
      </c>
      <c r="B769" s="25">
        <v>45991</v>
      </c>
      <c r="C769">
        <v>251467</v>
      </c>
      <c r="D769" t="s">
        <v>324</v>
      </c>
      <c r="E769" t="s">
        <v>346</v>
      </c>
      <c r="F769">
        <v>184637.49</v>
      </c>
      <c r="G769" s="29">
        <v>1.1637999999999999E-2</v>
      </c>
      <c r="H769">
        <v>1351581.57</v>
      </c>
      <c r="I769">
        <v>581009.93000000005</v>
      </c>
      <c r="J769" s="29">
        <v>0.30059999999999998</v>
      </c>
      <c r="K769">
        <v>7.59</v>
      </c>
    </row>
    <row r="770" spans="1:11" x14ac:dyDescent="0.3">
      <c r="A770" t="s">
        <v>186</v>
      </c>
      <c r="B770" s="25">
        <v>45657</v>
      </c>
      <c r="C770">
        <v>534007</v>
      </c>
      <c r="D770" t="s">
        <v>323</v>
      </c>
      <c r="E770" t="s">
        <v>342</v>
      </c>
      <c r="F770">
        <v>185678.42</v>
      </c>
      <c r="G770" s="29">
        <v>1.1517999999999999E-2</v>
      </c>
      <c r="H770">
        <v>1346174.94</v>
      </c>
      <c r="I770">
        <v>587804.17000000004</v>
      </c>
      <c r="J770" s="29">
        <v>0.3039</v>
      </c>
      <c r="K770">
        <v>6.72</v>
      </c>
    </row>
    <row r="771" spans="1:11" x14ac:dyDescent="0.3">
      <c r="A771" t="s">
        <v>186</v>
      </c>
      <c r="B771" s="25">
        <v>45688</v>
      </c>
      <c r="C771">
        <v>534007</v>
      </c>
      <c r="D771" t="s">
        <v>323</v>
      </c>
      <c r="E771" t="s">
        <v>342</v>
      </c>
      <c r="F771">
        <v>184604.07</v>
      </c>
      <c r="G771" s="29">
        <v>1.1955E-2</v>
      </c>
      <c r="H771">
        <v>1338385.8999999999</v>
      </c>
      <c r="I771">
        <v>584403.11</v>
      </c>
      <c r="J771" s="29">
        <v>0.3039</v>
      </c>
      <c r="K771">
        <v>7.49</v>
      </c>
    </row>
    <row r="772" spans="1:11" x14ac:dyDescent="0.3">
      <c r="A772" t="s">
        <v>186</v>
      </c>
      <c r="B772" s="25">
        <v>45716</v>
      </c>
      <c r="C772">
        <v>534007</v>
      </c>
      <c r="D772" t="s">
        <v>323</v>
      </c>
      <c r="E772" t="s">
        <v>342</v>
      </c>
      <c r="F772">
        <v>185477.29</v>
      </c>
      <c r="G772" s="29">
        <v>1.2022E-2</v>
      </c>
      <c r="H772">
        <v>1344716.75</v>
      </c>
      <c r="I772">
        <v>587167.46</v>
      </c>
      <c r="J772" s="29">
        <v>0.3039</v>
      </c>
      <c r="K772">
        <v>7.34</v>
      </c>
    </row>
    <row r="773" spans="1:11" x14ac:dyDescent="0.3">
      <c r="A773" t="s">
        <v>186</v>
      </c>
      <c r="B773" s="25">
        <v>45747</v>
      </c>
      <c r="C773">
        <v>534007</v>
      </c>
      <c r="D773" t="s">
        <v>323</v>
      </c>
      <c r="E773" t="s">
        <v>342</v>
      </c>
      <c r="F773">
        <v>187896.57</v>
      </c>
      <c r="G773" s="29">
        <v>1.2473000000000001E-2</v>
      </c>
      <c r="H773">
        <v>1362256.65</v>
      </c>
      <c r="I773">
        <v>594826.21</v>
      </c>
      <c r="J773" s="29">
        <v>0.3039</v>
      </c>
      <c r="K773">
        <v>7.32</v>
      </c>
    </row>
    <row r="774" spans="1:11" x14ac:dyDescent="0.3">
      <c r="A774" t="s">
        <v>186</v>
      </c>
      <c r="B774" s="25">
        <v>45777</v>
      </c>
      <c r="C774">
        <v>534007</v>
      </c>
      <c r="D774" t="s">
        <v>323</v>
      </c>
      <c r="E774" t="s">
        <v>342</v>
      </c>
      <c r="F774">
        <v>154124.45000000001</v>
      </c>
      <c r="G774" s="29">
        <v>9.7719999999999994E-3</v>
      </c>
      <c r="H774">
        <v>1117407.5900000001</v>
      </c>
      <c r="I774">
        <v>487913.44</v>
      </c>
      <c r="J774" s="29">
        <v>0.3039</v>
      </c>
      <c r="K774">
        <v>7.82</v>
      </c>
    </row>
    <row r="775" spans="1:11" x14ac:dyDescent="0.3">
      <c r="A775" t="s">
        <v>186</v>
      </c>
      <c r="B775" s="25">
        <v>45808</v>
      </c>
      <c r="C775">
        <v>534007</v>
      </c>
      <c r="D775" t="s">
        <v>323</v>
      </c>
      <c r="E775" t="s">
        <v>342</v>
      </c>
      <c r="F775">
        <v>174034.25</v>
      </c>
      <c r="G775" s="29">
        <v>1.1195E-2</v>
      </c>
      <c r="H775">
        <v>1261754.3</v>
      </c>
      <c r="I775">
        <v>550942.1</v>
      </c>
      <c r="J775" s="29">
        <v>0.3039</v>
      </c>
      <c r="K775">
        <v>6.32</v>
      </c>
    </row>
    <row r="776" spans="1:11" x14ac:dyDescent="0.3">
      <c r="A776" t="s">
        <v>186</v>
      </c>
      <c r="B776" s="25">
        <v>45838</v>
      </c>
      <c r="C776">
        <v>534007</v>
      </c>
      <c r="D776" t="s">
        <v>323</v>
      </c>
      <c r="E776" t="s">
        <v>342</v>
      </c>
      <c r="F776">
        <v>159594.51</v>
      </c>
      <c r="G776" s="29">
        <v>1.0119E-2</v>
      </c>
      <c r="H776">
        <v>1157065.72</v>
      </c>
      <c r="I776">
        <v>505230.07</v>
      </c>
      <c r="J776" s="29">
        <v>0.3039</v>
      </c>
      <c r="K776">
        <v>7.43</v>
      </c>
    </row>
    <row r="777" spans="1:11" x14ac:dyDescent="0.3">
      <c r="A777" t="s">
        <v>186</v>
      </c>
      <c r="B777" s="25">
        <v>45869</v>
      </c>
      <c r="C777">
        <v>534007</v>
      </c>
      <c r="D777" t="s">
        <v>323</v>
      </c>
      <c r="E777" t="s">
        <v>342</v>
      </c>
      <c r="F777">
        <v>199204.22</v>
      </c>
      <c r="G777" s="29">
        <v>1.3276E-2</v>
      </c>
      <c r="H777">
        <v>1444237.51</v>
      </c>
      <c r="I777">
        <v>630622.97</v>
      </c>
      <c r="J777" s="29">
        <v>0.3039</v>
      </c>
      <c r="K777">
        <v>7.51</v>
      </c>
    </row>
    <row r="778" spans="1:11" x14ac:dyDescent="0.3">
      <c r="A778" t="s">
        <v>186</v>
      </c>
      <c r="B778" s="25">
        <v>45900</v>
      </c>
      <c r="C778">
        <v>534007</v>
      </c>
      <c r="D778" t="s">
        <v>323</v>
      </c>
      <c r="E778" t="s">
        <v>342</v>
      </c>
      <c r="F778">
        <v>194948.7</v>
      </c>
      <c r="G778" s="29">
        <v>1.2929999999999999E-2</v>
      </c>
      <c r="H778">
        <v>1413384.79</v>
      </c>
      <c r="I778">
        <v>617151.19999999995</v>
      </c>
      <c r="J778" s="29">
        <v>0.3039</v>
      </c>
      <c r="K778">
        <v>7.54</v>
      </c>
    </row>
    <row r="779" spans="1:11" x14ac:dyDescent="0.3">
      <c r="A779" t="s">
        <v>186</v>
      </c>
      <c r="B779" s="25">
        <v>45930</v>
      </c>
      <c r="C779">
        <v>534007</v>
      </c>
      <c r="D779" t="s">
        <v>323</v>
      </c>
      <c r="E779" t="s">
        <v>342</v>
      </c>
      <c r="F779">
        <v>167455.96</v>
      </c>
      <c r="G779" s="29">
        <v>1.1164E-2</v>
      </c>
      <c r="H779">
        <v>1214061.49</v>
      </c>
      <c r="I779">
        <v>530117.14</v>
      </c>
      <c r="J779" s="29">
        <v>0.3039</v>
      </c>
      <c r="K779">
        <v>7.07</v>
      </c>
    </row>
    <row r="780" spans="1:11" x14ac:dyDescent="0.3">
      <c r="A780" t="s">
        <v>186</v>
      </c>
      <c r="B780" s="25">
        <v>45961</v>
      </c>
      <c r="C780">
        <v>534007</v>
      </c>
      <c r="D780" t="s">
        <v>323</v>
      </c>
      <c r="E780" t="s">
        <v>342</v>
      </c>
      <c r="F780">
        <v>162800.14000000001</v>
      </c>
      <c r="G780" s="29">
        <v>1.0917E-2</v>
      </c>
      <c r="H780">
        <v>1180306.6100000001</v>
      </c>
      <c r="I780">
        <v>515378.15</v>
      </c>
      <c r="J780" s="29">
        <v>0.3039</v>
      </c>
      <c r="K780">
        <v>7.73</v>
      </c>
    </row>
    <row r="781" spans="1:11" x14ac:dyDescent="0.3">
      <c r="A781" t="s">
        <v>186</v>
      </c>
      <c r="B781" s="25">
        <v>45991</v>
      </c>
      <c r="C781">
        <v>534007</v>
      </c>
      <c r="D781" t="s">
        <v>323</v>
      </c>
      <c r="E781" t="s">
        <v>342</v>
      </c>
      <c r="F781">
        <v>185934.07</v>
      </c>
      <c r="G781" s="29">
        <v>1.172E-2</v>
      </c>
      <c r="H781">
        <v>1348028.47</v>
      </c>
      <c r="I781">
        <v>588613.51</v>
      </c>
      <c r="J781" s="29">
        <v>0.3039</v>
      </c>
      <c r="K781">
        <v>7.36</v>
      </c>
    </row>
    <row r="782" spans="1:11" x14ac:dyDescent="0.3">
      <c r="A782" t="s">
        <v>186</v>
      </c>
      <c r="B782" s="25">
        <v>45657</v>
      </c>
      <c r="C782">
        <v>170046</v>
      </c>
      <c r="D782" t="s">
        <v>320</v>
      </c>
      <c r="E782" t="s">
        <v>349</v>
      </c>
      <c r="F782">
        <v>154813.42000000001</v>
      </c>
      <c r="G782" s="29">
        <v>9.6039999999999997E-3</v>
      </c>
      <c r="H782">
        <v>1400395.74</v>
      </c>
      <c r="I782">
        <v>404026.47</v>
      </c>
      <c r="J782" s="29">
        <v>0.22389999999999999</v>
      </c>
      <c r="K782">
        <v>5.64</v>
      </c>
    </row>
    <row r="783" spans="1:11" x14ac:dyDescent="0.3">
      <c r="A783" t="s">
        <v>186</v>
      </c>
      <c r="B783" s="25">
        <v>45688</v>
      </c>
      <c r="C783">
        <v>170046</v>
      </c>
      <c r="D783" t="s">
        <v>320</v>
      </c>
      <c r="E783" t="s">
        <v>349</v>
      </c>
      <c r="F783">
        <v>206006.22</v>
      </c>
      <c r="G783" s="29">
        <v>1.3341E-2</v>
      </c>
      <c r="H783">
        <v>1863470.39</v>
      </c>
      <c r="I783">
        <v>537627.56999999995</v>
      </c>
      <c r="J783" s="29">
        <v>0.22389999999999999</v>
      </c>
      <c r="K783">
        <v>5.29</v>
      </c>
    </row>
    <row r="784" spans="1:11" x14ac:dyDescent="0.3">
      <c r="A784" t="s">
        <v>186</v>
      </c>
      <c r="B784" s="25">
        <v>45716</v>
      </c>
      <c r="C784">
        <v>170046</v>
      </c>
      <c r="D784" t="s">
        <v>320</v>
      </c>
      <c r="E784" t="s">
        <v>349</v>
      </c>
      <c r="F784">
        <v>178002.07</v>
      </c>
      <c r="G784" s="29">
        <v>1.1536999999999999E-2</v>
      </c>
      <c r="H784">
        <v>1610153.26</v>
      </c>
      <c r="I784">
        <v>464543.36</v>
      </c>
      <c r="J784" s="29">
        <v>0.22389999999999999</v>
      </c>
      <c r="K784">
        <v>5.0999999999999996</v>
      </c>
    </row>
    <row r="785" spans="1:11" x14ac:dyDescent="0.3">
      <c r="A785" t="s">
        <v>186</v>
      </c>
      <c r="B785" s="25">
        <v>45747</v>
      </c>
      <c r="C785">
        <v>170046</v>
      </c>
      <c r="D785" t="s">
        <v>320</v>
      </c>
      <c r="E785" t="s">
        <v>349</v>
      </c>
      <c r="F785">
        <v>173198.9</v>
      </c>
      <c r="G785" s="29">
        <v>1.1497E-2</v>
      </c>
      <c r="H785">
        <v>1566705.21</v>
      </c>
      <c r="I785">
        <v>452008.21</v>
      </c>
      <c r="J785" s="29">
        <v>0.22389999999999999</v>
      </c>
      <c r="K785">
        <v>5.69</v>
      </c>
    </row>
    <row r="786" spans="1:11" x14ac:dyDescent="0.3">
      <c r="A786" t="s">
        <v>186</v>
      </c>
      <c r="B786" s="25">
        <v>45777</v>
      </c>
      <c r="C786">
        <v>170046</v>
      </c>
      <c r="D786" t="s">
        <v>320</v>
      </c>
      <c r="E786" t="s">
        <v>349</v>
      </c>
      <c r="F786">
        <v>145071.66</v>
      </c>
      <c r="G786" s="29">
        <v>9.1979999999999996E-3</v>
      </c>
      <c r="H786">
        <v>1312274.68</v>
      </c>
      <c r="I786">
        <v>378602.77</v>
      </c>
      <c r="J786" s="29">
        <v>0.22389999999999999</v>
      </c>
      <c r="K786">
        <v>5.66</v>
      </c>
    </row>
    <row r="787" spans="1:11" x14ac:dyDescent="0.3">
      <c r="A787" t="s">
        <v>186</v>
      </c>
      <c r="B787" s="25">
        <v>45808</v>
      </c>
      <c r="C787">
        <v>170046</v>
      </c>
      <c r="D787" t="s">
        <v>320</v>
      </c>
      <c r="E787" t="s">
        <v>349</v>
      </c>
      <c r="F787">
        <v>164930.96</v>
      </c>
      <c r="G787" s="29">
        <v>1.0609E-2</v>
      </c>
      <c r="H787">
        <v>1491915.91</v>
      </c>
      <c r="I787">
        <v>430430.84</v>
      </c>
      <c r="J787" s="29">
        <v>0.22389999999999999</v>
      </c>
      <c r="K787">
        <v>6.06</v>
      </c>
    </row>
    <row r="788" spans="1:11" x14ac:dyDescent="0.3">
      <c r="A788" t="s">
        <v>186</v>
      </c>
      <c r="B788" s="25">
        <v>45838</v>
      </c>
      <c r="C788">
        <v>170046</v>
      </c>
      <c r="D788" t="s">
        <v>320</v>
      </c>
      <c r="E788" t="s">
        <v>349</v>
      </c>
      <c r="F788">
        <v>176812.93</v>
      </c>
      <c r="G788" s="29">
        <v>1.1211E-2</v>
      </c>
      <c r="H788">
        <v>1599396.69</v>
      </c>
      <c r="I788">
        <v>461439.99</v>
      </c>
      <c r="J788" s="29">
        <v>0.22389999999999999</v>
      </c>
      <c r="K788">
        <v>6.02</v>
      </c>
    </row>
    <row r="789" spans="1:11" x14ac:dyDescent="0.3">
      <c r="A789" t="s">
        <v>186</v>
      </c>
      <c r="B789" s="25">
        <v>45869</v>
      </c>
      <c r="C789">
        <v>170046</v>
      </c>
      <c r="D789" t="s">
        <v>320</v>
      </c>
      <c r="E789" t="s">
        <v>349</v>
      </c>
      <c r="F789">
        <v>161319.66</v>
      </c>
      <c r="G789" s="29">
        <v>1.0751E-2</v>
      </c>
      <c r="H789">
        <v>1459249.16</v>
      </c>
      <c r="I789">
        <v>421006.2</v>
      </c>
      <c r="J789" s="29">
        <v>0.22389999999999999</v>
      </c>
      <c r="K789">
        <v>6.01</v>
      </c>
    </row>
    <row r="790" spans="1:11" x14ac:dyDescent="0.3">
      <c r="A790" t="s">
        <v>186</v>
      </c>
      <c r="B790" s="25">
        <v>45900</v>
      </c>
      <c r="C790">
        <v>170046</v>
      </c>
      <c r="D790" t="s">
        <v>320</v>
      </c>
      <c r="E790" t="s">
        <v>349</v>
      </c>
      <c r="F790">
        <v>167967.76</v>
      </c>
      <c r="G790" s="29">
        <v>1.1140000000000001E-2</v>
      </c>
      <c r="H790">
        <v>1519385.9</v>
      </c>
      <c r="I790">
        <v>438356.18</v>
      </c>
      <c r="J790" s="29">
        <v>0.22389999999999999</v>
      </c>
      <c r="K790">
        <v>5.69</v>
      </c>
    </row>
    <row r="791" spans="1:11" x14ac:dyDescent="0.3">
      <c r="A791" t="s">
        <v>186</v>
      </c>
      <c r="B791" s="25">
        <v>45930</v>
      </c>
      <c r="C791">
        <v>170046</v>
      </c>
      <c r="D791" t="s">
        <v>320</v>
      </c>
      <c r="E791" t="s">
        <v>349</v>
      </c>
      <c r="F791">
        <v>148228.42000000001</v>
      </c>
      <c r="G791" s="29">
        <v>9.8820000000000002E-3</v>
      </c>
      <c r="H791">
        <v>1340829.76</v>
      </c>
      <c r="I791">
        <v>386841.16</v>
      </c>
      <c r="J791" s="29">
        <v>0.22389999999999999</v>
      </c>
      <c r="K791">
        <v>5.44</v>
      </c>
    </row>
    <row r="792" spans="1:11" x14ac:dyDescent="0.3">
      <c r="A792" t="s">
        <v>186</v>
      </c>
      <c r="B792" s="25">
        <v>45961</v>
      </c>
      <c r="C792">
        <v>170046</v>
      </c>
      <c r="D792" t="s">
        <v>320</v>
      </c>
      <c r="E792" t="s">
        <v>349</v>
      </c>
      <c r="F792">
        <v>175501.5</v>
      </c>
      <c r="G792" s="29">
        <v>1.1769E-2</v>
      </c>
      <c r="H792">
        <v>1587533.86</v>
      </c>
      <c r="I792">
        <v>458017.46</v>
      </c>
      <c r="J792" s="29">
        <v>0.22389999999999999</v>
      </c>
      <c r="K792">
        <v>5.37</v>
      </c>
    </row>
    <row r="793" spans="1:11" x14ac:dyDescent="0.3">
      <c r="A793" t="s">
        <v>186</v>
      </c>
      <c r="B793" s="25">
        <v>45991</v>
      </c>
      <c r="C793">
        <v>170046</v>
      </c>
      <c r="D793" t="s">
        <v>320</v>
      </c>
      <c r="E793" t="s">
        <v>349</v>
      </c>
      <c r="F793">
        <v>179601</v>
      </c>
      <c r="G793" s="29">
        <v>1.1321000000000001E-2</v>
      </c>
      <c r="H793">
        <v>1624616.72</v>
      </c>
      <c r="I793">
        <v>468716.19</v>
      </c>
      <c r="J793" s="29">
        <v>0.22389999999999999</v>
      </c>
      <c r="K793">
        <v>5.63</v>
      </c>
    </row>
    <row r="794" spans="1:11" x14ac:dyDescent="0.3">
      <c r="A794" t="s">
        <v>186</v>
      </c>
      <c r="B794" s="25">
        <v>45657</v>
      </c>
      <c r="C794">
        <v>850609</v>
      </c>
      <c r="D794" t="s">
        <v>323</v>
      </c>
      <c r="E794" t="s">
        <v>344</v>
      </c>
      <c r="F794">
        <v>156460.97</v>
      </c>
      <c r="G794" s="29">
        <v>9.7059999999999994E-3</v>
      </c>
      <c r="H794">
        <v>1141094.83</v>
      </c>
      <c r="I794">
        <v>484702.58</v>
      </c>
      <c r="J794" s="29">
        <v>0.29809999999999998</v>
      </c>
      <c r="K794">
        <v>7.06</v>
      </c>
    </row>
    <row r="795" spans="1:11" x14ac:dyDescent="0.3">
      <c r="A795" t="s">
        <v>186</v>
      </c>
      <c r="B795" s="25">
        <v>45688</v>
      </c>
      <c r="C795">
        <v>850609</v>
      </c>
      <c r="D795" t="s">
        <v>323</v>
      </c>
      <c r="E795" t="s">
        <v>344</v>
      </c>
      <c r="F795">
        <v>161445.51</v>
      </c>
      <c r="G795" s="29">
        <v>1.0455000000000001E-2</v>
      </c>
      <c r="H795">
        <v>1177447.8700000001</v>
      </c>
      <c r="I795">
        <v>500144.25</v>
      </c>
      <c r="J795" s="29">
        <v>0.29809999999999998</v>
      </c>
      <c r="K795">
        <v>7</v>
      </c>
    </row>
    <row r="796" spans="1:11" x14ac:dyDescent="0.3">
      <c r="A796" t="s">
        <v>186</v>
      </c>
      <c r="B796" s="25">
        <v>45716</v>
      </c>
      <c r="C796">
        <v>850609</v>
      </c>
      <c r="D796" t="s">
        <v>323</v>
      </c>
      <c r="E796" t="s">
        <v>344</v>
      </c>
      <c r="F796">
        <v>150418.62</v>
      </c>
      <c r="G796" s="29">
        <v>9.7490000000000007E-3</v>
      </c>
      <c r="H796">
        <v>1097027</v>
      </c>
      <c r="I796">
        <v>465983.9</v>
      </c>
      <c r="J796" s="29">
        <v>0.29809999999999998</v>
      </c>
      <c r="K796">
        <v>7.35</v>
      </c>
    </row>
    <row r="797" spans="1:11" x14ac:dyDescent="0.3">
      <c r="A797" t="s">
        <v>186</v>
      </c>
      <c r="B797" s="25">
        <v>45747</v>
      </c>
      <c r="C797">
        <v>850609</v>
      </c>
      <c r="D797" t="s">
        <v>323</v>
      </c>
      <c r="E797" t="s">
        <v>344</v>
      </c>
      <c r="F797">
        <v>165386.21</v>
      </c>
      <c r="G797" s="29">
        <v>1.0979000000000001E-2</v>
      </c>
      <c r="H797">
        <v>1206188.05</v>
      </c>
      <c r="I797">
        <v>512352.21</v>
      </c>
      <c r="J797" s="29">
        <v>0.29809999999999998</v>
      </c>
      <c r="K797">
        <v>7.28</v>
      </c>
    </row>
    <row r="798" spans="1:11" x14ac:dyDescent="0.3">
      <c r="A798" t="s">
        <v>186</v>
      </c>
      <c r="B798" s="25">
        <v>45777</v>
      </c>
      <c r="C798">
        <v>850609</v>
      </c>
      <c r="D798" t="s">
        <v>323</v>
      </c>
      <c r="E798" t="s">
        <v>344</v>
      </c>
      <c r="F798">
        <v>171905.74</v>
      </c>
      <c r="G798" s="29">
        <v>1.0899000000000001E-2</v>
      </c>
      <c r="H798">
        <v>1253735.98</v>
      </c>
      <c r="I798">
        <v>532549.13</v>
      </c>
      <c r="J798" s="29">
        <v>0.29809999999999998</v>
      </c>
      <c r="K798">
        <v>7.22</v>
      </c>
    </row>
    <row r="799" spans="1:11" x14ac:dyDescent="0.3">
      <c r="A799" t="s">
        <v>186</v>
      </c>
      <c r="B799" s="25">
        <v>45808</v>
      </c>
      <c r="C799">
        <v>850609</v>
      </c>
      <c r="D799" t="s">
        <v>323</v>
      </c>
      <c r="E799" t="s">
        <v>344</v>
      </c>
      <c r="F799">
        <v>141964.85999999999</v>
      </c>
      <c r="G799" s="29">
        <v>9.1319999999999995E-3</v>
      </c>
      <c r="H799">
        <v>1035372.37</v>
      </c>
      <c r="I799">
        <v>439794.87</v>
      </c>
      <c r="J799" s="29">
        <v>0.29809999999999998</v>
      </c>
      <c r="K799">
        <v>7.07</v>
      </c>
    </row>
    <row r="800" spans="1:11" x14ac:dyDescent="0.3">
      <c r="A800" t="s">
        <v>186</v>
      </c>
      <c r="B800" s="25">
        <v>45838</v>
      </c>
      <c r="C800">
        <v>850609</v>
      </c>
      <c r="D800" t="s">
        <v>323</v>
      </c>
      <c r="E800" t="s">
        <v>344</v>
      </c>
      <c r="F800">
        <v>182690.52</v>
      </c>
      <c r="G800" s="29">
        <v>1.1583000000000001E-2</v>
      </c>
      <c r="H800">
        <v>1332391.17</v>
      </c>
      <c r="I800">
        <v>565959.47</v>
      </c>
      <c r="J800" s="29">
        <v>0.29809999999999998</v>
      </c>
      <c r="K800">
        <v>6.96</v>
      </c>
    </row>
    <row r="801" spans="1:11" x14ac:dyDescent="0.3">
      <c r="A801" t="s">
        <v>186</v>
      </c>
      <c r="B801" s="25">
        <v>45869</v>
      </c>
      <c r="C801">
        <v>850609</v>
      </c>
      <c r="D801" t="s">
        <v>323</v>
      </c>
      <c r="E801" t="s">
        <v>344</v>
      </c>
      <c r="F801">
        <v>144151.76999999999</v>
      </c>
      <c r="G801" s="29">
        <v>9.6069999999999992E-3</v>
      </c>
      <c r="H801">
        <v>1051321.9099999999</v>
      </c>
      <c r="I801">
        <v>446569.75</v>
      </c>
      <c r="J801" s="29">
        <v>0.29809999999999998</v>
      </c>
      <c r="K801">
        <v>6.79</v>
      </c>
    </row>
    <row r="802" spans="1:11" x14ac:dyDescent="0.3">
      <c r="A802" t="s">
        <v>186</v>
      </c>
      <c r="B802" s="25">
        <v>45900</v>
      </c>
      <c r="C802">
        <v>850609</v>
      </c>
      <c r="D802" t="s">
        <v>323</v>
      </c>
      <c r="E802" t="s">
        <v>344</v>
      </c>
      <c r="F802">
        <v>180535.75</v>
      </c>
      <c r="G802" s="29">
        <v>1.1974E-2</v>
      </c>
      <c r="H802">
        <v>1316676.04</v>
      </c>
      <c r="I802">
        <v>559284.17000000004</v>
      </c>
      <c r="J802" s="29">
        <v>0.29809999999999998</v>
      </c>
      <c r="K802">
        <v>6.84</v>
      </c>
    </row>
    <row r="803" spans="1:11" x14ac:dyDescent="0.3">
      <c r="A803" t="s">
        <v>186</v>
      </c>
      <c r="B803" s="25">
        <v>45930</v>
      </c>
      <c r="C803">
        <v>850609</v>
      </c>
      <c r="D803" t="s">
        <v>323</v>
      </c>
      <c r="E803" t="s">
        <v>344</v>
      </c>
      <c r="F803">
        <v>161472.82999999999</v>
      </c>
      <c r="G803" s="29">
        <v>1.0765E-2</v>
      </c>
      <c r="H803">
        <v>1177647.1100000001</v>
      </c>
      <c r="I803">
        <v>500228.88</v>
      </c>
      <c r="J803" s="29">
        <v>0.29809999999999998</v>
      </c>
      <c r="K803">
        <v>6.65</v>
      </c>
    </row>
    <row r="804" spans="1:11" x14ac:dyDescent="0.3">
      <c r="A804" t="s">
        <v>186</v>
      </c>
      <c r="B804" s="25">
        <v>45961</v>
      </c>
      <c r="C804">
        <v>850609</v>
      </c>
      <c r="D804" t="s">
        <v>323</v>
      </c>
      <c r="E804" t="s">
        <v>344</v>
      </c>
      <c r="F804">
        <v>154311.26</v>
      </c>
      <c r="G804" s="29">
        <v>1.0348E-2</v>
      </c>
      <c r="H804">
        <v>1125416.6399999999</v>
      </c>
      <c r="I804">
        <v>478042.96</v>
      </c>
      <c r="J804" s="29">
        <v>0.29809999999999998</v>
      </c>
      <c r="K804">
        <v>7.13</v>
      </c>
    </row>
    <row r="805" spans="1:11" x14ac:dyDescent="0.3">
      <c r="A805" t="s">
        <v>186</v>
      </c>
      <c r="B805" s="25">
        <v>45991</v>
      </c>
      <c r="C805">
        <v>850609</v>
      </c>
      <c r="D805" t="s">
        <v>323</v>
      </c>
      <c r="E805" t="s">
        <v>344</v>
      </c>
      <c r="F805">
        <v>153550.39999999999</v>
      </c>
      <c r="G805" s="29">
        <v>9.6790000000000001E-3</v>
      </c>
      <c r="H805">
        <v>1119867.57</v>
      </c>
      <c r="I805">
        <v>475685.88</v>
      </c>
      <c r="J805" s="29">
        <v>0.29809999999999998</v>
      </c>
      <c r="K805">
        <v>6.9</v>
      </c>
    </row>
    <row r="806" spans="1:11" x14ac:dyDescent="0.3">
      <c r="A806" t="s">
        <v>186</v>
      </c>
      <c r="B806" s="25">
        <v>45657</v>
      </c>
      <c r="C806">
        <v>161776</v>
      </c>
      <c r="D806" t="s">
        <v>324</v>
      </c>
      <c r="E806" t="s">
        <v>345</v>
      </c>
      <c r="F806">
        <v>166725.24</v>
      </c>
      <c r="G806" s="29">
        <v>1.0343E-2</v>
      </c>
      <c r="H806">
        <v>1206628.56</v>
      </c>
      <c r="I806">
        <v>605957.53</v>
      </c>
      <c r="J806" s="29">
        <v>0.33429999999999999</v>
      </c>
      <c r="K806">
        <v>7.08</v>
      </c>
    </row>
    <row r="807" spans="1:11" x14ac:dyDescent="0.3">
      <c r="A807" t="s">
        <v>186</v>
      </c>
      <c r="B807" s="25">
        <v>45688</v>
      </c>
      <c r="C807">
        <v>161776</v>
      </c>
      <c r="D807" t="s">
        <v>324</v>
      </c>
      <c r="E807" t="s">
        <v>345</v>
      </c>
      <c r="F807">
        <v>162643.81</v>
      </c>
      <c r="G807" s="29">
        <v>1.0532999999999999E-2</v>
      </c>
      <c r="H807">
        <v>1177090.3600000001</v>
      </c>
      <c r="I807">
        <v>591123.72</v>
      </c>
      <c r="J807" s="29">
        <v>0.33429999999999999</v>
      </c>
      <c r="K807">
        <v>7.53</v>
      </c>
    </row>
    <row r="808" spans="1:11" x14ac:dyDescent="0.3">
      <c r="A808" t="s">
        <v>186</v>
      </c>
      <c r="B808" s="25">
        <v>45716</v>
      </c>
      <c r="C808">
        <v>161776</v>
      </c>
      <c r="D808" t="s">
        <v>324</v>
      </c>
      <c r="E808" t="s">
        <v>345</v>
      </c>
      <c r="F808">
        <v>142495.92000000001</v>
      </c>
      <c r="G808" s="29">
        <v>9.2359999999999994E-3</v>
      </c>
      <c r="H808">
        <v>1031275.43</v>
      </c>
      <c r="I808">
        <v>517896.83</v>
      </c>
      <c r="J808" s="29">
        <v>0.33429999999999999</v>
      </c>
      <c r="K808">
        <v>7.56</v>
      </c>
    </row>
    <row r="809" spans="1:11" x14ac:dyDescent="0.3">
      <c r="A809" t="s">
        <v>186</v>
      </c>
      <c r="B809" s="25">
        <v>45747</v>
      </c>
      <c r="C809">
        <v>161776</v>
      </c>
      <c r="D809" t="s">
        <v>324</v>
      </c>
      <c r="E809" t="s">
        <v>345</v>
      </c>
      <c r="F809">
        <v>184002.41</v>
      </c>
      <c r="G809" s="29">
        <v>1.2215E-2</v>
      </c>
      <c r="H809">
        <v>1331667.3799999999</v>
      </c>
      <c r="I809">
        <v>668750.85</v>
      </c>
      <c r="J809" s="29">
        <v>0.33429999999999999</v>
      </c>
      <c r="K809">
        <v>7.57</v>
      </c>
    </row>
    <row r="810" spans="1:11" x14ac:dyDescent="0.3">
      <c r="A810" t="s">
        <v>186</v>
      </c>
      <c r="B810" s="25">
        <v>45777</v>
      </c>
      <c r="C810">
        <v>161776</v>
      </c>
      <c r="D810" t="s">
        <v>324</v>
      </c>
      <c r="E810" t="s">
        <v>345</v>
      </c>
      <c r="F810">
        <v>166522.99</v>
      </c>
      <c r="G810" s="29">
        <v>1.0558000000000001E-2</v>
      </c>
      <c r="H810">
        <v>1205164.8</v>
      </c>
      <c r="I810">
        <v>605222.44999999995</v>
      </c>
      <c r="J810" s="29">
        <v>0.33429999999999999</v>
      </c>
      <c r="K810">
        <v>7.09</v>
      </c>
    </row>
    <row r="811" spans="1:11" x14ac:dyDescent="0.3">
      <c r="A811" t="s">
        <v>186</v>
      </c>
      <c r="B811" s="25">
        <v>45808</v>
      </c>
      <c r="C811">
        <v>161776</v>
      </c>
      <c r="D811" t="s">
        <v>324</v>
      </c>
      <c r="E811" t="s">
        <v>345</v>
      </c>
      <c r="F811">
        <v>147964.76999999999</v>
      </c>
      <c r="G811" s="29">
        <v>9.5180000000000004E-3</v>
      </c>
      <c r="H811">
        <v>1070854.75</v>
      </c>
      <c r="I811">
        <v>537773.19999999995</v>
      </c>
      <c r="J811" s="29">
        <v>0.33429999999999999</v>
      </c>
      <c r="K811">
        <v>7.57</v>
      </c>
    </row>
    <row r="812" spans="1:11" x14ac:dyDescent="0.3">
      <c r="A812" t="s">
        <v>186</v>
      </c>
      <c r="B812" s="25">
        <v>45838</v>
      </c>
      <c r="C812">
        <v>161776</v>
      </c>
      <c r="D812" t="s">
        <v>324</v>
      </c>
      <c r="E812" t="s">
        <v>345</v>
      </c>
      <c r="F812">
        <v>165622.44</v>
      </c>
      <c r="G812" s="29">
        <v>1.0501E-2</v>
      </c>
      <c r="H812">
        <v>1198647.3500000001</v>
      </c>
      <c r="I812">
        <v>601949.43999999994</v>
      </c>
      <c r="J812" s="29">
        <v>0.33429999999999999</v>
      </c>
      <c r="K812">
        <v>7.69</v>
      </c>
    </row>
    <row r="813" spans="1:11" x14ac:dyDescent="0.3">
      <c r="A813" t="s">
        <v>186</v>
      </c>
      <c r="B813" s="25">
        <v>45869</v>
      </c>
      <c r="C813">
        <v>161776</v>
      </c>
      <c r="D813" t="s">
        <v>324</v>
      </c>
      <c r="E813" t="s">
        <v>345</v>
      </c>
      <c r="F813">
        <v>178052.2</v>
      </c>
      <c r="G813" s="29">
        <v>1.1867000000000001E-2</v>
      </c>
      <c r="H813">
        <v>1288604.3700000001</v>
      </c>
      <c r="I813">
        <v>647125.01</v>
      </c>
      <c r="J813" s="29">
        <v>0.33429999999999999</v>
      </c>
      <c r="K813">
        <v>6.85</v>
      </c>
    </row>
    <row r="814" spans="1:11" x14ac:dyDescent="0.3">
      <c r="A814" t="s">
        <v>186</v>
      </c>
      <c r="B814" s="25">
        <v>45900</v>
      </c>
      <c r="C814">
        <v>161776</v>
      </c>
      <c r="D814" t="s">
        <v>324</v>
      </c>
      <c r="E814" t="s">
        <v>345</v>
      </c>
      <c r="F814">
        <v>163584.07999999999</v>
      </c>
      <c r="G814" s="29">
        <v>1.085E-2</v>
      </c>
      <c r="H814">
        <v>1183895.31</v>
      </c>
      <c r="I814">
        <v>594541.1</v>
      </c>
      <c r="J814" s="29">
        <v>0.33429999999999999</v>
      </c>
      <c r="K814">
        <v>6.89</v>
      </c>
    </row>
    <row r="815" spans="1:11" x14ac:dyDescent="0.3">
      <c r="A815" t="s">
        <v>186</v>
      </c>
      <c r="B815" s="25">
        <v>45930</v>
      </c>
      <c r="C815">
        <v>161776</v>
      </c>
      <c r="D815" t="s">
        <v>324</v>
      </c>
      <c r="E815" t="s">
        <v>345</v>
      </c>
      <c r="F815">
        <v>169896.46</v>
      </c>
      <c r="G815" s="29">
        <v>1.1327E-2</v>
      </c>
      <c r="H815">
        <v>1229579.44</v>
      </c>
      <c r="I815">
        <v>617483.24</v>
      </c>
      <c r="J815" s="29">
        <v>0.33429999999999999</v>
      </c>
      <c r="K815">
        <v>7.06</v>
      </c>
    </row>
    <row r="816" spans="1:11" x14ac:dyDescent="0.3">
      <c r="A816" t="s">
        <v>186</v>
      </c>
      <c r="B816" s="25">
        <v>45961</v>
      </c>
      <c r="C816">
        <v>161776</v>
      </c>
      <c r="D816" t="s">
        <v>324</v>
      </c>
      <c r="E816" t="s">
        <v>345</v>
      </c>
      <c r="F816">
        <v>160790.42000000001</v>
      </c>
      <c r="G816" s="29">
        <v>1.0783000000000001E-2</v>
      </c>
      <c r="H816">
        <v>1163676.93</v>
      </c>
      <c r="I816">
        <v>584387.62</v>
      </c>
      <c r="J816" s="29">
        <v>0.33429999999999999</v>
      </c>
      <c r="K816">
        <v>7.23</v>
      </c>
    </row>
    <row r="817" spans="1:11" x14ac:dyDescent="0.3">
      <c r="A817" t="s">
        <v>186</v>
      </c>
      <c r="B817" s="25">
        <v>45991</v>
      </c>
      <c r="C817">
        <v>161776</v>
      </c>
      <c r="D817" t="s">
        <v>324</v>
      </c>
      <c r="E817" t="s">
        <v>345</v>
      </c>
      <c r="F817">
        <v>164240.84</v>
      </c>
      <c r="G817" s="29">
        <v>1.0351999999999998E-2</v>
      </c>
      <c r="H817">
        <v>1188648.3999999999</v>
      </c>
      <c r="I817">
        <v>596928.06000000006</v>
      </c>
      <c r="J817" s="29">
        <v>0.33429999999999999</v>
      </c>
      <c r="K817">
        <v>7.26</v>
      </c>
    </row>
    <row r="818" spans="1:11" x14ac:dyDescent="0.3">
      <c r="A818" t="s">
        <v>186</v>
      </c>
      <c r="B818" s="25">
        <v>45657</v>
      </c>
      <c r="C818">
        <v>805000</v>
      </c>
      <c r="D818" t="s">
        <v>268</v>
      </c>
      <c r="E818" t="s">
        <v>348</v>
      </c>
      <c r="F818">
        <v>168237.69</v>
      </c>
      <c r="G818" s="29">
        <v>1.0437E-2</v>
      </c>
      <c r="H818">
        <v>1593364.87</v>
      </c>
      <c r="I818">
        <v>453453.44</v>
      </c>
      <c r="J818" s="29">
        <v>0.2215</v>
      </c>
      <c r="K818">
        <v>5.45</v>
      </c>
    </row>
    <row r="819" spans="1:11" x14ac:dyDescent="0.3">
      <c r="A819" t="s">
        <v>186</v>
      </c>
      <c r="B819" s="25">
        <v>45688</v>
      </c>
      <c r="C819">
        <v>805000</v>
      </c>
      <c r="D819" t="s">
        <v>268</v>
      </c>
      <c r="E819" t="s">
        <v>348</v>
      </c>
      <c r="F819">
        <v>184619.75</v>
      </c>
      <c r="G819" s="29">
        <v>1.1956E-2</v>
      </c>
      <c r="H819">
        <v>1748517.96</v>
      </c>
      <c r="I819">
        <v>497608.23</v>
      </c>
      <c r="J819" s="29">
        <v>0.2215</v>
      </c>
      <c r="K819">
        <v>5.79</v>
      </c>
    </row>
    <row r="820" spans="1:11" x14ac:dyDescent="0.3">
      <c r="A820" t="s">
        <v>186</v>
      </c>
      <c r="B820" s="25">
        <v>45716</v>
      </c>
      <c r="C820">
        <v>805000</v>
      </c>
      <c r="D820" t="s">
        <v>268</v>
      </c>
      <c r="E820" t="s">
        <v>348</v>
      </c>
      <c r="F820">
        <v>183876.52</v>
      </c>
      <c r="G820" s="29">
        <v>1.1918E-2</v>
      </c>
      <c r="H820">
        <v>1741478.93</v>
      </c>
      <c r="I820">
        <v>495605.01</v>
      </c>
      <c r="J820" s="29">
        <v>0.2215</v>
      </c>
      <c r="K820">
        <v>5.31</v>
      </c>
    </row>
    <row r="821" spans="1:11" x14ac:dyDescent="0.3">
      <c r="A821" t="s">
        <v>186</v>
      </c>
      <c r="B821" s="25">
        <v>45747</v>
      </c>
      <c r="C821">
        <v>805000</v>
      </c>
      <c r="D821" t="s">
        <v>268</v>
      </c>
      <c r="E821" t="s">
        <v>348</v>
      </c>
      <c r="F821">
        <v>175485.69</v>
      </c>
      <c r="G821" s="29">
        <v>1.1649E-2</v>
      </c>
      <c r="H821">
        <v>1662010.12</v>
      </c>
      <c r="I821">
        <v>472989.09</v>
      </c>
      <c r="J821" s="29">
        <v>0.2215</v>
      </c>
      <c r="K821">
        <v>5.54</v>
      </c>
    </row>
    <row r="822" spans="1:11" x14ac:dyDescent="0.3">
      <c r="A822" t="s">
        <v>186</v>
      </c>
      <c r="B822" s="25">
        <v>45777</v>
      </c>
      <c r="C822">
        <v>805000</v>
      </c>
      <c r="D822" t="s">
        <v>268</v>
      </c>
      <c r="E822" t="s">
        <v>348</v>
      </c>
      <c r="F822">
        <v>151036.69</v>
      </c>
      <c r="G822" s="29">
        <v>9.5759999999999994E-3</v>
      </c>
      <c r="H822">
        <v>1430455.67</v>
      </c>
      <c r="I822">
        <v>407091.34</v>
      </c>
      <c r="J822" s="29">
        <v>0.2215</v>
      </c>
      <c r="K822">
        <v>5.33</v>
      </c>
    </row>
    <row r="823" spans="1:11" x14ac:dyDescent="0.3">
      <c r="A823" t="s">
        <v>186</v>
      </c>
      <c r="B823" s="25">
        <v>45808</v>
      </c>
      <c r="C823">
        <v>805000</v>
      </c>
      <c r="D823" t="s">
        <v>268</v>
      </c>
      <c r="E823" t="s">
        <v>348</v>
      </c>
      <c r="F823">
        <v>149085.72</v>
      </c>
      <c r="G823" s="29">
        <v>9.5899999999999996E-3</v>
      </c>
      <c r="H823">
        <v>1411978.25</v>
      </c>
      <c r="I823">
        <v>401832.88</v>
      </c>
      <c r="J823" s="29">
        <v>0.2215</v>
      </c>
      <c r="K823">
        <v>5.29</v>
      </c>
    </row>
    <row r="824" spans="1:11" x14ac:dyDescent="0.3">
      <c r="A824" t="s">
        <v>186</v>
      </c>
      <c r="B824" s="25">
        <v>45838</v>
      </c>
      <c r="C824">
        <v>805000</v>
      </c>
      <c r="D824" t="s">
        <v>268</v>
      </c>
      <c r="E824" t="s">
        <v>348</v>
      </c>
      <c r="F824">
        <v>145652.45000000001</v>
      </c>
      <c r="G824" s="29">
        <v>9.2350000000000002E-3</v>
      </c>
      <c r="H824">
        <v>1379462</v>
      </c>
      <c r="I824">
        <v>392579.12</v>
      </c>
      <c r="J824" s="29">
        <v>0.2215</v>
      </c>
      <c r="K824">
        <v>5</v>
      </c>
    </row>
    <row r="825" spans="1:11" x14ac:dyDescent="0.3">
      <c r="A825" t="s">
        <v>186</v>
      </c>
      <c r="B825" s="25">
        <v>45869</v>
      </c>
      <c r="C825">
        <v>805000</v>
      </c>
      <c r="D825" t="s">
        <v>268</v>
      </c>
      <c r="E825" t="s">
        <v>348</v>
      </c>
      <c r="F825">
        <v>143603.37</v>
      </c>
      <c r="G825" s="29">
        <v>9.5709999999999996E-3</v>
      </c>
      <c r="H825">
        <v>1360055.3</v>
      </c>
      <c r="I825">
        <v>387056.2</v>
      </c>
      <c r="J825" s="29">
        <v>0.2215</v>
      </c>
      <c r="K825">
        <v>5.47</v>
      </c>
    </row>
    <row r="826" spans="1:11" x14ac:dyDescent="0.3">
      <c r="A826" t="s">
        <v>186</v>
      </c>
      <c r="B826" s="25">
        <v>45900</v>
      </c>
      <c r="C826">
        <v>805000</v>
      </c>
      <c r="D826" t="s">
        <v>268</v>
      </c>
      <c r="E826" t="s">
        <v>348</v>
      </c>
      <c r="F826">
        <v>153661.97</v>
      </c>
      <c r="G826" s="29">
        <v>1.0192000000000001E-2</v>
      </c>
      <c r="H826">
        <v>1455319.51</v>
      </c>
      <c r="I826">
        <v>414167.3</v>
      </c>
      <c r="J826" s="29">
        <v>0.2215</v>
      </c>
      <c r="K826">
        <v>6.06</v>
      </c>
    </row>
    <row r="827" spans="1:11" x14ac:dyDescent="0.3">
      <c r="A827" t="s">
        <v>186</v>
      </c>
      <c r="B827" s="25">
        <v>45930</v>
      </c>
      <c r="C827">
        <v>805000</v>
      </c>
      <c r="D827" t="s">
        <v>268</v>
      </c>
      <c r="E827" t="s">
        <v>348</v>
      </c>
      <c r="F827">
        <v>140328.17000000001</v>
      </c>
      <c r="G827" s="29">
        <v>9.3559999999999997E-3</v>
      </c>
      <c r="H827">
        <v>1329036.2</v>
      </c>
      <c r="I827">
        <v>378228.52</v>
      </c>
      <c r="J827" s="29">
        <v>0.2215</v>
      </c>
      <c r="K827">
        <v>5.28</v>
      </c>
    </row>
    <row r="828" spans="1:11" x14ac:dyDescent="0.3">
      <c r="A828" t="s">
        <v>186</v>
      </c>
      <c r="B828" s="25">
        <v>45961</v>
      </c>
      <c r="C828">
        <v>805000</v>
      </c>
      <c r="D828" t="s">
        <v>268</v>
      </c>
      <c r="E828" t="s">
        <v>348</v>
      </c>
      <c r="F828">
        <v>168497.44</v>
      </c>
      <c r="G828" s="29">
        <v>1.1298999999999998E-2</v>
      </c>
      <c r="H828">
        <v>1595824.97</v>
      </c>
      <c r="I828">
        <v>454153.55</v>
      </c>
      <c r="J828" s="29">
        <v>0.2215</v>
      </c>
      <c r="K828">
        <v>5.66</v>
      </c>
    </row>
    <row r="829" spans="1:11" x14ac:dyDescent="0.3">
      <c r="A829" t="s">
        <v>186</v>
      </c>
      <c r="B829" s="25">
        <v>45991</v>
      </c>
      <c r="C829">
        <v>805000</v>
      </c>
      <c r="D829" t="s">
        <v>268</v>
      </c>
      <c r="E829" t="s">
        <v>348</v>
      </c>
      <c r="F829">
        <v>168962.75</v>
      </c>
      <c r="G829" s="29">
        <v>1.065E-2</v>
      </c>
      <c r="H829">
        <v>1600231.85</v>
      </c>
      <c r="I829">
        <v>455407.7</v>
      </c>
      <c r="J829" s="29">
        <v>0.2215</v>
      </c>
      <c r="K829">
        <v>5.46</v>
      </c>
    </row>
    <row r="830" spans="1:11" x14ac:dyDescent="0.3">
      <c r="A830" t="s">
        <v>186</v>
      </c>
      <c r="B830" s="25">
        <v>45657</v>
      </c>
      <c r="C830">
        <v>473360</v>
      </c>
      <c r="D830" t="s">
        <v>324</v>
      </c>
      <c r="E830" t="s">
        <v>345</v>
      </c>
      <c r="F830">
        <v>172783.84</v>
      </c>
      <c r="G830" s="29">
        <v>1.0719000000000001E-2</v>
      </c>
      <c r="H830">
        <v>1719079.05</v>
      </c>
      <c r="I830">
        <v>468938</v>
      </c>
      <c r="J830" s="29">
        <v>0.21429999999999999</v>
      </c>
      <c r="K830">
        <v>4.97</v>
      </c>
    </row>
    <row r="831" spans="1:11" x14ac:dyDescent="0.3">
      <c r="A831" t="s">
        <v>186</v>
      </c>
      <c r="B831" s="25">
        <v>45688</v>
      </c>
      <c r="C831">
        <v>473360</v>
      </c>
      <c r="D831" t="s">
        <v>324</v>
      </c>
      <c r="E831" t="s">
        <v>345</v>
      </c>
      <c r="F831">
        <v>166735.1</v>
      </c>
      <c r="G831" s="29">
        <v>1.0798E-2</v>
      </c>
      <c r="H831">
        <v>1658898.29</v>
      </c>
      <c r="I831">
        <v>452521.62</v>
      </c>
      <c r="J831" s="29">
        <v>0.21429999999999999</v>
      </c>
      <c r="K831">
        <v>5.48</v>
      </c>
    </row>
    <row r="832" spans="1:11" x14ac:dyDescent="0.3">
      <c r="A832" t="s">
        <v>186</v>
      </c>
      <c r="B832" s="25">
        <v>45716</v>
      </c>
      <c r="C832">
        <v>473360</v>
      </c>
      <c r="D832" t="s">
        <v>324</v>
      </c>
      <c r="E832" t="s">
        <v>345</v>
      </c>
      <c r="F832">
        <v>138819.38</v>
      </c>
      <c r="G832" s="29">
        <v>8.9980000000000008E-3</v>
      </c>
      <c r="H832">
        <v>1381156.25</v>
      </c>
      <c r="I832">
        <v>376757.92</v>
      </c>
      <c r="J832" s="29">
        <v>0.21429999999999999</v>
      </c>
      <c r="K832">
        <v>4.96</v>
      </c>
    </row>
    <row r="833" spans="1:11" x14ac:dyDescent="0.3">
      <c r="A833" t="s">
        <v>186</v>
      </c>
      <c r="B833" s="25">
        <v>45747</v>
      </c>
      <c r="C833">
        <v>473360</v>
      </c>
      <c r="D833" t="s">
        <v>324</v>
      </c>
      <c r="E833" t="s">
        <v>345</v>
      </c>
      <c r="F833">
        <v>164216.22</v>
      </c>
      <c r="G833" s="29">
        <v>1.0901000000000001E-2</v>
      </c>
      <c r="H833">
        <v>1633837.2</v>
      </c>
      <c r="I833">
        <v>445685.35</v>
      </c>
      <c r="J833" s="29">
        <v>0.21429999999999999</v>
      </c>
      <c r="K833">
        <v>5.28</v>
      </c>
    </row>
    <row r="834" spans="1:11" x14ac:dyDescent="0.3">
      <c r="A834" t="s">
        <v>186</v>
      </c>
      <c r="B834" s="25">
        <v>45777</v>
      </c>
      <c r="C834">
        <v>473360</v>
      </c>
      <c r="D834" t="s">
        <v>324</v>
      </c>
      <c r="E834" t="s">
        <v>345</v>
      </c>
      <c r="F834">
        <v>168440.47</v>
      </c>
      <c r="G834" s="29">
        <v>1.068E-2</v>
      </c>
      <c r="H834">
        <v>1675865.57</v>
      </c>
      <c r="I834">
        <v>457150.03</v>
      </c>
      <c r="J834" s="29">
        <v>0.21429999999999999</v>
      </c>
      <c r="K834">
        <v>5.0199999999999996</v>
      </c>
    </row>
    <row r="835" spans="1:11" x14ac:dyDescent="0.3">
      <c r="A835" t="s">
        <v>186</v>
      </c>
      <c r="B835" s="25">
        <v>45808</v>
      </c>
      <c r="C835">
        <v>473360</v>
      </c>
      <c r="D835" t="s">
        <v>324</v>
      </c>
      <c r="E835" t="s">
        <v>345</v>
      </c>
      <c r="F835">
        <v>154564.45000000001</v>
      </c>
      <c r="G835" s="29">
        <v>9.9419999999999994E-3</v>
      </c>
      <c r="H835">
        <v>1537808.8</v>
      </c>
      <c r="I835">
        <v>419490.29</v>
      </c>
      <c r="J835" s="29">
        <v>0.21429999999999999</v>
      </c>
      <c r="K835">
        <v>5.29</v>
      </c>
    </row>
    <row r="836" spans="1:11" x14ac:dyDescent="0.3">
      <c r="A836" t="s">
        <v>186</v>
      </c>
      <c r="B836" s="25">
        <v>45838</v>
      </c>
      <c r="C836">
        <v>473360</v>
      </c>
      <c r="D836" t="s">
        <v>324</v>
      </c>
      <c r="E836" t="s">
        <v>345</v>
      </c>
      <c r="F836">
        <v>159643.06</v>
      </c>
      <c r="G836" s="29">
        <v>1.0121999999999999E-2</v>
      </c>
      <c r="H836">
        <v>1588337.44</v>
      </c>
      <c r="I836">
        <v>433273.72</v>
      </c>
      <c r="J836" s="29">
        <v>0.21429999999999999</v>
      </c>
      <c r="K836">
        <v>5.33</v>
      </c>
    </row>
    <row r="837" spans="1:11" x14ac:dyDescent="0.3">
      <c r="A837" t="s">
        <v>186</v>
      </c>
      <c r="B837" s="25">
        <v>45869</v>
      </c>
      <c r="C837">
        <v>473360</v>
      </c>
      <c r="D837" t="s">
        <v>324</v>
      </c>
      <c r="E837" t="s">
        <v>345</v>
      </c>
      <c r="F837">
        <v>175400.05</v>
      </c>
      <c r="G837" s="29">
        <v>1.1690000000000001E-2</v>
      </c>
      <c r="H837">
        <v>1745108.47</v>
      </c>
      <c r="I837">
        <v>476038.42</v>
      </c>
      <c r="J837" s="29">
        <v>0.21429999999999999</v>
      </c>
      <c r="K837">
        <v>5.4</v>
      </c>
    </row>
    <row r="838" spans="1:11" x14ac:dyDescent="0.3">
      <c r="A838" t="s">
        <v>186</v>
      </c>
      <c r="B838" s="25">
        <v>45900</v>
      </c>
      <c r="C838">
        <v>473360</v>
      </c>
      <c r="D838" t="s">
        <v>324</v>
      </c>
      <c r="E838" t="s">
        <v>345</v>
      </c>
      <c r="F838">
        <v>165190.35</v>
      </c>
      <c r="G838" s="29">
        <v>1.0955999999999999E-2</v>
      </c>
      <c r="H838">
        <v>1643529.12</v>
      </c>
      <c r="I838">
        <v>448329.15</v>
      </c>
      <c r="J838" s="29">
        <v>0.21429999999999999</v>
      </c>
      <c r="K838">
        <v>5.17</v>
      </c>
    </row>
    <row r="839" spans="1:11" x14ac:dyDescent="0.3">
      <c r="A839" t="s">
        <v>186</v>
      </c>
      <c r="B839" s="25">
        <v>45930</v>
      </c>
      <c r="C839">
        <v>473360</v>
      </c>
      <c r="D839" t="s">
        <v>324</v>
      </c>
      <c r="E839" t="s">
        <v>345</v>
      </c>
      <c r="F839">
        <v>164439.54999999999</v>
      </c>
      <c r="G839" s="29">
        <v>1.0963000000000001E-2</v>
      </c>
      <c r="H839">
        <v>1636059.16</v>
      </c>
      <c r="I839">
        <v>446291.46</v>
      </c>
      <c r="J839" s="29">
        <v>0.21429999999999999</v>
      </c>
      <c r="K839">
        <v>5.05</v>
      </c>
    </row>
    <row r="840" spans="1:11" x14ac:dyDescent="0.3">
      <c r="A840" t="s">
        <v>186</v>
      </c>
      <c r="B840" s="25">
        <v>45961</v>
      </c>
      <c r="C840">
        <v>473360</v>
      </c>
      <c r="D840" t="s">
        <v>324</v>
      </c>
      <c r="E840" t="s">
        <v>345</v>
      </c>
      <c r="F840">
        <v>123562</v>
      </c>
      <c r="G840" s="29">
        <v>8.286E-3</v>
      </c>
      <c r="H840">
        <v>1229355.95</v>
      </c>
      <c r="I840">
        <v>335349.15999999997</v>
      </c>
      <c r="J840" s="29">
        <v>0.21429999999999999</v>
      </c>
      <c r="K840">
        <v>5.81</v>
      </c>
    </row>
    <row r="841" spans="1:11" x14ac:dyDescent="0.3">
      <c r="A841" t="s">
        <v>186</v>
      </c>
      <c r="B841" s="25">
        <v>45991</v>
      </c>
      <c r="C841">
        <v>473360</v>
      </c>
      <c r="D841" t="s">
        <v>324</v>
      </c>
      <c r="E841" t="s">
        <v>345</v>
      </c>
      <c r="F841">
        <v>142630.71</v>
      </c>
      <c r="G841" s="29">
        <v>8.9899999999999997E-3</v>
      </c>
      <c r="H841">
        <v>1419076.37</v>
      </c>
      <c r="I841">
        <v>387101.94</v>
      </c>
      <c r="J841" s="29">
        <v>0.21429999999999999</v>
      </c>
      <c r="K841">
        <v>5.55</v>
      </c>
    </row>
    <row r="842" spans="1:11" x14ac:dyDescent="0.3">
      <c r="A842" t="s">
        <v>186</v>
      </c>
      <c r="B842" s="25">
        <v>45657</v>
      </c>
      <c r="C842">
        <v>139802</v>
      </c>
      <c r="D842" t="s">
        <v>320</v>
      </c>
      <c r="E842" t="s">
        <v>343</v>
      </c>
      <c r="F842">
        <v>143604.29999999999</v>
      </c>
      <c r="G842" s="29">
        <v>8.908000000000001E-3</v>
      </c>
      <c r="H842">
        <v>1071991.1200000001</v>
      </c>
      <c r="I842">
        <v>486436.94</v>
      </c>
      <c r="J842" s="29">
        <v>0.31209999999999999</v>
      </c>
      <c r="K842">
        <v>6.98</v>
      </c>
    </row>
    <row r="843" spans="1:11" x14ac:dyDescent="0.3">
      <c r="A843" t="s">
        <v>186</v>
      </c>
      <c r="B843" s="25">
        <v>45688</v>
      </c>
      <c r="C843">
        <v>139802</v>
      </c>
      <c r="D843" t="s">
        <v>320</v>
      </c>
      <c r="E843" t="s">
        <v>343</v>
      </c>
      <c r="F843">
        <v>131976.99</v>
      </c>
      <c r="G843" s="29">
        <v>8.5470000000000008E-3</v>
      </c>
      <c r="H843">
        <v>985194.47</v>
      </c>
      <c r="I843">
        <v>447051.26</v>
      </c>
      <c r="J843" s="29">
        <v>0.31209999999999999</v>
      </c>
      <c r="K843">
        <v>6.98</v>
      </c>
    </row>
    <row r="844" spans="1:11" x14ac:dyDescent="0.3">
      <c r="A844" t="s">
        <v>186</v>
      </c>
      <c r="B844" s="25">
        <v>45716</v>
      </c>
      <c r="C844">
        <v>139802</v>
      </c>
      <c r="D844" t="s">
        <v>320</v>
      </c>
      <c r="E844" t="s">
        <v>343</v>
      </c>
      <c r="F844">
        <v>164588.29</v>
      </c>
      <c r="G844" s="29">
        <v>1.0668E-2</v>
      </c>
      <c r="H844">
        <v>1228634.47</v>
      </c>
      <c r="I844">
        <v>557516.92000000004</v>
      </c>
      <c r="J844" s="29">
        <v>0.31209999999999999</v>
      </c>
      <c r="K844">
        <v>6.09</v>
      </c>
    </row>
    <row r="845" spans="1:11" x14ac:dyDescent="0.3">
      <c r="A845" t="s">
        <v>186</v>
      </c>
      <c r="B845" s="25">
        <v>45747</v>
      </c>
      <c r="C845">
        <v>139802</v>
      </c>
      <c r="D845" t="s">
        <v>320</v>
      </c>
      <c r="E845" t="s">
        <v>343</v>
      </c>
      <c r="F845">
        <v>143144.04999999999</v>
      </c>
      <c r="G845" s="29">
        <v>9.502E-3</v>
      </c>
      <c r="H845">
        <v>1068555.42</v>
      </c>
      <c r="I845">
        <v>484877.92</v>
      </c>
      <c r="J845" s="29">
        <v>0.31209999999999999</v>
      </c>
      <c r="K845">
        <v>6.72</v>
      </c>
    </row>
    <row r="846" spans="1:11" x14ac:dyDescent="0.3">
      <c r="A846" t="s">
        <v>186</v>
      </c>
      <c r="B846" s="25">
        <v>45777</v>
      </c>
      <c r="C846">
        <v>139802</v>
      </c>
      <c r="D846" t="s">
        <v>320</v>
      </c>
      <c r="E846" t="s">
        <v>343</v>
      </c>
      <c r="F846">
        <v>153380.07999999999</v>
      </c>
      <c r="G846" s="29">
        <v>9.725000000000001E-3</v>
      </c>
      <c r="H846">
        <v>1144966.3400000001</v>
      </c>
      <c r="I846">
        <v>519550.87</v>
      </c>
      <c r="J846" s="29">
        <v>0.31209999999999999</v>
      </c>
      <c r="K846">
        <v>6.54</v>
      </c>
    </row>
    <row r="847" spans="1:11" x14ac:dyDescent="0.3">
      <c r="A847" t="s">
        <v>186</v>
      </c>
      <c r="B847" s="25">
        <v>45808</v>
      </c>
      <c r="C847">
        <v>139802</v>
      </c>
      <c r="D847" t="s">
        <v>320</v>
      </c>
      <c r="E847" t="s">
        <v>343</v>
      </c>
      <c r="F847">
        <v>135111.92000000001</v>
      </c>
      <c r="G847" s="29">
        <v>8.6909999999999991E-3</v>
      </c>
      <c r="H847">
        <v>1008596.39</v>
      </c>
      <c r="I847">
        <v>457670.34</v>
      </c>
      <c r="J847" s="29">
        <v>0.31209999999999999</v>
      </c>
      <c r="K847">
        <v>7.71</v>
      </c>
    </row>
    <row r="848" spans="1:11" x14ac:dyDescent="0.3">
      <c r="A848" t="s">
        <v>186</v>
      </c>
      <c r="B848" s="25">
        <v>45838</v>
      </c>
      <c r="C848">
        <v>139802</v>
      </c>
      <c r="D848" t="s">
        <v>320</v>
      </c>
      <c r="E848" t="s">
        <v>343</v>
      </c>
      <c r="F848">
        <v>161608.4</v>
      </c>
      <c r="G848" s="29">
        <v>1.0246999999999999E-2</v>
      </c>
      <c r="H848">
        <v>1206389.8799999999</v>
      </c>
      <c r="I848">
        <v>547423</v>
      </c>
      <c r="J848" s="29">
        <v>0.31209999999999999</v>
      </c>
      <c r="K848">
        <v>6.66</v>
      </c>
    </row>
    <row r="849" spans="1:11" x14ac:dyDescent="0.3">
      <c r="A849" t="s">
        <v>186</v>
      </c>
      <c r="B849" s="25">
        <v>45869</v>
      </c>
      <c r="C849">
        <v>139802</v>
      </c>
      <c r="D849" t="s">
        <v>320</v>
      </c>
      <c r="E849" t="s">
        <v>343</v>
      </c>
      <c r="F849">
        <v>165602.25</v>
      </c>
      <c r="G849" s="29">
        <v>1.1036999999999998E-2</v>
      </c>
      <c r="H849">
        <v>1236203.52</v>
      </c>
      <c r="I849">
        <v>560951.53</v>
      </c>
      <c r="J849" s="29">
        <v>0.31209999999999999</v>
      </c>
      <c r="K849">
        <v>6.72</v>
      </c>
    </row>
    <row r="850" spans="1:11" x14ac:dyDescent="0.3">
      <c r="A850" t="s">
        <v>186</v>
      </c>
      <c r="B850" s="25">
        <v>45900</v>
      </c>
      <c r="C850">
        <v>139802</v>
      </c>
      <c r="D850" t="s">
        <v>320</v>
      </c>
      <c r="E850" t="s">
        <v>343</v>
      </c>
      <c r="F850">
        <v>153393.01</v>
      </c>
      <c r="G850" s="29">
        <v>1.0174000000000001E-2</v>
      </c>
      <c r="H850">
        <v>1145062.8400000001</v>
      </c>
      <c r="I850">
        <v>519594.66</v>
      </c>
      <c r="J850" s="29">
        <v>0.31209999999999999</v>
      </c>
      <c r="K850">
        <v>6.38</v>
      </c>
    </row>
    <row r="851" spans="1:11" x14ac:dyDescent="0.3">
      <c r="A851" t="s">
        <v>186</v>
      </c>
      <c r="B851" s="25">
        <v>45930</v>
      </c>
      <c r="C851">
        <v>139802</v>
      </c>
      <c r="D851" t="s">
        <v>320</v>
      </c>
      <c r="E851" t="s">
        <v>343</v>
      </c>
      <c r="F851">
        <v>153877.07</v>
      </c>
      <c r="G851" s="29">
        <v>1.0259000000000001E-2</v>
      </c>
      <c r="H851">
        <v>1148676.31</v>
      </c>
      <c r="I851">
        <v>521234.34</v>
      </c>
      <c r="J851" s="29">
        <v>0.31209999999999999</v>
      </c>
      <c r="K851">
        <v>7.1</v>
      </c>
    </row>
    <row r="852" spans="1:11" x14ac:dyDescent="0.3">
      <c r="A852" t="s">
        <v>186</v>
      </c>
      <c r="B852" s="25">
        <v>45961</v>
      </c>
      <c r="C852">
        <v>139802</v>
      </c>
      <c r="D852" t="s">
        <v>320</v>
      </c>
      <c r="E852" t="s">
        <v>343</v>
      </c>
      <c r="F852">
        <v>152744.45000000001</v>
      </c>
      <c r="G852" s="29">
        <v>1.0243E-2</v>
      </c>
      <c r="H852">
        <v>1140221.4099999999</v>
      </c>
      <c r="I852">
        <v>517397.77</v>
      </c>
      <c r="J852" s="29">
        <v>0.31209999999999999</v>
      </c>
      <c r="K852">
        <v>6.37</v>
      </c>
    </row>
    <row r="853" spans="1:11" x14ac:dyDescent="0.3">
      <c r="A853" t="s">
        <v>186</v>
      </c>
      <c r="B853" s="25">
        <v>45991</v>
      </c>
      <c r="C853">
        <v>139802</v>
      </c>
      <c r="D853" t="s">
        <v>320</v>
      </c>
      <c r="E853" t="s">
        <v>343</v>
      </c>
      <c r="F853">
        <v>171885.74</v>
      </c>
      <c r="G853" s="29">
        <v>1.0834E-2</v>
      </c>
      <c r="H853">
        <v>1283109.1299999999</v>
      </c>
      <c r="I853">
        <v>582235.86</v>
      </c>
      <c r="J853" s="29">
        <v>0.31209999999999999</v>
      </c>
      <c r="K853">
        <v>6.9</v>
      </c>
    </row>
    <row r="854" spans="1:11" x14ac:dyDescent="0.3">
      <c r="A854" t="s">
        <v>186</v>
      </c>
      <c r="B854" s="25">
        <v>45657</v>
      </c>
      <c r="C854">
        <v>188414</v>
      </c>
      <c r="D854" t="s">
        <v>323</v>
      </c>
      <c r="E854" t="s">
        <v>342</v>
      </c>
      <c r="F854">
        <v>152025.69</v>
      </c>
      <c r="G854" s="29">
        <v>9.4310000000000001E-3</v>
      </c>
      <c r="H854">
        <v>1152256.48</v>
      </c>
      <c r="I854">
        <v>472149.37</v>
      </c>
      <c r="J854" s="29">
        <v>0.29070000000000001</v>
      </c>
      <c r="K854">
        <v>6.53</v>
      </c>
    </row>
    <row r="855" spans="1:11" x14ac:dyDescent="0.3">
      <c r="A855" t="s">
        <v>186</v>
      </c>
      <c r="B855" s="25">
        <v>45688</v>
      </c>
      <c r="C855">
        <v>188414</v>
      </c>
      <c r="D855" t="s">
        <v>323</v>
      </c>
      <c r="E855" t="s">
        <v>342</v>
      </c>
      <c r="F855">
        <v>119760.48</v>
      </c>
      <c r="G855" s="29">
        <v>7.7559999999999999E-3</v>
      </c>
      <c r="H855">
        <v>907707.03</v>
      </c>
      <c r="I855">
        <v>371942.63</v>
      </c>
      <c r="J855" s="29">
        <v>0.29070000000000001</v>
      </c>
      <c r="K855">
        <v>6.7</v>
      </c>
    </row>
    <row r="856" spans="1:11" x14ac:dyDescent="0.3">
      <c r="A856" t="s">
        <v>186</v>
      </c>
      <c r="B856" s="25">
        <v>45716</v>
      </c>
      <c r="C856">
        <v>188414</v>
      </c>
      <c r="D856" t="s">
        <v>323</v>
      </c>
      <c r="E856" t="s">
        <v>342</v>
      </c>
      <c r="F856">
        <v>150414.82999999999</v>
      </c>
      <c r="G856" s="29">
        <v>9.7490000000000007E-3</v>
      </c>
      <c r="H856">
        <v>1140047.24</v>
      </c>
      <c r="I856">
        <v>467146.51</v>
      </c>
      <c r="J856" s="29">
        <v>0.29070000000000001</v>
      </c>
      <c r="K856">
        <v>6.88</v>
      </c>
    </row>
    <row r="857" spans="1:11" x14ac:dyDescent="0.3">
      <c r="A857" t="s">
        <v>186</v>
      </c>
      <c r="B857" s="25">
        <v>45747</v>
      </c>
      <c r="C857">
        <v>188414</v>
      </c>
      <c r="D857" t="s">
        <v>323</v>
      </c>
      <c r="E857" t="s">
        <v>342</v>
      </c>
      <c r="F857">
        <v>140451.78</v>
      </c>
      <c r="G857" s="29">
        <v>9.3240000000000007E-3</v>
      </c>
      <c r="H857">
        <v>1064533.76</v>
      </c>
      <c r="I857">
        <v>436204.05</v>
      </c>
      <c r="J857" s="29">
        <v>0.29070000000000001</v>
      </c>
      <c r="K857">
        <v>7.18</v>
      </c>
    </row>
    <row r="858" spans="1:11" x14ac:dyDescent="0.3">
      <c r="A858" t="s">
        <v>186</v>
      </c>
      <c r="B858" s="25">
        <v>45777</v>
      </c>
      <c r="C858">
        <v>188414</v>
      </c>
      <c r="D858" t="s">
        <v>323</v>
      </c>
      <c r="E858" t="s">
        <v>342</v>
      </c>
      <c r="F858">
        <v>149286.01999999999</v>
      </c>
      <c r="G858" s="29">
        <v>9.4649999999999995E-3</v>
      </c>
      <c r="H858">
        <v>1131491.57</v>
      </c>
      <c r="I858">
        <v>463640.73</v>
      </c>
      <c r="J858" s="29">
        <v>0.29070000000000001</v>
      </c>
      <c r="K858">
        <v>7.05</v>
      </c>
    </row>
    <row r="859" spans="1:11" x14ac:dyDescent="0.3">
      <c r="A859" t="s">
        <v>186</v>
      </c>
      <c r="B859" s="25">
        <v>45808</v>
      </c>
      <c r="C859">
        <v>188414</v>
      </c>
      <c r="D859" t="s">
        <v>323</v>
      </c>
      <c r="E859" t="s">
        <v>342</v>
      </c>
      <c r="F859">
        <v>143266.17000000001</v>
      </c>
      <c r="G859" s="29">
        <v>9.2160000000000002E-3</v>
      </c>
      <c r="H859">
        <v>1085864.97</v>
      </c>
      <c r="I859">
        <v>444944.74</v>
      </c>
      <c r="J859" s="29">
        <v>0.29070000000000001</v>
      </c>
      <c r="K859">
        <v>6.75</v>
      </c>
    </row>
    <row r="860" spans="1:11" x14ac:dyDescent="0.3">
      <c r="A860" t="s">
        <v>186</v>
      </c>
      <c r="B860" s="25">
        <v>45838</v>
      </c>
      <c r="C860">
        <v>188414</v>
      </c>
      <c r="D860" t="s">
        <v>323</v>
      </c>
      <c r="E860" t="s">
        <v>342</v>
      </c>
      <c r="F860">
        <v>150158.71</v>
      </c>
      <c r="G860" s="29">
        <v>9.5209999999999999E-3</v>
      </c>
      <c r="H860">
        <v>1138106</v>
      </c>
      <c r="I860">
        <v>466351.06</v>
      </c>
      <c r="J860" s="29">
        <v>0.29070000000000001</v>
      </c>
      <c r="K860">
        <v>7.19</v>
      </c>
    </row>
    <row r="861" spans="1:11" x14ac:dyDescent="0.3">
      <c r="A861" t="s">
        <v>186</v>
      </c>
      <c r="B861" s="25">
        <v>45869</v>
      </c>
      <c r="C861">
        <v>188414</v>
      </c>
      <c r="D861" t="s">
        <v>323</v>
      </c>
      <c r="E861" t="s">
        <v>342</v>
      </c>
      <c r="F861">
        <v>140430.65</v>
      </c>
      <c r="G861" s="29">
        <v>9.3589999999999993E-3</v>
      </c>
      <c r="H861">
        <v>1064373.56</v>
      </c>
      <c r="I861">
        <v>436138.41</v>
      </c>
      <c r="J861" s="29">
        <v>0.29070000000000001</v>
      </c>
      <c r="K861">
        <v>6.86</v>
      </c>
    </row>
    <row r="862" spans="1:11" x14ac:dyDescent="0.3">
      <c r="A862" t="s">
        <v>186</v>
      </c>
      <c r="B862" s="25">
        <v>45900</v>
      </c>
      <c r="C862">
        <v>188414</v>
      </c>
      <c r="D862" t="s">
        <v>323</v>
      </c>
      <c r="E862" t="s">
        <v>342</v>
      </c>
      <c r="F862">
        <v>140369.14000000001</v>
      </c>
      <c r="G862" s="29">
        <v>9.3100000000000006E-3</v>
      </c>
      <c r="H862">
        <v>1063907.3500000001</v>
      </c>
      <c r="I862">
        <v>435947.37</v>
      </c>
      <c r="J862" s="29">
        <v>0.29070000000000001</v>
      </c>
      <c r="K862">
        <v>6.59</v>
      </c>
    </row>
    <row r="863" spans="1:11" x14ac:dyDescent="0.3">
      <c r="A863" t="s">
        <v>186</v>
      </c>
      <c r="B863" s="25">
        <v>45930</v>
      </c>
      <c r="C863">
        <v>188414</v>
      </c>
      <c r="D863" t="s">
        <v>323</v>
      </c>
      <c r="E863" t="s">
        <v>342</v>
      </c>
      <c r="F863">
        <v>129743.56</v>
      </c>
      <c r="G863" s="29">
        <v>8.6499999999999997E-3</v>
      </c>
      <c r="H863">
        <v>983372.35</v>
      </c>
      <c r="I863">
        <v>402947.3</v>
      </c>
      <c r="J863" s="29">
        <v>0.29070000000000001</v>
      </c>
      <c r="K863">
        <v>5.98</v>
      </c>
    </row>
    <row r="864" spans="1:11" x14ac:dyDescent="0.3">
      <c r="A864" t="s">
        <v>186</v>
      </c>
      <c r="B864" s="25">
        <v>45961</v>
      </c>
      <c r="C864">
        <v>188414</v>
      </c>
      <c r="D864" t="s">
        <v>323</v>
      </c>
      <c r="E864" t="s">
        <v>342</v>
      </c>
      <c r="F864">
        <v>130591.95</v>
      </c>
      <c r="G864" s="29">
        <v>8.7580000000000002E-3</v>
      </c>
      <c r="H864">
        <v>989802.6</v>
      </c>
      <c r="I864">
        <v>405582.16</v>
      </c>
      <c r="J864" s="29">
        <v>0.29070000000000001</v>
      </c>
      <c r="K864">
        <v>7.24</v>
      </c>
    </row>
    <row r="865" spans="1:11" x14ac:dyDescent="0.3">
      <c r="A865" t="s">
        <v>186</v>
      </c>
      <c r="B865" s="25">
        <v>45991</v>
      </c>
      <c r="C865">
        <v>188414</v>
      </c>
      <c r="D865" t="s">
        <v>323</v>
      </c>
      <c r="E865" t="s">
        <v>342</v>
      </c>
      <c r="F865">
        <v>131944.92000000001</v>
      </c>
      <c r="G865" s="29">
        <v>8.3169999999999997E-3</v>
      </c>
      <c r="H865">
        <v>1000057.22</v>
      </c>
      <c r="I865">
        <v>409784.1</v>
      </c>
      <c r="J865" s="29">
        <v>0.29070000000000001</v>
      </c>
      <c r="K865">
        <v>6.95</v>
      </c>
    </row>
    <row r="866" spans="1:11" x14ac:dyDescent="0.3">
      <c r="A866" t="s">
        <v>186</v>
      </c>
      <c r="B866" s="25">
        <v>45657</v>
      </c>
      <c r="C866">
        <v>645890</v>
      </c>
      <c r="D866" t="s">
        <v>323</v>
      </c>
      <c r="E866" t="s">
        <v>342</v>
      </c>
      <c r="F866">
        <v>134151.97</v>
      </c>
      <c r="G866" s="29">
        <v>8.3220000000000013E-3</v>
      </c>
      <c r="H866">
        <v>1030843.43</v>
      </c>
      <c r="I866">
        <v>505443.16</v>
      </c>
      <c r="J866" s="29">
        <v>0.32900000000000001</v>
      </c>
      <c r="K866">
        <v>7.53</v>
      </c>
    </row>
    <row r="867" spans="1:11" x14ac:dyDescent="0.3">
      <c r="A867" t="s">
        <v>186</v>
      </c>
      <c r="B867" s="25">
        <v>45688</v>
      </c>
      <c r="C867">
        <v>645890</v>
      </c>
      <c r="D867" t="s">
        <v>323</v>
      </c>
      <c r="E867" t="s">
        <v>342</v>
      </c>
      <c r="F867">
        <v>132272.26999999999</v>
      </c>
      <c r="G867" s="29">
        <v>8.5660000000000007E-3</v>
      </c>
      <c r="H867">
        <v>1016399.49</v>
      </c>
      <c r="I867">
        <v>498361</v>
      </c>
      <c r="J867" s="29">
        <v>0.32900000000000001</v>
      </c>
      <c r="K867">
        <v>6.86</v>
      </c>
    </row>
    <row r="868" spans="1:11" x14ac:dyDescent="0.3">
      <c r="A868" t="s">
        <v>186</v>
      </c>
      <c r="B868" s="25">
        <v>45716</v>
      </c>
      <c r="C868">
        <v>645890</v>
      </c>
      <c r="D868" t="s">
        <v>323</v>
      </c>
      <c r="E868" t="s">
        <v>342</v>
      </c>
      <c r="F868">
        <v>125245.73</v>
      </c>
      <c r="G868" s="29">
        <v>8.1180000000000002E-3</v>
      </c>
      <c r="H868">
        <v>962406.52</v>
      </c>
      <c r="I868">
        <v>471887.17</v>
      </c>
      <c r="J868" s="29">
        <v>0.32900000000000001</v>
      </c>
      <c r="K868">
        <v>6.52</v>
      </c>
    </row>
    <row r="869" spans="1:11" x14ac:dyDescent="0.3">
      <c r="A869" t="s">
        <v>186</v>
      </c>
      <c r="B869" s="25">
        <v>45747</v>
      </c>
      <c r="C869">
        <v>645890</v>
      </c>
      <c r="D869" t="s">
        <v>323</v>
      </c>
      <c r="E869" t="s">
        <v>342</v>
      </c>
      <c r="F869">
        <v>140387.18</v>
      </c>
      <c r="G869" s="29">
        <v>9.3189999999999992E-3</v>
      </c>
      <c r="H869">
        <v>1078755.68</v>
      </c>
      <c r="I869">
        <v>528935.5</v>
      </c>
      <c r="J869" s="29">
        <v>0.32900000000000001</v>
      </c>
      <c r="K869">
        <v>6.21</v>
      </c>
    </row>
    <row r="870" spans="1:11" x14ac:dyDescent="0.3">
      <c r="A870" t="s">
        <v>186</v>
      </c>
      <c r="B870" s="25">
        <v>45777</v>
      </c>
      <c r="C870">
        <v>645890</v>
      </c>
      <c r="D870" t="s">
        <v>323</v>
      </c>
      <c r="E870" t="s">
        <v>342</v>
      </c>
      <c r="F870">
        <v>128747.2</v>
      </c>
      <c r="G870" s="29">
        <v>8.1630000000000001E-3</v>
      </c>
      <c r="H870">
        <v>989312.36</v>
      </c>
      <c r="I870">
        <v>485079.64</v>
      </c>
      <c r="J870" s="29">
        <v>0.32900000000000001</v>
      </c>
      <c r="K870">
        <v>7.45</v>
      </c>
    </row>
    <row r="871" spans="1:11" x14ac:dyDescent="0.3">
      <c r="A871" t="s">
        <v>186</v>
      </c>
      <c r="B871" s="25">
        <v>45808</v>
      </c>
      <c r="C871">
        <v>645890</v>
      </c>
      <c r="D871" t="s">
        <v>323</v>
      </c>
      <c r="E871" t="s">
        <v>342</v>
      </c>
      <c r="F871">
        <v>139844.81</v>
      </c>
      <c r="G871" s="29">
        <v>8.9959999999999988E-3</v>
      </c>
      <c r="H871">
        <v>1074588.04</v>
      </c>
      <c r="I871">
        <v>526892.02</v>
      </c>
      <c r="J871" s="29">
        <v>0.32900000000000001</v>
      </c>
      <c r="K871">
        <v>6.91</v>
      </c>
    </row>
    <row r="872" spans="1:11" x14ac:dyDescent="0.3">
      <c r="A872" t="s">
        <v>186</v>
      </c>
      <c r="B872" s="25">
        <v>45838</v>
      </c>
      <c r="C872">
        <v>645890</v>
      </c>
      <c r="D872" t="s">
        <v>323</v>
      </c>
      <c r="E872" t="s">
        <v>342</v>
      </c>
      <c r="F872">
        <v>122976.54</v>
      </c>
      <c r="G872" s="29">
        <v>7.7969999999999992E-3</v>
      </c>
      <c r="H872">
        <v>944969.79</v>
      </c>
      <c r="I872">
        <v>463337.6</v>
      </c>
      <c r="J872" s="29">
        <v>0.32900000000000001</v>
      </c>
      <c r="K872">
        <v>6.45</v>
      </c>
    </row>
    <row r="873" spans="1:11" x14ac:dyDescent="0.3">
      <c r="A873" t="s">
        <v>186</v>
      </c>
      <c r="B873" s="25">
        <v>45869</v>
      </c>
      <c r="C873">
        <v>645890</v>
      </c>
      <c r="D873" t="s">
        <v>323</v>
      </c>
      <c r="E873" t="s">
        <v>342</v>
      </c>
      <c r="F873">
        <v>126443.46</v>
      </c>
      <c r="G873" s="29">
        <v>8.4270000000000005E-3</v>
      </c>
      <c r="H873">
        <v>971610.05</v>
      </c>
      <c r="I873">
        <v>476399.85</v>
      </c>
      <c r="J873" s="29">
        <v>0.32900000000000001</v>
      </c>
      <c r="K873">
        <v>6.69</v>
      </c>
    </row>
    <row r="874" spans="1:11" x14ac:dyDescent="0.3">
      <c r="A874" t="s">
        <v>186</v>
      </c>
      <c r="B874" s="25">
        <v>45900</v>
      </c>
      <c r="C874">
        <v>645890</v>
      </c>
      <c r="D874" t="s">
        <v>323</v>
      </c>
      <c r="E874" t="s">
        <v>342</v>
      </c>
      <c r="F874">
        <v>146925.51</v>
      </c>
      <c r="G874" s="29">
        <v>9.7450000000000002E-3</v>
      </c>
      <c r="H874">
        <v>1128997.1200000001</v>
      </c>
      <c r="I874">
        <v>553569.88</v>
      </c>
      <c r="J874" s="29">
        <v>0.32900000000000001</v>
      </c>
      <c r="K874">
        <v>6.4</v>
      </c>
    </row>
    <row r="875" spans="1:11" x14ac:dyDescent="0.3">
      <c r="A875" t="s">
        <v>186</v>
      </c>
      <c r="B875" s="25">
        <v>45930</v>
      </c>
      <c r="C875">
        <v>645890</v>
      </c>
      <c r="D875" t="s">
        <v>323</v>
      </c>
      <c r="E875" t="s">
        <v>342</v>
      </c>
      <c r="F875">
        <v>136699.70000000001</v>
      </c>
      <c r="G875" s="29">
        <v>9.1140000000000006E-3</v>
      </c>
      <c r="H875">
        <v>1050420.5</v>
      </c>
      <c r="I875">
        <v>515042.19</v>
      </c>
      <c r="J875" s="29">
        <v>0.32900000000000001</v>
      </c>
      <c r="K875">
        <v>6.67</v>
      </c>
    </row>
    <row r="876" spans="1:11" x14ac:dyDescent="0.3">
      <c r="A876" t="s">
        <v>186</v>
      </c>
      <c r="B876" s="25">
        <v>45961</v>
      </c>
      <c r="C876">
        <v>645890</v>
      </c>
      <c r="D876" t="s">
        <v>323</v>
      </c>
      <c r="E876" t="s">
        <v>342</v>
      </c>
      <c r="F876">
        <v>157513.64000000001</v>
      </c>
      <c r="G876" s="29">
        <v>1.0562999999999999E-2</v>
      </c>
      <c r="H876">
        <v>1210357.8799999999</v>
      </c>
      <c r="I876">
        <v>593462.68999999994</v>
      </c>
      <c r="J876" s="29">
        <v>0.32900000000000001</v>
      </c>
      <c r="K876">
        <v>6.61</v>
      </c>
    </row>
    <row r="877" spans="1:11" x14ac:dyDescent="0.3">
      <c r="A877" t="s">
        <v>186</v>
      </c>
      <c r="B877" s="25">
        <v>45991</v>
      </c>
      <c r="C877">
        <v>645890</v>
      </c>
      <c r="D877" t="s">
        <v>323</v>
      </c>
      <c r="E877" t="s">
        <v>342</v>
      </c>
      <c r="F877">
        <v>119579.02</v>
      </c>
      <c r="G877" s="29">
        <v>7.5370000000000003E-3</v>
      </c>
      <c r="H877">
        <v>918862.71</v>
      </c>
      <c r="I877">
        <v>450536.77</v>
      </c>
      <c r="J877" s="29">
        <v>0.32900000000000001</v>
      </c>
      <c r="K877">
        <v>7.17</v>
      </c>
    </row>
    <row r="878" spans="1:11" x14ac:dyDescent="0.3">
      <c r="A878" t="s">
        <v>186</v>
      </c>
      <c r="B878" s="25">
        <v>45657</v>
      </c>
      <c r="C878">
        <v>780192</v>
      </c>
      <c r="D878" t="s">
        <v>268</v>
      </c>
      <c r="E878" t="s">
        <v>347</v>
      </c>
      <c r="F878">
        <v>130178.83</v>
      </c>
      <c r="G878" s="29">
        <v>8.0759999999999998E-3</v>
      </c>
      <c r="H878">
        <v>1373455.71</v>
      </c>
      <c r="I878">
        <v>395262.64</v>
      </c>
      <c r="J878" s="29">
        <v>0.2235</v>
      </c>
      <c r="K878">
        <v>4.6100000000000003</v>
      </c>
    </row>
    <row r="879" spans="1:11" x14ac:dyDescent="0.3">
      <c r="A879" t="s">
        <v>186</v>
      </c>
      <c r="B879" s="25">
        <v>45688</v>
      </c>
      <c r="C879">
        <v>780192</v>
      </c>
      <c r="D879" t="s">
        <v>268</v>
      </c>
      <c r="E879" t="s">
        <v>347</v>
      </c>
      <c r="F879">
        <v>132643.44</v>
      </c>
      <c r="G879" s="29">
        <v>8.5900000000000004E-3</v>
      </c>
      <c r="H879">
        <v>1399458.64</v>
      </c>
      <c r="I879">
        <v>402745.95</v>
      </c>
      <c r="J879" s="29">
        <v>0.2235</v>
      </c>
      <c r="K879">
        <v>5.07</v>
      </c>
    </row>
    <row r="880" spans="1:11" x14ac:dyDescent="0.3">
      <c r="A880" t="s">
        <v>186</v>
      </c>
      <c r="B880" s="25">
        <v>45716</v>
      </c>
      <c r="C880">
        <v>780192</v>
      </c>
      <c r="D880" t="s">
        <v>268</v>
      </c>
      <c r="E880" t="s">
        <v>347</v>
      </c>
      <c r="F880">
        <v>124014.04</v>
      </c>
      <c r="G880" s="29">
        <v>8.038E-3</v>
      </c>
      <c r="H880">
        <v>1308413.8400000001</v>
      </c>
      <c r="I880">
        <v>376544.44</v>
      </c>
      <c r="J880" s="29">
        <v>0.2235</v>
      </c>
      <c r="K880">
        <v>4.84</v>
      </c>
    </row>
    <row r="881" spans="1:11" x14ac:dyDescent="0.3">
      <c r="A881" t="s">
        <v>186</v>
      </c>
      <c r="B881" s="25">
        <v>45747</v>
      </c>
      <c r="C881">
        <v>780192</v>
      </c>
      <c r="D881" t="s">
        <v>268</v>
      </c>
      <c r="E881" t="s">
        <v>347</v>
      </c>
      <c r="F881">
        <v>155481.68</v>
      </c>
      <c r="G881" s="29">
        <v>1.0321E-2</v>
      </c>
      <c r="H881">
        <v>1640414.16</v>
      </c>
      <c r="I881">
        <v>472089.8</v>
      </c>
      <c r="J881" s="29">
        <v>0.2235</v>
      </c>
      <c r="K881">
        <v>5.03</v>
      </c>
    </row>
    <row r="882" spans="1:11" x14ac:dyDescent="0.3">
      <c r="A882" t="s">
        <v>186</v>
      </c>
      <c r="B882" s="25">
        <v>45777</v>
      </c>
      <c r="C882">
        <v>780192</v>
      </c>
      <c r="D882" t="s">
        <v>268</v>
      </c>
      <c r="E882" t="s">
        <v>347</v>
      </c>
      <c r="F882">
        <v>158322.45000000001</v>
      </c>
      <c r="G882" s="29">
        <v>1.0038E-2</v>
      </c>
      <c r="H882">
        <v>1670385.83</v>
      </c>
      <c r="I882">
        <v>480715.26</v>
      </c>
      <c r="J882" s="29">
        <v>0.2235</v>
      </c>
      <c r="K882">
        <v>4.6900000000000004</v>
      </c>
    </row>
    <row r="883" spans="1:11" x14ac:dyDescent="0.3">
      <c r="A883" t="s">
        <v>186</v>
      </c>
      <c r="B883" s="25">
        <v>45808</v>
      </c>
      <c r="C883">
        <v>780192</v>
      </c>
      <c r="D883" t="s">
        <v>268</v>
      </c>
      <c r="E883" t="s">
        <v>347</v>
      </c>
      <c r="F883">
        <v>126699.28</v>
      </c>
      <c r="G883" s="29">
        <v>8.1499999999999993E-3</v>
      </c>
      <c r="H883">
        <v>1336744.6100000001</v>
      </c>
      <c r="I883">
        <v>384697.67</v>
      </c>
      <c r="J883" s="29">
        <v>0.2235</v>
      </c>
      <c r="K883">
        <v>4.83</v>
      </c>
    </row>
    <row r="884" spans="1:11" x14ac:dyDescent="0.3">
      <c r="A884" t="s">
        <v>186</v>
      </c>
      <c r="B884" s="25">
        <v>45838</v>
      </c>
      <c r="C884">
        <v>780192</v>
      </c>
      <c r="D884" t="s">
        <v>268</v>
      </c>
      <c r="E884" t="s">
        <v>347</v>
      </c>
      <c r="F884">
        <v>134102.48000000001</v>
      </c>
      <c r="G884" s="29">
        <v>8.5030000000000001E-3</v>
      </c>
      <c r="H884">
        <v>1414852.31</v>
      </c>
      <c r="I884">
        <v>407176.04</v>
      </c>
      <c r="J884" s="29">
        <v>0.2235</v>
      </c>
      <c r="K884">
        <v>5.36</v>
      </c>
    </row>
    <row r="885" spans="1:11" x14ac:dyDescent="0.3">
      <c r="A885" t="s">
        <v>186</v>
      </c>
      <c r="B885" s="25">
        <v>45869</v>
      </c>
      <c r="C885">
        <v>780192</v>
      </c>
      <c r="D885" t="s">
        <v>268</v>
      </c>
      <c r="E885" t="s">
        <v>347</v>
      </c>
      <c r="F885">
        <v>130605.14</v>
      </c>
      <c r="G885" s="29">
        <v>8.7039999999999999E-3</v>
      </c>
      <c r="H885">
        <v>1377953.48</v>
      </c>
      <c r="I885">
        <v>396557.04</v>
      </c>
      <c r="J885" s="29">
        <v>0.2235</v>
      </c>
      <c r="K885">
        <v>5.0999999999999996</v>
      </c>
    </row>
    <row r="886" spans="1:11" x14ac:dyDescent="0.3">
      <c r="A886" t="s">
        <v>186</v>
      </c>
      <c r="B886" s="25">
        <v>45900</v>
      </c>
      <c r="C886">
        <v>780192</v>
      </c>
      <c r="D886" t="s">
        <v>268</v>
      </c>
      <c r="E886" t="s">
        <v>347</v>
      </c>
      <c r="F886">
        <v>133967.34</v>
      </c>
      <c r="G886" s="29">
        <v>8.8849999999999988E-3</v>
      </c>
      <c r="H886">
        <v>1413426.45</v>
      </c>
      <c r="I886">
        <v>406765.7</v>
      </c>
      <c r="J886" s="29">
        <v>0.2235</v>
      </c>
      <c r="K886">
        <v>4.8899999999999997</v>
      </c>
    </row>
    <row r="887" spans="1:11" x14ac:dyDescent="0.3">
      <c r="A887" t="s">
        <v>186</v>
      </c>
      <c r="B887" s="25">
        <v>45930</v>
      </c>
      <c r="C887">
        <v>780192</v>
      </c>
      <c r="D887" t="s">
        <v>268</v>
      </c>
      <c r="E887" t="s">
        <v>347</v>
      </c>
      <c r="F887">
        <v>142302.71</v>
      </c>
      <c r="G887" s="29">
        <v>9.4870000000000006E-3</v>
      </c>
      <c r="H887">
        <v>1501369.09</v>
      </c>
      <c r="I887">
        <v>432074.45</v>
      </c>
      <c r="J887" s="29">
        <v>0.2235</v>
      </c>
      <c r="K887">
        <v>4.6399999999999997</v>
      </c>
    </row>
    <row r="888" spans="1:11" x14ac:dyDescent="0.3">
      <c r="A888" t="s">
        <v>186</v>
      </c>
      <c r="B888" s="25">
        <v>45961</v>
      </c>
      <c r="C888">
        <v>780192</v>
      </c>
      <c r="D888" t="s">
        <v>268</v>
      </c>
      <c r="E888" t="s">
        <v>347</v>
      </c>
      <c r="F888">
        <v>126384.88</v>
      </c>
      <c r="G888" s="29">
        <v>8.4749999999999999E-3</v>
      </c>
      <c r="H888">
        <v>1333427.48</v>
      </c>
      <c r="I888">
        <v>383743.04</v>
      </c>
      <c r="J888" s="29">
        <v>0.2235</v>
      </c>
      <c r="K888">
        <v>5.0599999999999996</v>
      </c>
    </row>
    <row r="889" spans="1:11" x14ac:dyDescent="0.3">
      <c r="A889" t="s">
        <v>186</v>
      </c>
      <c r="B889" s="25">
        <v>45991</v>
      </c>
      <c r="C889">
        <v>780192</v>
      </c>
      <c r="D889" t="s">
        <v>268</v>
      </c>
      <c r="E889" t="s">
        <v>347</v>
      </c>
      <c r="F889">
        <v>132479.32</v>
      </c>
      <c r="G889" s="29">
        <v>8.3499999999999998E-3</v>
      </c>
      <c r="H889">
        <v>1397727.12</v>
      </c>
      <c r="I889">
        <v>402247.64</v>
      </c>
      <c r="J889" s="29">
        <v>0.2235</v>
      </c>
      <c r="K889">
        <v>5.05</v>
      </c>
    </row>
    <row r="890" spans="1:11" x14ac:dyDescent="0.3">
      <c r="A890" t="s">
        <v>186</v>
      </c>
      <c r="B890" s="25">
        <v>45657</v>
      </c>
      <c r="C890">
        <v>290490</v>
      </c>
      <c r="D890" t="s">
        <v>324</v>
      </c>
      <c r="E890" t="s">
        <v>352</v>
      </c>
      <c r="F890">
        <v>130074.1</v>
      </c>
      <c r="G890" s="29">
        <v>8.0689999999999998E-3</v>
      </c>
      <c r="H890">
        <v>960456.58</v>
      </c>
      <c r="I890">
        <v>493734.71</v>
      </c>
      <c r="J890" s="29">
        <v>0.33950000000000002</v>
      </c>
      <c r="K890">
        <v>7.1</v>
      </c>
    </row>
    <row r="891" spans="1:11" x14ac:dyDescent="0.3">
      <c r="A891" t="s">
        <v>186</v>
      </c>
      <c r="B891" s="25">
        <v>45688</v>
      </c>
      <c r="C891">
        <v>290490</v>
      </c>
      <c r="D891" t="s">
        <v>324</v>
      </c>
      <c r="E891" t="s">
        <v>352</v>
      </c>
      <c r="F891">
        <v>116179.67</v>
      </c>
      <c r="G891" s="29">
        <v>7.5239999999999994E-3</v>
      </c>
      <c r="H891">
        <v>857861.27</v>
      </c>
      <c r="I891">
        <v>440994.31</v>
      </c>
      <c r="J891" s="29">
        <v>0.33950000000000002</v>
      </c>
      <c r="K891">
        <v>7.56</v>
      </c>
    </row>
    <row r="892" spans="1:11" x14ac:dyDescent="0.3">
      <c r="A892" t="s">
        <v>186</v>
      </c>
      <c r="B892" s="25">
        <v>45716</v>
      </c>
      <c r="C892">
        <v>290490</v>
      </c>
      <c r="D892" t="s">
        <v>324</v>
      </c>
      <c r="E892" t="s">
        <v>352</v>
      </c>
      <c r="F892">
        <v>141610.57999999999</v>
      </c>
      <c r="G892" s="29">
        <v>9.1789999999999997E-3</v>
      </c>
      <c r="H892">
        <v>1045641.03</v>
      </c>
      <c r="I892">
        <v>537524.85</v>
      </c>
      <c r="J892" s="29">
        <v>0.33950000000000002</v>
      </c>
      <c r="K892">
        <v>6.75</v>
      </c>
    </row>
    <row r="893" spans="1:11" x14ac:dyDescent="0.3">
      <c r="A893" t="s">
        <v>186</v>
      </c>
      <c r="B893" s="25">
        <v>45747</v>
      </c>
      <c r="C893">
        <v>290490</v>
      </c>
      <c r="D893" t="s">
        <v>324</v>
      </c>
      <c r="E893" t="s">
        <v>352</v>
      </c>
      <c r="F893">
        <v>131316.39000000001</v>
      </c>
      <c r="G893" s="29">
        <v>8.7170000000000008E-3</v>
      </c>
      <c r="H893">
        <v>969629.54</v>
      </c>
      <c r="I893">
        <v>498450.19</v>
      </c>
      <c r="J893" s="29">
        <v>0.33950000000000002</v>
      </c>
      <c r="K893">
        <v>6.77</v>
      </c>
    </row>
    <row r="894" spans="1:11" x14ac:dyDescent="0.3">
      <c r="A894" t="s">
        <v>186</v>
      </c>
      <c r="B894" s="25">
        <v>45777</v>
      </c>
      <c r="C894">
        <v>290490</v>
      </c>
      <c r="D894" t="s">
        <v>324</v>
      </c>
      <c r="E894" t="s">
        <v>352</v>
      </c>
      <c r="F894">
        <v>106549.24</v>
      </c>
      <c r="G894" s="29">
        <v>6.7559999999999999E-3</v>
      </c>
      <c r="H894">
        <v>786750.93</v>
      </c>
      <c r="I894">
        <v>404439.15</v>
      </c>
      <c r="J894" s="29">
        <v>0.33950000000000002</v>
      </c>
      <c r="K894">
        <v>7.01</v>
      </c>
    </row>
    <row r="895" spans="1:11" x14ac:dyDescent="0.3">
      <c r="A895" t="s">
        <v>186</v>
      </c>
      <c r="B895" s="25">
        <v>45808</v>
      </c>
      <c r="C895">
        <v>290490</v>
      </c>
      <c r="D895" t="s">
        <v>324</v>
      </c>
      <c r="E895" t="s">
        <v>352</v>
      </c>
      <c r="F895">
        <v>127078.54</v>
      </c>
      <c r="G895" s="29">
        <v>8.1740000000000007E-3</v>
      </c>
      <c r="H895">
        <v>938337.62</v>
      </c>
      <c r="I895">
        <v>482364.18</v>
      </c>
      <c r="J895" s="29">
        <v>0.33950000000000002</v>
      </c>
      <c r="K895">
        <v>6.73</v>
      </c>
    </row>
    <row r="896" spans="1:11" x14ac:dyDescent="0.3">
      <c r="A896" t="s">
        <v>186</v>
      </c>
      <c r="B896" s="25">
        <v>45838</v>
      </c>
      <c r="C896">
        <v>290490</v>
      </c>
      <c r="D896" t="s">
        <v>324</v>
      </c>
      <c r="E896" t="s">
        <v>352</v>
      </c>
      <c r="F896">
        <v>134998.06</v>
      </c>
      <c r="G896" s="29">
        <v>8.5590000000000006E-3</v>
      </c>
      <c r="H896">
        <v>996814.7</v>
      </c>
      <c r="I896">
        <v>512425.06</v>
      </c>
      <c r="J896" s="29">
        <v>0.33950000000000002</v>
      </c>
      <c r="K896">
        <v>7.16</v>
      </c>
    </row>
    <row r="897" spans="1:11" x14ac:dyDescent="0.3">
      <c r="A897" t="s">
        <v>186</v>
      </c>
      <c r="B897" s="25">
        <v>45869</v>
      </c>
      <c r="C897">
        <v>290490</v>
      </c>
      <c r="D897" t="s">
        <v>324</v>
      </c>
      <c r="E897" t="s">
        <v>352</v>
      </c>
      <c r="F897">
        <v>128695.88</v>
      </c>
      <c r="G897" s="29">
        <v>8.5769999999999996E-3</v>
      </c>
      <c r="H897">
        <v>950279.97</v>
      </c>
      <c r="I897">
        <v>488503.3</v>
      </c>
      <c r="J897" s="29">
        <v>0.33950000000000002</v>
      </c>
      <c r="K897">
        <v>7.02</v>
      </c>
    </row>
    <row r="898" spans="1:11" x14ac:dyDescent="0.3">
      <c r="A898" t="s">
        <v>186</v>
      </c>
      <c r="B898" s="25">
        <v>45900</v>
      </c>
      <c r="C898">
        <v>290490</v>
      </c>
      <c r="D898" t="s">
        <v>324</v>
      </c>
      <c r="E898" t="s">
        <v>352</v>
      </c>
      <c r="F898">
        <v>126153.8</v>
      </c>
      <c r="G898" s="29">
        <v>8.3669999999999994E-3</v>
      </c>
      <c r="H898">
        <v>931509.42</v>
      </c>
      <c r="I898">
        <v>478854.07</v>
      </c>
      <c r="J898" s="29">
        <v>0.33950000000000002</v>
      </c>
      <c r="K898">
        <v>7.7</v>
      </c>
    </row>
    <row r="899" spans="1:11" x14ac:dyDescent="0.3">
      <c r="A899" t="s">
        <v>186</v>
      </c>
      <c r="B899" s="25">
        <v>45930</v>
      </c>
      <c r="C899">
        <v>290490</v>
      </c>
      <c r="D899" t="s">
        <v>324</v>
      </c>
      <c r="E899" t="s">
        <v>352</v>
      </c>
      <c r="F899">
        <v>142237.54</v>
      </c>
      <c r="G899" s="29">
        <v>9.4830000000000001E-3</v>
      </c>
      <c r="H899">
        <v>1050270.43</v>
      </c>
      <c r="I899">
        <v>539904.65</v>
      </c>
      <c r="J899" s="29">
        <v>0.33950000000000002</v>
      </c>
      <c r="K899">
        <v>7.42</v>
      </c>
    </row>
    <row r="900" spans="1:11" x14ac:dyDescent="0.3">
      <c r="A900" t="s">
        <v>186</v>
      </c>
      <c r="B900" s="25">
        <v>45961</v>
      </c>
      <c r="C900">
        <v>290490</v>
      </c>
      <c r="D900" t="s">
        <v>324</v>
      </c>
      <c r="E900" t="s">
        <v>352</v>
      </c>
      <c r="F900">
        <v>122217.18</v>
      </c>
      <c r="G900" s="29">
        <v>8.1960000000000002E-3</v>
      </c>
      <c r="H900">
        <v>902441.72</v>
      </c>
      <c r="I900">
        <v>463911.45</v>
      </c>
      <c r="J900" s="29">
        <v>0.33950000000000002</v>
      </c>
      <c r="K900">
        <v>6.75</v>
      </c>
    </row>
    <row r="901" spans="1:11" x14ac:dyDescent="0.3">
      <c r="A901" t="s">
        <v>186</v>
      </c>
      <c r="B901" s="25">
        <v>45991</v>
      </c>
      <c r="C901">
        <v>290490</v>
      </c>
      <c r="D901" t="s">
        <v>324</v>
      </c>
      <c r="E901" t="s">
        <v>352</v>
      </c>
      <c r="F901">
        <v>133751.93</v>
      </c>
      <c r="G901" s="29">
        <v>8.4309999999999993E-3</v>
      </c>
      <c r="H901">
        <v>987613.41</v>
      </c>
      <c r="I901">
        <v>507695.02</v>
      </c>
      <c r="J901" s="29">
        <v>0.33950000000000002</v>
      </c>
      <c r="K901">
        <v>7.23</v>
      </c>
    </row>
    <row r="902" spans="1:11" x14ac:dyDescent="0.3">
      <c r="A902" t="s">
        <v>186</v>
      </c>
      <c r="B902" s="25">
        <v>45657</v>
      </c>
      <c r="C902">
        <v>606929</v>
      </c>
      <c r="D902" t="s">
        <v>321</v>
      </c>
      <c r="E902" t="s">
        <v>341</v>
      </c>
      <c r="F902">
        <v>121823.82</v>
      </c>
      <c r="G902" s="29">
        <v>7.5570000000000003E-3</v>
      </c>
      <c r="H902">
        <v>1283212.8999999999</v>
      </c>
      <c r="I902">
        <v>231070.18</v>
      </c>
      <c r="J902" s="29">
        <v>0.15260000000000001</v>
      </c>
      <c r="K902">
        <v>5.28</v>
      </c>
    </row>
    <row r="903" spans="1:11" x14ac:dyDescent="0.3">
      <c r="A903" t="s">
        <v>186</v>
      </c>
      <c r="B903" s="25">
        <v>45688</v>
      </c>
      <c r="C903">
        <v>606929</v>
      </c>
      <c r="D903" t="s">
        <v>321</v>
      </c>
      <c r="E903" t="s">
        <v>341</v>
      </c>
      <c r="F903">
        <v>127916.03</v>
      </c>
      <c r="G903" s="29">
        <v>8.2839999999999997E-3</v>
      </c>
      <c r="H903">
        <v>1347384.27</v>
      </c>
      <c r="I903">
        <v>242625.62</v>
      </c>
      <c r="J903" s="29">
        <v>0.15260000000000001</v>
      </c>
      <c r="K903">
        <v>4.99</v>
      </c>
    </row>
    <row r="904" spans="1:11" x14ac:dyDescent="0.3">
      <c r="A904" t="s">
        <v>186</v>
      </c>
      <c r="B904" s="25">
        <v>45716</v>
      </c>
      <c r="C904">
        <v>606929</v>
      </c>
      <c r="D904" t="s">
        <v>321</v>
      </c>
      <c r="E904" t="s">
        <v>341</v>
      </c>
      <c r="F904">
        <v>107453.34</v>
      </c>
      <c r="G904" s="29">
        <v>6.9649999999999998E-3</v>
      </c>
      <c r="H904">
        <v>1131843.6399999999</v>
      </c>
      <c r="I904">
        <v>203812.88</v>
      </c>
      <c r="J904" s="29">
        <v>0.15260000000000001</v>
      </c>
      <c r="K904">
        <v>4.55</v>
      </c>
    </row>
    <row r="905" spans="1:11" x14ac:dyDescent="0.3">
      <c r="A905" t="s">
        <v>186</v>
      </c>
      <c r="B905" s="25">
        <v>45747</v>
      </c>
      <c r="C905">
        <v>606929</v>
      </c>
      <c r="D905" t="s">
        <v>321</v>
      </c>
      <c r="E905" t="s">
        <v>341</v>
      </c>
      <c r="F905">
        <v>125408.17</v>
      </c>
      <c r="G905" s="29">
        <v>8.3250000000000008E-3</v>
      </c>
      <c r="H905">
        <v>1320968.1399999999</v>
      </c>
      <c r="I905">
        <v>237868.82</v>
      </c>
      <c r="J905" s="29">
        <v>0.15260000000000001</v>
      </c>
      <c r="K905">
        <v>4.92</v>
      </c>
    </row>
    <row r="906" spans="1:11" x14ac:dyDescent="0.3">
      <c r="A906" t="s">
        <v>186</v>
      </c>
      <c r="B906" s="25">
        <v>45777</v>
      </c>
      <c r="C906">
        <v>606929</v>
      </c>
      <c r="D906" t="s">
        <v>321</v>
      </c>
      <c r="E906" t="s">
        <v>341</v>
      </c>
      <c r="F906">
        <v>118534.98</v>
      </c>
      <c r="G906" s="29">
        <v>7.5160000000000001E-3</v>
      </c>
      <c r="H906">
        <v>1248570.4099999999</v>
      </c>
      <c r="I906">
        <v>224832.05</v>
      </c>
      <c r="J906" s="29">
        <v>0.15260000000000001</v>
      </c>
      <c r="K906">
        <v>4.72</v>
      </c>
    </row>
    <row r="907" spans="1:11" x14ac:dyDescent="0.3">
      <c r="A907" t="s">
        <v>186</v>
      </c>
      <c r="B907" s="25">
        <v>45808</v>
      </c>
      <c r="C907">
        <v>606929</v>
      </c>
      <c r="D907" t="s">
        <v>321</v>
      </c>
      <c r="E907" t="s">
        <v>341</v>
      </c>
      <c r="F907">
        <v>121902.84</v>
      </c>
      <c r="G907" s="29">
        <v>7.8410000000000007E-3</v>
      </c>
      <c r="H907">
        <v>1284045.2</v>
      </c>
      <c r="I907">
        <v>231220.05</v>
      </c>
      <c r="J907" s="29">
        <v>0.15260000000000001</v>
      </c>
      <c r="K907">
        <v>4.99</v>
      </c>
    </row>
    <row r="908" spans="1:11" x14ac:dyDescent="0.3">
      <c r="A908" t="s">
        <v>186</v>
      </c>
      <c r="B908" s="25">
        <v>45838</v>
      </c>
      <c r="C908">
        <v>606929</v>
      </c>
      <c r="D908" t="s">
        <v>321</v>
      </c>
      <c r="E908" t="s">
        <v>341</v>
      </c>
      <c r="F908">
        <v>110575.02</v>
      </c>
      <c r="G908" s="29">
        <v>7.0109999999999999E-3</v>
      </c>
      <c r="H908">
        <v>1164725.3799999999</v>
      </c>
      <c r="I908">
        <v>209733.94</v>
      </c>
      <c r="J908" s="29">
        <v>0.15260000000000001</v>
      </c>
      <c r="K908">
        <v>4.7</v>
      </c>
    </row>
    <row r="909" spans="1:11" x14ac:dyDescent="0.3">
      <c r="A909" t="s">
        <v>186</v>
      </c>
      <c r="B909" s="25">
        <v>45869</v>
      </c>
      <c r="C909">
        <v>606929</v>
      </c>
      <c r="D909" t="s">
        <v>321</v>
      </c>
      <c r="E909" t="s">
        <v>341</v>
      </c>
      <c r="F909">
        <v>108051.02</v>
      </c>
      <c r="G909" s="29">
        <v>7.2009999999999999E-3</v>
      </c>
      <c r="H909">
        <v>1138139.1499999999</v>
      </c>
      <c r="I909">
        <v>204946.52</v>
      </c>
      <c r="J909" s="29">
        <v>0.15260000000000001</v>
      </c>
      <c r="K909">
        <v>4.96</v>
      </c>
    </row>
    <row r="910" spans="1:11" x14ac:dyDescent="0.3">
      <c r="A910" t="s">
        <v>186</v>
      </c>
      <c r="B910" s="25">
        <v>45900</v>
      </c>
      <c r="C910">
        <v>606929</v>
      </c>
      <c r="D910" t="s">
        <v>321</v>
      </c>
      <c r="E910" t="s">
        <v>341</v>
      </c>
      <c r="F910">
        <v>109757.47</v>
      </c>
      <c r="G910" s="29">
        <v>7.28E-3</v>
      </c>
      <c r="H910">
        <v>1156113.78</v>
      </c>
      <c r="I910">
        <v>208183.24</v>
      </c>
      <c r="J910" s="29">
        <v>0.15260000000000001</v>
      </c>
      <c r="K910">
        <v>5.09</v>
      </c>
    </row>
    <row r="911" spans="1:11" x14ac:dyDescent="0.3">
      <c r="A911" t="s">
        <v>186</v>
      </c>
      <c r="B911" s="25">
        <v>45930</v>
      </c>
      <c r="C911">
        <v>606929</v>
      </c>
      <c r="D911" t="s">
        <v>321</v>
      </c>
      <c r="E911" t="s">
        <v>341</v>
      </c>
      <c r="F911">
        <v>127079.91</v>
      </c>
      <c r="G911" s="29">
        <v>8.4720000000000004E-3</v>
      </c>
      <c r="H911">
        <v>1338577.19</v>
      </c>
      <c r="I911">
        <v>241039.71</v>
      </c>
      <c r="J911" s="29">
        <v>0.15260000000000001</v>
      </c>
      <c r="K911">
        <v>4.5599999999999996</v>
      </c>
    </row>
    <row r="912" spans="1:11" x14ac:dyDescent="0.3">
      <c r="A912" t="s">
        <v>186</v>
      </c>
      <c r="B912" s="25">
        <v>45961</v>
      </c>
      <c r="C912">
        <v>606929</v>
      </c>
      <c r="D912" t="s">
        <v>321</v>
      </c>
      <c r="E912" t="s">
        <v>341</v>
      </c>
      <c r="F912">
        <v>122093.7</v>
      </c>
      <c r="G912" s="29">
        <v>8.1879999999999991E-3</v>
      </c>
      <c r="H912">
        <v>1286055.6599999999</v>
      </c>
      <c r="I912">
        <v>231582.07999999999</v>
      </c>
      <c r="J912" s="29">
        <v>0.15260000000000001</v>
      </c>
      <c r="K912">
        <v>4.8899999999999997</v>
      </c>
    </row>
    <row r="913" spans="1:11" x14ac:dyDescent="0.3">
      <c r="A913" t="s">
        <v>186</v>
      </c>
      <c r="B913" s="25">
        <v>45991</v>
      </c>
      <c r="C913">
        <v>606929</v>
      </c>
      <c r="D913" t="s">
        <v>321</v>
      </c>
      <c r="E913" t="s">
        <v>341</v>
      </c>
      <c r="F913">
        <v>120539.52</v>
      </c>
      <c r="G913" s="29">
        <v>7.5980000000000006E-3</v>
      </c>
      <c r="H913">
        <v>1269684.96</v>
      </c>
      <c r="I913">
        <v>228634.18</v>
      </c>
      <c r="J913" s="29">
        <v>0.15260000000000001</v>
      </c>
      <c r="K913">
        <v>4.9000000000000004</v>
      </c>
    </row>
    <row r="914" spans="1:11" x14ac:dyDescent="0.3">
      <c r="A914" t="s">
        <v>186</v>
      </c>
      <c r="B914" s="25">
        <v>45657</v>
      </c>
      <c r="C914">
        <v>482520</v>
      </c>
      <c r="D914" t="s">
        <v>321</v>
      </c>
      <c r="E914" t="s">
        <v>341</v>
      </c>
      <c r="F914">
        <v>122764.56</v>
      </c>
      <c r="G914" s="29">
        <v>7.6160000000000004E-3</v>
      </c>
      <c r="H914">
        <v>1421648.42</v>
      </c>
      <c r="I914">
        <v>414459.09</v>
      </c>
      <c r="J914" s="29">
        <v>0.22570000000000001</v>
      </c>
      <c r="K914">
        <v>4.47</v>
      </c>
    </row>
    <row r="915" spans="1:11" x14ac:dyDescent="0.3">
      <c r="A915" t="s">
        <v>186</v>
      </c>
      <c r="B915" s="25">
        <v>45688</v>
      </c>
      <c r="C915">
        <v>482520</v>
      </c>
      <c r="D915" t="s">
        <v>321</v>
      </c>
      <c r="E915" t="s">
        <v>341</v>
      </c>
      <c r="F915">
        <v>117753.09</v>
      </c>
      <c r="G915" s="29">
        <v>7.6259999999999991E-3</v>
      </c>
      <c r="H915">
        <v>1363614.17</v>
      </c>
      <c r="I915">
        <v>397540.12</v>
      </c>
      <c r="J915" s="29">
        <v>0.22570000000000001</v>
      </c>
      <c r="K915">
        <v>4.34</v>
      </c>
    </row>
    <row r="916" spans="1:11" x14ac:dyDescent="0.3">
      <c r="A916" t="s">
        <v>186</v>
      </c>
      <c r="B916" s="25">
        <v>45716</v>
      </c>
      <c r="C916">
        <v>482520</v>
      </c>
      <c r="D916" t="s">
        <v>321</v>
      </c>
      <c r="E916" t="s">
        <v>341</v>
      </c>
      <c r="F916">
        <v>118131.55</v>
      </c>
      <c r="G916" s="29">
        <v>7.6570000000000006E-3</v>
      </c>
      <c r="H916">
        <v>1367996.9</v>
      </c>
      <c r="I916">
        <v>398817.84</v>
      </c>
      <c r="J916" s="29">
        <v>0.22570000000000001</v>
      </c>
      <c r="K916">
        <v>4.6900000000000004</v>
      </c>
    </row>
    <row r="917" spans="1:11" x14ac:dyDescent="0.3">
      <c r="A917" t="s">
        <v>186</v>
      </c>
      <c r="B917" s="25">
        <v>45747</v>
      </c>
      <c r="C917">
        <v>482520</v>
      </c>
      <c r="D917" t="s">
        <v>321</v>
      </c>
      <c r="E917" t="s">
        <v>341</v>
      </c>
      <c r="F917">
        <v>111285.7</v>
      </c>
      <c r="G917" s="29">
        <v>7.3870000000000003E-3</v>
      </c>
      <c r="H917">
        <v>1288719.99</v>
      </c>
      <c r="I917">
        <v>375705.91</v>
      </c>
      <c r="J917" s="29">
        <v>0.22570000000000001</v>
      </c>
      <c r="K917">
        <v>4.49</v>
      </c>
    </row>
    <row r="918" spans="1:11" x14ac:dyDescent="0.3">
      <c r="A918" t="s">
        <v>186</v>
      </c>
      <c r="B918" s="25">
        <v>45777</v>
      </c>
      <c r="C918">
        <v>482520</v>
      </c>
      <c r="D918" t="s">
        <v>321</v>
      </c>
      <c r="E918" t="s">
        <v>341</v>
      </c>
      <c r="F918">
        <v>92460.81</v>
      </c>
      <c r="G918" s="29">
        <v>5.8620000000000009E-3</v>
      </c>
      <c r="H918">
        <v>1070722.3700000001</v>
      </c>
      <c r="I918">
        <v>312152.15999999997</v>
      </c>
      <c r="J918" s="29">
        <v>0.22570000000000001</v>
      </c>
      <c r="K918">
        <v>4.53</v>
      </c>
    </row>
    <row r="919" spans="1:11" x14ac:dyDescent="0.3">
      <c r="A919" t="s">
        <v>186</v>
      </c>
      <c r="B919" s="25">
        <v>45808</v>
      </c>
      <c r="C919">
        <v>482520</v>
      </c>
      <c r="D919" t="s">
        <v>321</v>
      </c>
      <c r="E919" t="s">
        <v>341</v>
      </c>
      <c r="F919">
        <v>114520.92</v>
      </c>
      <c r="G919" s="29">
        <v>7.3670000000000003E-3</v>
      </c>
      <c r="H919">
        <v>1326184.77</v>
      </c>
      <c r="I919">
        <v>386628.17</v>
      </c>
      <c r="J919" s="29">
        <v>0.22570000000000001</v>
      </c>
      <c r="K919">
        <v>4.6399999999999997</v>
      </c>
    </row>
    <row r="920" spans="1:11" x14ac:dyDescent="0.3">
      <c r="A920" t="s">
        <v>186</v>
      </c>
      <c r="B920" s="25">
        <v>45838</v>
      </c>
      <c r="C920">
        <v>482520</v>
      </c>
      <c r="D920" t="s">
        <v>321</v>
      </c>
      <c r="E920" t="s">
        <v>341</v>
      </c>
      <c r="F920">
        <v>132806.57</v>
      </c>
      <c r="G920" s="29">
        <v>8.4200000000000004E-3</v>
      </c>
      <c r="H920">
        <v>1537937.75</v>
      </c>
      <c r="I920">
        <v>448361.4</v>
      </c>
      <c r="J920" s="29">
        <v>0.22570000000000001</v>
      </c>
      <c r="K920">
        <v>4.4400000000000004</v>
      </c>
    </row>
    <row r="921" spans="1:11" x14ac:dyDescent="0.3">
      <c r="A921" t="s">
        <v>186</v>
      </c>
      <c r="B921" s="25">
        <v>45869</v>
      </c>
      <c r="C921">
        <v>482520</v>
      </c>
      <c r="D921" t="s">
        <v>321</v>
      </c>
      <c r="E921" t="s">
        <v>341</v>
      </c>
      <c r="F921">
        <v>119055.87</v>
      </c>
      <c r="G921" s="29">
        <v>7.9349999999999993E-3</v>
      </c>
      <c r="H921">
        <v>1378700.75</v>
      </c>
      <c r="I921">
        <v>401938.38</v>
      </c>
      <c r="J921" s="29">
        <v>0.22570000000000001</v>
      </c>
      <c r="K921">
        <v>4.42</v>
      </c>
    </row>
    <row r="922" spans="1:11" x14ac:dyDescent="0.3">
      <c r="A922" t="s">
        <v>186</v>
      </c>
      <c r="B922" s="25">
        <v>45900</v>
      </c>
      <c r="C922">
        <v>482520</v>
      </c>
      <c r="D922" t="s">
        <v>321</v>
      </c>
      <c r="E922" t="s">
        <v>341</v>
      </c>
      <c r="F922">
        <v>107287.34</v>
      </c>
      <c r="G922" s="29">
        <v>7.1159999999999999E-3</v>
      </c>
      <c r="H922">
        <v>1242417.79</v>
      </c>
      <c r="I922">
        <v>362207.24</v>
      </c>
      <c r="J922" s="29">
        <v>0.22570000000000001</v>
      </c>
      <c r="K922">
        <v>4.63</v>
      </c>
    </row>
    <row r="923" spans="1:11" x14ac:dyDescent="0.3">
      <c r="A923" t="s">
        <v>186</v>
      </c>
      <c r="B923" s="25">
        <v>45930</v>
      </c>
      <c r="C923">
        <v>482520</v>
      </c>
      <c r="D923" t="s">
        <v>321</v>
      </c>
      <c r="E923" t="s">
        <v>341</v>
      </c>
      <c r="F923">
        <v>96347.87</v>
      </c>
      <c r="G923" s="29">
        <v>6.4229999999999999E-3</v>
      </c>
      <c r="H923">
        <v>1115735.6200000001</v>
      </c>
      <c r="I923">
        <v>325275.06</v>
      </c>
      <c r="J923" s="29">
        <v>0.22570000000000001</v>
      </c>
      <c r="K923">
        <v>4.7699999999999996</v>
      </c>
    </row>
    <row r="924" spans="1:11" x14ac:dyDescent="0.3">
      <c r="A924" t="s">
        <v>186</v>
      </c>
      <c r="B924" s="25">
        <v>45961</v>
      </c>
      <c r="C924">
        <v>482520</v>
      </c>
      <c r="D924" t="s">
        <v>321</v>
      </c>
      <c r="E924" t="s">
        <v>341</v>
      </c>
      <c r="F924">
        <v>117426.54</v>
      </c>
      <c r="G924" s="29">
        <v>7.8750000000000001E-3</v>
      </c>
      <c r="H924">
        <v>1359832.59</v>
      </c>
      <c r="I924">
        <v>396437.66</v>
      </c>
      <c r="J924" s="29">
        <v>0.22570000000000001</v>
      </c>
      <c r="K924">
        <v>4.41</v>
      </c>
    </row>
    <row r="925" spans="1:11" x14ac:dyDescent="0.3">
      <c r="A925" t="s">
        <v>186</v>
      </c>
      <c r="B925" s="25">
        <v>45991</v>
      </c>
      <c r="C925">
        <v>482520</v>
      </c>
      <c r="D925" t="s">
        <v>321</v>
      </c>
      <c r="E925" t="s">
        <v>341</v>
      </c>
      <c r="F925">
        <v>114114.44</v>
      </c>
      <c r="G925" s="29">
        <v>7.1930000000000006E-3</v>
      </c>
      <c r="H925">
        <v>1321477.5900000001</v>
      </c>
      <c r="I925">
        <v>385255.87</v>
      </c>
      <c r="J925" s="29">
        <v>0.22570000000000001</v>
      </c>
      <c r="K925">
        <v>4.3899999999999997</v>
      </c>
    </row>
    <row r="926" spans="1:11" x14ac:dyDescent="0.3">
      <c r="A926" t="s">
        <v>186</v>
      </c>
      <c r="B926" s="25">
        <v>45657</v>
      </c>
      <c r="C926">
        <v>239163</v>
      </c>
      <c r="D926" t="s">
        <v>324</v>
      </c>
      <c r="E926" t="s">
        <v>345</v>
      </c>
      <c r="F926">
        <v>99052.72</v>
      </c>
      <c r="G926" s="29">
        <v>6.1450000000000003E-3</v>
      </c>
      <c r="H926">
        <v>1214743.07</v>
      </c>
      <c r="I926">
        <v>319406.19</v>
      </c>
      <c r="J926" s="29">
        <v>0.2082</v>
      </c>
      <c r="K926">
        <v>4.24</v>
      </c>
    </row>
    <row r="927" spans="1:11" x14ac:dyDescent="0.3">
      <c r="A927" t="s">
        <v>186</v>
      </c>
      <c r="B927" s="25">
        <v>45688</v>
      </c>
      <c r="C927">
        <v>239163</v>
      </c>
      <c r="D927" t="s">
        <v>324</v>
      </c>
      <c r="E927" t="s">
        <v>345</v>
      </c>
      <c r="F927">
        <v>132772.38</v>
      </c>
      <c r="G927" s="29">
        <v>8.5979999999999997E-3</v>
      </c>
      <c r="H927">
        <v>1628267.61</v>
      </c>
      <c r="I927">
        <v>428138.9</v>
      </c>
      <c r="J927" s="29">
        <v>0.2082</v>
      </c>
      <c r="K927">
        <v>3.89</v>
      </c>
    </row>
    <row r="928" spans="1:11" x14ac:dyDescent="0.3">
      <c r="A928" t="s">
        <v>186</v>
      </c>
      <c r="B928" s="25">
        <v>45716</v>
      </c>
      <c r="C928">
        <v>239163</v>
      </c>
      <c r="D928" t="s">
        <v>324</v>
      </c>
      <c r="E928" t="s">
        <v>345</v>
      </c>
      <c r="F928">
        <v>100894.12</v>
      </c>
      <c r="G928" s="29">
        <v>6.5390000000000005E-3</v>
      </c>
      <c r="H928">
        <v>1237325.3799999999</v>
      </c>
      <c r="I928">
        <v>325344.02</v>
      </c>
      <c r="J928" s="29">
        <v>0.2082</v>
      </c>
      <c r="K928">
        <v>4.08</v>
      </c>
    </row>
    <row r="929" spans="1:11" x14ac:dyDescent="0.3">
      <c r="A929" t="s">
        <v>186</v>
      </c>
      <c r="B929" s="25">
        <v>45747</v>
      </c>
      <c r="C929">
        <v>239163</v>
      </c>
      <c r="D929" t="s">
        <v>324</v>
      </c>
      <c r="E929" t="s">
        <v>345</v>
      </c>
      <c r="F929">
        <v>124970.13</v>
      </c>
      <c r="G929" s="29">
        <v>8.2959999999999996E-3</v>
      </c>
      <c r="H929">
        <v>1532583.95</v>
      </c>
      <c r="I929">
        <v>402979.7</v>
      </c>
      <c r="J929" s="29">
        <v>0.2082</v>
      </c>
      <c r="K929">
        <v>3.73</v>
      </c>
    </row>
    <row r="930" spans="1:11" x14ac:dyDescent="0.3">
      <c r="A930" t="s">
        <v>186</v>
      </c>
      <c r="B930" s="25">
        <v>45777</v>
      </c>
      <c r="C930">
        <v>239163</v>
      </c>
      <c r="D930" t="s">
        <v>324</v>
      </c>
      <c r="E930" t="s">
        <v>345</v>
      </c>
      <c r="F930">
        <v>123256.93</v>
      </c>
      <c r="G930" s="29">
        <v>7.814999999999999E-3</v>
      </c>
      <c r="H930">
        <v>1511573.88</v>
      </c>
      <c r="I930">
        <v>397455.29</v>
      </c>
      <c r="J930" s="29">
        <v>0.2082</v>
      </c>
      <c r="K930">
        <v>4.37</v>
      </c>
    </row>
    <row r="931" spans="1:11" x14ac:dyDescent="0.3">
      <c r="A931" t="s">
        <v>186</v>
      </c>
      <c r="B931" s="25">
        <v>45808</v>
      </c>
      <c r="C931">
        <v>239163</v>
      </c>
      <c r="D931" t="s">
        <v>324</v>
      </c>
      <c r="E931" t="s">
        <v>345</v>
      </c>
      <c r="F931">
        <v>113996.01</v>
      </c>
      <c r="G931" s="29">
        <v>7.3329999999999992E-3</v>
      </c>
      <c r="H931">
        <v>1398001.73</v>
      </c>
      <c r="I931">
        <v>367592.47</v>
      </c>
      <c r="J931" s="29">
        <v>0.2082</v>
      </c>
      <c r="K931">
        <v>4.5599999999999996</v>
      </c>
    </row>
    <row r="932" spans="1:11" x14ac:dyDescent="0.3">
      <c r="A932" t="s">
        <v>186</v>
      </c>
      <c r="B932" s="25">
        <v>45838</v>
      </c>
      <c r="C932">
        <v>239163</v>
      </c>
      <c r="D932" t="s">
        <v>324</v>
      </c>
      <c r="E932" t="s">
        <v>345</v>
      </c>
      <c r="F932">
        <v>124901.86</v>
      </c>
      <c r="G932" s="29">
        <v>7.9190000000000007E-3</v>
      </c>
      <c r="H932">
        <v>1531746.75</v>
      </c>
      <c r="I932">
        <v>402759.57</v>
      </c>
      <c r="J932" s="29">
        <v>0.2082</v>
      </c>
      <c r="K932">
        <v>4.22</v>
      </c>
    </row>
    <row r="933" spans="1:11" x14ac:dyDescent="0.3">
      <c r="A933" t="s">
        <v>186</v>
      </c>
      <c r="B933" s="25">
        <v>45869</v>
      </c>
      <c r="C933">
        <v>239163</v>
      </c>
      <c r="D933" t="s">
        <v>324</v>
      </c>
      <c r="E933" t="s">
        <v>345</v>
      </c>
      <c r="F933">
        <v>106630.27</v>
      </c>
      <c r="G933" s="29">
        <v>7.1069999999999996E-3</v>
      </c>
      <c r="H933">
        <v>1307671.24</v>
      </c>
      <c r="I933">
        <v>343840.85</v>
      </c>
      <c r="J933" s="29">
        <v>0.2082</v>
      </c>
      <c r="K933">
        <v>4.4000000000000004</v>
      </c>
    </row>
    <row r="934" spans="1:11" x14ac:dyDescent="0.3">
      <c r="A934" t="s">
        <v>186</v>
      </c>
      <c r="B934" s="25">
        <v>45900</v>
      </c>
      <c r="C934">
        <v>239163</v>
      </c>
      <c r="D934" t="s">
        <v>324</v>
      </c>
      <c r="E934" t="s">
        <v>345</v>
      </c>
      <c r="F934">
        <v>103166.78</v>
      </c>
      <c r="G934" s="29">
        <v>6.842E-3</v>
      </c>
      <c r="H934">
        <v>1265196.31</v>
      </c>
      <c r="I934">
        <v>332672.44</v>
      </c>
      <c r="J934" s="29">
        <v>0.2082</v>
      </c>
      <c r="K934">
        <v>4.28</v>
      </c>
    </row>
    <row r="935" spans="1:11" x14ac:dyDescent="0.3">
      <c r="A935" t="s">
        <v>186</v>
      </c>
      <c r="B935" s="25">
        <v>45930</v>
      </c>
      <c r="C935">
        <v>239163</v>
      </c>
      <c r="D935" t="s">
        <v>324</v>
      </c>
      <c r="E935" t="s">
        <v>345</v>
      </c>
      <c r="F935">
        <v>116138.65</v>
      </c>
      <c r="G935" s="29">
        <v>7.7429999999999999E-3</v>
      </c>
      <c r="H935">
        <v>1424278.19</v>
      </c>
      <c r="I935">
        <v>374501.64</v>
      </c>
      <c r="J935" s="29">
        <v>0.2082</v>
      </c>
      <c r="K935">
        <v>4.2699999999999996</v>
      </c>
    </row>
    <row r="936" spans="1:11" x14ac:dyDescent="0.3">
      <c r="A936" t="s">
        <v>186</v>
      </c>
      <c r="B936" s="25">
        <v>45961</v>
      </c>
      <c r="C936">
        <v>239163</v>
      </c>
      <c r="D936" t="s">
        <v>324</v>
      </c>
      <c r="E936" t="s">
        <v>345</v>
      </c>
      <c r="F936">
        <v>121122.24000000001</v>
      </c>
      <c r="G936" s="29">
        <v>8.1220000000000007E-3</v>
      </c>
      <c r="H936">
        <v>1485394.95</v>
      </c>
      <c r="I936">
        <v>390571.76</v>
      </c>
      <c r="J936" s="29">
        <v>0.2082</v>
      </c>
      <c r="K936">
        <v>4.2</v>
      </c>
    </row>
    <row r="937" spans="1:11" x14ac:dyDescent="0.3">
      <c r="A937" t="s">
        <v>186</v>
      </c>
      <c r="B937" s="25">
        <v>45991</v>
      </c>
      <c r="C937">
        <v>239163</v>
      </c>
      <c r="D937" t="s">
        <v>324</v>
      </c>
      <c r="E937" t="s">
        <v>345</v>
      </c>
      <c r="F937">
        <v>124634.42</v>
      </c>
      <c r="G937" s="29">
        <v>7.8560000000000001E-3</v>
      </c>
      <c r="H937">
        <v>1528466.89</v>
      </c>
      <c r="I937">
        <v>401897.16</v>
      </c>
      <c r="J937" s="29">
        <v>0.2082</v>
      </c>
      <c r="K937">
        <v>4.24</v>
      </c>
    </row>
    <row r="938" spans="1:11" x14ac:dyDescent="0.3">
      <c r="A938" t="s">
        <v>186</v>
      </c>
      <c r="B938" s="25">
        <v>45657</v>
      </c>
      <c r="C938">
        <v>588137</v>
      </c>
      <c r="D938" t="s">
        <v>322</v>
      </c>
      <c r="E938" t="s">
        <v>340</v>
      </c>
      <c r="F938">
        <v>105181.82</v>
      </c>
      <c r="G938" s="29">
        <v>6.5249999999999996E-3</v>
      </c>
      <c r="H938">
        <v>1159177.1399999999</v>
      </c>
      <c r="I938">
        <v>303019.83</v>
      </c>
      <c r="J938" s="29">
        <v>0.2072</v>
      </c>
      <c r="K938">
        <v>4.72</v>
      </c>
    </row>
    <row r="939" spans="1:11" x14ac:dyDescent="0.3">
      <c r="A939" t="s">
        <v>186</v>
      </c>
      <c r="B939" s="25">
        <v>45688</v>
      </c>
      <c r="C939">
        <v>588137</v>
      </c>
      <c r="D939" t="s">
        <v>322</v>
      </c>
      <c r="E939" t="s">
        <v>340</v>
      </c>
      <c r="F939">
        <v>112214.67</v>
      </c>
      <c r="G939" s="29">
        <v>7.267E-3</v>
      </c>
      <c r="H939">
        <v>1236683.99</v>
      </c>
      <c r="I939">
        <v>323280.84999999998</v>
      </c>
      <c r="J939" s="29">
        <v>0.2072</v>
      </c>
      <c r="K939">
        <v>4.87</v>
      </c>
    </row>
    <row r="940" spans="1:11" x14ac:dyDescent="0.3">
      <c r="A940" t="s">
        <v>186</v>
      </c>
      <c r="B940" s="25">
        <v>45716</v>
      </c>
      <c r="C940">
        <v>588137</v>
      </c>
      <c r="D940" t="s">
        <v>322</v>
      </c>
      <c r="E940" t="s">
        <v>340</v>
      </c>
      <c r="F940">
        <v>93035.6</v>
      </c>
      <c r="G940" s="29">
        <v>6.0299999999999998E-3</v>
      </c>
      <c r="H940">
        <v>1025317.24</v>
      </c>
      <c r="I940">
        <v>268027.59000000003</v>
      </c>
      <c r="J940" s="29">
        <v>0.2072</v>
      </c>
      <c r="K940">
        <v>4.96</v>
      </c>
    </row>
    <row r="941" spans="1:11" x14ac:dyDescent="0.3">
      <c r="A941" t="s">
        <v>186</v>
      </c>
      <c r="B941" s="25">
        <v>45747</v>
      </c>
      <c r="C941">
        <v>588137</v>
      </c>
      <c r="D941" t="s">
        <v>322</v>
      </c>
      <c r="E941" t="s">
        <v>340</v>
      </c>
      <c r="F941">
        <v>103512.29</v>
      </c>
      <c r="G941" s="29">
        <v>6.8710000000000004E-3</v>
      </c>
      <c r="H941">
        <v>1140777.7</v>
      </c>
      <c r="I941">
        <v>298210.05</v>
      </c>
      <c r="J941" s="29">
        <v>0.2072</v>
      </c>
      <c r="K941">
        <v>4.7300000000000004</v>
      </c>
    </row>
    <row r="942" spans="1:11" x14ac:dyDescent="0.3">
      <c r="A942" t="s">
        <v>186</v>
      </c>
      <c r="B942" s="25">
        <v>45777</v>
      </c>
      <c r="C942">
        <v>588137</v>
      </c>
      <c r="D942" t="s">
        <v>322</v>
      </c>
      <c r="E942" t="s">
        <v>340</v>
      </c>
      <c r="F942">
        <v>117673.37</v>
      </c>
      <c r="G942" s="29">
        <v>7.4609999999999998E-3</v>
      </c>
      <c r="H942">
        <v>1296842.72</v>
      </c>
      <c r="I942">
        <v>339006.91</v>
      </c>
      <c r="J942" s="29">
        <v>0.2072</v>
      </c>
      <c r="K942">
        <v>4.53</v>
      </c>
    </row>
    <row r="943" spans="1:11" x14ac:dyDescent="0.3">
      <c r="A943" t="s">
        <v>186</v>
      </c>
      <c r="B943" s="25">
        <v>45808</v>
      </c>
      <c r="C943">
        <v>588137</v>
      </c>
      <c r="D943" t="s">
        <v>322</v>
      </c>
      <c r="E943" t="s">
        <v>340</v>
      </c>
      <c r="F943">
        <v>106278.18</v>
      </c>
      <c r="G943" s="29">
        <v>6.8360000000000001E-3</v>
      </c>
      <c r="H943">
        <v>1171259.73</v>
      </c>
      <c r="I943">
        <v>306178.34000000003</v>
      </c>
      <c r="J943" s="29">
        <v>0.2072</v>
      </c>
      <c r="K943">
        <v>4.67</v>
      </c>
    </row>
    <row r="944" spans="1:11" x14ac:dyDescent="0.3">
      <c r="A944" t="s">
        <v>186</v>
      </c>
      <c r="B944" s="25">
        <v>45838</v>
      </c>
      <c r="C944">
        <v>588137</v>
      </c>
      <c r="D944" t="s">
        <v>322</v>
      </c>
      <c r="E944" t="s">
        <v>340</v>
      </c>
      <c r="F944">
        <v>89712.34</v>
      </c>
      <c r="G944" s="29">
        <v>5.6879999999999995E-3</v>
      </c>
      <c r="H944">
        <v>988692.67</v>
      </c>
      <c r="I944">
        <v>258453.58</v>
      </c>
      <c r="J944" s="29">
        <v>0.2072</v>
      </c>
      <c r="K944">
        <v>4.59</v>
      </c>
    </row>
    <row r="945" spans="1:11" x14ac:dyDescent="0.3">
      <c r="A945" t="s">
        <v>186</v>
      </c>
      <c r="B945" s="25">
        <v>45869</v>
      </c>
      <c r="C945">
        <v>588137</v>
      </c>
      <c r="D945" t="s">
        <v>322</v>
      </c>
      <c r="E945" t="s">
        <v>340</v>
      </c>
      <c r="F945">
        <v>90813.71</v>
      </c>
      <c r="G945" s="29">
        <v>6.0519999999999992E-3</v>
      </c>
      <c r="H945">
        <v>1000830.54</v>
      </c>
      <c r="I945">
        <v>261626.54</v>
      </c>
      <c r="J945" s="29">
        <v>0.2072</v>
      </c>
      <c r="K945">
        <v>4.8600000000000003</v>
      </c>
    </row>
    <row r="946" spans="1:11" x14ac:dyDescent="0.3">
      <c r="A946" t="s">
        <v>186</v>
      </c>
      <c r="B946" s="25">
        <v>45900</v>
      </c>
      <c r="C946">
        <v>588137</v>
      </c>
      <c r="D946" t="s">
        <v>322</v>
      </c>
      <c r="E946" t="s">
        <v>340</v>
      </c>
      <c r="F946">
        <v>106905.49</v>
      </c>
      <c r="G946" s="29">
        <v>7.0899999999999999E-3</v>
      </c>
      <c r="H946">
        <v>1178173.19</v>
      </c>
      <c r="I946">
        <v>307985.58</v>
      </c>
      <c r="J946" s="29">
        <v>0.2072</v>
      </c>
      <c r="K946">
        <v>4.76</v>
      </c>
    </row>
    <row r="947" spans="1:11" x14ac:dyDescent="0.3">
      <c r="A947" t="s">
        <v>186</v>
      </c>
      <c r="B947" s="25">
        <v>45930</v>
      </c>
      <c r="C947">
        <v>588137</v>
      </c>
      <c r="D947" t="s">
        <v>322</v>
      </c>
      <c r="E947" t="s">
        <v>340</v>
      </c>
      <c r="F947">
        <v>105702.44</v>
      </c>
      <c r="G947" s="29">
        <v>7.0470000000000003E-3</v>
      </c>
      <c r="H947">
        <v>1164914.73</v>
      </c>
      <c r="I947">
        <v>304519.69</v>
      </c>
      <c r="J947" s="29">
        <v>0.2072</v>
      </c>
      <c r="K947">
        <v>4.72</v>
      </c>
    </row>
    <row r="948" spans="1:11" x14ac:dyDescent="0.3">
      <c r="A948" t="s">
        <v>186</v>
      </c>
      <c r="B948" s="25">
        <v>45961</v>
      </c>
      <c r="C948">
        <v>588137</v>
      </c>
      <c r="D948" t="s">
        <v>322</v>
      </c>
      <c r="E948" t="s">
        <v>340</v>
      </c>
      <c r="F948">
        <v>106431.33</v>
      </c>
      <c r="G948" s="29">
        <v>7.1370000000000001E-3</v>
      </c>
      <c r="H948">
        <v>1172947.54</v>
      </c>
      <c r="I948">
        <v>306619.53999999998</v>
      </c>
      <c r="J948" s="29">
        <v>0.2072</v>
      </c>
      <c r="K948">
        <v>4.6399999999999997</v>
      </c>
    </row>
    <row r="949" spans="1:11" x14ac:dyDescent="0.3">
      <c r="A949" t="s">
        <v>186</v>
      </c>
      <c r="B949" s="25">
        <v>45991</v>
      </c>
      <c r="C949">
        <v>588137</v>
      </c>
      <c r="D949" t="s">
        <v>322</v>
      </c>
      <c r="E949" t="s">
        <v>340</v>
      </c>
      <c r="F949">
        <v>117816.93</v>
      </c>
      <c r="G949" s="29">
        <v>7.4260000000000003E-3</v>
      </c>
      <c r="H949">
        <v>1298424.8400000001</v>
      </c>
      <c r="I949">
        <v>339420.49</v>
      </c>
      <c r="J949" s="29">
        <v>0.2072</v>
      </c>
      <c r="K949">
        <v>4.88</v>
      </c>
    </row>
    <row r="950" spans="1:11" x14ac:dyDescent="0.3">
      <c r="A950" t="s">
        <v>186</v>
      </c>
      <c r="B950" s="25">
        <v>45657</v>
      </c>
      <c r="C950">
        <v>676811</v>
      </c>
      <c r="D950" t="s">
        <v>323</v>
      </c>
      <c r="E950" t="s">
        <v>350</v>
      </c>
      <c r="F950">
        <v>100729.93</v>
      </c>
      <c r="G950" s="29">
        <v>6.2490000000000002E-3</v>
      </c>
      <c r="H950">
        <v>1004199.42</v>
      </c>
      <c r="I950">
        <v>274019.46999999997</v>
      </c>
      <c r="J950" s="29">
        <v>0.21440000000000001</v>
      </c>
      <c r="K950">
        <v>5.52</v>
      </c>
    </row>
    <row r="951" spans="1:11" x14ac:dyDescent="0.3">
      <c r="A951" t="s">
        <v>186</v>
      </c>
      <c r="B951" s="25">
        <v>45688</v>
      </c>
      <c r="C951">
        <v>676811</v>
      </c>
      <c r="D951" t="s">
        <v>323</v>
      </c>
      <c r="E951" t="s">
        <v>350</v>
      </c>
      <c r="F951">
        <v>98331.91</v>
      </c>
      <c r="G951" s="29">
        <v>6.3680000000000004E-3</v>
      </c>
      <c r="H951">
        <v>980292.96</v>
      </c>
      <c r="I951">
        <v>267496.03000000003</v>
      </c>
      <c r="J951" s="29">
        <v>0.21440000000000001</v>
      </c>
      <c r="K951">
        <v>5.64</v>
      </c>
    </row>
    <row r="952" spans="1:11" x14ac:dyDescent="0.3">
      <c r="A952" t="s">
        <v>186</v>
      </c>
      <c r="B952" s="25">
        <v>45716</v>
      </c>
      <c r="C952">
        <v>676811</v>
      </c>
      <c r="D952" t="s">
        <v>323</v>
      </c>
      <c r="E952" t="s">
        <v>350</v>
      </c>
      <c r="F952">
        <v>108838.69</v>
      </c>
      <c r="G952" s="29">
        <v>7.0540000000000004E-3</v>
      </c>
      <c r="H952">
        <v>1085037.3799999999</v>
      </c>
      <c r="I952">
        <v>296078.02</v>
      </c>
      <c r="J952" s="29">
        <v>0.21440000000000001</v>
      </c>
      <c r="K952">
        <v>5.3</v>
      </c>
    </row>
    <row r="953" spans="1:11" x14ac:dyDescent="0.3">
      <c r="A953" t="s">
        <v>186</v>
      </c>
      <c r="B953" s="25">
        <v>45747</v>
      </c>
      <c r="C953">
        <v>676811</v>
      </c>
      <c r="D953" t="s">
        <v>323</v>
      </c>
      <c r="E953" t="s">
        <v>350</v>
      </c>
      <c r="F953">
        <v>105151.75</v>
      </c>
      <c r="G953" s="29">
        <v>6.9799999999999992E-3</v>
      </c>
      <c r="H953">
        <v>1048281.46</v>
      </c>
      <c r="I953">
        <v>286048.3</v>
      </c>
      <c r="J953" s="29">
        <v>0.21440000000000001</v>
      </c>
      <c r="K953">
        <v>5.82</v>
      </c>
    </row>
    <row r="954" spans="1:11" x14ac:dyDescent="0.3">
      <c r="A954" t="s">
        <v>186</v>
      </c>
      <c r="B954" s="25">
        <v>45777</v>
      </c>
      <c r="C954">
        <v>676811</v>
      </c>
      <c r="D954" t="s">
        <v>323</v>
      </c>
      <c r="E954" t="s">
        <v>350</v>
      </c>
      <c r="F954">
        <v>117033.22</v>
      </c>
      <c r="G954" s="29">
        <v>7.4199999999999995E-3</v>
      </c>
      <c r="H954">
        <v>1166730.56</v>
      </c>
      <c r="I954">
        <v>318369.91999999998</v>
      </c>
      <c r="J954" s="29">
        <v>0.21440000000000001</v>
      </c>
      <c r="K954">
        <v>4.87</v>
      </c>
    </row>
    <row r="955" spans="1:11" x14ac:dyDescent="0.3">
      <c r="A955" t="s">
        <v>186</v>
      </c>
      <c r="B955" s="25">
        <v>45808</v>
      </c>
      <c r="C955">
        <v>676811</v>
      </c>
      <c r="D955" t="s">
        <v>323</v>
      </c>
      <c r="E955" t="s">
        <v>350</v>
      </c>
      <c r="F955">
        <v>101538.88</v>
      </c>
      <c r="G955" s="29">
        <v>6.5319999999999996E-3</v>
      </c>
      <c r="H955">
        <v>1012263.98</v>
      </c>
      <c r="I955">
        <v>276220.08</v>
      </c>
      <c r="J955" s="29">
        <v>0.21440000000000001</v>
      </c>
      <c r="K955">
        <v>5.03</v>
      </c>
    </row>
    <row r="956" spans="1:11" x14ac:dyDescent="0.3">
      <c r="A956" t="s">
        <v>186</v>
      </c>
      <c r="B956" s="25">
        <v>45838</v>
      </c>
      <c r="C956">
        <v>676811</v>
      </c>
      <c r="D956" t="s">
        <v>323</v>
      </c>
      <c r="E956" t="s">
        <v>350</v>
      </c>
      <c r="F956">
        <v>114699.47</v>
      </c>
      <c r="G956" s="29">
        <v>7.2719999999999998E-3</v>
      </c>
      <c r="H956">
        <v>1143464.8400000001</v>
      </c>
      <c r="I956">
        <v>312021.33</v>
      </c>
      <c r="J956" s="29">
        <v>0.21440000000000001</v>
      </c>
      <c r="K956">
        <v>5.43</v>
      </c>
    </row>
    <row r="957" spans="1:11" x14ac:dyDescent="0.3">
      <c r="A957" t="s">
        <v>186</v>
      </c>
      <c r="B957" s="25">
        <v>45869</v>
      </c>
      <c r="C957">
        <v>676811</v>
      </c>
      <c r="D957" t="s">
        <v>323</v>
      </c>
      <c r="E957" t="s">
        <v>350</v>
      </c>
      <c r="F957">
        <v>72733.72</v>
      </c>
      <c r="G957" s="29">
        <v>4.8470000000000006E-3</v>
      </c>
      <c r="H957">
        <v>725098.8</v>
      </c>
      <c r="I957">
        <v>197860.29</v>
      </c>
      <c r="J957" s="29">
        <v>0.21440000000000001</v>
      </c>
      <c r="K957">
        <v>5.63</v>
      </c>
    </row>
    <row r="958" spans="1:11" x14ac:dyDescent="0.3">
      <c r="A958" t="s">
        <v>186</v>
      </c>
      <c r="B958" s="25">
        <v>45900</v>
      </c>
      <c r="C958">
        <v>676811</v>
      </c>
      <c r="D958" t="s">
        <v>323</v>
      </c>
      <c r="E958" t="s">
        <v>350</v>
      </c>
      <c r="F958">
        <v>99951.58</v>
      </c>
      <c r="G958" s="29">
        <v>6.6290000000000003E-3</v>
      </c>
      <c r="H958">
        <v>996439.81</v>
      </c>
      <c r="I958">
        <v>271902.08000000002</v>
      </c>
      <c r="J958" s="29">
        <v>0.21440000000000001</v>
      </c>
      <c r="K958">
        <v>4.67</v>
      </c>
    </row>
    <row r="959" spans="1:11" x14ac:dyDescent="0.3">
      <c r="A959" t="s">
        <v>186</v>
      </c>
      <c r="B959" s="25">
        <v>45930</v>
      </c>
      <c r="C959">
        <v>676811</v>
      </c>
      <c r="D959" t="s">
        <v>323</v>
      </c>
      <c r="E959" t="s">
        <v>350</v>
      </c>
      <c r="F959">
        <v>111862.25</v>
      </c>
      <c r="G959" s="29">
        <v>7.4580000000000002E-3</v>
      </c>
      <c r="H959">
        <v>1115180.01</v>
      </c>
      <c r="I959">
        <v>304303.14</v>
      </c>
      <c r="J959" s="29">
        <v>0.21440000000000001</v>
      </c>
      <c r="K959">
        <v>5.48</v>
      </c>
    </row>
    <row r="960" spans="1:11" x14ac:dyDescent="0.3">
      <c r="A960" t="s">
        <v>186</v>
      </c>
      <c r="B960" s="25">
        <v>45961</v>
      </c>
      <c r="C960">
        <v>676811</v>
      </c>
      <c r="D960" t="s">
        <v>323</v>
      </c>
      <c r="E960" t="s">
        <v>350</v>
      </c>
      <c r="F960">
        <v>96666.34</v>
      </c>
      <c r="G960" s="29">
        <v>6.4819999999999999E-3</v>
      </c>
      <c r="H960">
        <v>963688.55</v>
      </c>
      <c r="I960">
        <v>262965.13</v>
      </c>
      <c r="J960" s="29">
        <v>0.21440000000000001</v>
      </c>
      <c r="K960">
        <v>5.41</v>
      </c>
    </row>
    <row r="961" spans="1:11" x14ac:dyDescent="0.3">
      <c r="A961" t="s">
        <v>186</v>
      </c>
      <c r="B961" s="25">
        <v>45991</v>
      </c>
      <c r="C961">
        <v>676811</v>
      </c>
      <c r="D961" t="s">
        <v>323</v>
      </c>
      <c r="E961" t="s">
        <v>350</v>
      </c>
      <c r="F961">
        <v>90105.58</v>
      </c>
      <c r="G961" s="29">
        <v>5.6799999999999993E-3</v>
      </c>
      <c r="H961">
        <v>898282.83</v>
      </c>
      <c r="I961">
        <v>245117.64</v>
      </c>
      <c r="J961" s="29">
        <v>0.21440000000000001</v>
      </c>
      <c r="K961">
        <v>4.9800000000000004</v>
      </c>
    </row>
    <row r="962" spans="1:11" x14ac:dyDescent="0.3">
      <c r="A962" t="s">
        <v>186</v>
      </c>
      <c r="B962" s="25">
        <v>45657</v>
      </c>
      <c r="C962">
        <v>356980</v>
      </c>
      <c r="D962" t="s">
        <v>322</v>
      </c>
      <c r="E962" t="s">
        <v>351</v>
      </c>
      <c r="F962">
        <v>239645.08</v>
      </c>
      <c r="G962" s="29">
        <v>1.4865999999999999E-2</v>
      </c>
      <c r="H962">
        <v>1557368.76</v>
      </c>
      <c r="I962">
        <v>755048.84</v>
      </c>
      <c r="J962" s="29">
        <v>0.32650000000000001</v>
      </c>
      <c r="K962">
        <v>8.4600000000000009</v>
      </c>
    </row>
    <row r="963" spans="1:11" x14ac:dyDescent="0.3">
      <c r="A963" t="s">
        <v>186</v>
      </c>
      <c r="B963" s="25">
        <v>45688</v>
      </c>
      <c r="C963">
        <v>356980</v>
      </c>
      <c r="D963" t="s">
        <v>322</v>
      </c>
      <c r="E963" t="s">
        <v>351</v>
      </c>
      <c r="F963">
        <v>264505.93</v>
      </c>
      <c r="G963" s="29">
        <v>1.7129000000000002E-2</v>
      </c>
      <c r="H963">
        <v>1718930.66</v>
      </c>
      <c r="I963">
        <v>833377.83</v>
      </c>
      <c r="J963" s="29">
        <v>0.32650000000000001</v>
      </c>
      <c r="K963">
        <v>8.5500000000000007</v>
      </c>
    </row>
    <row r="964" spans="1:11" x14ac:dyDescent="0.3">
      <c r="A964" t="s">
        <v>186</v>
      </c>
      <c r="B964" s="25">
        <v>45716</v>
      </c>
      <c r="C964">
        <v>356980</v>
      </c>
      <c r="D964" t="s">
        <v>322</v>
      </c>
      <c r="E964" t="s">
        <v>351</v>
      </c>
      <c r="F964">
        <v>247374.69</v>
      </c>
      <c r="G964" s="29">
        <v>1.6034E-2</v>
      </c>
      <c r="H964">
        <v>1607600.8</v>
      </c>
      <c r="I964">
        <v>779402.51</v>
      </c>
      <c r="J964" s="29">
        <v>0.32650000000000001</v>
      </c>
      <c r="K964">
        <v>8.74</v>
      </c>
    </row>
    <row r="965" spans="1:11" x14ac:dyDescent="0.3">
      <c r="A965" t="s">
        <v>186</v>
      </c>
      <c r="B965" s="25">
        <v>45747</v>
      </c>
      <c r="C965">
        <v>356980</v>
      </c>
      <c r="D965" t="s">
        <v>322</v>
      </c>
      <c r="E965" t="s">
        <v>351</v>
      </c>
      <c r="F965">
        <v>298018.37</v>
      </c>
      <c r="G965" s="29">
        <v>1.9782999999999999E-2</v>
      </c>
      <c r="H965">
        <v>1936716.21</v>
      </c>
      <c r="I965">
        <v>938965.36</v>
      </c>
      <c r="J965" s="29">
        <v>0.32650000000000001</v>
      </c>
      <c r="K965">
        <v>8.42</v>
      </c>
    </row>
    <row r="966" spans="1:11" x14ac:dyDescent="0.3">
      <c r="A966" t="s">
        <v>186</v>
      </c>
      <c r="B966" s="25">
        <v>45777</v>
      </c>
      <c r="C966">
        <v>356980</v>
      </c>
      <c r="D966" t="s">
        <v>322</v>
      </c>
      <c r="E966" t="s">
        <v>351</v>
      </c>
      <c r="F966">
        <v>310710.34000000003</v>
      </c>
      <c r="G966" s="29">
        <v>1.9699999999999999E-2</v>
      </c>
      <c r="H966">
        <v>2019196.82</v>
      </c>
      <c r="I966">
        <v>978953.89</v>
      </c>
      <c r="J966" s="29">
        <v>0.32650000000000001</v>
      </c>
      <c r="K966">
        <v>8.08</v>
      </c>
    </row>
    <row r="967" spans="1:11" x14ac:dyDescent="0.3">
      <c r="A967" t="s">
        <v>186</v>
      </c>
      <c r="B967" s="25">
        <v>45808</v>
      </c>
      <c r="C967">
        <v>356980</v>
      </c>
      <c r="D967" t="s">
        <v>322</v>
      </c>
      <c r="E967" t="s">
        <v>351</v>
      </c>
      <c r="F967">
        <v>280639</v>
      </c>
      <c r="G967" s="29">
        <v>1.8051999999999999E-2</v>
      </c>
      <c r="H967">
        <v>1823773.78</v>
      </c>
      <c r="I967">
        <v>884208.23</v>
      </c>
      <c r="J967" s="29">
        <v>0.32650000000000001</v>
      </c>
      <c r="K967">
        <v>7.59</v>
      </c>
    </row>
    <row r="968" spans="1:11" x14ac:dyDescent="0.3">
      <c r="A968" t="s">
        <v>186</v>
      </c>
      <c r="B968" s="25">
        <v>45838</v>
      </c>
      <c r="C968">
        <v>356980</v>
      </c>
      <c r="D968" t="s">
        <v>322</v>
      </c>
      <c r="E968" t="s">
        <v>351</v>
      </c>
      <c r="F968">
        <v>290615.39</v>
      </c>
      <c r="G968" s="29">
        <v>1.8426000000000001E-2</v>
      </c>
      <c r="H968">
        <v>1888606.86</v>
      </c>
      <c r="I968">
        <v>915640.82</v>
      </c>
      <c r="J968" s="29">
        <v>0.32650000000000001</v>
      </c>
      <c r="K968">
        <v>8.4700000000000006</v>
      </c>
    </row>
    <row r="969" spans="1:11" x14ac:dyDescent="0.3">
      <c r="A969" t="s">
        <v>186</v>
      </c>
      <c r="B969" s="25">
        <v>45869</v>
      </c>
      <c r="C969">
        <v>356980</v>
      </c>
      <c r="D969" t="s">
        <v>322</v>
      </c>
      <c r="E969" t="s">
        <v>351</v>
      </c>
      <c r="F969">
        <v>293466.78000000003</v>
      </c>
      <c r="G969" s="29">
        <v>1.9557999999999999E-2</v>
      </c>
      <c r="H969">
        <v>1907137.01</v>
      </c>
      <c r="I969">
        <v>924624.68</v>
      </c>
      <c r="J969" s="29">
        <v>0.32650000000000001</v>
      </c>
      <c r="K969">
        <v>7.6</v>
      </c>
    </row>
    <row r="970" spans="1:11" x14ac:dyDescent="0.3">
      <c r="A970" t="s">
        <v>186</v>
      </c>
      <c r="B970" s="25">
        <v>45900</v>
      </c>
      <c r="C970">
        <v>356980</v>
      </c>
      <c r="D970" t="s">
        <v>322</v>
      </c>
      <c r="E970" t="s">
        <v>351</v>
      </c>
      <c r="F970">
        <v>304221.78000000003</v>
      </c>
      <c r="G970" s="29">
        <v>2.0177E-2</v>
      </c>
      <c r="H970">
        <v>1977029.95</v>
      </c>
      <c r="I970">
        <v>958510.41</v>
      </c>
      <c r="J970" s="29">
        <v>0.32650000000000001</v>
      </c>
      <c r="K970">
        <v>8.11</v>
      </c>
    </row>
    <row r="971" spans="1:11" x14ac:dyDescent="0.3">
      <c r="A971" t="s">
        <v>186</v>
      </c>
      <c r="B971" s="25">
        <v>45930</v>
      </c>
      <c r="C971">
        <v>356980</v>
      </c>
      <c r="D971" t="s">
        <v>322</v>
      </c>
      <c r="E971" t="s">
        <v>351</v>
      </c>
      <c r="F971">
        <v>289203.87</v>
      </c>
      <c r="G971" s="29">
        <v>1.9281E-2</v>
      </c>
      <c r="H971">
        <v>1879433.88</v>
      </c>
      <c r="I971">
        <v>911193.55</v>
      </c>
      <c r="J971" s="29">
        <v>0.32650000000000001</v>
      </c>
      <c r="K971">
        <v>7.69</v>
      </c>
    </row>
    <row r="972" spans="1:11" x14ac:dyDescent="0.3">
      <c r="A972" t="s">
        <v>186</v>
      </c>
      <c r="B972" s="25">
        <v>45961</v>
      </c>
      <c r="C972">
        <v>356980</v>
      </c>
      <c r="D972" t="s">
        <v>322</v>
      </c>
      <c r="E972" t="s">
        <v>351</v>
      </c>
      <c r="F972">
        <v>310307.93</v>
      </c>
      <c r="G972" s="29">
        <v>2.0809000000000001E-2</v>
      </c>
      <c r="H972">
        <v>2016581.68</v>
      </c>
      <c r="I972">
        <v>977686.02</v>
      </c>
      <c r="J972" s="29">
        <v>0.32650000000000001</v>
      </c>
      <c r="K972">
        <v>8.48</v>
      </c>
    </row>
    <row r="973" spans="1:11" x14ac:dyDescent="0.3">
      <c r="A973" t="s">
        <v>186</v>
      </c>
      <c r="B973" s="25">
        <v>45991</v>
      </c>
      <c r="C973">
        <v>356980</v>
      </c>
      <c r="D973" t="s">
        <v>322</v>
      </c>
      <c r="E973" t="s">
        <v>351</v>
      </c>
      <c r="F973">
        <v>249662.48</v>
      </c>
      <c r="G973" s="29">
        <v>1.5737000000000001E-2</v>
      </c>
      <c r="H973">
        <v>1622468.35</v>
      </c>
      <c r="I973">
        <v>786610.65</v>
      </c>
      <c r="J973" s="29">
        <v>0.32650000000000001</v>
      </c>
      <c r="K973">
        <v>8.09</v>
      </c>
    </row>
    <row r="974" spans="1:11" x14ac:dyDescent="0.3">
      <c r="A974" t="s">
        <v>186</v>
      </c>
      <c r="B974" s="25">
        <v>45657</v>
      </c>
      <c r="C974">
        <v>320682</v>
      </c>
      <c r="D974" t="s">
        <v>323</v>
      </c>
      <c r="E974" t="s">
        <v>344</v>
      </c>
      <c r="F974">
        <v>269274.11</v>
      </c>
      <c r="G974" s="29">
        <v>1.6704E-2</v>
      </c>
      <c r="H974">
        <v>1930817.96</v>
      </c>
      <c r="I974">
        <v>861638.64</v>
      </c>
      <c r="J974" s="29">
        <v>0.30859999999999999</v>
      </c>
      <c r="K974">
        <v>7.44</v>
      </c>
    </row>
    <row r="975" spans="1:11" x14ac:dyDescent="0.3">
      <c r="A975" t="s">
        <v>186</v>
      </c>
      <c r="B975" s="25">
        <v>45688</v>
      </c>
      <c r="C975">
        <v>320682</v>
      </c>
      <c r="D975" t="s">
        <v>323</v>
      </c>
      <c r="E975" t="s">
        <v>344</v>
      </c>
      <c r="F975">
        <v>284317.06</v>
      </c>
      <c r="G975" s="29">
        <v>1.8411999999999998E-2</v>
      </c>
      <c r="H975">
        <v>2038682.78</v>
      </c>
      <c r="I975">
        <v>909773.94</v>
      </c>
      <c r="J975" s="29">
        <v>0.30859999999999999</v>
      </c>
      <c r="K975">
        <v>7.2</v>
      </c>
    </row>
    <row r="976" spans="1:11" x14ac:dyDescent="0.3">
      <c r="A976" t="s">
        <v>186</v>
      </c>
      <c r="B976" s="25">
        <v>45716</v>
      </c>
      <c r="C976">
        <v>320682</v>
      </c>
      <c r="D976" t="s">
        <v>323</v>
      </c>
      <c r="E976" t="s">
        <v>344</v>
      </c>
      <c r="F976">
        <v>262986.32</v>
      </c>
      <c r="G976" s="29">
        <v>1.7045999999999999E-2</v>
      </c>
      <c r="H976">
        <v>1885731.67</v>
      </c>
      <c r="I976">
        <v>841518.62</v>
      </c>
      <c r="J976" s="29">
        <v>0.30859999999999999</v>
      </c>
      <c r="K976">
        <v>7.61</v>
      </c>
    </row>
    <row r="977" spans="1:11" x14ac:dyDescent="0.3">
      <c r="A977" t="s">
        <v>186</v>
      </c>
      <c r="B977" s="25">
        <v>45747</v>
      </c>
      <c r="C977">
        <v>320682</v>
      </c>
      <c r="D977" t="s">
        <v>323</v>
      </c>
      <c r="E977" t="s">
        <v>344</v>
      </c>
      <c r="F977">
        <v>270458.99</v>
      </c>
      <c r="G977" s="29">
        <v>1.7954000000000001E-2</v>
      </c>
      <c r="H977">
        <v>1939314.05</v>
      </c>
      <c r="I977">
        <v>865430.07</v>
      </c>
      <c r="J977" s="29">
        <v>0.30859999999999999</v>
      </c>
      <c r="K977">
        <v>7.45</v>
      </c>
    </row>
    <row r="978" spans="1:11" x14ac:dyDescent="0.3">
      <c r="A978" t="s">
        <v>186</v>
      </c>
      <c r="B978" s="25">
        <v>45777</v>
      </c>
      <c r="C978">
        <v>320682</v>
      </c>
      <c r="D978" t="s">
        <v>323</v>
      </c>
      <c r="E978" t="s">
        <v>344</v>
      </c>
      <c r="F978">
        <v>251084.48</v>
      </c>
      <c r="G978" s="29">
        <v>1.592E-2</v>
      </c>
      <c r="H978">
        <v>1800390.02</v>
      </c>
      <c r="I978">
        <v>803434.42</v>
      </c>
      <c r="J978" s="29">
        <v>0.30859999999999999</v>
      </c>
      <c r="K978">
        <v>7.89</v>
      </c>
    </row>
    <row r="979" spans="1:11" x14ac:dyDescent="0.3">
      <c r="A979" t="s">
        <v>186</v>
      </c>
      <c r="B979" s="25">
        <v>45808</v>
      </c>
      <c r="C979">
        <v>320682</v>
      </c>
      <c r="D979" t="s">
        <v>323</v>
      </c>
      <c r="E979" t="s">
        <v>344</v>
      </c>
      <c r="F979">
        <v>253284.6</v>
      </c>
      <c r="G979" s="29">
        <v>1.6292999999999998E-2</v>
      </c>
      <c r="H979">
        <v>1816165.86</v>
      </c>
      <c r="I979">
        <v>810474.48</v>
      </c>
      <c r="J979" s="29">
        <v>0.30859999999999999</v>
      </c>
      <c r="K979">
        <v>6.81</v>
      </c>
    </row>
    <row r="980" spans="1:11" x14ac:dyDescent="0.3">
      <c r="A980" t="s">
        <v>186</v>
      </c>
      <c r="B980" s="25">
        <v>45838</v>
      </c>
      <c r="C980">
        <v>320682</v>
      </c>
      <c r="D980" t="s">
        <v>323</v>
      </c>
      <c r="E980" t="s">
        <v>344</v>
      </c>
      <c r="F980">
        <v>263502.69</v>
      </c>
      <c r="G980" s="29">
        <v>1.6707E-2</v>
      </c>
      <c r="H980">
        <v>1889434.23</v>
      </c>
      <c r="I980">
        <v>843170.91</v>
      </c>
      <c r="J980" s="29">
        <v>0.30859999999999999</v>
      </c>
      <c r="K980">
        <v>6.38</v>
      </c>
    </row>
    <row r="981" spans="1:11" x14ac:dyDescent="0.3">
      <c r="A981" t="s">
        <v>186</v>
      </c>
      <c r="B981" s="25">
        <v>45869</v>
      </c>
      <c r="C981">
        <v>320682</v>
      </c>
      <c r="D981" t="s">
        <v>323</v>
      </c>
      <c r="E981" t="s">
        <v>344</v>
      </c>
      <c r="F981">
        <v>311282.21999999997</v>
      </c>
      <c r="G981" s="29">
        <v>2.0746000000000001E-2</v>
      </c>
      <c r="H981">
        <v>2232035.2400000002</v>
      </c>
      <c r="I981">
        <v>996058.59</v>
      </c>
      <c r="J981" s="29">
        <v>0.30859999999999999</v>
      </c>
      <c r="K981">
        <v>7.14</v>
      </c>
    </row>
    <row r="982" spans="1:11" x14ac:dyDescent="0.3">
      <c r="A982" t="s">
        <v>186</v>
      </c>
      <c r="B982" s="25">
        <v>45900</v>
      </c>
      <c r="C982">
        <v>320682</v>
      </c>
      <c r="D982" t="s">
        <v>323</v>
      </c>
      <c r="E982" t="s">
        <v>344</v>
      </c>
      <c r="F982">
        <v>214704.34</v>
      </c>
      <c r="G982" s="29">
        <v>1.4239999999999999E-2</v>
      </c>
      <c r="H982">
        <v>1539527.85</v>
      </c>
      <c r="I982">
        <v>687023.17</v>
      </c>
      <c r="J982" s="29">
        <v>0.30859999999999999</v>
      </c>
      <c r="K982">
        <v>7.04</v>
      </c>
    </row>
    <row r="983" spans="1:11" x14ac:dyDescent="0.3">
      <c r="A983" t="s">
        <v>186</v>
      </c>
      <c r="B983" s="25">
        <v>45930</v>
      </c>
      <c r="C983">
        <v>320682</v>
      </c>
      <c r="D983" t="s">
        <v>323</v>
      </c>
      <c r="E983" t="s">
        <v>344</v>
      </c>
      <c r="F983">
        <v>272773.31</v>
      </c>
      <c r="G983" s="29">
        <v>1.8186000000000001E-2</v>
      </c>
      <c r="H983">
        <v>1955908.8</v>
      </c>
      <c r="I983">
        <v>872835.57</v>
      </c>
      <c r="J983" s="29">
        <v>0.30859999999999999</v>
      </c>
      <c r="K983">
        <v>7.39</v>
      </c>
    </row>
    <row r="984" spans="1:11" x14ac:dyDescent="0.3">
      <c r="A984" t="s">
        <v>186</v>
      </c>
      <c r="B984" s="25">
        <v>45961</v>
      </c>
      <c r="C984">
        <v>320682</v>
      </c>
      <c r="D984" t="s">
        <v>323</v>
      </c>
      <c r="E984" t="s">
        <v>344</v>
      </c>
      <c r="F984">
        <v>238313</v>
      </c>
      <c r="G984" s="29">
        <v>1.5981000000000002E-2</v>
      </c>
      <c r="H984">
        <v>1708812.69</v>
      </c>
      <c r="I984">
        <v>762567.51</v>
      </c>
      <c r="J984" s="29">
        <v>0.30859999999999999</v>
      </c>
      <c r="K984">
        <v>7.37</v>
      </c>
    </row>
    <row r="985" spans="1:11" x14ac:dyDescent="0.3">
      <c r="A985" t="s">
        <v>186</v>
      </c>
      <c r="B985" s="25">
        <v>45991</v>
      </c>
      <c r="C985">
        <v>320682</v>
      </c>
      <c r="D985" t="s">
        <v>323</v>
      </c>
      <c r="E985" t="s">
        <v>344</v>
      </c>
      <c r="F985">
        <v>278921.03999999998</v>
      </c>
      <c r="G985" s="29">
        <v>1.7580999999999999E-2</v>
      </c>
      <c r="H985">
        <v>1999990.81</v>
      </c>
      <c r="I985">
        <v>892507.42</v>
      </c>
      <c r="J985" s="29">
        <v>0.30859999999999999</v>
      </c>
      <c r="K985">
        <v>6.34</v>
      </c>
    </row>
    <row r="986" spans="1:11" x14ac:dyDescent="0.3">
      <c r="A986" t="s">
        <v>186</v>
      </c>
      <c r="B986" s="25">
        <v>45657</v>
      </c>
      <c r="C986">
        <v>267184</v>
      </c>
      <c r="D986" t="s">
        <v>323</v>
      </c>
      <c r="E986" t="s">
        <v>350</v>
      </c>
      <c r="F986">
        <v>213821.95</v>
      </c>
      <c r="G986" s="29">
        <v>1.3264E-2</v>
      </c>
      <c r="H986">
        <v>1595633.5</v>
      </c>
      <c r="I986">
        <v>772800.91</v>
      </c>
      <c r="J986" s="29">
        <v>0.32629999999999998</v>
      </c>
      <c r="K986">
        <v>7.22</v>
      </c>
    </row>
    <row r="987" spans="1:11" x14ac:dyDescent="0.3">
      <c r="A987" t="s">
        <v>186</v>
      </c>
      <c r="B987" s="25">
        <v>45688</v>
      </c>
      <c r="C987">
        <v>267184</v>
      </c>
      <c r="D987" t="s">
        <v>323</v>
      </c>
      <c r="E987" t="s">
        <v>350</v>
      </c>
      <c r="F987">
        <v>186519.22</v>
      </c>
      <c r="G987" s="29">
        <v>1.2078999999999999E-2</v>
      </c>
      <c r="H987">
        <v>1391888.52</v>
      </c>
      <c r="I987">
        <v>674122.67</v>
      </c>
      <c r="J987" s="29">
        <v>0.32629999999999998</v>
      </c>
      <c r="K987">
        <v>6.65</v>
      </c>
    </row>
    <row r="988" spans="1:11" x14ac:dyDescent="0.3">
      <c r="A988" t="s">
        <v>186</v>
      </c>
      <c r="B988" s="25">
        <v>45716</v>
      </c>
      <c r="C988">
        <v>267184</v>
      </c>
      <c r="D988" t="s">
        <v>323</v>
      </c>
      <c r="E988" t="s">
        <v>350</v>
      </c>
      <c r="F988">
        <v>194040.42</v>
      </c>
      <c r="G988" s="29">
        <v>1.2577E-2</v>
      </c>
      <c r="H988">
        <v>1448015.05</v>
      </c>
      <c r="I988">
        <v>701306</v>
      </c>
      <c r="J988" s="29">
        <v>0.32629999999999998</v>
      </c>
      <c r="K988">
        <v>7</v>
      </c>
    </row>
    <row r="989" spans="1:11" x14ac:dyDescent="0.3">
      <c r="A989" t="s">
        <v>186</v>
      </c>
      <c r="B989" s="25">
        <v>45747</v>
      </c>
      <c r="C989">
        <v>267184</v>
      </c>
      <c r="D989" t="s">
        <v>323</v>
      </c>
      <c r="E989" t="s">
        <v>350</v>
      </c>
      <c r="F989">
        <v>218370.37</v>
      </c>
      <c r="G989" s="29">
        <v>1.4496E-2</v>
      </c>
      <c r="H989">
        <v>1629575.81</v>
      </c>
      <c r="I989">
        <v>789239.93</v>
      </c>
      <c r="J989" s="29">
        <v>0.32629999999999998</v>
      </c>
      <c r="K989">
        <v>7.04</v>
      </c>
    </row>
    <row r="990" spans="1:11" x14ac:dyDescent="0.3">
      <c r="A990" t="s">
        <v>186</v>
      </c>
      <c r="B990" s="25">
        <v>45777</v>
      </c>
      <c r="C990">
        <v>267184</v>
      </c>
      <c r="D990" t="s">
        <v>323</v>
      </c>
      <c r="E990" t="s">
        <v>350</v>
      </c>
      <c r="F990">
        <v>214875.42</v>
      </c>
      <c r="G990" s="29">
        <v>1.3624000000000001E-2</v>
      </c>
      <c r="H990">
        <v>1603494.94</v>
      </c>
      <c r="I990">
        <v>776608.38</v>
      </c>
      <c r="J990" s="29">
        <v>0.32629999999999998</v>
      </c>
      <c r="K990">
        <v>7.56</v>
      </c>
    </row>
    <row r="991" spans="1:11" x14ac:dyDescent="0.3">
      <c r="A991" t="s">
        <v>186</v>
      </c>
      <c r="B991" s="25">
        <v>45808</v>
      </c>
      <c r="C991">
        <v>267184</v>
      </c>
      <c r="D991" t="s">
        <v>323</v>
      </c>
      <c r="E991" t="s">
        <v>350</v>
      </c>
      <c r="F991">
        <v>219547.21</v>
      </c>
      <c r="G991" s="29">
        <v>1.4121999999999999E-2</v>
      </c>
      <c r="H991">
        <v>1638357.91</v>
      </c>
      <c r="I991">
        <v>793493.29</v>
      </c>
      <c r="J991" s="29">
        <v>0.32629999999999998</v>
      </c>
      <c r="K991">
        <v>6.68</v>
      </c>
    </row>
    <row r="992" spans="1:11" x14ac:dyDescent="0.3">
      <c r="A992" t="s">
        <v>186</v>
      </c>
      <c r="B992" s="25">
        <v>45838</v>
      </c>
      <c r="C992">
        <v>267184</v>
      </c>
      <c r="D992" t="s">
        <v>323</v>
      </c>
      <c r="E992" t="s">
        <v>350</v>
      </c>
      <c r="F992">
        <v>211665.62</v>
      </c>
      <c r="G992" s="29">
        <v>1.3420000000000001E-2</v>
      </c>
      <c r="H992">
        <v>1579542.01</v>
      </c>
      <c r="I992">
        <v>765007.44</v>
      </c>
      <c r="J992" s="29">
        <v>0.32629999999999998</v>
      </c>
      <c r="K992">
        <v>7.08</v>
      </c>
    </row>
    <row r="993" spans="1:11" x14ac:dyDescent="0.3">
      <c r="A993" t="s">
        <v>186</v>
      </c>
      <c r="B993" s="25">
        <v>45869</v>
      </c>
      <c r="C993">
        <v>267184</v>
      </c>
      <c r="D993" t="s">
        <v>323</v>
      </c>
      <c r="E993" t="s">
        <v>350</v>
      </c>
      <c r="F993">
        <v>233303</v>
      </c>
      <c r="G993" s="29">
        <v>1.5549E-2</v>
      </c>
      <c r="H993">
        <v>1741009.68</v>
      </c>
      <c r="I993">
        <v>843209.83</v>
      </c>
      <c r="J993" s="29">
        <v>0.32629999999999998</v>
      </c>
      <c r="K993">
        <v>6.74</v>
      </c>
    </row>
    <row r="994" spans="1:11" x14ac:dyDescent="0.3">
      <c r="A994" t="s">
        <v>186</v>
      </c>
      <c r="B994" s="25">
        <v>45900</v>
      </c>
      <c r="C994">
        <v>267184</v>
      </c>
      <c r="D994" t="s">
        <v>323</v>
      </c>
      <c r="E994" t="s">
        <v>350</v>
      </c>
      <c r="F994">
        <v>211784.16</v>
      </c>
      <c r="G994" s="29">
        <v>1.4046000000000001E-2</v>
      </c>
      <c r="H994">
        <v>1580426.65</v>
      </c>
      <c r="I994">
        <v>765435.89</v>
      </c>
      <c r="J994" s="29">
        <v>0.32629999999999998</v>
      </c>
      <c r="K994">
        <v>6.72</v>
      </c>
    </row>
    <row r="995" spans="1:11" x14ac:dyDescent="0.3">
      <c r="A995" t="s">
        <v>186</v>
      </c>
      <c r="B995" s="25">
        <v>45930</v>
      </c>
      <c r="C995">
        <v>267184</v>
      </c>
      <c r="D995" t="s">
        <v>323</v>
      </c>
      <c r="E995" t="s">
        <v>350</v>
      </c>
      <c r="F995">
        <v>214988.34</v>
      </c>
      <c r="G995" s="29">
        <v>1.4333E-2</v>
      </c>
      <c r="H995">
        <v>1604337.66</v>
      </c>
      <c r="I995">
        <v>777016.53</v>
      </c>
      <c r="J995" s="29">
        <v>0.32629999999999998</v>
      </c>
      <c r="K995">
        <v>7.5</v>
      </c>
    </row>
    <row r="996" spans="1:11" x14ac:dyDescent="0.3">
      <c r="A996" t="s">
        <v>186</v>
      </c>
      <c r="B996" s="25">
        <v>45961</v>
      </c>
      <c r="C996">
        <v>267184</v>
      </c>
      <c r="D996" t="s">
        <v>323</v>
      </c>
      <c r="E996" t="s">
        <v>350</v>
      </c>
      <c r="F996">
        <v>234274.1</v>
      </c>
      <c r="G996" s="29">
        <v>1.5709999999999998E-2</v>
      </c>
      <c r="H996">
        <v>1748256.45</v>
      </c>
      <c r="I996">
        <v>846719.61</v>
      </c>
      <c r="J996" s="29">
        <v>0.32629999999999998</v>
      </c>
      <c r="K996">
        <v>7.52</v>
      </c>
    </row>
    <row r="997" spans="1:11" x14ac:dyDescent="0.3">
      <c r="A997" t="s">
        <v>186</v>
      </c>
      <c r="B997" s="25">
        <v>45991</v>
      </c>
      <c r="C997">
        <v>267184</v>
      </c>
      <c r="D997" t="s">
        <v>323</v>
      </c>
      <c r="E997" t="s">
        <v>350</v>
      </c>
      <c r="F997">
        <v>192742.68</v>
      </c>
      <c r="G997" s="29">
        <v>1.2149E-2</v>
      </c>
      <c r="H997">
        <v>1438330.76</v>
      </c>
      <c r="I997">
        <v>696615.68</v>
      </c>
      <c r="J997" s="29">
        <v>0.32629999999999998</v>
      </c>
      <c r="K997">
        <v>6.92</v>
      </c>
    </row>
    <row r="998" spans="1:11" x14ac:dyDescent="0.3">
      <c r="A998" t="s">
        <v>186</v>
      </c>
      <c r="B998" s="25">
        <v>45657</v>
      </c>
      <c r="C998">
        <v>473360</v>
      </c>
      <c r="D998" t="s">
        <v>324</v>
      </c>
      <c r="E998" t="s">
        <v>345</v>
      </c>
      <c r="F998">
        <v>147151.79</v>
      </c>
      <c r="G998" s="29">
        <v>9.127999999999999E-3</v>
      </c>
      <c r="H998">
        <v>1464058.01</v>
      </c>
      <c r="I998">
        <v>399372.23</v>
      </c>
      <c r="J998" s="29">
        <v>0.21429999999999999</v>
      </c>
      <c r="K998">
        <v>4.66</v>
      </c>
    </row>
    <row r="999" spans="1:11" x14ac:dyDescent="0.3">
      <c r="A999" t="s">
        <v>186</v>
      </c>
      <c r="B999" s="25">
        <v>45688</v>
      </c>
      <c r="C999">
        <v>473360</v>
      </c>
      <c r="D999" t="s">
        <v>324</v>
      </c>
      <c r="E999" t="s">
        <v>345</v>
      </c>
      <c r="F999">
        <v>159840.19</v>
      </c>
      <c r="G999" s="29">
        <v>1.0350999999999999E-2</v>
      </c>
      <c r="H999">
        <v>1590298.71</v>
      </c>
      <c r="I999">
        <v>433808.73</v>
      </c>
      <c r="J999" s="29">
        <v>0.21429999999999999</v>
      </c>
      <c r="K999">
        <v>5.14</v>
      </c>
    </row>
    <row r="1000" spans="1:11" x14ac:dyDescent="0.3">
      <c r="A1000" t="s">
        <v>186</v>
      </c>
      <c r="B1000" s="25">
        <v>45716</v>
      </c>
      <c r="C1000">
        <v>473360</v>
      </c>
      <c r="D1000" t="s">
        <v>324</v>
      </c>
      <c r="E1000" t="s">
        <v>345</v>
      </c>
      <c r="F1000">
        <v>183594.67</v>
      </c>
      <c r="G1000" s="29">
        <v>1.1899999999999999E-2</v>
      </c>
      <c r="H1000">
        <v>1826639.24</v>
      </c>
      <c r="I1000">
        <v>498278.74</v>
      </c>
      <c r="J1000" s="29">
        <v>0.21429999999999999</v>
      </c>
      <c r="K1000">
        <v>5.27</v>
      </c>
    </row>
    <row r="1001" spans="1:11" x14ac:dyDescent="0.3">
      <c r="A1001" t="s">
        <v>186</v>
      </c>
      <c r="B1001" s="25">
        <v>45747</v>
      </c>
      <c r="C1001">
        <v>473360</v>
      </c>
      <c r="D1001" t="s">
        <v>324</v>
      </c>
      <c r="E1001" t="s">
        <v>345</v>
      </c>
      <c r="F1001">
        <v>155685.65</v>
      </c>
      <c r="G1001" s="29">
        <v>1.0335E-2</v>
      </c>
      <c r="H1001">
        <v>1548963.91</v>
      </c>
      <c r="I1001">
        <v>422533.24</v>
      </c>
      <c r="J1001" s="29">
        <v>0.21429999999999999</v>
      </c>
      <c r="K1001">
        <v>4.92</v>
      </c>
    </row>
    <row r="1002" spans="1:11" x14ac:dyDescent="0.3">
      <c r="A1002" t="s">
        <v>186</v>
      </c>
      <c r="B1002" s="25">
        <v>45777</v>
      </c>
      <c r="C1002">
        <v>473360</v>
      </c>
      <c r="D1002" t="s">
        <v>324</v>
      </c>
      <c r="E1002" t="s">
        <v>345</v>
      </c>
      <c r="F1002">
        <v>172927.02</v>
      </c>
      <c r="G1002" s="29">
        <v>1.0964E-2</v>
      </c>
      <c r="H1002">
        <v>1720503.59</v>
      </c>
      <c r="I1002">
        <v>469326.59</v>
      </c>
      <c r="J1002" s="29">
        <v>0.21429999999999999</v>
      </c>
      <c r="K1002">
        <v>5.56</v>
      </c>
    </row>
    <row r="1003" spans="1:11" x14ac:dyDescent="0.3">
      <c r="A1003" t="s">
        <v>186</v>
      </c>
      <c r="B1003" s="25">
        <v>45808</v>
      </c>
      <c r="C1003">
        <v>473360</v>
      </c>
      <c r="D1003" t="s">
        <v>324</v>
      </c>
      <c r="E1003" t="s">
        <v>345</v>
      </c>
      <c r="F1003">
        <v>152584.29</v>
      </c>
      <c r="G1003" s="29">
        <v>9.8150000000000008E-3</v>
      </c>
      <c r="H1003">
        <v>1518107.56</v>
      </c>
      <c r="I1003">
        <v>414116.1</v>
      </c>
      <c r="J1003" s="29">
        <v>0.21429999999999999</v>
      </c>
      <c r="K1003">
        <v>5.16</v>
      </c>
    </row>
    <row r="1004" spans="1:11" x14ac:dyDescent="0.3">
      <c r="A1004" t="s">
        <v>186</v>
      </c>
      <c r="B1004" s="25">
        <v>45838</v>
      </c>
      <c r="C1004">
        <v>473360</v>
      </c>
      <c r="D1004" t="s">
        <v>324</v>
      </c>
      <c r="E1004" t="s">
        <v>345</v>
      </c>
      <c r="F1004">
        <v>146046.54999999999</v>
      </c>
      <c r="G1004" s="29">
        <v>9.2600000000000009E-3</v>
      </c>
      <c r="H1004">
        <v>1453061.56</v>
      </c>
      <c r="I1004">
        <v>396372.57</v>
      </c>
      <c r="J1004" s="29">
        <v>0.21429999999999999</v>
      </c>
      <c r="K1004">
        <v>5.07</v>
      </c>
    </row>
    <row r="1005" spans="1:11" x14ac:dyDescent="0.3">
      <c r="A1005" t="s">
        <v>186</v>
      </c>
      <c r="B1005" s="25">
        <v>45869</v>
      </c>
      <c r="C1005">
        <v>473360</v>
      </c>
      <c r="D1005" t="s">
        <v>324</v>
      </c>
      <c r="E1005" t="s">
        <v>345</v>
      </c>
      <c r="F1005">
        <v>177191.21</v>
      </c>
      <c r="G1005" s="29">
        <v>1.1809E-2</v>
      </c>
      <c r="H1005">
        <v>1762929.27</v>
      </c>
      <c r="I1005">
        <v>480899.65</v>
      </c>
      <c r="J1005" s="29">
        <v>0.21429999999999999</v>
      </c>
      <c r="K1005">
        <v>5.28</v>
      </c>
    </row>
    <row r="1006" spans="1:11" x14ac:dyDescent="0.3">
      <c r="A1006" t="s">
        <v>186</v>
      </c>
      <c r="B1006" s="25">
        <v>45900</v>
      </c>
      <c r="C1006">
        <v>473360</v>
      </c>
      <c r="D1006" t="s">
        <v>324</v>
      </c>
      <c r="E1006" t="s">
        <v>345</v>
      </c>
      <c r="F1006">
        <v>162677.73000000001</v>
      </c>
      <c r="G1006" s="29">
        <v>1.0789999999999999E-2</v>
      </c>
      <c r="H1006">
        <v>1618530.32</v>
      </c>
      <c r="I1006">
        <v>441509.87</v>
      </c>
      <c r="J1006" s="29">
        <v>0.21429999999999999</v>
      </c>
      <c r="K1006">
        <v>5.5</v>
      </c>
    </row>
    <row r="1007" spans="1:11" x14ac:dyDescent="0.3">
      <c r="A1007" t="s">
        <v>186</v>
      </c>
      <c r="B1007" s="25">
        <v>45930</v>
      </c>
      <c r="C1007">
        <v>473360</v>
      </c>
      <c r="D1007" t="s">
        <v>324</v>
      </c>
      <c r="E1007" t="s">
        <v>345</v>
      </c>
      <c r="F1007">
        <v>167298.70000000001</v>
      </c>
      <c r="G1007" s="29">
        <v>1.1153999999999999E-2</v>
      </c>
      <c r="H1007">
        <v>1664505.76</v>
      </c>
      <c r="I1007">
        <v>454051.25</v>
      </c>
      <c r="J1007" s="29">
        <v>0.21429999999999999</v>
      </c>
      <c r="K1007">
        <v>5.38</v>
      </c>
    </row>
    <row r="1008" spans="1:11" x14ac:dyDescent="0.3">
      <c r="A1008" t="s">
        <v>186</v>
      </c>
      <c r="B1008" s="25">
        <v>45961</v>
      </c>
      <c r="C1008">
        <v>473360</v>
      </c>
      <c r="D1008" t="s">
        <v>324</v>
      </c>
      <c r="E1008" t="s">
        <v>345</v>
      </c>
      <c r="F1008">
        <v>153256.63</v>
      </c>
      <c r="G1008" s="29">
        <v>1.0277000000000001E-2</v>
      </c>
      <c r="H1008">
        <v>1524796.92</v>
      </c>
      <c r="I1008">
        <v>415940.86</v>
      </c>
      <c r="J1008" s="29">
        <v>0.21429999999999999</v>
      </c>
      <c r="K1008">
        <v>5.73</v>
      </c>
    </row>
    <row r="1009" spans="1:11" x14ac:dyDescent="0.3">
      <c r="A1009" t="s">
        <v>186</v>
      </c>
      <c r="B1009" s="25">
        <v>45991</v>
      </c>
      <c r="C1009">
        <v>473360</v>
      </c>
      <c r="D1009" t="s">
        <v>324</v>
      </c>
      <c r="E1009" t="s">
        <v>345</v>
      </c>
      <c r="F1009">
        <v>155879.1</v>
      </c>
      <c r="G1009" s="29">
        <v>9.8250000000000004E-3</v>
      </c>
      <c r="H1009">
        <v>1550888.64</v>
      </c>
      <c r="I1009">
        <v>423058.27</v>
      </c>
      <c r="J1009" s="29">
        <v>0.21429999999999999</v>
      </c>
      <c r="K1009">
        <v>5.23</v>
      </c>
    </row>
    <row r="1010" spans="1:11" x14ac:dyDescent="0.3">
      <c r="A1010" t="s">
        <v>186</v>
      </c>
      <c r="B1010" s="25">
        <v>45657</v>
      </c>
      <c r="C1010">
        <v>170046</v>
      </c>
      <c r="D1010" t="s">
        <v>320</v>
      </c>
      <c r="E1010" t="s">
        <v>349</v>
      </c>
      <c r="F1010">
        <v>161051.53</v>
      </c>
      <c r="G1010" s="29">
        <v>9.9909999999999999E-3</v>
      </c>
      <c r="H1010">
        <v>1456823.73</v>
      </c>
      <c r="I1010">
        <v>420306.44</v>
      </c>
      <c r="J1010" s="29">
        <v>0.22389999999999999</v>
      </c>
      <c r="K1010">
        <v>6.21</v>
      </c>
    </row>
    <row r="1011" spans="1:11" x14ac:dyDescent="0.3">
      <c r="A1011" t="s">
        <v>186</v>
      </c>
      <c r="B1011" s="25">
        <v>45688</v>
      </c>
      <c r="C1011">
        <v>170046</v>
      </c>
      <c r="D1011" t="s">
        <v>320</v>
      </c>
      <c r="E1011" t="s">
        <v>349</v>
      </c>
      <c r="F1011">
        <v>189204.48000000001</v>
      </c>
      <c r="G1011" s="29">
        <v>1.2253E-2</v>
      </c>
      <c r="H1011">
        <v>1711486.93</v>
      </c>
      <c r="I1011">
        <v>493779.01</v>
      </c>
      <c r="J1011" s="29">
        <v>0.22389999999999999</v>
      </c>
      <c r="K1011">
        <v>5.28</v>
      </c>
    </row>
    <row r="1012" spans="1:11" x14ac:dyDescent="0.3">
      <c r="A1012" t="s">
        <v>186</v>
      </c>
      <c r="B1012" s="25">
        <v>45716</v>
      </c>
      <c r="C1012">
        <v>170046</v>
      </c>
      <c r="D1012" t="s">
        <v>320</v>
      </c>
      <c r="E1012" t="s">
        <v>349</v>
      </c>
      <c r="F1012">
        <v>155915.47</v>
      </c>
      <c r="G1012" s="29">
        <v>1.0105999999999999E-2</v>
      </c>
      <c r="H1012">
        <v>1410364.48</v>
      </c>
      <c r="I1012">
        <v>406902.54</v>
      </c>
      <c r="J1012" s="29">
        <v>0.22389999999999999</v>
      </c>
      <c r="K1012">
        <v>5.0599999999999996</v>
      </c>
    </row>
    <row r="1013" spans="1:11" x14ac:dyDescent="0.3">
      <c r="A1013" t="s">
        <v>186</v>
      </c>
      <c r="B1013" s="25">
        <v>45747</v>
      </c>
      <c r="C1013">
        <v>170046</v>
      </c>
      <c r="D1013" t="s">
        <v>320</v>
      </c>
      <c r="E1013" t="s">
        <v>349</v>
      </c>
      <c r="F1013">
        <v>165667.20000000001</v>
      </c>
      <c r="G1013" s="29">
        <v>1.0997E-2</v>
      </c>
      <c r="H1013">
        <v>1498575.76</v>
      </c>
      <c r="I1013">
        <v>432352.27</v>
      </c>
      <c r="J1013" s="29">
        <v>0.22389999999999999</v>
      </c>
      <c r="K1013">
        <v>6.13</v>
      </c>
    </row>
    <row r="1014" spans="1:11" x14ac:dyDescent="0.3">
      <c r="A1014" t="s">
        <v>186</v>
      </c>
      <c r="B1014" s="25">
        <v>45777</v>
      </c>
      <c r="C1014">
        <v>170046</v>
      </c>
      <c r="D1014" t="s">
        <v>320</v>
      </c>
      <c r="E1014" t="s">
        <v>349</v>
      </c>
      <c r="F1014">
        <v>192948.11</v>
      </c>
      <c r="G1014" s="29">
        <v>1.2234E-2</v>
      </c>
      <c r="H1014">
        <v>1745350.63</v>
      </c>
      <c r="I1014">
        <v>503548.99</v>
      </c>
      <c r="J1014" s="29">
        <v>0.22389999999999999</v>
      </c>
      <c r="K1014">
        <v>5.48</v>
      </c>
    </row>
    <row r="1015" spans="1:11" x14ac:dyDescent="0.3">
      <c r="A1015" t="s">
        <v>186</v>
      </c>
      <c r="B1015" s="25">
        <v>45808</v>
      </c>
      <c r="C1015">
        <v>170046</v>
      </c>
      <c r="D1015" t="s">
        <v>320</v>
      </c>
      <c r="E1015" t="s">
        <v>349</v>
      </c>
      <c r="F1015">
        <v>157353.29999999999</v>
      </c>
      <c r="G1015" s="29">
        <v>1.0121999999999999E-2</v>
      </c>
      <c r="H1015">
        <v>1423370.69</v>
      </c>
      <c r="I1015">
        <v>410654.95</v>
      </c>
      <c r="J1015" s="29">
        <v>0.22389999999999999</v>
      </c>
      <c r="K1015">
        <v>5.89</v>
      </c>
    </row>
    <row r="1016" spans="1:11" x14ac:dyDescent="0.3">
      <c r="A1016" t="s">
        <v>186</v>
      </c>
      <c r="B1016" s="25">
        <v>45838</v>
      </c>
      <c r="C1016">
        <v>170046</v>
      </c>
      <c r="D1016" t="s">
        <v>320</v>
      </c>
      <c r="E1016" t="s">
        <v>349</v>
      </c>
      <c r="F1016">
        <v>170591.48</v>
      </c>
      <c r="G1016" s="29">
        <v>1.0815999999999999E-2</v>
      </c>
      <c r="H1016">
        <v>1543119.33</v>
      </c>
      <c r="I1016">
        <v>445203.48</v>
      </c>
      <c r="J1016" s="29">
        <v>0.22389999999999999</v>
      </c>
      <c r="K1016">
        <v>5.93</v>
      </c>
    </row>
    <row r="1017" spans="1:11" x14ac:dyDescent="0.3">
      <c r="A1017" t="s">
        <v>186</v>
      </c>
      <c r="B1017" s="25">
        <v>45869</v>
      </c>
      <c r="C1017">
        <v>170046</v>
      </c>
      <c r="D1017" t="s">
        <v>320</v>
      </c>
      <c r="E1017" t="s">
        <v>349</v>
      </c>
      <c r="F1017">
        <v>166599.31</v>
      </c>
      <c r="G1017" s="29">
        <v>1.1103E-2</v>
      </c>
      <c r="H1017">
        <v>1507007.36</v>
      </c>
      <c r="I1017">
        <v>434784.86</v>
      </c>
      <c r="J1017" s="29">
        <v>0.22389999999999999</v>
      </c>
      <c r="K1017">
        <v>5.34</v>
      </c>
    </row>
    <row r="1018" spans="1:11" x14ac:dyDescent="0.3">
      <c r="A1018" t="s">
        <v>186</v>
      </c>
      <c r="B1018" s="25">
        <v>45900</v>
      </c>
      <c r="C1018">
        <v>170046</v>
      </c>
      <c r="D1018" t="s">
        <v>320</v>
      </c>
      <c r="E1018" t="s">
        <v>349</v>
      </c>
      <c r="F1018">
        <v>152407.47</v>
      </c>
      <c r="G1018" s="29">
        <v>1.0107999999999999E-2</v>
      </c>
      <c r="H1018">
        <v>1378632.22</v>
      </c>
      <c r="I1018">
        <v>397747.5</v>
      </c>
      <c r="J1018" s="29">
        <v>0.22389999999999999</v>
      </c>
      <c r="K1018">
        <v>5.78</v>
      </c>
    </row>
    <row r="1019" spans="1:11" x14ac:dyDescent="0.3">
      <c r="A1019" t="s">
        <v>186</v>
      </c>
      <c r="B1019" s="25">
        <v>45930</v>
      </c>
      <c r="C1019">
        <v>170046</v>
      </c>
      <c r="D1019" t="s">
        <v>320</v>
      </c>
      <c r="E1019" t="s">
        <v>349</v>
      </c>
      <c r="F1019">
        <v>178028.38</v>
      </c>
      <c r="G1019" s="29">
        <v>1.1869000000000001E-2</v>
      </c>
      <c r="H1019">
        <v>1610391.28</v>
      </c>
      <c r="I1019">
        <v>464612.03</v>
      </c>
      <c r="J1019" s="29">
        <v>0.22389999999999999</v>
      </c>
      <c r="K1019">
        <v>5.46</v>
      </c>
    </row>
    <row r="1020" spans="1:11" x14ac:dyDescent="0.3">
      <c r="A1020" t="s">
        <v>186</v>
      </c>
      <c r="B1020" s="25">
        <v>45961</v>
      </c>
      <c r="C1020">
        <v>170046</v>
      </c>
      <c r="D1020" t="s">
        <v>320</v>
      </c>
      <c r="E1020" t="s">
        <v>349</v>
      </c>
      <c r="F1020">
        <v>186176.64000000001</v>
      </c>
      <c r="G1020" s="29">
        <v>1.2485E-2</v>
      </c>
      <c r="H1020">
        <v>1684097.94</v>
      </c>
      <c r="I1020">
        <v>485877.05</v>
      </c>
      <c r="J1020" s="29">
        <v>0.22389999999999999</v>
      </c>
      <c r="K1020">
        <v>5.85</v>
      </c>
    </row>
    <row r="1021" spans="1:11" x14ac:dyDescent="0.3">
      <c r="A1021" t="s">
        <v>186</v>
      </c>
      <c r="B1021" s="25">
        <v>45991</v>
      </c>
      <c r="C1021">
        <v>170046</v>
      </c>
      <c r="D1021" t="s">
        <v>320</v>
      </c>
      <c r="E1021" t="s">
        <v>349</v>
      </c>
      <c r="F1021">
        <v>196371.4</v>
      </c>
      <c r="G1021" s="29">
        <v>1.2378E-2</v>
      </c>
      <c r="H1021">
        <v>1776316.74</v>
      </c>
      <c r="I1021">
        <v>512482.98</v>
      </c>
      <c r="J1021" s="29">
        <v>0.22389999999999999</v>
      </c>
      <c r="K1021">
        <v>5.99</v>
      </c>
    </row>
    <row r="1022" spans="1:11" x14ac:dyDescent="0.3">
      <c r="A1022" t="s">
        <v>186</v>
      </c>
      <c r="B1022" s="25">
        <v>45657</v>
      </c>
      <c r="C1022">
        <v>805000</v>
      </c>
      <c r="D1022" t="s">
        <v>268</v>
      </c>
      <c r="E1022" t="s">
        <v>348</v>
      </c>
      <c r="F1022">
        <v>169054.81</v>
      </c>
      <c r="G1022" s="29">
        <v>1.0487E-2</v>
      </c>
      <c r="H1022">
        <v>1601103.78</v>
      </c>
      <c r="I1022">
        <v>455655.84</v>
      </c>
      <c r="J1022" s="29">
        <v>0.2215</v>
      </c>
      <c r="K1022">
        <v>5.8</v>
      </c>
    </row>
    <row r="1023" spans="1:11" x14ac:dyDescent="0.3">
      <c r="A1023" t="s">
        <v>186</v>
      </c>
      <c r="B1023" s="25">
        <v>45688</v>
      </c>
      <c r="C1023">
        <v>805000</v>
      </c>
      <c r="D1023" t="s">
        <v>268</v>
      </c>
      <c r="E1023" t="s">
        <v>348</v>
      </c>
      <c r="F1023">
        <v>162704.38</v>
      </c>
      <c r="G1023" s="29">
        <v>1.0537000000000001E-2</v>
      </c>
      <c r="H1023">
        <v>1540959.35</v>
      </c>
      <c r="I1023">
        <v>438539.42</v>
      </c>
      <c r="J1023" s="29">
        <v>0.2215</v>
      </c>
      <c r="K1023">
        <v>4.96</v>
      </c>
    </row>
    <row r="1024" spans="1:11" x14ac:dyDescent="0.3">
      <c r="A1024" t="s">
        <v>186</v>
      </c>
      <c r="B1024" s="25">
        <v>45716</v>
      </c>
      <c r="C1024">
        <v>805000</v>
      </c>
      <c r="D1024" t="s">
        <v>268</v>
      </c>
      <c r="E1024" t="s">
        <v>348</v>
      </c>
      <c r="F1024">
        <v>164320.49</v>
      </c>
      <c r="G1024" s="29">
        <v>1.065E-2</v>
      </c>
      <c r="H1024">
        <v>1556265.46</v>
      </c>
      <c r="I1024">
        <v>442895.37</v>
      </c>
      <c r="J1024" s="29">
        <v>0.2215</v>
      </c>
      <c r="K1024">
        <v>5.89</v>
      </c>
    </row>
    <row r="1025" spans="1:11" x14ac:dyDescent="0.3">
      <c r="A1025" t="s">
        <v>186</v>
      </c>
      <c r="B1025" s="25">
        <v>45747</v>
      </c>
      <c r="C1025">
        <v>805000</v>
      </c>
      <c r="D1025" t="s">
        <v>268</v>
      </c>
      <c r="E1025" t="s">
        <v>348</v>
      </c>
      <c r="F1025">
        <v>148141.73000000001</v>
      </c>
      <c r="G1025" s="29">
        <v>9.8340000000000007E-3</v>
      </c>
      <c r="H1025">
        <v>1403037.78</v>
      </c>
      <c r="I1025">
        <v>399288.52</v>
      </c>
      <c r="J1025" s="29">
        <v>0.2215</v>
      </c>
      <c r="K1025">
        <v>5.3</v>
      </c>
    </row>
    <row r="1026" spans="1:11" x14ac:dyDescent="0.3">
      <c r="A1026" t="s">
        <v>186</v>
      </c>
      <c r="B1026" s="25">
        <v>45777</v>
      </c>
      <c r="C1026">
        <v>805000</v>
      </c>
      <c r="D1026" t="s">
        <v>268</v>
      </c>
      <c r="E1026" t="s">
        <v>348</v>
      </c>
      <c r="F1026">
        <v>145050.84</v>
      </c>
      <c r="G1026" s="29">
        <v>9.1970000000000003E-3</v>
      </c>
      <c r="H1026">
        <v>1373764.2</v>
      </c>
      <c r="I1026">
        <v>390957.59</v>
      </c>
      <c r="J1026" s="29">
        <v>0.2215</v>
      </c>
      <c r="K1026">
        <v>5.39</v>
      </c>
    </row>
    <row r="1027" spans="1:11" x14ac:dyDescent="0.3">
      <c r="A1027" t="s">
        <v>186</v>
      </c>
      <c r="B1027" s="25">
        <v>45808</v>
      </c>
      <c r="C1027">
        <v>805000</v>
      </c>
      <c r="D1027" t="s">
        <v>268</v>
      </c>
      <c r="E1027" t="s">
        <v>348</v>
      </c>
      <c r="F1027">
        <v>142846.56</v>
      </c>
      <c r="G1027" s="29">
        <v>9.189000000000001E-3</v>
      </c>
      <c r="H1027">
        <v>1352887.65</v>
      </c>
      <c r="I1027">
        <v>385016.37</v>
      </c>
      <c r="J1027" s="29">
        <v>0.2215</v>
      </c>
      <c r="K1027">
        <v>5.59</v>
      </c>
    </row>
    <row r="1028" spans="1:11" x14ac:dyDescent="0.3">
      <c r="A1028" t="s">
        <v>186</v>
      </c>
      <c r="B1028" s="25">
        <v>45838</v>
      </c>
      <c r="C1028">
        <v>805000</v>
      </c>
      <c r="D1028" t="s">
        <v>268</v>
      </c>
      <c r="E1028" t="s">
        <v>348</v>
      </c>
      <c r="F1028">
        <v>153243.73000000001</v>
      </c>
      <c r="G1028" s="29">
        <v>9.7160000000000007E-3</v>
      </c>
      <c r="H1028">
        <v>1451358.39</v>
      </c>
      <c r="I1028">
        <v>413040.02</v>
      </c>
      <c r="J1028" s="29">
        <v>0.2215</v>
      </c>
      <c r="K1028">
        <v>5.67</v>
      </c>
    </row>
    <row r="1029" spans="1:11" x14ac:dyDescent="0.3">
      <c r="A1029" t="s">
        <v>186</v>
      </c>
      <c r="B1029" s="25">
        <v>45869</v>
      </c>
      <c r="C1029">
        <v>805000</v>
      </c>
      <c r="D1029" t="s">
        <v>268</v>
      </c>
      <c r="E1029" t="s">
        <v>348</v>
      </c>
      <c r="F1029">
        <v>159929.97</v>
      </c>
      <c r="G1029" s="29">
        <v>1.0659E-2</v>
      </c>
      <c r="H1029">
        <v>1514683.17</v>
      </c>
      <c r="I1029">
        <v>431061.53</v>
      </c>
      <c r="J1029" s="29">
        <v>0.2215</v>
      </c>
      <c r="K1029">
        <v>5.53</v>
      </c>
    </row>
    <row r="1030" spans="1:11" x14ac:dyDescent="0.3">
      <c r="A1030" t="s">
        <v>186</v>
      </c>
      <c r="B1030" s="25">
        <v>45900</v>
      </c>
      <c r="C1030">
        <v>805000</v>
      </c>
      <c r="D1030" t="s">
        <v>268</v>
      </c>
      <c r="E1030" t="s">
        <v>348</v>
      </c>
      <c r="F1030">
        <v>134821.69</v>
      </c>
      <c r="G1030" s="29">
        <v>8.9420000000000003E-3</v>
      </c>
      <c r="H1030">
        <v>1276884.8</v>
      </c>
      <c r="I1030">
        <v>363386.82</v>
      </c>
      <c r="J1030" s="29">
        <v>0.2215</v>
      </c>
      <c r="K1030">
        <v>5.61</v>
      </c>
    </row>
    <row r="1031" spans="1:11" x14ac:dyDescent="0.3">
      <c r="A1031" t="s">
        <v>186</v>
      </c>
      <c r="B1031" s="25">
        <v>45930</v>
      </c>
      <c r="C1031">
        <v>805000</v>
      </c>
      <c r="D1031" t="s">
        <v>268</v>
      </c>
      <c r="E1031" t="s">
        <v>348</v>
      </c>
      <c r="F1031">
        <v>150537.79</v>
      </c>
      <c r="G1031" s="29">
        <v>1.0036E-2</v>
      </c>
      <c r="H1031">
        <v>1425730.62</v>
      </c>
      <c r="I1031">
        <v>405746.64</v>
      </c>
      <c r="J1031" s="29">
        <v>0.2215</v>
      </c>
      <c r="K1031">
        <v>5.54</v>
      </c>
    </row>
    <row r="1032" spans="1:11" x14ac:dyDescent="0.3">
      <c r="A1032" t="s">
        <v>186</v>
      </c>
      <c r="B1032" s="25">
        <v>45961</v>
      </c>
      <c r="C1032">
        <v>805000</v>
      </c>
      <c r="D1032" t="s">
        <v>268</v>
      </c>
      <c r="E1032" t="s">
        <v>348</v>
      </c>
      <c r="F1032">
        <v>149662.65</v>
      </c>
      <c r="G1032" s="29">
        <v>1.0036E-2</v>
      </c>
      <c r="H1032">
        <v>1417442.25</v>
      </c>
      <c r="I1032">
        <v>403387.87</v>
      </c>
      <c r="J1032" s="29">
        <v>0.2215</v>
      </c>
      <c r="K1032">
        <v>5.61</v>
      </c>
    </row>
    <row r="1033" spans="1:11" x14ac:dyDescent="0.3">
      <c r="A1033" t="s">
        <v>186</v>
      </c>
      <c r="B1033" s="25">
        <v>45991</v>
      </c>
      <c r="C1033">
        <v>805000</v>
      </c>
      <c r="D1033" t="s">
        <v>268</v>
      </c>
      <c r="E1033" t="s">
        <v>348</v>
      </c>
      <c r="F1033">
        <v>172754.17</v>
      </c>
      <c r="G1033" s="29">
        <v>1.0888999999999999E-2</v>
      </c>
      <c r="H1033">
        <v>1636140.13</v>
      </c>
      <c r="I1033">
        <v>465626.79</v>
      </c>
      <c r="J1033" s="29">
        <v>0.2215</v>
      </c>
      <c r="K1033">
        <v>5.75</v>
      </c>
    </row>
    <row r="1034" spans="1:11" x14ac:dyDescent="0.3">
      <c r="A1034" t="s">
        <v>186</v>
      </c>
      <c r="B1034" s="25">
        <v>45657</v>
      </c>
      <c r="C1034">
        <v>780192</v>
      </c>
      <c r="D1034" t="s">
        <v>268</v>
      </c>
      <c r="E1034" t="s">
        <v>347</v>
      </c>
      <c r="F1034">
        <v>122216.49</v>
      </c>
      <c r="G1034" s="29">
        <v>7.5820000000000002E-3</v>
      </c>
      <c r="H1034">
        <v>1289448.83</v>
      </c>
      <c r="I1034">
        <v>371086.56</v>
      </c>
      <c r="J1034" s="29">
        <v>0.2235</v>
      </c>
      <c r="K1034">
        <v>4.9800000000000004</v>
      </c>
    </row>
    <row r="1035" spans="1:11" x14ac:dyDescent="0.3">
      <c r="A1035" t="s">
        <v>186</v>
      </c>
      <c r="B1035" s="25">
        <v>45688</v>
      </c>
      <c r="C1035">
        <v>780192</v>
      </c>
      <c r="D1035" t="s">
        <v>268</v>
      </c>
      <c r="E1035" t="s">
        <v>347</v>
      </c>
      <c r="F1035">
        <v>136462.09</v>
      </c>
      <c r="G1035" s="29">
        <v>8.8370000000000011E-3</v>
      </c>
      <c r="H1035">
        <v>1439747.42</v>
      </c>
      <c r="I1035">
        <v>414340.53</v>
      </c>
      <c r="J1035" s="29">
        <v>0.2235</v>
      </c>
      <c r="K1035">
        <v>4.93</v>
      </c>
    </row>
    <row r="1036" spans="1:11" x14ac:dyDescent="0.3">
      <c r="A1036" t="s">
        <v>186</v>
      </c>
      <c r="B1036" s="25">
        <v>45716</v>
      </c>
      <c r="C1036">
        <v>780192</v>
      </c>
      <c r="D1036" t="s">
        <v>268</v>
      </c>
      <c r="E1036" t="s">
        <v>347</v>
      </c>
      <c r="F1036">
        <v>126423.7</v>
      </c>
      <c r="G1036" s="29">
        <v>8.1939999999999999E-3</v>
      </c>
      <c r="H1036">
        <v>1333837.0900000001</v>
      </c>
      <c r="I1036">
        <v>383860.92</v>
      </c>
      <c r="J1036" s="29">
        <v>0.2235</v>
      </c>
      <c r="K1036">
        <v>4.96</v>
      </c>
    </row>
    <row r="1037" spans="1:11" x14ac:dyDescent="0.3">
      <c r="A1037" t="s">
        <v>186</v>
      </c>
      <c r="B1037" s="25">
        <v>45747</v>
      </c>
      <c r="C1037">
        <v>780192</v>
      </c>
      <c r="D1037" t="s">
        <v>268</v>
      </c>
      <c r="E1037" t="s">
        <v>347</v>
      </c>
      <c r="F1037">
        <v>138147.85999999999</v>
      </c>
      <c r="G1037" s="29">
        <v>9.1710000000000003E-3</v>
      </c>
      <c r="H1037">
        <v>1457533.16</v>
      </c>
      <c r="I1037">
        <v>419459.04</v>
      </c>
      <c r="J1037" s="29">
        <v>0.2235</v>
      </c>
      <c r="K1037">
        <v>4.8</v>
      </c>
    </row>
    <row r="1038" spans="1:11" x14ac:dyDescent="0.3">
      <c r="A1038" t="s">
        <v>186</v>
      </c>
      <c r="B1038" s="25">
        <v>45777</v>
      </c>
      <c r="C1038">
        <v>780192</v>
      </c>
      <c r="D1038" t="s">
        <v>268</v>
      </c>
      <c r="E1038" t="s">
        <v>347</v>
      </c>
      <c r="F1038">
        <v>128553.08</v>
      </c>
      <c r="G1038" s="29">
        <v>8.1510000000000003E-3</v>
      </c>
      <c r="H1038">
        <v>1356303.11</v>
      </c>
      <c r="I1038">
        <v>390326.35</v>
      </c>
      <c r="J1038" s="29">
        <v>0.2235</v>
      </c>
      <c r="K1038">
        <v>4.8600000000000003</v>
      </c>
    </row>
    <row r="1039" spans="1:11" x14ac:dyDescent="0.3">
      <c r="A1039" t="s">
        <v>186</v>
      </c>
      <c r="B1039" s="25">
        <v>45808</v>
      </c>
      <c r="C1039">
        <v>780192</v>
      </c>
      <c r="D1039" t="s">
        <v>268</v>
      </c>
      <c r="E1039" t="s">
        <v>347</v>
      </c>
      <c r="F1039">
        <v>141091.15</v>
      </c>
      <c r="G1039" s="29">
        <v>9.075999999999999E-3</v>
      </c>
      <c r="H1039">
        <v>1488586.42</v>
      </c>
      <c r="I1039">
        <v>428395.76</v>
      </c>
      <c r="J1039" s="29">
        <v>0.2235</v>
      </c>
      <c r="K1039">
        <v>4.6900000000000004</v>
      </c>
    </row>
    <row r="1040" spans="1:11" x14ac:dyDescent="0.3">
      <c r="A1040" t="s">
        <v>186</v>
      </c>
      <c r="B1040" s="25">
        <v>45838</v>
      </c>
      <c r="C1040">
        <v>780192</v>
      </c>
      <c r="D1040" t="s">
        <v>268</v>
      </c>
      <c r="E1040" t="s">
        <v>347</v>
      </c>
      <c r="F1040">
        <v>135368.75</v>
      </c>
      <c r="G1040" s="29">
        <v>8.5830000000000004E-3</v>
      </c>
      <c r="H1040">
        <v>1428212.06</v>
      </c>
      <c r="I1040">
        <v>411020.81</v>
      </c>
      <c r="J1040" s="29">
        <v>0.2235</v>
      </c>
      <c r="K1040">
        <v>5.03</v>
      </c>
    </row>
    <row r="1041" spans="1:11" x14ac:dyDescent="0.3">
      <c r="A1041" t="s">
        <v>186</v>
      </c>
      <c r="B1041" s="25">
        <v>45869</v>
      </c>
      <c r="C1041">
        <v>780192</v>
      </c>
      <c r="D1041" t="s">
        <v>268</v>
      </c>
      <c r="E1041" t="s">
        <v>347</v>
      </c>
      <c r="F1041">
        <v>128084.4</v>
      </c>
      <c r="G1041" s="29">
        <v>8.5360000000000002E-3</v>
      </c>
      <c r="H1041">
        <v>1351358.36</v>
      </c>
      <c r="I1041">
        <v>388903.31</v>
      </c>
      <c r="J1041" s="29">
        <v>0.2235</v>
      </c>
      <c r="K1041">
        <v>4.5999999999999996</v>
      </c>
    </row>
    <row r="1042" spans="1:11" x14ac:dyDescent="0.3">
      <c r="A1042" t="s">
        <v>186</v>
      </c>
      <c r="B1042" s="25">
        <v>45900</v>
      </c>
      <c r="C1042">
        <v>780192</v>
      </c>
      <c r="D1042" t="s">
        <v>268</v>
      </c>
      <c r="E1042" t="s">
        <v>347</v>
      </c>
      <c r="F1042">
        <v>150533.41</v>
      </c>
      <c r="G1042" s="29">
        <v>9.9839999999999998E-3</v>
      </c>
      <c r="H1042">
        <v>1588207.29</v>
      </c>
      <c r="I1042">
        <v>457065.35</v>
      </c>
      <c r="J1042" s="29">
        <v>0.2235</v>
      </c>
      <c r="K1042">
        <v>4.8099999999999996</v>
      </c>
    </row>
    <row r="1043" spans="1:11" x14ac:dyDescent="0.3">
      <c r="A1043" t="s">
        <v>186</v>
      </c>
      <c r="B1043" s="25">
        <v>45930</v>
      </c>
      <c r="C1043">
        <v>780192</v>
      </c>
      <c r="D1043" t="s">
        <v>268</v>
      </c>
      <c r="E1043" t="s">
        <v>347</v>
      </c>
      <c r="F1043">
        <v>144187.75</v>
      </c>
      <c r="G1043" s="29">
        <v>9.613E-3</v>
      </c>
      <c r="H1043">
        <v>1521257.18</v>
      </c>
      <c r="I1043">
        <v>437797.98</v>
      </c>
      <c r="J1043" s="29">
        <v>0.2235</v>
      </c>
      <c r="K1043">
        <v>4.63</v>
      </c>
    </row>
    <row r="1044" spans="1:11" x14ac:dyDescent="0.3">
      <c r="A1044" t="s">
        <v>186</v>
      </c>
      <c r="B1044" s="25">
        <v>45961</v>
      </c>
      <c r="C1044">
        <v>780192</v>
      </c>
      <c r="D1044" t="s">
        <v>268</v>
      </c>
      <c r="E1044" t="s">
        <v>347</v>
      </c>
      <c r="F1044">
        <v>135855.47</v>
      </c>
      <c r="G1044" s="29">
        <v>9.11E-3</v>
      </c>
      <c r="H1044">
        <v>1433347.21</v>
      </c>
      <c r="I1044">
        <v>412498.64</v>
      </c>
      <c r="J1044" s="29">
        <v>0.2235</v>
      </c>
      <c r="K1044">
        <v>5.0999999999999996</v>
      </c>
    </row>
    <row r="1045" spans="1:11" x14ac:dyDescent="0.3">
      <c r="A1045" t="s">
        <v>186</v>
      </c>
      <c r="B1045" s="25">
        <v>45991</v>
      </c>
      <c r="C1045">
        <v>780192</v>
      </c>
      <c r="D1045" t="s">
        <v>268</v>
      </c>
      <c r="E1045" t="s">
        <v>347</v>
      </c>
      <c r="F1045">
        <v>128758.67</v>
      </c>
      <c r="G1045" s="29">
        <v>8.116E-3</v>
      </c>
      <c r="H1045">
        <v>1358472.25</v>
      </c>
      <c r="I1045">
        <v>390950.6</v>
      </c>
      <c r="J1045" s="29">
        <v>0.2235</v>
      </c>
      <c r="K1045">
        <v>5.0599999999999996</v>
      </c>
    </row>
    <row r="1046" spans="1:11" x14ac:dyDescent="0.3">
      <c r="A1046" t="s">
        <v>186</v>
      </c>
      <c r="B1046" s="25">
        <v>45657</v>
      </c>
      <c r="C1046">
        <v>251467</v>
      </c>
      <c r="D1046" t="s">
        <v>324</v>
      </c>
      <c r="E1046" t="s">
        <v>346</v>
      </c>
      <c r="F1046">
        <v>177019.37</v>
      </c>
      <c r="G1046" s="29">
        <v>1.0981000000000001E-2</v>
      </c>
      <c r="H1046">
        <v>1295815.48</v>
      </c>
      <c r="I1046">
        <v>557037.53</v>
      </c>
      <c r="J1046" s="29">
        <v>0.30059999999999998</v>
      </c>
      <c r="K1046">
        <v>6.58</v>
      </c>
    </row>
    <row r="1047" spans="1:11" x14ac:dyDescent="0.3">
      <c r="A1047" t="s">
        <v>186</v>
      </c>
      <c r="B1047" s="25">
        <v>45688</v>
      </c>
      <c r="C1047">
        <v>251467</v>
      </c>
      <c r="D1047" t="s">
        <v>324</v>
      </c>
      <c r="E1047" t="s">
        <v>346</v>
      </c>
      <c r="F1047">
        <v>186213.82</v>
      </c>
      <c r="G1047" s="29">
        <v>1.2059E-2</v>
      </c>
      <c r="H1047">
        <v>1363120.63</v>
      </c>
      <c r="I1047">
        <v>585970.28</v>
      </c>
      <c r="J1047" s="29">
        <v>0.30059999999999998</v>
      </c>
      <c r="K1047">
        <v>7.17</v>
      </c>
    </row>
    <row r="1048" spans="1:11" x14ac:dyDescent="0.3">
      <c r="A1048" t="s">
        <v>186</v>
      </c>
      <c r="B1048" s="25">
        <v>45716</v>
      </c>
      <c r="C1048">
        <v>251467</v>
      </c>
      <c r="D1048" t="s">
        <v>324</v>
      </c>
      <c r="E1048" t="s">
        <v>346</v>
      </c>
      <c r="F1048">
        <v>182431.27</v>
      </c>
      <c r="G1048" s="29">
        <v>1.1823999999999999E-2</v>
      </c>
      <c r="H1048">
        <v>1335431.6000000001</v>
      </c>
      <c r="I1048">
        <v>574067.48</v>
      </c>
      <c r="J1048" s="29">
        <v>0.30059999999999998</v>
      </c>
      <c r="K1048">
        <v>7.45</v>
      </c>
    </row>
    <row r="1049" spans="1:11" x14ac:dyDescent="0.3">
      <c r="A1049" t="s">
        <v>186</v>
      </c>
      <c r="B1049" s="25">
        <v>45747</v>
      </c>
      <c r="C1049">
        <v>251467</v>
      </c>
      <c r="D1049" t="s">
        <v>324</v>
      </c>
      <c r="E1049" t="s">
        <v>346</v>
      </c>
      <c r="F1049">
        <v>171956.19</v>
      </c>
      <c r="G1049" s="29">
        <v>1.1415E-2</v>
      </c>
      <c r="H1049">
        <v>1258752.05</v>
      </c>
      <c r="I1049">
        <v>541104.92000000004</v>
      </c>
      <c r="J1049" s="29">
        <v>0.30059999999999998</v>
      </c>
      <c r="K1049">
        <v>6.54</v>
      </c>
    </row>
    <row r="1050" spans="1:11" x14ac:dyDescent="0.3">
      <c r="A1050" t="s">
        <v>186</v>
      </c>
      <c r="B1050" s="25">
        <v>45777</v>
      </c>
      <c r="C1050">
        <v>251467</v>
      </c>
      <c r="D1050" t="s">
        <v>324</v>
      </c>
      <c r="E1050" t="s">
        <v>346</v>
      </c>
      <c r="F1050">
        <v>216302.43</v>
      </c>
      <c r="G1050" s="29">
        <v>1.3713999999999999E-2</v>
      </c>
      <c r="H1050">
        <v>1583374.98</v>
      </c>
      <c r="I1050">
        <v>680651.92</v>
      </c>
      <c r="J1050" s="29">
        <v>0.30059999999999998</v>
      </c>
      <c r="K1050">
        <v>6.77</v>
      </c>
    </row>
    <row r="1051" spans="1:11" x14ac:dyDescent="0.3">
      <c r="A1051" t="s">
        <v>186</v>
      </c>
      <c r="B1051" s="25">
        <v>45808</v>
      </c>
      <c r="C1051">
        <v>251467</v>
      </c>
      <c r="D1051" t="s">
        <v>324</v>
      </c>
      <c r="E1051" t="s">
        <v>346</v>
      </c>
      <c r="F1051">
        <v>170387.65</v>
      </c>
      <c r="G1051" s="29">
        <v>1.0960000000000001E-2</v>
      </c>
      <c r="H1051">
        <v>1247270.03</v>
      </c>
      <c r="I1051">
        <v>536169.1</v>
      </c>
      <c r="J1051" s="29">
        <v>0.30059999999999998</v>
      </c>
      <c r="K1051">
        <v>6.75</v>
      </c>
    </row>
    <row r="1052" spans="1:11" x14ac:dyDescent="0.3">
      <c r="A1052" t="s">
        <v>186</v>
      </c>
      <c r="B1052" s="25">
        <v>45838</v>
      </c>
      <c r="C1052">
        <v>251467</v>
      </c>
      <c r="D1052" t="s">
        <v>324</v>
      </c>
      <c r="E1052" t="s">
        <v>346</v>
      </c>
      <c r="F1052">
        <v>173271.08</v>
      </c>
      <c r="G1052" s="29">
        <v>1.0986000000000001E-2</v>
      </c>
      <c r="H1052">
        <v>1268377.32</v>
      </c>
      <c r="I1052">
        <v>545242.57999999996</v>
      </c>
      <c r="J1052" s="29">
        <v>0.30059999999999998</v>
      </c>
      <c r="K1052">
        <v>7.49</v>
      </c>
    </row>
    <row r="1053" spans="1:11" x14ac:dyDescent="0.3">
      <c r="A1053" t="s">
        <v>186</v>
      </c>
      <c r="B1053" s="25">
        <v>45869</v>
      </c>
      <c r="C1053">
        <v>251467</v>
      </c>
      <c r="D1053" t="s">
        <v>324</v>
      </c>
      <c r="E1053" t="s">
        <v>346</v>
      </c>
      <c r="F1053">
        <v>182738.57</v>
      </c>
      <c r="G1053" s="29">
        <v>1.2179000000000001E-2</v>
      </c>
      <c r="H1053">
        <v>1337681.0900000001</v>
      </c>
      <c r="I1053">
        <v>575034.48</v>
      </c>
      <c r="J1053" s="29">
        <v>0.30059999999999998</v>
      </c>
      <c r="K1053">
        <v>6.39</v>
      </c>
    </row>
    <row r="1054" spans="1:11" x14ac:dyDescent="0.3">
      <c r="A1054" t="s">
        <v>186</v>
      </c>
      <c r="B1054" s="25">
        <v>45900</v>
      </c>
      <c r="C1054">
        <v>251467</v>
      </c>
      <c r="D1054" t="s">
        <v>324</v>
      </c>
      <c r="E1054" t="s">
        <v>346</v>
      </c>
      <c r="F1054">
        <v>164581.92000000001</v>
      </c>
      <c r="G1054" s="29">
        <v>1.0915999999999999E-2</v>
      </c>
      <c r="H1054">
        <v>1204770.96</v>
      </c>
      <c r="I1054">
        <v>517899.85</v>
      </c>
      <c r="J1054" s="29">
        <v>0.30059999999999998</v>
      </c>
      <c r="K1054">
        <v>6.36</v>
      </c>
    </row>
    <row r="1055" spans="1:11" x14ac:dyDescent="0.3">
      <c r="A1055" t="s">
        <v>186</v>
      </c>
      <c r="B1055" s="25">
        <v>45930</v>
      </c>
      <c r="C1055">
        <v>251467</v>
      </c>
      <c r="D1055" t="s">
        <v>324</v>
      </c>
      <c r="E1055" t="s">
        <v>346</v>
      </c>
      <c r="F1055">
        <v>183048.46</v>
      </c>
      <c r="G1055" s="29">
        <v>1.2204E-2</v>
      </c>
      <c r="H1055">
        <v>1339949.57</v>
      </c>
      <c r="I1055">
        <v>576009.64</v>
      </c>
      <c r="J1055" s="29">
        <v>0.30059999999999998</v>
      </c>
      <c r="K1055">
        <v>6.91</v>
      </c>
    </row>
    <row r="1056" spans="1:11" x14ac:dyDescent="0.3">
      <c r="A1056" t="s">
        <v>186</v>
      </c>
      <c r="B1056" s="25">
        <v>45961</v>
      </c>
      <c r="C1056">
        <v>251467</v>
      </c>
      <c r="D1056" t="s">
        <v>324</v>
      </c>
      <c r="E1056" t="s">
        <v>346</v>
      </c>
      <c r="F1056">
        <v>169097.31</v>
      </c>
      <c r="G1056" s="29">
        <v>1.1339999999999999E-2</v>
      </c>
      <c r="H1056">
        <v>1237824.53</v>
      </c>
      <c r="I1056">
        <v>532108.73</v>
      </c>
      <c r="J1056" s="29">
        <v>0.30059999999999998</v>
      </c>
      <c r="K1056">
        <v>6.81</v>
      </c>
    </row>
    <row r="1057" spans="1:11" x14ac:dyDescent="0.3">
      <c r="A1057" t="s">
        <v>186</v>
      </c>
      <c r="B1057" s="25">
        <v>45991</v>
      </c>
      <c r="C1057">
        <v>251467</v>
      </c>
      <c r="D1057" t="s">
        <v>324</v>
      </c>
      <c r="E1057" t="s">
        <v>346</v>
      </c>
      <c r="F1057">
        <v>170902.61</v>
      </c>
      <c r="G1057" s="29">
        <v>1.0771999999999999E-2</v>
      </c>
      <c r="H1057">
        <v>1251039.68</v>
      </c>
      <c r="I1057">
        <v>537789.57999999996</v>
      </c>
      <c r="J1057" s="29">
        <v>0.30059999999999998</v>
      </c>
      <c r="K1057">
        <v>7.53</v>
      </c>
    </row>
    <row r="1058" spans="1:11" x14ac:dyDescent="0.3">
      <c r="A1058" t="s">
        <v>186</v>
      </c>
      <c r="B1058" s="25">
        <v>45657</v>
      </c>
      <c r="C1058">
        <v>534007</v>
      </c>
      <c r="D1058" t="s">
        <v>323</v>
      </c>
      <c r="E1058" t="s">
        <v>342</v>
      </c>
      <c r="F1058">
        <v>158753.17000000001</v>
      </c>
      <c r="G1058" s="29">
        <v>9.8480000000000009E-3</v>
      </c>
      <c r="H1058">
        <v>1150966.01</v>
      </c>
      <c r="I1058">
        <v>502566.64</v>
      </c>
      <c r="J1058" s="29">
        <v>0.3039</v>
      </c>
      <c r="K1058">
        <v>7.72</v>
      </c>
    </row>
    <row r="1059" spans="1:11" x14ac:dyDescent="0.3">
      <c r="A1059" t="s">
        <v>186</v>
      </c>
      <c r="B1059" s="25">
        <v>45688</v>
      </c>
      <c r="C1059">
        <v>534007</v>
      </c>
      <c r="D1059" t="s">
        <v>323</v>
      </c>
      <c r="E1059" t="s">
        <v>342</v>
      </c>
      <c r="F1059">
        <v>154601.14000000001</v>
      </c>
      <c r="G1059" s="29">
        <v>1.0012E-2</v>
      </c>
      <c r="H1059">
        <v>1120863.58</v>
      </c>
      <c r="I1059">
        <v>489422.49</v>
      </c>
      <c r="J1059" s="29">
        <v>0.3039</v>
      </c>
      <c r="K1059">
        <v>7.58</v>
      </c>
    </row>
    <row r="1060" spans="1:11" x14ac:dyDescent="0.3">
      <c r="A1060" t="s">
        <v>186</v>
      </c>
      <c r="B1060" s="25">
        <v>45716</v>
      </c>
      <c r="C1060">
        <v>534007</v>
      </c>
      <c r="D1060" t="s">
        <v>323</v>
      </c>
      <c r="E1060" t="s">
        <v>342</v>
      </c>
      <c r="F1060">
        <v>209700.78</v>
      </c>
      <c r="G1060" s="29">
        <v>1.3592E-2</v>
      </c>
      <c r="H1060">
        <v>1520337.88</v>
      </c>
      <c r="I1060">
        <v>663852.02</v>
      </c>
      <c r="J1060" s="29">
        <v>0.3039</v>
      </c>
      <c r="K1060">
        <v>6.9</v>
      </c>
    </row>
    <row r="1061" spans="1:11" x14ac:dyDescent="0.3">
      <c r="A1061" t="s">
        <v>186</v>
      </c>
      <c r="B1061" s="25">
        <v>45747</v>
      </c>
      <c r="C1061">
        <v>534007</v>
      </c>
      <c r="D1061" t="s">
        <v>323</v>
      </c>
      <c r="E1061" t="s">
        <v>342</v>
      </c>
      <c r="F1061">
        <v>172863.85</v>
      </c>
      <c r="G1061" s="29">
        <v>1.1474999999999999E-2</v>
      </c>
      <c r="H1061">
        <v>1253268.8600000001</v>
      </c>
      <c r="I1061">
        <v>547236.94999999995</v>
      </c>
      <c r="J1061" s="29">
        <v>0.3039</v>
      </c>
      <c r="K1061">
        <v>7.17</v>
      </c>
    </row>
    <row r="1062" spans="1:11" x14ac:dyDescent="0.3">
      <c r="A1062" t="s">
        <v>186</v>
      </c>
      <c r="B1062" s="25">
        <v>45777</v>
      </c>
      <c r="C1062">
        <v>534007</v>
      </c>
      <c r="D1062" t="s">
        <v>323</v>
      </c>
      <c r="E1062" t="s">
        <v>342</v>
      </c>
      <c r="F1062">
        <v>184877.72</v>
      </c>
      <c r="G1062" s="29">
        <v>1.1722E-2</v>
      </c>
      <c r="H1062">
        <v>1340369.8500000001</v>
      </c>
      <c r="I1062">
        <v>585269.39</v>
      </c>
      <c r="J1062" s="29">
        <v>0.3039</v>
      </c>
      <c r="K1062">
        <v>7.68</v>
      </c>
    </row>
    <row r="1063" spans="1:11" x14ac:dyDescent="0.3">
      <c r="A1063" t="s">
        <v>186</v>
      </c>
      <c r="B1063" s="25">
        <v>45808</v>
      </c>
      <c r="C1063">
        <v>534007</v>
      </c>
      <c r="D1063" t="s">
        <v>323</v>
      </c>
      <c r="E1063" t="s">
        <v>342</v>
      </c>
      <c r="F1063">
        <v>157653.04</v>
      </c>
      <c r="G1063" s="29">
        <v>1.0141000000000001E-2</v>
      </c>
      <c r="H1063">
        <v>1142990.01</v>
      </c>
      <c r="I1063">
        <v>499083.94</v>
      </c>
      <c r="J1063" s="29">
        <v>0.3039</v>
      </c>
      <c r="K1063">
        <v>7.31</v>
      </c>
    </row>
    <row r="1064" spans="1:11" x14ac:dyDescent="0.3">
      <c r="A1064" t="s">
        <v>186</v>
      </c>
      <c r="B1064" s="25">
        <v>45838</v>
      </c>
      <c r="C1064">
        <v>534007</v>
      </c>
      <c r="D1064" t="s">
        <v>323</v>
      </c>
      <c r="E1064" t="s">
        <v>342</v>
      </c>
      <c r="F1064">
        <v>183471.62</v>
      </c>
      <c r="G1064" s="29">
        <v>1.1632999999999999E-2</v>
      </c>
      <c r="H1064">
        <v>1330175.6200000001</v>
      </c>
      <c r="I1064">
        <v>580818.1</v>
      </c>
      <c r="J1064" s="29">
        <v>0.3039</v>
      </c>
      <c r="K1064">
        <v>7.18</v>
      </c>
    </row>
    <row r="1065" spans="1:11" x14ac:dyDescent="0.3">
      <c r="A1065" t="s">
        <v>186</v>
      </c>
      <c r="B1065" s="25">
        <v>45869</v>
      </c>
      <c r="C1065">
        <v>534007</v>
      </c>
      <c r="D1065" t="s">
        <v>323</v>
      </c>
      <c r="E1065" t="s">
        <v>342</v>
      </c>
      <c r="F1065">
        <v>176207.59</v>
      </c>
      <c r="G1065" s="29">
        <v>1.1744000000000001E-2</v>
      </c>
      <c r="H1065">
        <v>1277511.1299999999</v>
      </c>
      <c r="I1065">
        <v>557822.28</v>
      </c>
      <c r="J1065" s="29">
        <v>0.3039</v>
      </c>
      <c r="K1065">
        <v>7.33</v>
      </c>
    </row>
    <row r="1066" spans="1:11" x14ac:dyDescent="0.3">
      <c r="A1066" t="s">
        <v>186</v>
      </c>
      <c r="B1066" s="25">
        <v>45900</v>
      </c>
      <c r="C1066">
        <v>534007</v>
      </c>
      <c r="D1066" t="s">
        <v>323</v>
      </c>
      <c r="E1066" t="s">
        <v>342</v>
      </c>
      <c r="F1066">
        <v>178454</v>
      </c>
      <c r="G1066" s="29">
        <v>1.1835999999999999E-2</v>
      </c>
      <c r="H1066">
        <v>1293797.6499999999</v>
      </c>
      <c r="I1066">
        <v>564933.75</v>
      </c>
      <c r="J1066" s="29">
        <v>0.3039</v>
      </c>
      <c r="K1066">
        <v>7.18</v>
      </c>
    </row>
    <row r="1067" spans="1:11" x14ac:dyDescent="0.3">
      <c r="A1067" t="s">
        <v>186</v>
      </c>
      <c r="B1067" s="25">
        <v>45930</v>
      </c>
      <c r="C1067">
        <v>534007</v>
      </c>
      <c r="D1067" t="s">
        <v>323</v>
      </c>
      <c r="E1067" t="s">
        <v>342</v>
      </c>
      <c r="F1067">
        <v>183337.92</v>
      </c>
      <c r="G1067" s="29">
        <v>1.2222999999999999E-2</v>
      </c>
      <c r="H1067">
        <v>1329206.23</v>
      </c>
      <c r="I1067">
        <v>580394.81999999995</v>
      </c>
      <c r="J1067" s="29">
        <v>0.3039</v>
      </c>
      <c r="K1067">
        <v>7.31</v>
      </c>
    </row>
    <row r="1068" spans="1:11" x14ac:dyDescent="0.3">
      <c r="A1068" t="s">
        <v>186</v>
      </c>
      <c r="B1068" s="25">
        <v>45961</v>
      </c>
      <c r="C1068">
        <v>534007</v>
      </c>
      <c r="D1068" t="s">
        <v>323</v>
      </c>
      <c r="E1068" t="s">
        <v>342</v>
      </c>
      <c r="F1068">
        <v>184689.98</v>
      </c>
      <c r="G1068" s="29">
        <v>1.2385E-2</v>
      </c>
      <c r="H1068">
        <v>1339008.74</v>
      </c>
      <c r="I1068">
        <v>584675.06999999995</v>
      </c>
      <c r="J1068" s="29">
        <v>0.3039</v>
      </c>
      <c r="K1068">
        <v>7.18</v>
      </c>
    </row>
    <row r="1069" spans="1:11" x14ac:dyDescent="0.3">
      <c r="A1069" t="s">
        <v>186</v>
      </c>
      <c r="B1069" s="25">
        <v>45991</v>
      </c>
      <c r="C1069">
        <v>534007</v>
      </c>
      <c r="D1069" t="s">
        <v>323</v>
      </c>
      <c r="E1069" t="s">
        <v>342</v>
      </c>
      <c r="F1069">
        <v>164085.37</v>
      </c>
      <c r="G1069" s="29">
        <v>1.0343E-2</v>
      </c>
      <c r="H1069">
        <v>1189624.6000000001</v>
      </c>
      <c r="I1069">
        <v>519446.83</v>
      </c>
      <c r="J1069" s="29">
        <v>0.3039</v>
      </c>
      <c r="K1069">
        <v>7.42</v>
      </c>
    </row>
    <row r="1070" spans="1:11" x14ac:dyDescent="0.3">
      <c r="A1070" t="s">
        <v>186</v>
      </c>
      <c r="B1070" s="25">
        <v>45657</v>
      </c>
      <c r="C1070">
        <v>161776</v>
      </c>
      <c r="D1070" t="s">
        <v>324</v>
      </c>
      <c r="E1070" t="s">
        <v>345</v>
      </c>
      <c r="F1070">
        <v>183066.13</v>
      </c>
      <c r="G1070" s="29">
        <v>1.1356E-2</v>
      </c>
      <c r="H1070">
        <v>1324891.33</v>
      </c>
      <c r="I1070">
        <v>665347.98</v>
      </c>
      <c r="J1070" s="29">
        <v>0.33429999999999999</v>
      </c>
      <c r="K1070">
        <v>7.63</v>
      </c>
    </row>
    <row r="1071" spans="1:11" x14ac:dyDescent="0.3">
      <c r="A1071" t="s">
        <v>186</v>
      </c>
      <c r="B1071" s="25">
        <v>45688</v>
      </c>
      <c r="C1071">
        <v>161776</v>
      </c>
      <c r="D1071" t="s">
        <v>324</v>
      </c>
      <c r="E1071" t="s">
        <v>345</v>
      </c>
      <c r="F1071">
        <v>147198.07999999999</v>
      </c>
      <c r="G1071" s="29">
        <v>9.5320000000000005E-3</v>
      </c>
      <c r="H1071">
        <v>1065306.03</v>
      </c>
      <c r="I1071">
        <v>534986.68000000005</v>
      </c>
      <c r="J1071" s="29">
        <v>0.33429999999999999</v>
      </c>
      <c r="K1071">
        <v>7.54</v>
      </c>
    </row>
    <row r="1072" spans="1:11" x14ac:dyDescent="0.3">
      <c r="A1072" t="s">
        <v>186</v>
      </c>
      <c r="B1072" s="25">
        <v>45716</v>
      </c>
      <c r="C1072">
        <v>161776</v>
      </c>
      <c r="D1072" t="s">
        <v>324</v>
      </c>
      <c r="E1072" t="s">
        <v>345</v>
      </c>
      <c r="F1072">
        <v>188566.39</v>
      </c>
      <c r="G1072" s="29">
        <v>1.2222E-2</v>
      </c>
      <c r="H1072">
        <v>1364697.94</v>
      </c>
      <c r="I1072">
        <v>685338.49</v>
      </c>
      <c r="J1072" s="29">
        <v>0.33429999999999999</v>
      </c>
      <c r="K1072">
        <v>6.91</v>
      </c>
    </row>
    <row r="1073" spans="1:11" x14ac:dyDescent="0.3">
      <c r="A1073" t="s">
        <v>186</v>
      </c>
      <c r="B1073" s="25">
        <v>45747</v>
      </c>
      <c r="C1073">
        <v>161776</v>
      </c>
      <c r="D1073" t="s">
        <v>324</v>
      </c>
      <c r="E1073" t="s">
        <v>345</v>
      </c>
      <c r="F1073">
        <v>140398.51999999999</v>
      </c>
      <c r="G1073" s="29">
        <v>9.3200000000000002E-3</v>
      </c>
      <c r="H1073">
        <v>1016096.09</v>
      </c>
      <c r="I1073">
        <v>510273.91</v>
      </c>
      <c r="J1073" s="29">
        <v>0.33429999999999999</v>
      </c>
      <c r="K1073">
        <v>7.2</v>
      </c>
    </row>
    <row r="1074" spans="1:11" x14ac:dyDescent="0.3">
      <c r="A1074" t="s">
        <v>186</v>
      </c>
      <c r="B1074" s="25">
        <v>45777</v>
      </c>
      <c r="C1074">
        <v>161776</v>
      </c>
      <c r="D1074" t="s">
        <v>324</v>
      </c>
      <c r="E1074" t="s">
        <v>345</v>
      </c>
      <c r="F1074">
        <v>157876.43</v>
      </c>
      <c r="G1074" s="29">
        <v>1.0009999999999998E-2</v>
      </c>
      <c r="H1074">
        <v>1142587.71</v>
      </c>
      <c r="I1074">
        <v>573796.81999999995</v>
      </c>
      <c r="J1074" s="29">
        <v>0.33429999999999999</v>
      </c>
      <c r="K1074">
        <v>7.64</v>
      </c>
    </row>
    <row r="1075" spans="1:11" x14ac:dyDescent="0.3">
      <c r="A1075" t="s">
        <v>186</v>
      </c>
      <c r="B1075" s="25">
        <v>45808</v>
      </c>
      <c r="C1075">
        <v>161776</v>
      </c>
      <c r="D1075" t="s">
        <v>324</v>
      </c>
      <c r="E1075" t="s">
        <v>345</v>
      </c>
      <c r="F1075">
        <v>172424.81</v>
      </c>
      <c r="G1075" s="29">
        <v>1.1091E-2</v>
      </c>
      <c r="H1075">
        <v>1247877.6399999999</v>
      </c>
      <c r="I1075">
        <v>626672.43000000005</v>
      </c>
      <c r="J1075" s="29">
        <v>0.33429999999999999</v>
      </c>
      <c r="K1075">
        <v>7.15</v>
      </c>
    </row>
    <row r="1076" spans="1:11" x14ac:dyDescent="0.3">
      <c r="A1076" t="s">
        <v>186</v>
      </c>
      <c r="B1076" s="25">
        <v>45838</v>
      </c>
      <c r="C1076">
        <v>161776</v>
      </c>
      <c r="D1076" t="s">
        <v>324</v>
      </c>
      <c r="E1076" t="s">
        <v>345</v>
      </c>
      <c r="F1076">
        <v>168466.6</v>
      </c>
      <c r="G1076" s="29">
        <v>1.0681000000000001E-2</v>
      </c>
      <c r="H1076">
        <v>1219231.2</v>
      </c>
      <c r="I1076">
        <v>612286.46</v>
      </c>
      <c r="J1076" s="29">
        <v>0.33429999999999999</v>
      </c>
      <c r="K1076">
        <v>6.75</v>
      </c>
    </row>
    <row r="1077" spans="1:11" x14ac:dyDescent="0.3">
      <c r="A1077" t="s">
        <v>186</v>
      </c>
      <c r="B1077" s="25">
        <v>45869</v>
      </c>
      <c r="C1077">
        <v>161776</v>
      </c>
      <c r="D1077" t="s">
        <v>324</v>
      </c>
      <c r="E1077" t="s">
        <v>345</v>
      </c>
      <c r="F1077">
        <v>181567.42</v>
      </c>
      <c r="G1077" s="29">
        <v>1.2100999999999999E-2</v>
      </c>
      <c r="H1077">
        <v>1314044.79</v>
      </c>
      <c r="I1077">
        <v>659900.94999999995</v>
      </c>
      <c r="J1077" s="29">
        <v>0.33429999999999999</v>
      </c>
      <c r="K1077">
        <v>6.61</v>
      </c>
    </row>
    <row r="1078" spans="1:11" x14ac:dyDescent="0.3">
      <c r="A1078" t="s">
        <v>186</v>
      </c>
      <c r="B1078" s="25">
        <v>45900</v>
      </c>
      <c r="C1078">
        <v>161776</v>
      </c>
      <c r="D1078" t="s">
        <v>324</v>
      </c>
      <c r="E1078" t="s">
        <v>345</v>
      </c>
      <c r="F1078">
        <v>175269.43</v>
      </c>
      <c r="G1078" s="29">
        <v>1.1625000000000002E-2</v>
      </c>
      <c r="H1078">
        <v>1268464.8500000001</v>
      </c>
      <c r="I1078">
        <v>637011.13</v>
      </c>
      <c r="J1078" s="29">
        <v>0.33429999999999999</v>
      </c>
      <c r="K1078">
        <v>6.57</v>
      </c>
    </row>
    <row r="1079" spans="1:11" x14ac:dyDescent="0.3">
      <c r="A1079" t="s">
        <v>186</v>
      </c>
      <c r="B1079" s="25">
        <v>45930</v>
      </c>
      <c r="C1079">
        <v>161776</v>
      </c>
      <c r="D1079" t="s">
        <v>324</v>
      </c>
      <c r="E1079" t="s">
        <v>345</v>
      </c>
      <c r="F1079">
        <v>151668.26999999999</v>
      </c>
      <c r="G1079" s="29">
        <v>1.0112000000000001E-2</v>
      </c>
      <c r="H1079">
        <v>1097657.83</v>
      </c>
      <c r="I1079">
        <v>551233.44999999995</v>
      </c>
      <c r="J1079" s="29">
        <v>0.33429999999999999</v>
      </c>
      <c r="K1079">
        <v>7.3</v>
      </c>
    </row>
    <row r="1080" spans="1:11" x14ac:dyDescent="0.3">
      <c r="A1080" t="s">
        <v>186</v>
      </c>
      <c r="B1080" s="25">
        <v>45961</v>
      </c>
      <c r="C1080">
        <v>161776</v>
      </c>
      <c r="D1080" t="s">
        <v>324</v>
      </c>
      <c r="E1080" t="s">
        <v>345</v>
      </c>
      <c r="F1080">
        <v>157982.23000000001</v>
      </c>
      <c r="G1080" s="29">
        <v>1.0593999999999999E-2</v>
      </c>
      <c r="H1080">
        <v>1143353.45</v>
      </c>
      <c r="I1080">
        <v>574181.36</v>
      </c>
      <c r="J1080" s="29">
        <v>0.33429999999999999</v>
      </c>
      <c r="K1080">
        <v>7.11</v>
      </c>
    </row>
    <row r="1081" spans="1:11" x14ac:dyDescent="0.3">
      <c r="A1081" t="s">
        <v>186</v>
      </c>
      <c r="B1081" s="25">
        <v>45991</v>
      </c>
      <c r="C1081">
        <v>161776</v>
      </c>
      <c r="D1081" t="s">
        <v>324</v>
      </c>
      <c r="E1081" t="s">
        <v>345</v>
      </c>
      <c r="F1081">
        <v>180478.99</v>
      </c>
      <c r="G1081" s="29">
        <v>1.1375999999999999E-2</v>
      </c>
      <c r="H1081">
        <v>1306167.58</v>
      </c>
      <c r="I1081">
        <v>655945.09</v>
      </c>
      <c r="J1081" s="29">
        <v>0.33429999999999999</v>
      </c>
      <c r="K1081">
        <v>7.5</v>
      </c>
    </row>
    <row r="1082" spans="1:11" x14ac:dyDescent="0.3">
      <c r="A1082" t="s">
        <v>186</v>
      </c>
      <c r="B1082" s="25">
        <v>45657</v>
      </c>
      <c r="C1082">
        <v>239163</v>
      </c>
      <c r="D1082" t="s">
        <v>324</v>
      </c>
      <c r="E1082" t="s">
        <v>345</v>
      </c>
      <c r="F1082">
        <v>117444.47</v>
      </c>
      <c r="G1082" s="29">
        <v>7.2859999999999999E-3</v>
      </c>
      <c r="H1082">
        <v>1440292.21</v>
      </c>
      <c r="I1082">
        <v>378712.39</v>
      </c>
      <c r="J1082" s="29">
        <v>0.2082</v>
      </c>
      <c r="K1082">
        <v>3.79</v>
      </c>
    </row>
    <row r="1083" spans="1:11" x14ac:dyDescent="0.3">
      <c r="A1083" t="s">
        <v>186</v>
      </c>
      <c r="B1083" s="25">
        <v>45688</v>
      </c>
      <c r="C1083">
        <v>239163</v>
      </c>
      <c r="D1083" t="s">
        <v>324</v>
      </c>
      <c r="E1083" t="s">
        <v>345</v>
      </c>
      <c r="F1083">
        <v>118945.42</v>
      </c>
      <c r="G1083" s="29">
        <v>7.7029999999999998E-3</v>
      </c>
      <c r="H1083">
        <v>1458699.23</v>
      </c>
      <c r="I1083">
        <v>383552.36</v>
      </c>
      <c r="J1083" s="29">
        <v>0.2082</v>
      </c>
      <c r="K1083">
        <v>4.45</v>
      </c>
    </row>
    <row r="1084" spans="1:11" x14ac:dyDescent="0.3">
      <c r="A1084" t="s">
        <v>186</v>
      </c>
      <c r="B1084" s="25">
        <v>45716</v>
      </c>
      <c r="C1084">
        <v>239163</v>
      </c>
      <c r="D1084" t="s">
        <v>324</v>
      </c>
      <c r="E1084" t="s">
        <v>345</v>
      </c>
      <c r="F1084">
        <v>110699.42</v>
      </c>
      <c r="G1084" s="29">
        <v>7.175E-3</v>
      </c>
      <c r="H1084">
        <v>1357573.65</v>
      </c>
      <c r="I1084">
        <v>356962.26</v>
      </c>
      <c r="J1084" s="29">
        <v>0.2082</v>
      </c>
      <c r="K1084">
        <v>3.98</v>
      </c>
    </row>
    <row r="1085" spans="1:11" x14ac:dyDescent="0.3">
      <c r="A1085" t="s">
        <v>186</v>
      </c>
      <c r="B1085" s="25">
        <v>45747</v>
      </c>
      <c r="C1085">
        <v>239163</v>
      </c>
      <c r="D1085" t="s">
        <v>324</v>
      </c>
      <c r="E1085" t="s">
        <v>345</v>
      </c>
      <c r="F1085">
        <v>112883.47</v>
      </c>
      <c r="G1085" s="29">
        <v>7.4929999999999997E-3</v>
      </c>
      <c r="H1085">
        <v>1384357.9</v>
      </c>
      <c r="I1085">
        <v>364004.95</v>
      </c>
      <c r="J1085" s="29">
        <v>0.2082</v>
      </c>
      <c r="K1085">
        <v>4.4000000000000004</v>
      </c>
    </row>
    <row r="1086" spans="1:11" x14ac:dyDescent="0.3">
      <c r="A1086" t="s">
        <v>186</v>
      </c>
      <c r="B1086" s="25">
        <v>45777</v>
      </c>
      <c r="C1086">
        <v>239163</v>
      </c>
      <c r="D1086" t="s">
        <v>324</v>
      </c>
      <c r="E1086" t="s">
        <v>345</v>
      </c>
      <c r="F1086">
        <v>101594.14</v>
      </c>
      <c r="G1086" s="29">
        <v>6.4409999999999997E-3</v>
      </c>
      <c r="H1086">
        <v>1245910.1000000001</v>
      </c>
      <c r="I1086">
        <v>327601.28999999998</v>
      </c>
      <c r="J1086" s="29">
        <v>0.2082</v>
      </c>
      <c r="K1086">
        <v>4.22</v>
      </c>
    </row>
    <row r="1087" spans="1:11" x14ac:dyDescent="0.3">
      <c r="A1087" t="s">
        <v>186</v>
      </c>
      <c r="B1087" s="25">
        <v>45808</v>
      </c>
      <c r="C1087">
        <v>239163</v>
      </c>
      <c r="D1087" t="s">
        <v>324</v>
      </c>
      <c r="E1087" t="s">
        <v>345</v>
      </c>
      <c r="F1087">
        <v>117050.93</v>
      </c>
      <c r="G1087" s="29">
        <v>7.5290000000000001E-3</v>
      </c>
      <c r="H1087">
        <v>1435466.04</v>
      </c>
      <c r="I1087">
        <v>377443.39</v>
      </c>
      <c r="J1087" s="29">
        <v>0.2082</v>
      </c>
      <c r="K1087">
        <v>4.1100000000000003</v>
      </c>
    </row>
    <row r="1088" spans="1:11" x14ac:dyDescent="0.3">
      <c r="A1088" t="s">
        <v>186</v>
      </c>
      <c r="B1088" s="25">
        <v>45838</v>
      </c>
      <c r="C1088">
        <v>239163</v>
      </c>
      <c r="D1088" t="s">
        <v>324</v>
      </c>
      <c r="E1088" t="s">
        <v>345</v>
      </c>
      <c r="F1088">
        <v>94828.98</v>
      </c>
      <c r="G1088" s="29">
        <v>6.0129999999999992E-3</v>
      </c>
      <c r="H1088">
        <v>1162944.8999999999</v>
      </c>
      <c r="I1088">
        <v>305786.31</v>
      </c>
      <c r="J1088" s="29">
        <v>0.2082</v>
      </c>
      <c r="K1088">
        <v>4.3</v>
      </c>
    </row>
    <row r="1089" spans="1:11" x14ac:dyDescent="0.3">
      <c r="A1089" t="s">
        <v>186</v>
      </c>
      <c r="B1089" s="25">
        <v>45869</v>
      </c>
      <c r="C1089">
        <v>239163</v>
      </c>
      <c r="D1089" t="s">
        <v>324</v>
      </c>
      <c r="E1089" t="s">
        <v>345</v>
      </c>
      <c r="F1089">
        <v>127194.86</v>
      </c>
      <c r="G1089" s="29">
        <v>8.4770000000000002E-3</v>
      </c>
      <c r="H1089">
        <v>1559867.12</v>
      </c>
      <c r="I1089">
        <v>410153.58</v>
      </c>
      <c r="J1089" s="29">
        <v>0.2082</v>
      </c>
      <c r="K1089">
        <v>4.37</v>
      </c>
    </row>
    <row r="1090" spans="1:11" x14ac:dyDescent="0.3">
      <c r="A1090" t="s">
        <v>186</v>
      </c>
      <c r="B1090" s="25">
        <v>45900</v>
      </c>
      <c r="C1090">
        <v>239163</v>
      </c>
      <c r="D1090" t="s">
        <v>324</v>
      </c>
      <c r="E1090" t="s">
        <v>345</v>
      </c>
      <c r="F1090">
        <v>125389.18</v>
      </c>
      <c r="G1090" s="29">
        <v>8.3160000000000005E-3</v>
      </c>
      <c r="H1090">
        <v>1537722.95</v>
      </c>
      <c r="I1090">
        <v>404330.96</v>
      </c>
      <c r="J1090" s="29">
        <v>0.2082</v>
      </c>
      <c r="K1090">
        <v>4.3</v>
      </c>
    </row>
    <row r="1091" spans="1:11" x14ac:dyDescent="0.3">
      <c r="A1091" t="s">
        <v>186</v>
      </c>
      <c r="B1091" s="25">
        <v>45930</v>
      </c>
      <c r="C1091">
        <v>239163</v>
      </c>
      <c r="D1091" t="s">
        <v>324</v>
      </c>
      <c r="E1091" t="s">
        <v>345</v>
      </c>
      <c r="F1091">
        <v>109713.17</v>
      </c>
      <c r="G1091" s="29">
        <v>7.3140000000000002E-3</v>
      </c>
      <c r="H1091">
        <v>1345478.62</v>
      </c>
      <c r="I1091">
        <v>353781.97</v>
      </c>
      <c r="J1091" s="29">
        <v>0.2082</v>
      </c>
      <c r="K1091">
        <v>4.47</v>
      </c>
    </row>
    <row r="1092" spans="1:11" x14ac:dyDescent="0.3">
      <c r="A1092" t="s">
        <v>186</v>
      </c>
      <c r="B1092" s="25">
        <v>45961</v>
      </c>
      <c r="C1092">
        <v>239163</v>
      </c>
      <c r="D1092" t="s">
        <v>324</v>
      </c>
      <c r="E1092" t="s">
        <v>345</v>
      </c>
      <c r="F1092">
        <v>105962.98</v>
      </c>
      <c r="G1092" s="29">
        <v>7.1060000000000003E-3</v>
      </c>
      <c r="H1092">
        <v>1299487.78</v>
      </c>
      <c r="I1092">
        <v>341689.08</v>
      </c>
      <c r="J1092" s="29">
        <v>0.2082</v>
      </c>
      <c r="K1092">
        <v>4.55</v>
      </c>
    </row>
    <row r="1093" spans="1:11" x14ac:dyDescent="0.3">
      <c r="A1093" t="s">
        <v>186</v>
      </c>
      <c r="B1093" s="25">
        <v>45991</v>
      </c>
      <c r="C1093">
        <v>239163</v>
      </c>
      <c r="D1093" t="s">
        <v>324</v>
      </c>
      <c r="E1093" t="s">
        <v>345</v>
      </c>
      <c r="F1093">
        <v>134761.79</v>
      </c>
      <c r="G1093" s="29">
        <v>8.4939999999999998E-3</v>
      </c>
      <c r="H1093">
        <v>1652664.98</v>
      </c>
      <c r="I1093">
        <v>434553.97</v>
      </c>
      <c r="J1093" s="29">
        <v>0.2082</v>
      </c>
      <c r="K1093">
        <v>4.5</v>
      </c>
    </row>
    <row r="1094" spans="1:11" x14ac:dyDescent="0.3">
      <c r="A1094" t="s">
        <v>186</v>
      </c>
      <c r="B1094" s="25">
        <v>45657</v>
      </c>
      <c r="C1094">
        <v>482520</v>
      </c>
      <c r="D1094" t="s">
        <v>321</v>
      </c>
      <c r="E1094" t="s">
        <v>341</v>
      </c>
      <c r="F1094">
        <v>117534.05</v>
      </c>
      <c r="G1094" s="29">
        <v>7.2909999999999997E-3</v>
      </c>
      <c r="H1094">
        <v>1361077.65</v>
      </c>
      <c r="I1094">
        <v>396800.64</v>
      </c>
      <c r="J1094" s="29">
        <v>0.22570000000000001</v>
      </c>
      <c r="K1094">
        <v>4.32</v>
      </c>
    </row>
    <row r="1095" spans="1:11" x14ac:dyDescent="0.3">
      <c r="A1095" t="s">
        <v>186</v>
      </c>
      <c r="B1095" s="25">
        <v>45688</v>
      </c>
      <c r="C1095">
        <v>482520</v>
      </c>
      <c r="D1095" t="s">
        <v>321</v>
      </c>
      <c r="E1095" t="s">
        <v>341</v>
      </c>
      <c r="F1095">
        <v>112926.3</v>
      </c>
      <c r="G1095" s="29">
        <v>7.3129999999999992E-3</v>
      </c>
      <c r="H1095">
        <v>1307718.6200000001</v>
      </c>
      <c r="I1095">
        <v>381244.66</v>
      </c>
      <c r="J1095" s="29">
        <v>0.22570000000000001</v>
      </c>
      <c r="K1095">
        <v>4.18</v>
      </c>
    </row>
    <row r="1096" spans="1:11" x14ac:dyDescent="0.3">
      <c r="A1096" t="s">
        <v>186</v>
      </c>
      <c r="B1096" s="25">
        <v>45716</v>
      </c>
      <c r="C1096">
        <v>482520</v>
      </c>
      <c r="D1096" t="s">
        <v>321</v>
      </c>
      <c r="E1096" t="s">
        <v>341</v>
      </c>
      <c r="F1096">
        <v>105724.95</v>
      </c>
      <c r="G1096" s="29">
        <v>6.8530000000000006E-3</v>
      </c>
      <c r="H1096">
        <v>1224324.96</v>
      </c>
      <c r="I1096">
        <v>356932.56</v>
      </c>
      <c r="J1096" s="29">
        <v>0.22570000000000001</v>
      </c>
      <c r="K1096">
        <v>4.17</v>
      </c>
    </row>
    <row r="1097" spans="1:11" x14ac:dyDescent="0.3">
      <c r="A1097" t="s">
        <v>186</v>
      </c>
      <c r="B1097" s="25">
        <v>45747</v>
      </c>
      <c r="C1097">
        <v>482520</v>
      </c>
      <c r="D1097" t="s">
        <v>321</v>
      </c>
      <c r="E1097" t="s">
        <v>341</v>
      </c>
      <c r="F1097">
        <v>129626.95</v>
      </c>
      <c r="G1097" s="29">
        <v>8.6049999999999998E-3</v>
      </c>
      <c r="H1097">
        <v>1501116.89</v>
      </c>
      <c r="I1097">
        <v>437626.86</v>
      </c>
      <c r="J1097" s="29">
        <v>0.22570000000000001</v>
      </c>
      <c r="K1097">
        <v>4.82</v>
      </c>
    </row>
    <row r="1098" spans="1:11" x14ac:dyDescent="0.3">
      <c r="A1098" t="s">
        <v>186</v>
      </c>
      <c r="B1098" s="25">
        <v>45777</v>
      </c>
      <c r="C1098">
        <v>482520</v>
      </c>
      <c r="D1098" t="s">
        <v>321</v>
      </c>
      <c r="E1098" t="s">
        <v>341</v>
      </c>
      <c r="F1098">
        <v>103547.73</v>
      </c>
      <c r="G1098" s="29">
        <v>6.5649999999999997E-3</v>
      </c>
      <c r="H1098">
        <v>1199112.0900000001</v>
      </c>
      <c r="I1098">
        <v>349582.14</v>
      </c>
      <c r="J1098" s="29">
        <v>0.22570000000000001</v>
      </c>
      <c r="K1098">
        <v>4.34</v>
      </c>
    </row>
    <row r="1099" spans="1:11" x14ac:dyDescent="0.3">
      <c r="A1099" t="s">
        <v>186</v>
      </c>
      <c r="B1099" s="25">
        <v>45808</v>
      </c>
      <c r="C1099">
        <v>482520</v>
      </c>
      <c r="D1099" t="s">
        <v>321</v>
      </c>
      <c r="E1099" t="s">
        <v>341</v>
      </c>
      <c r="F1099">
        <v>101047.87</v>
      </c>
      <c r="G1099" s="29">
        <v>6.5000000000000006E-3</v>
      </c>
      <c r="H1099">
        <v>1170162.94</v>
      </c>
      <c r="I1099">
        <v>341142.48</v>
      </c>
      <c r="J1099" s="29">
        <v>0.22570000000000001</v>
      </c>
      <c r="K1099">
        <v>4.4400000000000004</v>
      </c>
    </row>
    <row r="1100" spans="1:11" x14ac:dyDescent="0.3">
      <c r="A1100" t="s">
        <v>186</v>
      </c>
      <c r="B1100" s="25">
        <v>45838</v>
      </c>
      <c r="C1100">
        <v>482520</v>
      </c>
      <c r="D1100" t="s">
        <v>321</v>
      </c>
      <c r="E1100" t="s">
        <v>341</v>
      </c>
      <c r="F1100">
        <v>125656.24</v>
      </c>
      <c r="G1100" s="29">
        <v>7.9670000000000001E-3</v>
      </c>
      <c r="H1100">
        <v>1455134.93</v>
      </c>
      <c r="I1100">
        <v>424221.55</v>
      </c>
      <c r="J1100" s="29">
        <v>0.22570000000000001</v>
      </c>
      <c r="K1100">
        <v>4.09</v>
      </c>
    </row>
    <row r="1101" spans="1:11" x14ac:dyDescent="0.3">
      <c r="A1101" t="s">
        <v>186</v>
      </c>
      <c r="B1101" s="25">
        <v>45869</v>
      </c>
      <c r="C1101">
        <v>482520</v>
      </c>
      <c r="D1101" t="s">
        <v>321</v>
      </c>
      <c r="E1101" t="s">
        <v>341</v>
      </c>
      <c r="F1101">
        <v>123365.32</v>
      </c>
      <c r="G1101" s="29">
        <v>8.2220000000000001E-3</v>
      </c>
      <c r="H1101">
        <v>1428605.42</v>
      </c>
      <c r="I1101">
        <v>416487.29</v>
      </c>
      <c r="J1101" s="29">
        <v>0.22570000000000001</v>
      </c>
      <c r="K1101">
        <v>4.45</v>
      </c>
    </row>
    <row r="1102" spans="1:11" x14ac:dyDescent="0.3">
      <c r="A1102" t="s">
        <v>186</v>
      </c>
      <c r="B1102" s="25">
        <v>45900</v>
      </c>
      <c r="C1102">
        <v>482520</v>
      </c>
      <c r="D1102" t="s">
        <v>321</v>
      </c>
      <c r="E1102" t="s">
        <v>341</v>
      </c>
      <c r="F1102">
        <v>102815.65</v>
      </c>
      <c r="G1102" s="29">
        <v>6.8189999999999995E-3</v>
      </c>
      <c r="H1102">
        <v>1190634.43</v>
      </c>
      <c r="I1102">
        <v>347110.62</v>
      </c>
      <c r="J1102" s="29">
        <v>0.22570000000000001</v>
      </c>
      <c r="K1102">
        <v>4.55</v>
      </c>
    </row>
    <row r="1103" spans="1:11" x14ac:dyDescent="0.3">
      <c r="A1103" t="s">
        <v>186</v>
      </c>
      <c r="B1103" s="25">
        <v>45930</v>
      </c>
      <c r="C1103">
        <v>482520</v>
      </c>
      <c r="D1103" t="s">
        <v>321</v>
      </c>
      <c r="E1103" t="s">
        <v>341</v>
      </c>
      <c r="F1103">
        <v>119989.3</v>
      </c>
      <c r="G1103" s="29">
        <v>8.0000000000000002E-3</v>
      </c>
      <c r="H1103">
        <v>1389510.15</v>
      </c>
      <c r="I1103">
        <v>405089.69</v>
      </c>
      <c r="J1103" s="29">
        <v>0.22570000000000001</v>
      </c>
      <c r="K1103">
        <v>4.8600000000000003</v>
      </c>
    </row>
    <row r="1104" spans="1:11" x14ac:dyDescent="0.3">
      <c r="A1104" t="s">
        <v>186</v>
      </c>
      <c r="B1104" s="25">
        <v>45961</v>
      </c>
      <c r="C1104">
        <v>482520</v>
      </c>
      <c r="D1104" t="s">
        <v>321</v>
      </c>
      <c r="E1104" t="s">
        <v>341</v>
      </c>
      <c r="F1104">
        <v>111688.13</v>
      </c>
      <c r="G1104" s="29">
        <v>7.4900000000000001E-3</v>
      </c>
      <c r="H1104">
        <v>1293380.18</v>
      </c>
      <c r="I1104">
        <v>377064.52</v>
      </c>
      <c r="J1104" s="29">
        <v>0.22570000000000001</v>
      </c>
      <c r="K1104">
        <v>4.59</v>
      </c>
    </row>
    <row r="1105" spans="1:11" x14ac:dyDescent="0.3">
      <c r="A1105" t="s">
        <v>186</v>
      </c>
      <c r="B1105" s="25">
        <v>45991</v>
      </c>
      <c r="C1105">
        <v>482520</v>
      </c>
      <c r="D1105" t="s">
        <v>321</v>
      </c>
      <c r="E1105" t="s">
        <v>341</v>
      </c>
      <c r="F1105">
        <v>102901.8</v>
      </c>
      <c r="G1105" s="29">
        <v>6.4859999999999996E-3</v>
      </c>
      <c r="H1105">
        <v>1191632.03</v>
      </c>
      <c r="I1105">
        <v>347401.45</v>
      </c>
      <c r="J1105" s="29">
        <v>0.22570000000000001</v>
      </c>
      <c r="K1105">
        <v>4.57</v>
      </c>
    </row>
    <row r="1106" spans="1:11" x14ac:dyDescent="0.3">
      <c r="A1106" t="s">
        <v>186</v>
      </c>
      <c r="B1106" s="25">
        <v>45657</v>
      </c>
      <c r="C1106">
        <v>850609</v>
      </c>
      <c r="D1106" t="s">
        <v>323</v>
      </c>
      <c r="E1106" t="s">
        <v>344</v>
      </c>
      <c r="F1106">
        <v>168327.13</v>
      </c>
      <c r="G1106" s="29">
        <v>1.0442E-2</v>
      </c>
      <c r="H1106">
        <v>1227636.6299999999</v>
      </c>
      <c r="I1106">
        <v>521462.92</v>
      </c>
      <c r="J1106" s="29">
        <v>0.29809999999999998</v>
      </c>
      <c r="K1106">
        <v>7.42</v>
      </c>
    </row>
    <row r="1107" spans="1:11" x14ac:dyDescent="0.3">
      <c r="A1107" t="s">
        <v>186</v>
      </c>
      <c r="B1107" s="25">
        <v>45688</v>
      </c>
      <c r="C1107">
        <v>850609</v>
      </c>
      <c r="D1107" t="s">
        <v>323</v>
      </c>
      <c r="E1107" t="s">
        <v>344</v>
      </c>
      <c r="F1107">
        <v>171976.18</v>
      </c>
      <c r="G1107" s="29">
        <v>1.1136999999999999E-2</v>
      </c>
      <c r="H1107">
        <v>1254249.76</v>
      </c>
      <c r="I1107">
        <v>532767.37</v>
      </c>
      <c r="J1107" s="29">
        <v>0.29809999999999998</v>
      </c>
      <c r="K1107">
        <v>7.21</v>
      </c>
    </row>
    <row r="1108" spans="1:11" x14ac:dyDescent="0.3">
      <c r="A1108" t="s">
        <v>186</v>
      </c>
      <c r="B1108" s="25">
        <v>45716</v>
      </c>
      <c r="C1108">
        <v>850609</v>
      </c>
      <c r="D1108" t="s">
        <v>323</v>
      </c>
      <c r="E1108" t="s">
        <v>344</v>
      </c>
      <c r="F1108">
        <v>169601.65</v>
      </c>
      <c r="G1108" s="29">
        <v>1.0992999999999999E-2</v>
      </c>
      <c r="H1108">
        <v>1236931.8899999999</v>
      </c>
      <c r="I1108">
        <v>525411.26</v>
      </c>
      <c r="J1108" s="29">
        <v>0.29809999999999998</v>
      </c>
      <c r="K1108">
        <v>7.52</v>
      </c>
    </row>
    <row r="1109" spans="1:11" x14ac:dyDescent="0.3">
      <c r="A1109" t="s">
        <v>186</v>
      </c>
      <c r="B1109" s="25">
        <v>45747</v>
      </c>
      <c r="C1109">
        <v>850609</v>
      </c>
      <c r="D1109" t="s">
        <v>323</v>
      </c>
      <c r="E1109" t="s">
        <v>344</v>
      </c>
      <c r="F1109">
        <v>154387.23000000001</v>
      </c>
      <c r="G1109" s="29">
        <v>1.0248999999999999E-2</v>
      </c>
      <c r="H1109">
        <v>1125970.75</v>
      </c>
      <c r="I1109">
        <v>478278.32</v>
      </c>
      <c r="J1109" s="29">
        <v>0.29809999999999998</v>
      </c>
      <c r="K1109">
        <v>6.21</v>
      </c>
    </row>
    <row r="1110" spans="1:11" x14ac:dyDescent="0.3">
      <c r="A1110" t="s">
        <v>186</v>
      </c>
      <c r="B1110" s="25">
        <v>45777</v>
      </c>
      <c r="C1110">
        <v>850609</v>
      </c>
      <c r="D1110" t="s">
        <v>323</v>
      </c>
      <c r="E1110" t="s">
        <v>344</v>
      </c>
      <c r="F1110">
        <v>187971.12</v>
      </c>
      <c r="G1110" s="29">
        <v>1.1918E-2</v>
      </c>
      <c r="H1110">
        <v>1370903.36</v>
      </c>
      <c r="I1110">
        <v>582318.29</v>
      </c>
      <c r="J1110" s="29">
        <v>0.29809999999999998</v>
      </c>
      <c r="K1110">
        <v>7.53</v>
      </c>
    </row>
    <row r="1111" spans="1:11" x14ac:dyDescent="0.3">
      <c r="A1111" t="s">
        <v>186</v>
      </c>
      <c r="B1111" s="25">
        <v>45808</v>
      </c>
      <c r="C1111">
        <v>850609</v>
      </c>
      <c r="D1111" t="s">
        <v>323</v>
      </c>
      <c r="E1111" t="s">
        <v>344</v>
      </c>
      <c r="F1111">
        <v>166393.87</v>
      </c>
      <c r="G1111" s="29">
        <v>1.0703000000000001E-2</v>
      </c>
      <c r="H1111">
        <v>1213537.0900000001</v>
      </c>
      <c r="I1111">
        <v>515473.86</v>
      </c>
      <c r="J1111" s="29">
        <v>0.29809999999999998</v>
      </c>
      <c r="K1111">
        <v>7.44</v>
      </c>
    </row>
    <row r="1112" spans="1:11" x14ac:dyDescent="0.3">
      <c r="A1112" t="s">
        <v>186</v>
      </c>
      <c r="B1112" s="25">
        <v>45838</v>
      </c>
      <c r="C1112">
        <v>850609</v>
      </c>
      <c r="D1112" t="s">
        <v>323</v>
      </c>
      <c r="E1112" t="s">
        <v>344</v>
      </c>
      <c r="F1112">
        <v>154895.17000000001</v>
      </c>
      <c r="G1112" s="29">
        <v>9.8209999999999999E-3</v>
      </c>
      <c r="H1112">
        <v>1129675.19</v>
      </c>
      <c r="I1112">
        <v>479851.86</v>
      </c>
      <c r="J1112" s="29">
        <v>0.29809999999999998</v>
      </c>
      <c r="K1112">
        <v>7.48</v>
      </c>
    </row>
    <row r="1113" spans="1:11" x14ac:dyDescent="0.3">
      <c r="A1113" t="s">
        <v>186</v>
      </c>
      <c r="B1113" s="25">
        <v>45869</v>
      </c>
      <c r="C1113">
        <v>850609</v>
      </c>
      <c r="D1113" t="s">
        <v>323</v>
      </c>
      <c r="E1113" t="s">
        <v>344</v>
      </c>
      <c r="F1113">
        <v>186673.38</v>
      </c>
      <c r="G1113" s="29">
        <v>1.2441000000000001E-2</v>
      </c>
      <c r="H1113">
        <v>1361438.76</v>
      </c>
      <c r="I1113">
        <v>578298.01</v>
      </c>
      <c r="J1113" s="29">
        <v>0.29809999999999998</v>
      </c>
      <c r="K1113">
        <v>7.21</v>
      </c>
    </row>
    <row r="1114" spans="1:11" x14ac:dyDescent="0.3">
      <c r="A1114" t="s">
        <v>186</v>
      </c>
      <c r="B1114" s="25">
        <v>45900</v>
      </c>
      <c r="C1114">
        <v>850609</v>
      </c>
      <c r="D1114" t="s">
        <v>323</v>
      </c>
      <c r="E1114" t="s">
        <v>344</v>
      </c>
      <c r="F1114">
        <v>178184.15</v>
      </c>
      <c r="G1114" s="29">
        <v>1.1818E-2</v>
      </c>
      <c r="H1114">
        <v>1299525.44</v>
      </c>
      <c r="I1114">
        <v>551999.11</v>
      </c>
      <c r="J1114" s="29">
        <v>0.29809999999999998</v>
      </c>
      <c r="K1114">
        <v>7.75</v>
      </c>
    </row>
    <row r="1115" spans="1:11" x14ac:dyDescent="0.3">
      <c r="A1115" t="s">
        <v>186</v>
      </c>
      <c r="B1115" s="25">
        <v>45930</v>
      </c>
      <c r="C1115">
        <v>850609</v>
      </c>
      <c r="D1115" t="s">
        <v>323</v>
      </c>
      <c r="E1115" t="s">
        <v>344</v>
      </c>
      <c r="F1115">
        <v>182724.03</v>
      </c>
      <c r="G1115" s="29">
        <v>1.2182E-2</v>
      </c>
      <c r="H1115">
        <v>1332635.52</v>
      </c>
      <c r="I1115">
        <v>566063.27</v>
      </c>
      <c r="J1115" s="29">
        <v>0.29809999999999998</v>
      </c>
      <c r="K1115">
        <v>6.98</v>
      </c>
    </row>
    <row r="1116" spans="1:11" x14ac:dyDescent="0.3">
      <c r="A1116" t="s">
        <v>186</v>
      </c>
      <c r="B1116" s="25">
        <v>45961</v>
      </c>
      <c r="C1116">
        <v>850609</v>
      </c>
      <c r="D1116" t="s">
        <v>323</v>
      </c>
      <c r="E1116" t="s">
        <v>344</v>
      </c>
      <c r="F1116">
        <v>162194.6</v>
      </c>
      <c r="G1116" s="29">
        <v>1.0877E-2</v>
      </c>
      <c r="H1116">
        <v>1182911.1299999999</v>
      </c>
      <c r="I1116">
        <v>502464.88</v>
      </c>
      <c r="J1116" s="29">
        <v>0.29809999999999998</v>
      </c>
      <c r="K1116">
        <v>6.83</v>
      </c>
    </row>
    <row r="1117" spans="1:11" x14ac:dyDescent="0.3">
      <c r="A1117" t="s">
        <v>186</v>
      </c>
      <c r="B1117" s="25">
        <v>45991</v>
      </c>
      <c r="C1117">
        <v>850609</v>
      </c>
      <c r="D1117" t="s">
        <v>323</v>
      </c>
      <c r="E1117" t="s">
        <v>344</v>
      </c>
      <c r="F1117">
        <v>160170.85</v>
      </c>
      <c r="G1117" s="29">
        <v>1.0096000000000001E-2</v>
      </c>
      <c r="H1117">
        <v>1168151.58</v>
      </c>
      <c r="I1117">
        <v>496195.47</v>
      </c>
      <c r="J1117" s="29">
        <v>0.29809999999999998</v>
      </c>
      <c r="K1117">
        <v>7.21</v>
      </c>
    </row>
    <row r="1118" spans="1:11" x14ac:dyDescent="0.3">
      <c r="A1118" t="s">
        <v>186</v>
      </c>
      <c r="B1118" s="25">
        <v>45657</v>
      </c>
      <c r="C1118">
        <v>139802</v>
      </c>
      <c r="D1118" t="s">
        <v>320</v>
      </c>
      <c r="E1118" t="s">
        <v>343</v>
      </c>
      <c r="F1118">
        <v>139461.75</v>
      </c>
      <c r="G1118" s="29">
        <v>8.650999999999999E-3</v>
      </c>
      <c r="H1118">
        <v>1041067.45</v>
      </c>
      <c r="I1118">
        <v>472404.72</v>
      </c>
      <c r="J1118" s="29">
        <v>0.31209999999999999</v>
      </c>
      <c r="K1118">
        <v>6.97</v>
      </c>
    </row>
    <row r="1119" spans="1:11" x14ac:dyDescent="0.3">
      <c r="A1119" t="s">
        <v>186</v>
      </c>
      <c r="B1119" s="25">
        <v>45688</v>
      </c>
      <c r="C1119">
        <v>139802</v>
      </c>
      <c r="D1119" t="s">
        <v>320</v>
      </c>
      <c r="E1119" t="s">
        <v>343</v>
      </c>
      <c r="F1119">
        <v>198488.58</v>
      </c>
      <c r="G1119" s="29">
        <v>1.2854000000000001E-2</v>
      </c>
      <c r="H1119">
        <v>1481696.54</v>
      </c>
      <c r="I1119">
        <v>672348.79</v>
      </c>
      <c r="J1119" s="29">
        <v>0.31209999999999999</v>
      </c>
      <c r="K1119">
        <v>7.27</v>
      </c>
    </row>
    <row r="1120" spans="1:11" x14ac:dyDescent="0.3">
      <c r="A1120" t="s">
        <v>186</v>
      </c>
      <c r="B1120" s="25">
        <v>45716</v>
      </c>
      <c r="C1120">
        <v>139802</v>
      </c>
      <c r="D1120" t="s">
        <v>320</v>
      </c>
      <c r="E1120" t="s">
        <v>343</v>
      </c>
      <c r="F1120">
        <v>159851.13</v>
      </c>
      <c r="G1120" s="29">
        <v>1.0361E-2</v>
      </c>
      <c r="H1120">
        <v>1193272.03</v>
      </c>
      <c r="I1120">
        <v>541470.52</v>
      </c>
      <c r="J1120" s="29">
        <v>0.31209999999999999</v>
      </c>
      <c r="K1120">
        <v>7.04</v>
      </c>
    </row>
    <row r="1121" spans="1:11" x14ac:dyDescent="0.3">
      <c r="A1121" t="s">
        <v>186</v>
      </c>
      <c r="B1121" s="25">
        <v>45747</v>
      </c>
      <c r="C1121">
        <v>139802</v>
      </c>
      <c r="D1121" t="s">
        <v>320</v>
      </c>
      <c r="E1121" t="s">
        <v>343</v>
      </c>
      <c r="F1121">
        <v>158142.82999999999</v>
      </c>
      <c r="G1121" s="29">
        <v>1.0498E-2</v>
      </c>
      <c r="H1121">
        <v>1180519.76</v>
      </c>
      <c r="I1121">
        <v>535683.93000000005</v>
      </c>
      <c r="J1121" s="29">
        <v>0.31209999999999999</v>
      </c>
      <c r="K1121">
        <v>7.64</v>
      </c>
    </row>
    <row r="1122" spans="1:11" x14ac:dyDescent="0.3">
      <c r="A1122" t="s">
        <v>186</v>
      </c>
      <c r="B1122" s="25">
        <v>45777</v>
      </c>
      <c r="C1122">
        <v>139802</v>
      </c>
      <c r="D1122" t="s">
        <v>320</v>
      </c>
      <c r="E1122" t="s">
        <v>343</v>
      </c>
      <c r="F1122">
        <v>182561.32</v>
      </c>
      <c r="G1122" s="29">
        <v>1.1575E-2</v>
      </c>
      <c r="H1122">
        <v>1362801.27</v>
      </c>
      <c r="I1122">
        <v>618397.73</v>
      </c>
      <c r="J1122" s="29">
        <v>0.31209999999999999</v>
      </c>
      <c r="K1122">
        <v>6.83</v>
      </c>
    </row>
    <row r="1123" spans="1:11" x14ac:dyDescent="0.3">
      <c r="A1123" t="s">
        <v>186</v>
      </c>
      <c r="B1123" s="25">
        <v>45808</v>
      </c>
      <c r="C1123">
        <v>139802</v>
      </c>
      <c r="D1123" t="s">
        <v>320</v>
      </c>
      <c r="E1123" t="s">
        <v>343</v>
      </c>
      <c r="F1123">
        <v>147721.38</v>
      </c>
      <c r="G1123" s="29">
        <v>9.502E-3</v>
      </c>
      <c r="H1123">
        <v>1102724.74</v>
      </c>
      <c r="I1123">
        <v>500382.92</v>
      </c>
      <c r="J1123" s="29">
        <v>0.31209999999999999</v>
      </c>
      <c r="K1123">
        <v>6.67</v>
      </c>
    </row>
    <row r="1124" spans="1:11" x14ac:dyDescent="0.3">
      <c r="A1124" t="s">
        <v>186</v>
      </c>
      <c r="B1124" s="25">
        <v>45838</v>
      </c>
      <c r="C1124">
        <v>139802</v>
      </c>
      <c r="D1124" t="s">
        <v>320</v>
      </c>
      <c r="E1124" t="s">
        <v>343</v>
      </c>
      <c r="F1124">
        <v>150197.41</v>
      </c>
      <c r="G1124" s="29">
        <v>9.5230000000000002E-3</v>
      </c>
      <c r="H1124">
        <v>1121208.05</v>
      </c>
      <c r="I1124">
        <v>508770.08</v>
      </c>
      <c r="J1124" s="29">
        <v>0.31209999999999999</v>
      </c>
      <c r="K1124">
        <v>6.76</v>
      </c>
    </row>
    <row r="1125" spans="1:11" x14ac:dyDescent="0.3">
      <c r="A1125" t="s">
        <v>186</v>
      </c>
      <c r="B1125" s="25">
        <v>45869</v>
      </c>
      <c r="C1125">
        <v>139802</v>
      </c>
      <c r="D1125" t="s">
        <v>320</v>
      </c>
      <c r="E1125" t="s">
        <v>343</v>
      </c>
      <c r="F1125">
        <v>172853.61</v>
      </c>
      <c r="G1125" s="29">
        <v>1.1519999999999999E-2</v>
      </c>
      <c r="H1125">
        <v>1290334.22</v>
      </c>
      <c r="I1125">
        <v>585514.39</v>
      </c>
      <c r="J1125" s="29">
        <v>0.31209999999999999</v>
      </c>
      <c r="K1125">
        <v>6.61</v>
      </c>
    </row>
    <row r="1126" spans="1:11" x14ac:dyDescent="0.3">
      <c r="A1126" t="s">
        <v>186</v>
      </c>
      <c r="B1126" s="25">
        <v>45900</v>
      </c>
      <c r="C1126">
        <v>139802</v>
      </c>
      <c r="D1126" t="s">
        <v>320</v>
      </c>
      <c r="E1126" t="s">
        <v>343</v>
      </c>
      <c r="F1126">
        <v>153442.35</v>
      </c>
      <c r="G1126" s="29">
        <v>1.0177E-2</v>
      </c>
      <c r="H1126">
        <v>1145431.1499999999</v>
      </c>
      <c r="I1126">
        <v>519761.79</v>
      </c>
      <c r="J1126" s="29">
        <v>0.31209999999999999</v>
      </c>
      <c r="K1126">
        <v>7.18</v>
      </c>
    </row>
    <row r="1127" spans="1:11" x14ac:dyDescent="0.3">
      <c r="A1127" t="s">
        <v>186</v>
      </c>
      <c r="B1127" s="25">
        <v>45930</v>
      </c>
      <c r="C1127">
        <v>139802</v>
      </c>
      <c r="D1127" t="s">
        <v>320</v>
      </c>
      <c r="E1127" t="s">
        <v>343</v>
      </c>
      <c r="F1127">
        <v>180072.76</v>
      </c>
      <c r="G1127" s="29">
        <v>1.2004999999999998E-2</v>
      </c>
      <c r="H1127">
        <v>1344224.36</v>
      </c>
      <c r="I1127">
        <v>609968.1</v>
      </c>
      <c r="J1127" s="29">
        <v>0.31209999999999999</v>
      </c>
      <c r="K1127">
        <v>7.18</v>
      </c>
    </row>
    <row r="1128" spans="1:11" x14ac:dyDescent="0.3">
      <c r="A1128" t="s">
        <v>186</v>
      </c>
      <c r="B1128" s="25">
        <v>45961</v>
      </c>
      <c r="C1128">
        <v>139802</v>
      </c>
      <c r="D1128" t="s">
        <v>320</v>
      </c>
      <c r="E1128" t="s">
        <v>343</v>
      </c>
      <c r="F1128">
        <v>151218.49</v>
      </c>
      <c r="G1128" s="29">
        <v>1.0141000000000001E-2</v>
      </c>
      <c r="H1128">
        <v>1128830.3</v>
      </c>
      <c r="I1128">
        <v>512228.83</v>
      </c>
      <c r="J1128" s="29">
        <v>0.31209999999999999</v>
      </c>
      <c r="K1128">
        <v>7.2</v>
      </c>
    </row>
    <row r="1129" spans="1:11" x14ac:dyDescent="0.3">
      <c r="A1129" t="s">
        <v>186</v>
      </c>
      <c r="B1129" s="25">
        <v>45991</v>
      </c>
      <c r="C1129">
        <v>139802</v>
      </c>
      <c r="D1129" t="s">
        <v>320</v>
      </c>
      <c r="E1129" t="s">
        <v>343</v>
      </c>
      <c r="F1129">
        <v>167195.57</v>
      </c>
      <c r="G1129" s="29">
        <v>1.0539E-2</v>
      </c>
      <c r="H1129">
        <v>1248097.54</v>
      </c>
      <c r="I1129">
        <v>566348.67000000004</v>
      </c>
      <c r="J1129" s="29">
        <v>0.31209999999999999</v>
      </c>
      <c r="K1129">
        <v>6.65</v>
      </c>
    </row>
    <row r="1130" spans="1:11" x14ac:dyDescent="0.3">
      <c r="A1130" t="s">
        <v>186</v>
      </c>
      <c r="B1130" s="25">
        <v>45657</v>
      </c>
      <c r="C1130">
        <v>188414</v>
      </c>
      <c r="D1130" t="s">
        <v>323</v>
      </c>
      <c r="E1130" t="s">
        <v>342</v>
      </c>
      <c r="F1130">
        <v>133992.26999999999</v>
      </c>
      <c r="G1130" s="29">
        <v>8.3119999999999999E-3</v>
      </c>
      <c r="H1130">
        <v>1015574.8</v>
      </c>
      <c r="I1130">
        <v>416142.6</v>
      </c>
      <c r="J1130" s="29">
        <v>0.29070000000000001</v>
      </c>
      <c r="K1130">
        <v>6.3</v>
      </c>
    </row>
    <row r="1131" spans="1:11" x14ac:dyDescent="0.3">
      <c r="A1131" t="s">
        <v>186</v>
      </c>
      <c r="B1131" s="25">
        <v>45688</v>
      </c>
      <c r="C1131">
        <v>188414</v>
      </c>
      <c r="D1131" t="s">
        <v>323</v>
      </c>
      <c r="E1131" t="s">
        <v>342</v>
      </c>
      <c r="F1131">
        <v>139500.82999999999</v>
      </c>
      <c r="G1131" s="29">
        <v>9.0340000000000004E-3</v>
      </c>
      <c r="H1131">
        <v>1057326.17</v>
      </c>
      <c r="I1131">
        <v>433250.67</v>
      </c>
      <c r="J1131" s="29">
        <v>0.29070000000000001</v>
      </c>
      <c r="K1131">
        <v>7.35</v>
      </c>
    </row>
    <row r="1132" spans="1:11" x14ac:dyDescent="0.3">
      <c r="A1132" t="s">
        <v>186</v>
      </c>
      <c r="B1132" s="25">
        <v>45716</v>
      </c>
      <c r="C1132">
        <v>188414</v>
      </c>
      <c r="D1132" t="s">
        <v>323</v>
      </c>
      <c r="E1132" t="s">
        <v>342</v>
      </c>
      <c r="F1132">
        <v>122159.72</v>
      </c>
      <c r="G1132" s="29">
        <v>7.9179999999999997E-3</v>
      </c>
      <c r="H1132">
        <v>925891.76</v>
      </c>
      <c r="I1132">
        <v>379394.01</v>
      </c>
      <c r="J1132" s="29">
        <v>0.29070000000000001</v>
      </c>
      <c r="K1132">
        <v>6.44</v>
      </c>
    </row>
    <row r="1133" spans="1:11" x14ac:dyDescent="0.3">
      <c r="A1133" t="s">
        <v>186</v>
      </c>
      <c r="B1133" s="25">
        <v>45747</v>
      </c>
      <c r="C1133">
        <v>188414</v>
      </c>
      <c r="D1133" t="s">
        <v>323</v>
      </c>
      <c r="E1133" t="s">
        <v>342</v>
      </c>
      <c r="F1133">
        <v>156715.91</v>
      </c>
      <c r="G1133" s="29">
        <v>1.0403000000000001E-2</v>
      </c>
      <c r="H1133">
        <v>1187805.3500000001</v>
      </c>
      <c r="I1133">
        <v>486715.9</v>
      </c>
      <c r="J1133" s="29">
        <v>0.29070000000000001</v>
      </c>
      <c r="K1133">
        <v>6.57</v>
      </c>
    </row>
    <row r="1134" spans="1:11" x14ac:dyDescent="0.3">
      <c r="A1134" t="s">
        <v>186</v>
      </c>
      <c r="B1134" s="25">
        <v>45777</v>
      </c>
      <c r="C1134">
        <v>188414</v>
      </c>
      <c r="D1134" t="s">
        <v>323</v>
      </c>
      <c r="E1134" t="s">
        <v>342</v>
      </c>
      <c r="F1134">
        <v>141921.63</v>
      </c>
      <c r="G1134" s="29">
        <v>8.9980000000000008E-3</v>
      </c>
      <c r="H1134">
        <v>1075674.22</v>
      </c>
      <c r="I1134">
        <v>440768.98</v>
      </c>
      <c r="J1134" s="29">
        <v>0.29070000000000001</v>
      </c>
      <c r="K1134">
        <v>6.7</v>
      </c>
    </row>
    <row r="1135" spans="1:11" x14ac:dyDescent="0.3">
      <c r="A1135" t="s">
        <v>186</v>
      </c>
      <c r="B1135" s="25">
        <v>45808</v>
      </c>
      <c r="C1135">
        <v>188414</v>
      </c>
      <c r="D1135" t="s">
        <v>323</v>
      </c>
      <c r="E1135" t="s">
        <v>342</v>
      </c>
      <c r="F1135">
        <v>160743.84</v>
      </c>
      <c r="G1135" s="29">
        <v>1.034E-2</v>
      </c>
      <c r="H1135">
        <v>1218334.46</v>
      </c>
      <c r="I1135">
        <v>499225.53</v>
      </c>
      <c r="J1135" s="29">
        <v>0.29070000000000001</v>
      </c>
      <c r="K1135">
        <v>7.31</v>
      </c>
    </row>
    <row r="1136" spans="1:11" x14ac:dyDescent="0.3">
      <c r="A1136" t="s">
        <v>186</v>
      </c>
      <c r="B1136" s="25">
        <v>45838</v>
      </c>
      <c r="C1136">
        <v>188414</v>
      </c>
      <c r="D1136" t="s">
        <v>323</v>
      </c>
      <c r="E1136" t="s">
        <v>342</v>
      </c>
      <c r="F1136">
        <v>148288.89000000001</v>
      </c>
      <c r="G1136" s="29">
        <v>9.4020000000000006E-3</v>
      </c>
      <c r="H1136">
        <v>1123933.95</v>
      </c>
      <c r="I1136">
        <v>460543.91</v>
      </c>
      <c r="J1136" s="29">
        <v>0.29070000000000001</v>
      </c>
      <c r="K1136">
        <v>6.35</v>
      </c>
    </row>
    <row r="1137" spans="1:11" x14ac:dyDescent="0.3">
      <c r="A1137" t="s">
        <v>186</v>
      </c>
      <c r="B1137" s="25">
        <v>45869</v>
      </c>
      <c r="C1137">
        <v>188414</v>
      </c>
      <c r="D1137" t="s">
        <v>323</v>
      </c>
      <c r="E1137" t="s">
        <v>342</v>
      </c>
      <c r="F1137">
        <v>145822.65</v>
      </c>
      <c r="G1137" s="29">
        <v>9.7190000000000002E-3</v>
      </c>
      <c r="H1137">
        <v>1105241.47</v>
      </c>
      <c r="I1137">
        <v>452884.47</v>
      </c>
      <c r="J1137" s="29">
        <v>0.29070000000000001</v>
      </c>
      <c r="K1137">
        <v>6.89</v>
      </c>
    </row>
    <row r="1138" spans="1:11" x14ac:dyDescent="0.3">
      <c r="A1138" t="s">
        <v>186</v>
      </c>
      <c r="B1138" s="25">
        <v>45900</v>
      </c>
      <c r="C1138">
        <v>188414</v>
      </c>
      <c r="D1138" t="s">
        <v>323</v>
      </c>
      <c r="E1138" t="s">
        <v>342</v>
      </c>
      <c r="F1138">
        <v>147448.21</v>
      </c>
      <c r="G1138" s="29">
        <v>9.7789999999999995E-3</v>
      </c>
      <c r="H1138">
        <v>1117562.1599999999</v>
      </c>
      <c r="I1138">
        <v>457933</v>
      </c>
      <c r="J1138" s="29">
        <v>0.29070000000000001</v>
      </c>
      <c r="K1138">
        <v>6.04</v>
      </c>
    </row>
    <row r="1139" spans="1:11" x14ac:dyDescent="0.3">
      <c r="A1139" t="s">
        <v>186</v>
      </c>
      <c r="B1139" s="25">
        <v>45930</v>
      </c>
      <c r="C1139">
        <v>188414</v>
      </c>
      <c r="D1139" t="s">
        <v>323</v>
      </c>
      <c r="E1139" t="s">
        <v>342</v>
      </c>
      <c r="F1139">
        <v>148375.14000000001</v>
      </c>
      <c r="G1139" s="29">
        <v>9.8919999999999998E-3</v>
      </c>
      <c r="H1139">
        <v>1124587.69</v>
      </c>
      <c r="I1139">
        <v>460811.79</v>
      </c>
      <c r="J1139" s="29">
        <v>0.29070000000000001</v>
      </c>
      <c r="K1139">
        <v>6.56</v>
      </c>
    </row>
    <row r="1140" spans="1:11" x14ac:dyDescent="0.3">
      <c r="A1140" t="s">
        <v>186</v>
      </c>
      <c r="B1140" s="25">
        <v>45961</v>
      </c>
      <c r="C1140">
        <v>188414</v>
      </c>
      <c r="D1140" t="s">
        <v>323</v>
      </c>
      <c r="E1140" t="s">
        <v>342</v>
      </c>
      <c r="F1140">
        <v>172505.46</v>
      </c>
      <c r="G1140" s="29">
        <v>1.1568E-2</v>
      </c>
      <c r="H1140">
        <v>1307479.94</v>
      </c>
      <c r="I1140">
        <v>535753.84</v>
      </c>
      <c r="J1140" s="29">
        <v>0.29070000000000001</v>
      </c>
      <c r="K1140">
        <v>7</v>
      </c>
    </row>
    <row r="1141" spans="1:11" x14ac:dyDescent="0.3">
      <c r="A1141" t="s">
        <v>186</v>
      </c>
      <c r="B1141" s="25">
        <v>45991</v>
      </c>
      <c r="C1141">
        <v>188414</v>
      </c>
      <c r="D1141" t="s">
        <v>323</v>
      </c>
      <c r="E1141" t="s">
        <v>342</v>
      </c>
      <c r="F1141">
        <v>170239.09</v>
      </c>
      <c r="G1141" s="29">
        <v>1.073E-2</v>
      </c>
      <c r="H1141">
        <v>1290302.3</v>
      </c>
      <c r="I1141">
        <v>528715.12</v>
      </c>
      <c r="J1141" s="29">
        <v>0.29070000000000001</v>
      </c>
      <c r="K1141">
        <v>6.66</v>
      </c>
    </row>
    <row r="1142" spans="1:11" x14ac:dyDescent="0.3">
      <c r="A1142" t="s">
        <v>186</v>
      </c>
      <c r="B1142" s="25">
        <v>45657</v>
      </c>
      <c r="C1142">
        <v>645890</v>
      </c>
      <c r="D1142" t="s">
        <v>323</v>
      </c>
      <c r="E1142" t="s">
        <v>342</v>
      </c>
      <c r="F1142">
        <v>134019.51999999999</v>
      </c>
      <c r="G1142" s="29">
        <v>8.3140000000000002E-3</v>
      </c>
      <c r="H1142">
        <v>1029825.6</v>
      </c>
      <c r="I1142">
        <v>504944.1</v>
      </c>
      <c r="J1142" s="29">
        <v>0.32900000000000001</v>
      </c>
      <c r="K1142">
        <v>6.92</v>
      </c>
    </row>
    <row r="1143" spans="1:11" x14ac:dyDescent="0.3">
      <c r="A1143" t="s">
        <v>186</v>
      </c>
      <c r="B1143" s="25">
        <v>45688</v>
      </c>
      <c r="C1143">
        <v>645890</v>
      </c>
      <c r="D1143" t="s">
        <v>323</v>
      </c>
      <c r="E1143" t="s">
        <v>342</v>
      </c>
      <c r="F1143">
        <v>156486.59</v>
      </c>
      <c r="G1143" s="29">
        <v>1.0134000000000001E-2</v>
      </c>
      <c r="H1143">
        <v>1202465.8799999999</v>
      </c>
      <c r="I1143">
        <v>589593.07999999996</v>
      </c>
      <c r="J1143" s="29">
        <v>0.32900000000000001</v>
      </c>
      <c r="K1143">
        <v>7.26</v>
      </c>
    </row>
    <row r="1144" spans="1:11" x14ac:dyDescent="0.3">
      <c r="A1144" t="s">
        <v>186</v>
      </c>
      <c r="B1144" s="25">
        <v>45716</v>
      </c>
      <c r="C1144">
        <v>645890</v>
      </c>
      <c r="D1144" t="s">
        <v>323</v>
      </c>
      <c r="E1144" t="s">
        <v>342</v>
      </c>
      <c r="F1144">
        <v>133983.28</v>
      </c>
      <c r="G1144" s="29">
        <v>8.683999999999999E-3</v>
      </c>
      <c r="H1144">
        <v>1029547.18</v>
      </c>
      <c r="I1144">
        <v>504807.58</v>
      </c>
      <c r="J1144" s="29">
        <v>0.32900000000000001</v>
      </c>
      <c r="K1144">
        <v>7.02</v>
      </c>
    </row>
    <row r="1145" spans="1:11" x14ac:dyDescent="0.3">
      <c r="A1145" t="s">
        <v>186</v>
      </c>
      <c r="B1145" s="25">
        <v>45747</v>
      </c>
      <c r="C1145">
        <v>645890</v>
      </c>
      <c r="D1145" t="s">
        <v>323</v>
      </c>
      <c r="E1145" t="s">
        <v>342</v>
      </c>
      <c r="F1145">
        <v>111505.1</v>
      </c>
      <c r="G1145" s="29">
        <v>7.4019999999999997E-3</v>
      </c>
      <c r="H1145">
        <v>856821.53</v>
      </c>
      <c r="I1145">
        <v>420116.74</v>
      </c>
      <c r="J1145" s="29">
        <v>0.32900000000000001</v>
      </c>
      <c r="K1145">
        <v>6.77</v>
      </c>
    </row>
    <row r="1146" spans="1:11" x14ac:dyDescent="0.3">
      <c r="A1146" t="s">
        <v>186</v>
      </c>
      <c r="B1146" s="25">
        <v>45777</v>
      </c>
      <c r="C1146">
        <v>645890</v>
      </c>
      <c r="D1146" t="s">
        <v>323</v>
      </c>
      <c r="E1146" t="s">
        <v>342</v>
      </c>
      <c r="F1146">
        <v>111647.85</v>
      </c>
      <c r="G1146" s="29">
        <v>7.0789999999999994E-3</v>
      </c>
      <c r="H1146">
        <v>857918.46</v>
      </c>
      <c r="I1146">
        <v>420654.59</v>
      </c>
      <c r="J1146" s="29">
        <v>0.32900000000000001</v>
      </c>
      <c r="K1146">
        <v>7.07</v>
      </c>
    </row>
    <row r="1147" spans="1:11" x14ac:dyDescent="0.3">
      <c r="A1147" t="s">
        <v>186</v>
      </c>
      <c r="B1147" s="25">
        <v>45808</v>
      </c>
      <c r="C1147">
        <v>645890</v>
      </c>
      <c r="D1147" t="s">
        <v>323</v>
      </c>
      <c r="E1147" t="s">
        <v>342</v>
      </c>
      <c r="F1147">
        <v>121580.56</v>
      </c>
      <c r="G1147" s="29">
        <v>7.8209999999999998E-3</v>
      </c>
      <c r="H1147">
        <v>934242.85</v>
      </c>
      <c r="I1147">
        <v>458077.96</v>
      </c>
      <c r="J1147" s="29">
        <v>0.32900000000000001</v>
      </c>
      <c r="K1147">
        <v>6.85</v>
      </c>
    </row>
    <row r="1148" spans="1:11" x14ac:dyDescent="0.3">
      <c r="A1148" t="s">
        <v>186</v>
      </c>
      <c r="B1148" s="25">
        <v>45838</v>
      </c>
      <c r="C1148">
        <v>645890</v>
      </c>
      <c r="D1148" t="s">
        <v>323</v>
      </c>
      <c r="E1148" t="s">
        <v>342</v>
      </c>
      <c r="F1148">
        <v>154918.34</v>
      </c>
      <c r="G1148" s="29">
        <v>9.8219999999999991E-3</v>
      </c>
      <c r="H1148">
        <v>1190415.23</v>
      </c>
      <c r="I1148">
        <v>583684.4</v>
      </c>
      <c r="J1148" s="29">
        <v>0.32900000000000001</v>
      </c>
      <c r="K1148">
        <v>6.84</v>
      </c>
    </row>
    <row r="1149" spans="1:11" x14ac:dyDescent="0.3">
      <c r="A1149" t="s">
        <v>186</v>
      </c>
      <c r="B1149" s="25">
        <v>45869</v>
      </c>
      <c r="C1149">
        <v>645890</v>
      </c>
      <c r="D1149" t="s">
        <v>323</v>
      </c>
      <c r="E1149" t="s">
        <v>342</v>
      </c>
      <c r="F1149">
        <v>141834.54999999999</v>
      </c>
      <c r="G1149" s="29">
        <v>9.4529999999999996E-3</v>
      </c>
      <c r="H1149">
        <v>1089877.45</v>
      </c>
      <c r="I1149">
        <v>534388.72</v>
      </c>
      <c r="J1149" s="29">
        <v>0.32900000000000001</v>
      </c>
      <c r="K1149">
        <v>7.3</v>
      </c>
    </row>
    <row r="1150" spans="1:11" x14ac:dyDescent="0.3">
      <c r="A1150" t="s">
        <v>186</v>
      </c>
      <c r="B1150" s="25">
        <v>45900</v>
      </c>
      <c r="C1150">
        <v>645890</v>
      </c>
      <c r="D1150" t="s">
        <v>323</v>
      </c>
      <c r="E1150" t="s">
        <v>342</v>
      </c>
      <c r="F1150">
        <v>143421.79</v>
      </c>
      <c r="G1150" s="29">
        <v>9.5119999999999996E-3</v>
      </c>
      <c r="H1150">
        <v>1102074.08</v>
      </c>
      <c r="I1150">
        <v>540368.97</v>
      </c>
      <c r="J1150" s="29">
        <v>0.32900000000000001</v>
      </c>
      <c r="K1150">
        <v>7.31</v>
      </c>
    </row>
    <row r="1151" spans="1:11" x14ac:dyDescent="0.3">
      <c r="A1151" t="s">
        <v>186</v>
      </c>
      <c r="B1151" s="25">
        <v>45930</v>
      </c>
      <c r="C1151">
        <v>645890</v>
      </c>
      <c r="D1151" t="s">
        <v>323</v>
      </c>
      <c r="E1151" t="s">
        <v>342</v>
      </c>
      <c r="F1151">
        <v>152089.75</v>
      </c>
      <c r="G1151" s="29">
        <v>1.014E-2</v>
      </c>
      <c r="H1151">
        <v>1168679.8999999999</v>
      </c>
      <c r="I1151">
        <v>573027.14</v>
      </c>
      <c r="J1151" s="29">
        <v>0.32900000000000001</v>
      </c>
      <c r="K1151">
        <v>6.4</v>
      </c>
    </row>
    <row r="1152" spans="1:11" x14ac:dyDescent="0.3">
      <c r="A1152" t="s">
        <v>186</v>
      </c>
      <c r="B1152" s="25">
        <v>45961</v>
      </c>
      <c r="C1152">
        <v>645890</v>
      </c>
      <c r="D1152" t="s">
        <v>323</v>
      </c>
      <c r="E1152" t="s">
        <v>342</v>
      </c>
      <c r="F1152">
        <v>166971.85999999999</v>
      </c>
      <c r="G1152" s="29">
        <v>1.1196999999999999E-2</v>
      </c>
      <c r="H1152">
        <v>1283036.26</v>
      </c>
      <c r="I1152">
        <v>629098.35</v>
      </c>
      <c r="J1152" s="29">
        <v>0.32900000000000001</v>
      </c>
      <c r="K1152">
        <v>7.24</v>
      </c>
    </row>
    <row r="1153" spans="1:11" x14ac:dyDescent="0.3">
      <c r="A1153" t="s">
        <v>186</v>
      </c>
      <c r="B1153" s="25">
        <v>45991</v>
      </c>
      <c r="C1153">
        <v>645890</v>
      </c>
      <c r="D1153" t="s">
        <v>323</v>
      </c>
      <c r="E1153" t="s">
        <v>342</v>
      </c>
      <c r="F1153">
        <v>122894.08</v>
      </c>
      <c r="G1153" s="29">
        <v>7.7459999999999994E-3</v>
      </c>
      <c r="H1153">
        <v>944336.11</v>
      </c>
      <c r="I1153">
        <v>463026.89</v>
      </c>
      <c r="J1153" s="29">
        <v>0.32900000000000001</v>
      </c>
      <c r="K1153">
        <v>6.46</v>
      </c>
    </row>
    <row r="1154" spans="1:11" x14ac:dyDescent="0.3">
      <c r="A1154" t="s">
        <v>186</v>
      </c>
      <c r="B1154" s="25">
        <v>45657</v>
      </c>
      <c r="C1154">
        <v>606929</v>
      </c>
      <c r="D1154" t="s">
        <v>321</v>
      </c>
      <c r="E1154" t="s">
        <v>341</v>
      </c>
      <c r="F1154">
        <v>111468.35</v>
      </c>
      <c r="G1154" s="29">
        <v>6.9150000000000001E-3</v>
      </c>
      <c r="H1154">
        <v>1174135.0900000001</v>
      </c>
      <c r="I1154">
        <v>211428.36</v>
      </c>
      <c r="J1154" s="29">
        <v>0.15260000000000001</v>
      </c>
      <c r="K1154">
        <v>5.47</v>
      </c>
    </row>
    <row r="1155" spans="1:11" x14ac:dyDescent="0.3">
      <c r="A1155" t="s">
        <v>186</v>
      </c>
      <c r="B1155" s="25">
        <v>45688</v>
      </c>
      <c r="C1155">
        <v>606929</v>
      </c>
      <c r="D1155" t="s">
        <v>321</v>
      </c>
      <c r="E1155" t="s">
        <v>341</v>
      </c>
      <c r="F1155">
        <v>118037.62</v>
      </c>
      <c r="G1155" s="29">
        <v>7.6439999999999998E-3</v>
      </c>
      <c r="H1155">
        <v>1243331.54</v>
      </c>
      <c r="I1155">
        <v>223888.68</v>
      </c>
      <c r="J1155" s="29">
        <v>0.15260000000000001</v>
      </c>
      <c r="K1155">
        <v>4.95</v>
      </c>
    </row>
    <row r="1156" spans="1:11" x14ac:dyDescent="0.3">
      <c r="A1156" t="s">
        <v>186</v>
      </c>
      <c r="B1156" s="25">
        <v>45716</v>
      </c>
      <c r="C1156">
        <v>606929</v>
      </c>
      <c r="D1156" t="s">
        <v>321</v>
      </c>
      <c r="E1156" t="s">
        <v>341</v>
      </c>
      <c r="F1156">
        <v>133962.59</v>
      </c>
      <c r="G1156" s="29">
        <v>8.6829999999999997E-3</v>
      </c>
      <c r="H1156">
        <v>1411074.79</v>
      </c>
      <c r="I1156">
        <v>254094.47</v>
      </c>
      <c r="J1156" s="29">
        <v>0.15260000000000001</v>
      </c>
      <c r="K1156">
        <v>5.22</v>
      </c>
    </row>
    <row r="1157" spans="1:11" x14ac:dyDescent="0.3">
      <c r="A1157" t="s">
        <v>186</v>
      </c>
      <c r="B1157" s="25">
        <v>45747</v>
      </c>
      <c r="C1157">
        <v>606929</v>
      </c>
      <c r="D1157" t="s">
        <v>321</v>
      </c>
      <c r="E1157" t="s">
        <v>341</v>
      </c>
      <c r="F1157">
        <v>118572.61</v>
      </c>
      <c r="G1157" s="29">
        <v>7.8709999999999995E-3</v>
      </c>
      <c r="H1157">
        <v>1248966.8</v>
      </c>
      <c r="I1157">
        <v>224903.43</v>
      </c>
      <c r="J1157" s="29">
        <v>0.15260000000000001</v>
      </c>
      <c r="K1157">
        <v>4.7</v>
      </c>
    </row>
    <row r="1158" spans="1:11" x14ac:dyDescent="0.3">
      <c r="A1158" t="s">
        <v>186</v>
      </c>
      <c r="B1158" s="25">
        <v>45777</v>
      </c>
      <c r="C1158">
        <v>606929</v>
      </c>
      <c r="D1158" t="s">
        <v>321</v>
      </c>
      <c r="E1158" t="s">
        <v>341</v>
      </c>
      <c r="F1158">
        <v>114687.48</v>
      </c>
      <c r="G1158" s="29">
        <v>7.2719999999999998E-3</v>
      </c>
      <c r="H1158">
        <v>1208043.3400000001</v>
      </c>
      <c r="I1158">
        <v>217534.28</v>
      </c>
      <c r="J1158" s="29">
        <v>0.15260000000000001</v>
      </c>
      <c r="K1158">
        <v>4.59</v>
      </c>
    </row>
    <row r="1159" spans="1:11" x14ac:dyDescent="0.3">
      <c r="A1159" t="s">
        <v>186</v>
      </c>
      <c r="B1159" s="25">
        <v>45808</v>
      </c>
      <c r="C1159">
        <v>606929</v>
      </c>
      <c r="D1159" t="s">
        <v>321</v>
      </c>
      <c r="E1159" t="s">
        <v>341</v>
      </c>
      <c r="F1159">
        <v>111138.68</v>
      </c>
      <c r="G1159" s="29">
        <v>7.149E-3</v>
      </c>
      <c r="H1159">
        <v>1170662.6299999999</v>
      </c>
      <c r="I1159">
        <v>210803.07</v>
      </c>
      <c r="J1159" s="29">
        <v>0.15260000000000001</v>
      </c>
      <c r="K1159">
        <v>4.97</v>
      </c>
    </row>
    <row r="1160" spans="1:11" x14ac:dyDescent="0.3">
      <c r="A1160" t="s">
        <v>186</v>
      </c>
      <c r="B1160" s="25">
        <v>45838</v>
      </c>
      <c r="C1160">
        <v>606929</v>
      </c>
      <c r="D1160" t="s">
        <v>321</v>
      </c>
      <c r="E1160" t="s">
        <v>341</v>
      </c>
      <c r="F1160">
        <v>125662.91</v>
      </c>
      <c r="G1160" s="29">
        <v>7.9679999999999994E-3</v>
      </c>
      <c r="H1160">
        <v>1323651.3899999999</v>
      </c>
      <c r="I1160">
        <v>238352</v>
      </c>
      <c r="J1160" s="29">
        <v>0.15260000000000001</v>
      </c>
      <c r="K1160">
        <v>5.13</v>
      </c>
    </row>
    <row r="1161" spans="1:11" x14ac:dyDescent="0.3">
      <c r="A1161" t="s">
        <v>186</v>
      </c>
      <c r="B1161" s="25">
        <v>45869</v>
      </c>
      <c r="C1161">
        <v>606929</v>
      </c>
      <c r="D1161" t="s">
        <v>321</v>
      </c>
      <c r="E1161" t="s">
        <v>341</v>
      </c>
      <c r="F1161">
        <v>126134.56</v>
      </c>
      <c r="G1161" s="29">
        <v>8.4060000000000003E-3</v>
      </c>
      <c r="H1161">
        <v>1328619.42</v>
      </c>
      <c r="I1161">
        <v>239246.6</v>
      </c>
      <c r="J1161" s="29">
        <v>0.15260000000000001</v>
      </c>
      <c r="K1161">
        <v>4.95</v>
      </c>
    </row>
    <row r="1162" spans="1:11" x14ac:dyDescent="0.3">
      <c r="A1162" t="s">
        <v>186</v>
      </c>
      <c r="B1162" s="25">
        <v>45900</v>
      </c>
      <c r="C1162">
        <v>606929</v>
      </c>
      <c r="D1162" t="s">
        <v>321</v>
      </c>
      <c r="E1162" t="s">
        <v>341</v>
      </c>
      <c r="F1162">
        <v>137050.09</v>
      </c>
      <c r="G1162" s="29">
        <v>9.0900000000000009E-3</v>
      </c>
      <c r="H1162">
        <v>1443596.52</v>
      </c>
      <c r="I1162">
        <v>259950.71</v>
      </c>
      <c r="J1162" s="29">
        <v>0.15260000000000001</v>
      </c>
      <c r="K1162">
        <v>4.83</v>
      </c>
    </row>
    <row r="1163" spans="1:11" x14ac:dyDescent="0.3">
      <c r="A1163" t="s">
        <v>186</v>
      </c>
      <c r="B1163" s="25">
        <v>45930</v>
      </c>
      <c r="C1163">
        <v>606929</v>
      </c>
      <c r="D1163" t="s">
        <v>321</v>
      </c>
      <c r="E1163" t="s">
        <v>341</v>
      </c>
      <c r="F1163">
        <v>112132.56</v>
      </c>
      <c r="G1163" s="29">
        <v>7.476E-3</v>
      </c>
      <c r="H1163">
        <v>1181131.53</v>
      </c>
      <c r="I1163">
        <v>212688.22</v>
      </c>
      <c r="J1163" s="29">
        <v>0.15260000000000001</v>
      </c>
      <c r="K1163">
        <v>4.53</v>
      </c>
    </row>
    <row r="1164" spans="1:11" x14ac:dyDescent="0.3">
      <c r="A1164" t="s">
        <v>186</v>
      </c>
      <c r="B1164" s="25">
        <v>45961</v>
      </c>
      <c r="C1164">
        <v>606929</v>
      </c>
      <c r="D1164" t="s">
        <v>321</v>
      </c>
      <c r="E1164" t="s">
        <v>341</v>
      </c>
      <c r="F1164">
        <v>133684.76999999999</v>
      </c>
      <c r="G1164" s="29">
        <v>8.964999999999999E-3</v>
      </c>
      <c r="H1164">
        <v>1408148.48</v>
      </c>
      <c r="I1164">
        <v>253567.52</v>
      </c>
      <c r="J1164" s="29">
        <v>0.15260000000000001</v>
      </c>
      <c r="K1164">
        <v>4.5999999999999996</v>
      </c>
    </row>
    <row r="1165" spans="1:11" x14ac:dyDescent="0.3">
      <c r="A1165" t="s">
        <v>186</v>
      </c>
      <c r="B1165" s="25">
        <v>45991</v>
      </c>
      <c r="C1165">
        <v>606929</v>
      </c>
      <c r="D1165" t="s">
        <v>321</v>
      </c>
      <c r="E1165" t="s">
        <v>341</v>
      </c>
      <c r="F1165">
        <v>116220.02</v>
      </c>
      <c r="G1165" s="29">
        <v>7.326E-3</v>
      </c>
      <c r="H1165">
        <v>1224186.17</v>
      </c>
      <c r="I1165">
        <v>220441.14</v>
      </c>
      <c r="J1165" s="29">
        <v>0.15260000000000001</v>
      </c>
      <c r="K1165">
        <v>4.7699999999999996</v>
      </c>
    </row>
    <row r="1166" spans="1:11" x14ac:dyDescent="0.3">
      <c r="A1166" t="s">
        <v>186</v>
      </c>
      <c r="B1166" s="25">
        <v>45657</v>
      </c>
      <c r="C1166">
        <v>588137</v>
      </c>
      <c r="D1166" t="s">
        <v>322</v>
      </c>
      <c r="E1166" t="s">
        <v>340</v>
      </c>
      <c r="F1166">
        <v>104890.67</v>
      </c>
      <c r="G1166" s="29">
        <v>6.5069999999999998E-3</v>
      </c>
      <c r="H1166">
        <v>1155968.47</v>
      </c>
      <c r="I1166">
        <v>302181.05</v>
      </c>
      <c r="J1166" s="29">
        <v>0.2072</v>
      </c>
      <c r="K1166">
        <v>4.5199999999999996</v>
      </c>
    </row>
    <row r="1167" spans="1:11" x14ac:dyDescent="0.3">
      <c r="A1167" t="s">
        <v>186</v>
      </c>
      <c r="B1167" s="25">
        <v>45688</v>
      </c>
      <c r="C1167">
        <v>588137</v>
      </c>
      <c r="D1167" t="s">
        <v>322</v>
      </c>
      <c r="E1167" t="s">
        <v>340</v>
      </c>
      <c r="F1167">
        <v>104873.04</v>
      </c>
      <c r="G1167" s="29">
        <v>6.7920000000000003E-3</v>
      </c>
      <c r="H1167">
        <v>1155774.1100000001</v>
      </c>
      <c r="I1167">
        <v>302130.25</v>
      </c>
      <c r="J1167" s="29">
        <v>0.2072</v>
      </c>
      <c r="K1167">
        <v>5.05</v>
      </c>
    </row>
    <row r="1168" spans="1:11" x14ac:dyDescent="0.3">
      <c r="A1168" t="s">
        <v>186</v>
      </c>
      <c r="B1168" s="25">
        <v>45716</v>
      </c>
      <c r="C1168">
        <v>588137</v>
      </c>
      <c r="D1168" t="s">
        <v>322</v>
      </c>
      <c r="E1168" t="s">
        <v>340</v>
      </c>
      <c r="F1168">
        <v>105354.96</v>
      </c>
      <c r="G1168" s="29">
        <v>6.8289999999999991E-3</v>
      </c>
      <c r="H1168">
        <v>1161085.24</v>
      </c>
      <c r="I1168">
        <v>303518.63</v>
      </c>
      <c r="J1168" s="29">
        <v>0.2072</v>
      </c>
      <c r="K1168">
        <v>4.57</v>
      </c>
    </row>
    <row r="1169" spans="1:11" x14ac:dyDescent="0.3">
      <c r="A1169" t="s">
        <v>186</v>
      </c>
      <c r="B1169" s="25">
        <v>45747</v>
      </c>
      <c r="C1169">
        <v>588137</v>
      </c>
      <c r="D1169" t="s">
        <v>322</v>
      </c>
      <c r="E1169" t="s">
        <v>340</v>
      </c>
      <c r="F1169">
        <v>110741.75999999999</v>
      </c>
      <c r="G1169" s="29">
        <v>7.3509999999999999E-3</v>
      </c>
      <c r="H1169">
        <v>1220451.53</v>
      </c>
      <c r="I1169">
        <v>319037.53999999998</v>
      </c>
      <c r="J1169" s="29">
        <v>0.2072</v>
      </c>
      <c r="K1169">
        <v>4.67</v>
      </c>
    </row>
    <row r="1170" spans="1:11" x14ac:dyDescent="0.3">
      <c r="A1170" t="s">
        <v>186</v>
      </c>
      <c r="B1170" s="25">
        <v>45777</v>
      </c>
      <c r="C1170">
        <v>588137</v>
      </c>
      <c r="D1170" t="s">
        <v>322</v>
      </c>
      <c r="E1170" t="s">
        <v>340</v>
      </c>
      <c r="F1170">
        <v>119122.28</v>
      </c>
      <c r="G1170" s="29">
        <v>7.5529999999999998E-3</v>
      </c>
      <c r="H1170">
        <v>1312810.68</v>
      </c>
      <c r="I1170">
        <v>343181.09</v>
      </c>
      <c r="J1170" s="29">
        <v>0.2072</v>
      </c>
      <c r="K1170">
        <v>4.66</v>
      </c>
    </row>
    <row r="1171" spans="1:11" x14ac:dyDescent="0.3">
      <c r="A1171" t="s">
        <v>186</v>
      </c>
      <c r="B1171" s="25">
        <v>45808</v>
      </c>
      <c r="C1171">
        <v>588137</v>
      </c>
      <c r="D1171" t="s">
        <v>322</v>
      </c>
      <c r="E1171" t="s">
        <v>340</v>
      </c>
      <c r="F1171">
        <v>94168.71</v>
      </c>
      <c r="G1171" s="29">
        <v>6.0569999999999999E-3</v>
      </c>
      <c r="H1171">
        <v>1037804.93</v>
      </c>
      <c r="I1171">
        <v>271291.99</v>
      </c>
      <c r="J1171" s="29">
        <v>0.2072</v>
      </c>
      <c r="K1171">
        <v>5.17</v>
      </c>
    </row>
    <row r="1172" spans="1:11" x14ac:dyDescent="0.3">
      <c r="A1172" t="s">
        <v>186</v>
      </c>
      <c r="B1172" s="25">
        <v>45838</v>
      </c>
      <c r="C1172">
        <v>588137</v>
      </c>
      <c r="D1172" t="s">
        <v>322</v>
      </c>
      <c r="E1172" t="s">
        <v>340</v>
      </c>
      <c r="F1172">
        <v>104625.05</v>
      </c>
      <c r="G1172" s="29">
        <v>6.6340000000000001E-3</v>
      </c>
      <c r="H1172">
        <v>1153041.0900000001</v>
      </c>
      <c r="I1172">
        <v>301415.81</v>
      </c>
      <c r="J1172" s="29">
        <v>0.2072</v>
      </c>
      <c r="K1172">
        <v>5.1100000000000003</v>
      </c>
    </row>
    <row r="1173" spans="1:11" x14ac:dyDescent="0.3">
      <c r="A1173" t="s">
        <v>186</v>
      </c>
      <c r="B1173" s="25">
        <v>45869</v>
      </c>
      <c r="C1173">
        <v>588137</v>
      </c>
      <c r="D1173" t="s">
        <v>322</v>
      </c>
      <c r="E1173" t="s">
        <v>340</v>
      </c>
      <c r="F1173">
        <v>107968.13</v>
      </c>
      <c r="G1173" s="29">
        <v>7.1960000000000001E-3</v>
      </c>
      <c r="H1173">
        <v>1189884.1399999999</v>
      </c>
      <c r="I1173">
        <v>311046.93</v>
      </c>
      <c r="J1173" s="29">
        <v>0.2072</v>
      </c>
      <c r="K1173">
        <v>4.75</v>
      </c>
    </row>
    <row r="1174" spans="1:11" x14ac:dyDescent="0.3">
      <c r="A1174" t="s">
        <v>186</v>
      </c>
      <c r="B1174" s="25">
        <v>45900</v>
      </c>
      <c r="C1174">
        <v>588137</v>
      </c>
      <c r="D1174" t="s">
        <v>322</v>
      </c>
      <c r="E1174" t="s">
        <v>340</v>
      </c>
      <c r="F1174">
        <v>101608.12</v>
      </c>
      <c r="G1174" s="29">
        <v>6.7390000000000002E-3</v>
      </c>
      <c r="H1174">
        <v>1119792.43</v>
      </c>
      <c r="I1174">
        <v>292724.3</v>
      </c>
      <c r="J1174" s="29">
        <v>0.2072</v>
      </c>
      <c r="K1174">
        <v>4.66</v>
      </c>
    </row>
    <row r="1175" spans="1:11" x14ac:dyDescent="0.3">
      <c r="A1175" t="s">
        <v>186</v>
      </c>
      <c r="B1175" s="25">
        <v>45930</v>
      </c>
      <c r="C1175">
        <v>588137</v>
      </c>
      <c r="D1175" t="s">
        <v>322</v>
      </c>
      <c r="E1175" t="s">
        <v>340</v>
      </c>
      <c r="F1175">
        <v>107416.75</v>
      </c>
      <c r="G1175" s="29">
        <v>7.1609999999999998E-3</v>
      </c>
      <c r="H1175">
        <v>1183807.57</v>
      </c>
      <c r="I1175">
        <v>309458.46000000002</v>
      </c>
      <c r="J1175" s="29">
        <v>0.2072</v>
      </c>
      <c r="K1175">
        <v>4.2300000000000004</v>
      </c>
    </row>
    <row r="1176" spans="1:11" x14ac:dyDescent="0.3">
      <c r="A1176" t="s">
        <v>186</v>
      </c>
      <c r="B1176" s="25">
        <v>45961</v>
      </c>
      <c r="C1176">
        <v>588137</v>
      </c>
      <c r="D1176" t="s">
        <v>322</v>
      </c>
      <c r="E1176" t="s">
        <v>340</v>
      </c>
      <c r="F1176">
        <v>102985.1</v>
      </c>
      <c r="G1176" s="29">
        <v>6.9059999999999998E-3</v>
      </c>
      <c r="H1176">
        <v>1134967.69</v>
      </c>
      <c r="I1176">
        <v>296691.25</v>
      </c>
      <c r="J1176" s="29">
        <v>0.2072</v>
      </c>
      <c r="K1176">
        <v>4.7300000000000004</v>
      </c>
    </row>
    <row r="1177" spans="1:11" x14ac:dyDescent="0.3">
      <c r="A1177" t="s">
        <v>186</v>
      </c>
      <c r="B1177" s="25">
        <v>45991</v>
      </c>
      <c r="C1177">
        <v>588137</v>
      </c>
      <c r="D1177" t="s">
        <v>322</v>
      </c>
      <c r="E1177" t="s">
        <v>340</v>
      </c>
      <c r="F1177">
        <v>104677.46</v>
      </c>
      <c r="G1177" s="29">
        <v>6.5980000000000006E-3</v>
      </c>
      <c r="H1177">
        <v>1153618.71</v>
      </c>
      <c r="I1177">
        <v>301566.8</v>
      </c>
      <c r="J1177" s="29">
        <v>0.2072</v>
      </c>
      <c r="K1177">
        <v>4.55</v>
      </c>
    </row>
    <row r="1178" spans="1:11" x14ac:dyDescent="0.3">
      <c r="A1178" t="s">
        <v>186</v>
      </c>
      <c r="B1178" s="25">
        <v>45657</v>
      </c>
      <c r="C1178">
        <v>542975</v>
      </c>
      <c r="D1178" t="s">
        <v>324</v>
      </c>
      <c r="E1178" t="s">
        <v>339</v>
      </c>
      <c r="F1178">
        <v>105106.79</v>
      </c>
      <c r="G1178" s="29">
        <v>6.5200000000000006E-3</v>
      </c>
      <c r="H1178">
        <v>1248440.47</v>
      </c>
      <c r="I1178">
        <v>230151.46</v>
      </c>
      <c r="J1178" s="29">
        <v>0.15570000000000001</v>
      </c>
      <c r="K1178">
        <v>4.5</v>
      </c>
    </row>
    <row r="1179" spans="1:11" x14ac:dyDescent="0.3">
      <c r="A1179" t="s">
        <v>186</v>
      </c>
      <c r="B1179" s="25">
        <v>45688</v>
      </c>
      <c r="C1179">
        <v>542975</v>
      </c>
      <c r="D1179" t="s">
        <v>324</v>
      </c>
      <c r="E1179" t="s">
        <v>339</v>
      </c>
      <c r="F1179">
        <v>120134.45</v>
      </c>
      <c r="G1179" s="29">
        <v>7.7800000000000005E-3</v>
      </c>
      <c r="H1179">
        <v>1426936.47</v>
      </c>
      <c r="I1179">
        <v>263057.40000000002</v>
      </c>
      <c r="J1179" s="29">
        <v>0.15570000000000001</v>
      </c>
      <c r="K1179">
        <v>4.32</v>
      </c>
    </row>
    <row r="1180" spans="1:11" x14ac:dyDescent="0.3">
      <c r="A1180" t="s">
        <v>186</v>
      </c>
      <c r="B1180" s="25">
        <v>45716</v>
      </c>
      <c r="C1180">
        <v>542975</v>
      </c>
      <c r="D1180" t="s">
        <v>324</v>
      </c>
      <c r="E1180" t="s">
        <v>339</v>
      </c>
      <c r="F1180">
        <v>97121.22</v>
      </c>
      <c r="G1180" s="29">
        <v>6.2949999999999994E-3</v>
      </c>
      <c r="H1180">
        <v>1153589.21</v>
      </c>
      <c r="I1180">
        <v>212665.52</v>
      </c>
      <c r="J1180" s="29">
        <v>0.15570000000000001</v>
      </c>
      <c r="K1180">
        <v>4.5</v>
      </c>
    </row>
    <row r="1181" spans="1:11" x14ac:dyDescent="0.3">
      <c r="A1181" t="s">
        <v>186</v>
      </c>
      <c r="B1181" s="25">
        <v>45747</v>
      </c>
      <c r="C1181">
        <v>542975</v>
      </c>
      <c r="D1181" t="s">
        <v>324</v>
      </c>
      <c r="E1181" t="s">
        <v>339</v>
      </c>
      <c r="F1181">
        <v>92207.19</v>
      </c>
      <c r="G1181" s="29">
        <v>6.1209999999999997E-3</v>
      </c>
      <c r="H1181">
        <v>1095221.18</v>
      </c>
      <c r="I1181">
        <v>201905.3</v>
      </c>
      <c r="J1181" s="29">
        <v>0.15570000000000001</v>
      </c>
      <c r="K1181">
        <v>4.4400000000000004</v>
      </c>
    </row>
    <row r="1182" spans="1:11" x14ac:dyDescent="0.3">
      <c r="A1182" t="s">
        <v>186</v>
      </c>
      <c r="B1182" s="25">
        <v>45777</v>
      </c>
      <c r="C1182">
        <v>542975</v>
      </c>
      <c r="D1182" t="s">
        <v>324</v>
      </c>
      <c r="E1182" t="s">
        <v>339</v>
      </c>
      <c r="F1182">
        <v>107984.74</v>
      </c>
      <c r="G1182" s="29">
        <v>6.8469999999999998E-3</v>
      </c>
      <c r="H1182">
        <v>1282624.27</v>
      </c>
      <c r="I1182">
        <v>236453.28</v>
      </c>
      <c r="J1182" s="29">
        <v>0.15570000000000001</v>
      </c>
      <c r="K1182">
        <v>4.5</v>
      </c>
    </row>
    <row r="1183" spans="1:11" x14ac:dyDescent="0.3">
      <c r="A1183" t="s">
        <v>186</v>
      </c>
      <c r="B1183" s="25">
        <v>45808</v>
      </c>
      <c r="C1183">
        <v>542975</v>
      </c>
      <c r="D1183" t="s">
        <v>324</v>
      </c>
      <c r="E1183" t="s">
        <v>339</v>
      </c>
      <c r="F1183">
        <v>102394.34</v>
      </c>
      <c r="G1183" s="29">
        <v>6.5869999999999991E-3</v>
      </c>
      <c r="H1183">
        <v>1216222.46</v>
      </c>
      <c r="I1183">
        <v>224212.03</v>
      </c>
      <c r="J1183" s="29">
        <v>0.15570000000000001</v>
      </c>
      <c r="K1183">
        <v>4.22</v>
      </c>
    </row>
    <row r="1184" spans="1:11" x14ac:dyDescent="0.3">
      <c r="A1184" t="s">
        <v>186</v>
      </c>
      <c r="B1184" s="25">
        <v>45838</v>
      </c>
      <c r="C1184">
        <v>542975</v>
      </c>
      <c r="D1184" t="s">
        <v>324</v>
      </c>
      <c r="E1184" t="s">
        <v>339</v>
      </c>
      <c r="F1184">
        <v>100561.26</v>
      </c>
      <c r="G1184" s="29">
        <v>6.3759999999999997E-3</v>
      </c>
      <c r="H1184">
        <v>1194449.42</v>
      </c>
      <c r="I1184">
        <v>220198.15</v>
      </c>
      <c r="J1184" s="29">
        <v>0.15570000000000001</v>
      </c>
      <c r="K1184">
        <v>4.07</v>
      </c>
    </row>
    <row r="1185" spans="1:11" x14ac:dyDescent="0.3">
      <c r="A1185" t="s">
        <v>186</v>
      </c>
      <c r="B1185" s="25">
        <v>45869</v>
      </c>
      <c r="C1185">
        <v>542975</v>
      </c>
      <c r="D1185" t="s">
        <v>324</v>
      </c>
      <c r="E1185" t="s">
        <v>339</v>
      </c>
      <c r="F1185">
        <v>109787.88</v>
      </c>
      <c r="G1185" s="29">
        <v>7.3170000000000006E-3</v>
      </c>
      <c r="H1185">
        <v>1304041.6299999999</v>
      </c>
      <c r="I1185">
        <v>240401.6</v>
      </c>
      <c r="J1185" s="29">
        <v>0.15570000000000001</v>
      </c>
      <c r="K1185">
        <v>4.3499999999999996</v>
      </c>
    </row>
    <row r="1186" spans="1:11" x14ac:dyDescent="0.3">
      <c r="A1186" t="s">
        <v>186</v>
      </c>
      <c r="B1186" s="25">
        <v>45900</v>
      </c>
      <c r="C1186">
        <v>542975</v>
      </c>
      <c r="D1186" t="s">
        <v>324</v>
      </c>
      <c r="E1186" t="s">
        <v>339</v>
      </c>
      <c r="F1186">
        <v>101125.18</v>
      </c>
      <c r="G1186" s="29">
        <v>6.7069999999999994E-3</v>
      </c>
      <c r="H1186">
        <v>1201147.58</v>
      </c>
      <c r="I1186">
        <v>221432.95999999999</v>
      </c>
      <c r="J1186" s="29">
        <v>0.15570000000000001</v>
      </c>
      <c r="K1186">
        <v>4.6399999999999997</v>
      </c>
    </row>
    <row r="1187" spans="1:11" x14ac:dyDescent="0.3">
      <c r="A1187" t="s">
        <v>186</v>
      </c>
      <c r="B1187" s="25">
        <v>45930</v>
      </c>
      <c r="C1187">
        <v>542975</v>
      </c>
      <c r="D1187" t="s">
        <v>324</v>
      </c>
      <c r="E1187" t="s">
        <v>339</v>
      </c>
      <c r="F1187">
        <v>112613.18</v>
      </c>
      <c r="G1187" s="29">
        <v>7.5079999999999999E-3</v>
      </c>
      <c r="H1187">
        <v>1337600.08</v>
      </c>
      <c r="I1187">
        <v>246588.14</v>
      </c>
      <c r="J1187" s="29">
        <v>0.15570000000000001</v>
      </c>
      <c r="K1187">
        <v>3.77</v>
      </c>
    </row>
    <row r="1188" spans="1:11" x14ac:dyDescent="0.3">
      <c r="A1188" t="s">
        <v>186</v>
      </c>
      <c r="B1188" s="25">
        <v>45961</v>
      </c>
      <c r="C1188">
        <v>542975</v>
      </c>
      <c r="D1188" t="s">
        <v>324</v>
      </c>
      <c r="E1188" t="s">
        <v>339</v>
      </c>
      <c r="F1188">
        <v>90356.85</v>
      </c>
      <c r="G1188" s="29">
        <v>6.0590000000000001E-3</v>
      </c>
      <c r="H1188">
        <v>1073243.1599999999</v>
      </c>
      <c r="I1188">
        <v>197853.63</v>
      </c>
      <c r="J1188" s="29">
        <v>0.15570000000000001</v>
      </c>
      <c r="K1188">
        <v>4.38</v>
      </c>
    </row>
    <row r="1189" spans="1:11" x14ac:dyDescent="0.3">
      <c r="A1189" t="s">
        <v>186</v>
      </c>
      <c r="B1189" s="25">
        <v>45991</v>
      </c>
      <c r="C1189">
        <v>542975</v>
      </c>
      <c r="D1189" t="s">
        <v>324</v>
      </c>
      <c r="E1189" t="s">
        <v>339</v>
      </c>
      <c r="F1189">
        <v>100942.37</v>
      </c>
      <c r="G1189" s="29">
        <v>6.3629999999999997E-3</v>
      </c>
      <c r="H1189">
        <v>1198976.17</v>
      </c>
      <c r="I1189">
        <v>221032.66</v>
      </c>
      <c r="J1189" s="29">
        <v>0.15570000000000001</v>
      </c>
      <c r="K1189">
        <v>4.33</v>
      </c>
    </row>
    <row r="1190" spans="1:11" x14ac:dyDescent="0.3">
      <c r="A1190" t="s">
        <v>186</v>
      </c>
      <c r="B1190" s="25">
        <v>45657</v>
      </c>
      <c r="C1190">
        <v>383382</v>
      </c>
      <c r="D1190" t="s">
        <v>317</v>
      </c>
      <c r="E1190" t="s">
        <v>338</v>
      </c>
      <c r="F1190">
        <v>94956.160000000003</v>
      </c>
      <c r="G1190" s="29">
        <v>5.8909999999999995E-3</v>
      </c>
      <c r="H1190">
        <v>1218917.48</v>
      </c>
      <c r="I1190">
        <v>200440.78</v>
      </c>
      <c r="J1190" s="29">
        <v>0.14119999999999999</v>
      </c>
      <c r="K1190">
        <v>3.99</v>
      </c>
    </row>
    <row r="1191" spans="1:11" x14ac:dyDescent="0.3">
      <c r="A1191" t="s">
        <v>186</v>
      </c>
      <c r="B1191" s="25">
        <v>45688</v>
      </c>
      <c r="C1191">
        <v>383382</v>
      </c>
      <c r="D1191" t="s">
        <v>317</v>
      </c>
      <c r="E1191" t="s">
        <v>338</v>
      </c>
      <c r="F1191">
        <v>96716.52</v>
      </c>
      <c r="G1191" s="29">
        <v>6.2629999999999995E-3</v>
      </c>
      <c r="H1191">
        <v>1241514.56</v>
      </c>
      <c r="I1191">
        <v>204156.68</v>
      </c>
      <c r="J1191" s="29">
        <v>0.14119999999999999</v>
      </c>
      <c r="K1191">
        <v>4.26</v>
      </c>
    </row>
    <row r="1192" spans="1:11" x14ac:dyDescent="0.3">
      <c r="A1192" t="s">
        <v>186</v>
      </c>
      <c r="B1192" s="25">
        <v>45716</v>
      </c>
      <c r="C1192">
        <v>383382</v>
      </c>
      <c r="D1192" t="s">
        <v>317</v>
      </c>
      <c r="E1192" t="s">
        <v>338</v>
      </c>
      <c r="F1192">
        <v>94195.23</v>
      </c>
      <c r="G1192" s="29">
        <v>6.1050000000000002E-3</v>
      </c>
      <c r="H1192">
        <v>1209149.68</v>
      </c>
      <c r="I1192">
        <v>198834.54</v>
      </c>
      <c r="J1192" s="29">
        <v>0.14119999999999999</v>
      </c>
      <c r="K1192">
        <v>4.03</v>
      </c>
    </row>
    <row r="1193" spans="1:11" x14ac:dyDescent="0.3">
      <c r="A1193" t="s">
        <v>186</v>
      </c>
      <c r="B1193" s="25">
        <v>45747</v>
      </c>
      <c r="C1193">
        <v>383382</v>
      </c>
      <c r="D1193" t="s">
        <v>317</v>
      </c>
      <c r="E1193" t="s">
        <v>338</v>
      </c>
      <c r="F1193">
        <v>82442.42</v>
      </c>
      <c r="G1193" s="29">
        <v>5.4730000000000004E-3</v>
      </c>
      <c r="H1193">
        <v>1058283.1200000001</v>
      </c>
      <c r="I1193">
        <v>174025.8</v>
      </c>
      <c r="J1193" s="29">
        <v>0.14119999999999999</v>
      </c>
      <c r="K1193">
        <v>3.92</v>
      </c>
    </row>
    <row r="1194" spans="1:11" x14ac:dyDescent="0.3">
      <c r="A1194" t="s">
        <v>186</v>
      </c>
      <c r="B1194" s="25">
        <v>45777</v>
      </c>
      <c r="C1194">
        <v>383382</v>
      </c>
      <c r="D1194" t="s">
        <v>317</v>
      </c>
      <c r="E1194" t="s">
        <v>338</v>
      </c>
      <c r="F1194">
        <v>85213.97</v>
      </c>
      <c r="G1194" s="29">
        <v>5.4029999999999998E-3</v>
      </c>
      <c r="H1194">
        <v>1093860.6000000001</v>
      </c>
      <c r="I1194">
        <v>179876.22</v>
      </c>
      <c r="J1194" s="29">
        <v>0.14119999999999999</v>
      </c>
      <c r="K1194">
        <v>3.8</v>
      </c>
    </row>
    <row r="1195" spans="1:11" x14ac:dyDescent="0.3">
      <c r="A1195" t="s">
        <v>186</v>
      </c>
      <c r="B1195" s="25">
        <v>45808</v>
      </c>
      <c r="C1195">
        <v>383382</v>
      </c>
      <c r="D1195" t="s">
        <v>317</v>
      </c>
      <c r="E1195" t="s">
        <v>338</v>
      </c>
      <c r="F1195">
        <v>91746.23</v>
      </c>
      <c r="G1195" s="29">
        <v>5.9019999999999993E-3</v>
      </c>
      <c r="H1195">
        <v>1177712.82</v>
      </c>
      <c r="I1195">
        <v>193665.01</v>
      </c>
      <c r="J1195" s="29">
        <v>0.14119999999999999</v>
      </c>
      <c r="K1195">
        <v>4.1100000000000003</v>
      </c>
    </row>
    <row r="1196" spans="1:11" x14ac:dyDescent="0.3">
      <c r="A1196" t="s">
        <v>186</v>
      </c>
      <c r="B1196" s="25">
        <v>45838</v>
      </c>
      <c r="C1196">
        <v>383382</v>
      </c>
      <c r="D1196" t="s">
        <v>317</v>
      </c>
      <c r="E1196" t="s">
        <v>338</v>
      </c>
      <c r="F1196">
        <v>99913.81</v>
      </c>
      <c r="G1196" s="29">
        <v>6.3349999999999995E-3</v>
      </c>
      <c r="H1196">
        <v>1282557.07</v>
      </c>
      <c r="I1196">
        <v>210905.77</v>
      </c>
      <c r="J1196" s="29">
        <v>0.14119999999999999</v>
      </c>
      <c r="K1196">
        <v>3.74</v>
      </c>
    </row>
    <row r="1197" spans="1:11" x14ac:dyDescent="0.3">
      <c r="A1197" t="s">
        <v>186</v>
      </c>
      <c r="B1197" s="25">
        <v>45869</v>
      </c>
      <c r="C1197">
        <v>383382</v>
      </c>
      <c r="D1197" t="s">
        <v>317</v>
      </c>
      <c r="E1197" t="s">
        <v>338</v>
      </c>
      <c r="F1197">
        <v>92504.38</v>
      </c>
      <c r="G1197" s="29">
        <v>6.1650000000000003E-3</v>
      </c>
      <c r="H1197">
        <v>1187444.8799999999</v>
      </c>
      <c r="I1197">
        <v>195265.37</v>
      </c>
      <c r="J1197" s="29">
        <v>0.14119999999999999</v>
      </c>
      <c r="K1197">
        <v>4.0599999999999996</v>
      </c>
    </row>
    <row r="1198" spans="1:11" x14ac:dyDescent="0.3">
      <c r="A1198" t="s">
        <v>186</v>
      </c>
      <c r="B1198" s="25">
        <v>45900</v>
      </c>
      <c r="C1198">
        <v>383382</v>
      </c>
      <c r="D1198" t="s">
        <v>317</v>
      </c>
      <c r="E1198" t="s">
        <v>338</v>
      </c>
      <c r="F1198">
        <v>102753.57</v>
      </c>
      <c r="G1198" s="29">
        <v>6.8149999999999999E-3</v>
      </c>
      <c r="H1198">
        <v>1319009.98</v>
      </c>
      <c r="I1198">
        <v>216900.15</v>
      </c>
      <c r="J1198" s="29">
        <v>0.14119999999999999</v>
      </c>
      <c r="K1198">
        <v>4.2</v>
      </c>
    </row>
    <row r="1199" spans="1:11" x14ac:dyDescent="0.3">
      <c r="A1199" t="s">
        <v>186</v>
      </c>
      <c r="B1199" s="25">
        <v>45930</v>
      </c>
      <c r="C1199">
        <v>383382</v>
      </c>
      <c r="D1199" t="s">
        <v>317</v>
      </c>
      <c r="E1199" t="s">
        <v>338</v>
      </c>
      <c r="F1199">
        <v>95581.34</v>
      </c>
      <c r="G1199" s="29">
        <v>6.3720000000000001E-3</v>
      </c>
      <c r="H1199">
        <v>1226942.74</v>
      </c>
      <c r="I1199">
        <v>201760.46</v>
      </c>
      <c r="J1199" s="29">
        <v>0.14119999999999999</v>
      </c>
      <c r="K1199">
        <v>4.47</v>
      </c>
    </row>
    <row r="1200" spans="1:11" x14ac:dyDescent="0.3">
      <c r="A1200" t="s">
        <v>186</v>
      </c>
      <c r="B1200" s="25">
        <v>45961</v>
      </c>
      <c r="C1200">
        <v>383382</v>
      </c>
      <c r="D1200" t="s">
        <v>317</v>
      </c>
      <c r="E1200" t="s">
        <v>338</v>
      </c>
      <c r="F1200">
        <v>90430.52</v>
      </c>
      <c r="G1200" s="29">
        <v>6.0640000000000008E-3</v>
      </c>
      <c r="H1200">
        <v>1160823.45</v>
      </c>
      <c r="I1200">
        <v>190887.7</v>
      </c>
      <c r="J1200" s="29">
        <v>0.14119999999999999</v>
      </c>
      <c r="K1200">
        <v>4.04</v>
      </c>
    </row>
    <row r="1201" spans="1:11" x14ac:dyDescent="0.3">
      <c r="A1201" t="s">
        <v>186</v>
      </c>
      <c r="B1201" s="25">
        <v>45991</v>
      </c>
      <c r="C1201">
        <v>383382</v>
      </c>
      <c r="D1201" t="s">
        <v>317</v>
      </c>
      <c r="E1201" t="s">
        <v>338</v>
      </c>
      <c r="F1201">
        <v>101126.57</v>
      </c>
      <c r="G1201" s="29">
        <v>6.3739999999999995E-3</v>
      </c>
      <c r="H1201">
        <v>1298124.71</v>
      </c>
      <c r="I1201">
        <v>213465.74</v>
      </c>
      <c r="J1201" s="29">
        <v>0.14119999999999999</v>
      </c>
      <c r="K1201">
        <v>3.83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F928-8CE7-4171-992F-B183E5A38261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E16F-09B8-4248-AC2E-8AB54BA9959E}">
  <sheetPr>
    <tabColor theme="4" tint="0.39997558519241921"/>
  </sheetPr>
  <dimension ref="A1:G49"/>
  <sheetViews>
    <sheetView zoomScale="53" workbookViewId="0">
      <selection activeCell="D57" sqref="D57"/>
    </sheetView>
  </sheetViews>
  <sheetFormatPr defaultRowHeight="14.4" outlineLevelRow="1" x14ac:dyDescent="0.3"/>
  <cols>
    <col min="1" max="1" width="14" bestFit="1" customWidth="1"/>
    <col min="2" max="2" width="12.5546875" bestFit="1" customWidth="1"/>
    <col min="3" max="3" width="23.6640625" customWidth="1"/>
    <col min="4" max="6" width="25.77734375" customWidth="1"/>
    <col min="7" max="7" width="25.77734375" style="6" customWidth="1"/>
  </cols>
  <sheetData>
    <row r="1" spans="1:7" x14ac:dyDescent="0.3">
      <c r="A1" s="13" t="s">
        <v>290</v>
      </c>
      <c r="B1" s="13" t="s">
        <v>22</v>
      </c>
      <c r="C1" s="13" t="s">
        <v>197</v>
      </c>
      <c r="D1" s="13" t="s">
        <v>289</v>
      </c>
      <c r="E1" s="13" t="s">
        <v>288</v>
      </c>
      <c r="F1" s="13" t="s">
        <v>287</v>
      </c>
      <c r="G1" s="22" t="s">
        <v>286</v>
      </c>
    </row>
    <row r="2" spans="1:7" outlineLevel="1" x14ac:dyDescent="0.3">
      <c r="A2" t="s">
        <v>368</v>
      </c>
      <c r="B2" t="s">
        <v>192</v>
      </c>
      <c r="C2" s="25">
        <v>45657</v>
      </c>
      <c r="D2" s="4">
        <v>2440173.02</v>
      </c>
      <c r="E2" s="4">
        <v>332388.31</v>
      </c>
      <c r="F2" s="4">
        <v>2107784.7000000002</v>
      </c>
      <c r="G2" s="6">
        <v>0.13619999999999999</v>
      </c>
    </row>
    <row r="3" spans="1:7" outlineLevel="1" x14ac:dyDescent="0.3">
      <c r="A3" t="s">
        <v>368</v>
      </c>
      <c r="B3" t="s">
        <v>192</v>
      </c>
      <c r="C3" s="25">
        <v>45688</v>
      </c>
      <c r="D3" s="4">
        <v>2645911.48</v>
      </c>
      <c r="E3" s="4">
        <v>624443.38</v>
      </c>
      <c r="F3" s="4">
        <v>2021468.1</v>
      </c>
      <c r="G3" s="6">
        <v>0.23599999999999999</v>
      </c>
    </row>
    <row r="4" spans="1:7" outlineLevel="1" x14ac:dyDescent="0.3">
      <c r="A4" t="s">
        <v>368</v>
      </c>
      <c r="B4" t="s">
        <v>192</v>
      </c>
      <c r="C4" s="25">
        <v>45716</v>
      </c>
      <c r="D4" s="4">
        <v>2548736.9</v>
      </c>
      <c r="E4" s="4">
        <v>424340.06</v>
      </c>
      <c r="F4" s="4">
        <v>2124396.84</v>
      </c>
      <c r="G4" s="6">
        <v>0.16650000000000001</v>
      </c>
    </row>
    <row r="5" spans="1:7" outlineLevel="1" x14ac:dyDescent="0.3">
      <c r="A5" t="s">
        <v>368</v>
      </c>
      <c r="B5" t="s">
        <v>192</v>
      </c>
      <c r="C5" s="25">
        <v>45747</v>
      </c>
      <c r="D5" s="4">
        <v>2440178.2599999998</v>
      </c>
      <c r="E5" s="4">
        <v>578344.11</v>
      </c>
      <c r="F5" s="4">
        <v>1861834.15</v>
      </c>
      <c r="G5" s="6">
        <v>0.23699999999999999</v>
      </c>
    </row>
    <row r="6" spans="1:7" outlineLevel="1" x14ac:dyDescent="0.3">
      <c r="A6" t="s">
        <v>368</v>
      </c>
      <c r="B6" t="s">
        <v>192</v>
      </c>
      <c r="C6" s="25">
        <v>45777</v>
      </c>
      <c r="D6" s="4">
        <v>2552679.2599999998</v>
      </c>
      <c r="E6" s="4">
        <v>336723.71</v>
      </c>
      <c r="F6" s="4">
        <v>2215955.5499999998</v>
      </c>
      <c r="G6" s="6">
        <v>0.13189999999999999</v>
      </c>
    </row>
    <row r="7" spans="1:7" outlineLevel="1" x14ac:dyDescent="0.3">
      <c r="A7" t="s">
        <v>368</v>
      </c>
      <c r="B7" t="s">
        <v>192</v>
      </c>
      <c r="C7" s="25">
        <v>45808</v>
      </c>
      <c r="D7" s="4">
        <v>2492276.4</v>
      </c>
      <c r="E7" s="4">
        <v>378279.36</v>
      </c>
      <c r="F7" s="4">
        <v>2113997.0299999998</v>
      </c>
      <c r="G7" s="6">
        <v>0.15179999999999999</v>
      </c>
    </row>
    <row r="8" spans="1:7" outlineLevel="1" x14ac:dyDescent="0.3">
      <c r="A8" t="s">
        <v>368</v>
      </c>
      <c r="B8" t="s">
        <v>192</v>
      </c>
      <c r="C8" s="25">
        <v>45838</v>
      </c>
      <c r="D8" s="4">
        <v>2558786.65</v>
      </c>
      <c r="E8" s="4">
        <v>427835.25</v>
      </c>
      <c r="F8" s="4">
        <v>2130951.4</v>
      </c>
      <c r="G8" s="6">
        <v>0.16719999999999999</v>
      </c>
    </row>
    <row r="9" spans="1:7" outlineLevel="1" x14ac:dyDescent="0.3">
      <c r="A9" t="s">
        <v>368</v>
      </c>
      <c r="B9" t="s">
        <v>192</v>
      </c>
      <c r="C9" s="25">
        <v>45869</v>
      </c>
      <c r="D9" s="4">
        <v>2599749.6800000002</v>
      </c>
      <c r="E9" s="4">
        <v>331639.77</v>
      </c>
      <c r="F9" s="4">
        <v>2268109.9</v>
      </c>
      <c r="G9" s="6">
        <v>0.12759999999999999</v>
      </c>
    </row>
    <row r="10" spans="1:7" outlineLevel="1" x14ac:dyDescent="0.3">
      <c r="A10" t="s">
        <v>368</v>
      </c>
      <c r="B10" t="s">
        <v>192</v>
      </c>
      <c r="C10" s="25">
        <v>45900</v>
      </c>
      <c r="D10" s="4">
        <v>2540158.41</v>
      </c>
      <c r="E10" s="4">
        <v>537990.63</v>
      </c>
      <c r="F10" s="4">
        <v>2002167.78</v>
      </c>
      <c r="G10" s="6">
        <v>0.21179999999999999</v>
      </c>
    </row>
    <row r="11" spans="1:7" outlineLevel="1" x14ac:dyDescent="0.3">
      <c r="A11" t="s">
        <v>368</v>
      </c>
      <c r="B11" t="s">
        <v>192</v>
      </c>
      <c r="C11" s="25">
        <v>45930</v>
      </c>
      <c r="D11" s="4">
        <v>2699934.76</v>
      </c>
      <c r="E11" s="4">
        <v>563189.80000000005</v>
      </c>
      <c r="F11" s="4">
        <v>2136744.9500000002</v>
      </c>
      <c r="G11" s="6">
        <v>0.20860000000000001</v>
      </c>
    </row>
    <row r="12" spans="1:7" outlineLevel="1" x14ac:dyDescent="0.3">
      <c r="A12" t="s">
        <v>368</v>
      </c>
      <c r="B12" t="s">
        <v>192</v>
      </c>
      <c r="C12" s="25">
        <v>45961</v>
      </c>
      <c r="D12" s="4">
        <v>2686785.19</v>
      </c>
      <c r="E12" s="4">
        <v>613945.69999999995</v>
      </c>
      <c r="F12" s="4">
        <v>2072839.48</v>
      </c>
      <c r="G12" s="6">
        <v>0.22850000000000001</v>
      </c>
    </row>
    <row r="13" spans="1:7" outlineLevel="1" x14ac:dyDescent="0.3">
      <c r="A13" t="s">
        <v>368</v>
      </c>
      <c r="B13" t="s">
        <v>192</v>
      </c>
      <c r="C13" s="25">
        <v>45991</v>
      </c>
      <c r="D13" s="4">
        <v>2665443.0499999998</v>
      </c>
      <c r="E13" s="4">
        <v>537497.85</v>
      </c>
      <c r="F13" s="4">
        <v>2127945.2000000002</v>
      </c>
      <c r="G13" s="6">
        <v>0.20169999999999999</v>
      </c>
    </row>
    <row r="14" spans="1:7" outlineLevel="1" x14ac:dyDescent="0.3">
      <c r="A14" t="s">
        <v>368</v>
      </c>
      <c r="B14" t="s">
        <v>191</v>
      </c>
      <c r="C14" s="25">
        <v>45657</v>
      </c>
      <c r="D14" s="4">
        <v>1206571.17</v>
      </c>
      <c r="E14" s="4">
        <v>225525.85</v>
      </c>
      <c r="F14" s="4">
        <v>981045.32</v>
      </c>
      <c r="G14" s="6">
        <v>0.18690000000000001</v>
      </c>
    </row>
    <row r="15" spans="1:7" outlineLevel="1" x14ac:dyDescent="0.3">
      <c r="A15" t="s">
        <v>368</v>
      </c>
      <c r="B15" t="s">
        <v>191</v>
      </c>
      <c r="C15" s="25">
        <v>45688</v>
      </c>
      <c r="D15" s="4">
        <v>1223564.08</v>
      </c>
      <c r="E15" s="4">
        <v>162989.25</v>
      </c>
      <c r="F15" s="4">
        <v>1060574.83</v>
      </c>
      <c r="G15" s="6">
        <v>0.13320000000000001</v>
      </c>
    </row>
    <row r="16" spans="1:7" outlineLevel="1" x14ac:dyDescent="0.3">
      <c r="A16" t="s">
        <v>368</v>
      </c>
      <c r="B16" t="s">
        <v>191</v>
      </c>
      <c r="C16" s="25">
        <v>45716</v>
      </c>
      <c r="D16" s="4">
        <v>1263030.54</v>
      </c>
      <c r="E16" s="4">
        <v>256859.01</v>
      </c>
      <c r="F16" s="4">
        <v>1006171.53</v>
      </c>
      <c r="G16" s="6">
        <v>0.2034</v>
      </c>
    </row>
    <row r="17" spans="1:7" outlineLevel="1" x14ac:dyDescent="0.3">
      <c r="A17" t="s">
        <v>368</v>
      </c>
      <c r="B17" t="s">
        <v>191</v>
      </c>
      <c r="C17" s="25">
        <v>45747</v>
      </c>
      <c r="D17" s="4">
        <v>1238599.3600000001</v>
      </c>
      <c r="E17" s="4">
        <v>227879.24</v>
      </c>
      <c r="F17" s="4">
        <v>1010720.12</v>
      </c>
      <c r="G17" s="6">
        <v>0.184</v>
      </c>
    </row>
    <row r="18" spans="1:7" outlineLevel="1" x14ac:dyDescent="0.3">
      <c r="A18" t="s">
        <v>368</v>
      </c>
      <c r="B18" t="s">
        <v>191</v>
      </c>
      <c r="C18" s="25">
        <v>45777</v>
      </c>
      <c r="D18" s="4">
        <v>1151191.4099999999</v>
      </c>
      <c r="E18" s="4">
        <v>239344.58</v>
      </c>
      <c r="F18" s="4">
        <v>911846.83</v>
      </c>
      <c r="G18" s="6">
        <v>0.2079</v>
      </c>
    </row>
    <row r="19" spans="1:7" outlineLevel="1" x14ac:dyDescent="0.3">
      <c r="A19" t="s">
        <v>368</v>
      </c>
      <c r="B19" t="s">
        <v>191</v>
      </c>
      <c r="C19" s="25">
        <v>45808</v>
      </c>
      <c r="D19" s="4">
        <v>1197467.17</v>
      </c>
      <c r="E19" s="4">
        <v>286153.73</v>
      </c>
      <c r="F19" s="4">
        <v>911313.44</v>
      </c>
      <c r="G19" s="6">
        <v>0.23899999999999999</v>
      </c>
    </row>
    <row r="20" spans="1:7" outlineLevel="1" x14ac:dyDescent="0.3">
      <c r="A20" t="s">
        <v>368</v>
      </c>
      <c r="B20" t="s">
        <v>191</v>
      </c>
      <c r="C20" s="25">
        <v>45838</v>
      </c>
      <c r="D20" s="4">
        <v>1268834.53</v>
      </c>
      <c r="E20" s="4">
        <v>239418.71</v>
      </c>
      <c r="F20" s="4">
        <v>1029415.82</v>
      </c>
      <c r="G20" s="6">
        <v>0.18870000000000001</v>
      </c>
    </row>
    <row r="21" spans="1:7" outlineLevel="1" x14ac:dyDescent="0.3">
      <c r="A21" t="s">
        <v>368</v>
      </c>
      <c r="B21" t="s">
        <v>191</v>
      </c>
      <c r="C21" s="25">
        <v>45869</v>
      </c>
      <c r="D21" s="4">
        <v>1242789.2</v>
      </c>
      <c r="E21" s="4">
        <v>193853.99</v>
      </c>
      <c r="F21" s="4">
        <v>1048935.21</v>
      </c>
      <c r="G21" s="6">
        <v>0.156</v>
      </c>
    </row>
    <row r="22" spans="1:7" outlineLevel="1" x14ac:dyDescent="0.3">
      <c r="A22" t="s">
        <v>368</v>
      </c>
      <c r="B22" t="s">
        <v>191</v>
      </c>
      <c r="C22" s="25">
        <v>45900</v>
      </c>
      <c r="D22" s="4">
        <v>1283452.56</v>
      </c>
      <c r="E22" s="4">
        <v>243341.23</v>
      </c>
      <c r="F22" s="4">
        <v>1040111.33</v>
      </c>
      <c r="G22" s="6">
        <v>0.18959999999999999</v>
      </c>
    </row>
    <row r="23" spans="1:7" outlineLevel="1" x14ac:dyDescent="0.3">
      <c r="A23" t="s">
        <v>368</v>
      </c>
      <c r="B23" t="s">
        <v>191</v>
      </c>
      <c r="C23" s="25">
        <v>45930</v>
      </c>
      <c r="D23" s="4">
        <v>1247310.46</v>
      </c>
      <c r="E23" s="4">
        <v>297363.53999999998</v>
      </c>
      <c r="F23" s="4">
        <v>949946.92</v>
      </c>
      <c r="G23" s="6">
        <v>0.2384</v>
      </c>
    </row>
    <row r="24" spans="1:7" outlineLevel="1" x14ac:dyDescent="0.3">
      <c r="A24" t="s">
        <v>368</v>
      </c>
      <c r="B24" t="s">
        <v>191</v>
      </c>
      <c r="C24" s="25">
        <v>45961</v>
      </c>
      <c r="D24" s="4">
        <v>1215945.06</v>
      </c>
      <c r="E24" s="4">
        <v>190128.86</v>
      </c>
      <c r="F24" s="4">
        <v>1025816.21</v>
      </c>
      <c r="G24" s="6">
        <v>0.15640000000000001</v>
      </c>
    </row>
    <row r="25" spans="1:7" outlineLevel="1" x14ac:dyDescent="0.3">
      <c r="A25" t="s">
        <v>368</v>
      </c>
      <c r="B25" t="s">
        <v>191</v>
      </c>
      <c r="C25" s="25">
        <v>45991</v>
      </c>
      <c r="D25" s="4">
        <v>1268111.57</v>
      </c>
      <c r="E25" s="4">
        <v>145080.85</v>
      </c>
      <c r="F25" s="4">
        <v>1123030.72</v>
      </c>
      <c r="G25" s="6">
        <v>0.1144</v>
      </c>
    </row>
    <row r="26" spans="1:7" outlineLevel="1" x14ac:dyDescent="0.3">
      <c r="A26" t="s">
        <v>368</v>
      </c>
      <c r="B26" t="s">
        <v>193</v>
      </c>
      <c r="C26" s="25">
        <v>45657</v>
      </c>
      <c r="D26" s="4">
        <v>4315074.2699999996</v>
      </c>
      <c r="E26" s="4">
        <v>475751.62</v>
      </c>
      <c r="F26" s="4">
        <v>3839322.65</v>
      </c>
      <c r="G26" s="6">
        <v>0.1103</v>
      </c>
    </row>
    <row r="27" spans="1:7" outlineLevel="1" x14ac:dyDescent="0.3">
      <c r="A27" t="s">
        <v>368</v>
      </c>
      <c r="B27" t="s">
        <v>193</v>
      </c>
      <c r="C27" s="25">
        <v>45688</v>
      </c>
      <c r="D27" s="4">
        <v>4205970.8899999997</v>
      </c>
      <c r="E27" s="4">
        <v>485894.07</v>
      </c>
      <c r="F27" s="4">
        <v>3720076.82</v>
      </c>
      <c r="G27" s="6">
        <v>0.11550000000000001</v>
      </c>
    </row>
    <row r="28" spans="1:7" outlineLevel="1" x14ac:dyDescent="0.3">
      <c r="A28" t="s">
        <v>368</v>
      </c>
      <c r="B28" t="s">
        <v>193</v>
      </c>
      <c r="C28" s="25">
        <v>45716</v>
      </c>
      <c r="D28" s="4">
        <v>4502263.21</v>
      </c>
      <c r="E28" s="4">
        <v>758293.26</v>
      </c>
      <c r="F28" s="4">
        <v>3743969.95</v>
      </c>
      <c r="G28" s="6">
        <v>0.16839999999999999</v>
      </c>
    </row>
    <row r="29" spans="1:7" outlineLevel="1" x14ac:dyDescent="0.3">
      <c r="A29" t="s">
        <v>368</v>
      </c>
      <c r="B29" t="s">
        <v>193</v>
      </c>
      <c r="C29" s="25">
        <v>45747</v>
      </c>
      <c r="D29" s="4">
        <v>4612205.7</v>
      </c>
      <c r="E29" s="4">
        <v>468550.09</v>
      </c>
      <c r="F29" s="4">
        <v>4143655.61</v>
      </c>
      <c r="G29" s="6">
        <v>0.1016</v>
      </c>
    </row>
    <row r="30" spans="1:7" outlineLevel="1" x14ac:dyDescent="0.3">
      <c r="A30" t="s">
        <v>368</v>
      </c>
      <c r="B30" t="s">
        <v>193</v>
      </c>
      <c r="C30" s="25">
        <v>45777</v>
      </c>
      <c r="D30" s="4">
        <v>4372416.51</v>
      </c>
      <c r="E30" s="4">
        <v>1049409.27</v>
      </c>
      <c r="F30" s="4">
        <v>3323007.23</v>
      </c>
      <c r="G30" s="6">
        <v>0.24</v>
      </c>
    </row>
    <row r="31" spans="1:7" outlineLevel="1" x14ac:dyDescent="0.3">
      <c r="A31" t="s">
        <v>368</v>
      </c>
      <c r="B31" t="s">
        <v>193</v>
      </c>
      <c r="C31" s="25">
        <v>45808</v>
      </c>
      <c r="D31" s="4">
        <v>4352863.4000000004</v>
      </c>
      <c r="E31" s="4">
        <v>599100.21</v>
      </c>
      <c r="F31" s="4">
        <v>3753763.18</v>
      </c>
      <c r="G31" s="6">
        <v>0.1376</v>
      </c>
    </row>
    <row r="32" spans="1:7" outlineLevel="1" x14ac:dyDescent="0.3">
      <c r="A32" t="s">
        <v>368</v>
      </c>
      <c r="B32" t="s">
        <v>193</v>
      </c>
      <c r="C32" s="25">
        <v>45838</v>
      </c>
      <c r="D32" s="4">
        <v>4545975.51</v>
      </c>
      <c r="E32" s="4">
        <v>895347.8</v>
      </c>
      <c r="F32" s="4">
        <v>3650627.71</v>
      </c>
      <c r="G32" s="6">
        <v>0.19700000000000001</v>
      </c>
    </row>
    <row r="33" spans="1:7" outlineLevel="1" x14ac:dyDescent="0.3">
      <c r="A33" t="s">
        <v>368</v>
      </c>
      <c r="B33" t="s">
        <v>193</v>
      </c>
      <c r="C33" s="25">
        <v>45869</v>
      </c>
      <c r="D33" s="4">
        <v>4406319.05</v>
      </c>
      <c r="E33" s="4">
        <v>922573.65</v>
      </c>
      <c r="F33" s="4">
        <v>3483745.41</v>
      </c>
      <c r="G33" s="6">
        <v>0.2094</v>
      </c>
    </row>
    <row r="34" spans="1:7" outlineLevel="1" x14ac:dyDescent="0.3">
      <c r="A34" t="s">
        <v>368</v>
      </c>
      <c r="B34" t="s">
        <v>193</v>
      </c>
      <c r="C34" s="25">
        <v>45900</v>
      </c>
      <c r="D34" s="4">
        <v>4566351.03</v>
      </c>
      <c r="E34" s="4">
        <v>474945</v>
      </c>
      <c r="F34" s="4">
        <v>4091406.04</v>
      </c>
      <c r="G34" s="6">
        <v>0.104</v>
      </c>
    </row>
    <row r="35" spans="1:7" outlineLevel="1" x14ac:dyDescent="0.3">
      <c r="A35" t="s">
        <v>368</v>
      </c>
      <c r="B35" t="s">
        <v>193</v>
      </c>
      <c r="C35" s="25">
        <v>45930</v>
      </c>
      <c r="D35" s="4">
        <v>4614174.1100000003</v>
      </c>
      <c r="E35" s="4">
        <v>794113.92</v>
      </c>
      <c r="F35" s="4">
        <v>3820060.19</v>
      </c>
      <c r="G35" s="6">
        <v>0.1721</v>
      </c>
    </row>
    <row r="36" spans="1:7" outlineLevel="1" x14ac:dyDescent="0.3">
      <c r="A36" t="s">
        <v>368</v>
      </c>
      <c r="B36" t="s">
        <v>193</v>
      </c>
      <c r="C36" s="25">
        <v>45961</v>
      </c>
      <c r="D36" s="4">
        <v>4790190.6900000004</v>
      </c>
      <c r="E36" s="4">
        <v>1083886.7</v>
      </c>
      <c r="F36" s="4">
        <v>3706303.99</v>
      </c>
      <c r="G36" s="6">
        <v>0.2263</v>
      </c>
    </row>
    <row r="37" spans="1:7" outlineLevel="1" x14ac:dyDescent="0.3">
      <c r="A37" t="s">
        <v>368</v>
      </c>
      <c r="B37" t="s">
        <v>193</v>
      </c>
      <c r="C37" s="25">
        <v>45991</v>
      </c>
      <c r="D37" s="4">
        <v>4494067.7300000004</v>
      </c>
      <c r="E37" s="4">
        <v>848795.48</v>
      </c>
      <c r="F37" s="4">
        <v>3645272.25</v>
      </c>
      <c r="G37" s="6">
        <v>0.18890000000000001</v>
      </c>
    </row>
    <row r="38" spans="1:7" x14ac:dyDescent="0.3">
      <c r="A38" t="s">
        <v>368</v>
      </c>
      <c r="B38" t="s">
        <v>186</v>
      </c>
      <c r="C38" s="25">
        <v>45657</v>
      </c>
      <c r="D38" s="4">
        <v>7961818.46</v>
      </c>
      <c r="E38" s="4">
        <v>1033665.78</v>
      </c>
      <c r="F38" s="4">
        <v>6928152.6699999999</v>
      </c>
      <c r="G38" s="6">
        <v>0.1298</v>
      </c>
    </row>
    <row r="39" spans="1:7" x14ac:dyDescent="0.3">
      <c r="A39" t="s">
        <v>368</v>
      </c>
      <c r="B39" t="s">
        <v>186</v>
      </c>
      <c r="C39" s="25">
        <v>45688</v>
      </c>
      <c r="D39" s="4">
        <v>8075446.4500000002</v>
      </c>
      <c r="E39" s="4">
        <v>1273326.7</v>
      </c>
      <c r="F39" s="4">
        <v>6802119.75</v>
      </c>
      <c r="G39" s="6">
        <v>0.15770000000000001</v>
      </c>
    </row>
    <row r="40" spans="1:7" x14ac:dyDescent="0.3">
      <c r="A40" t="s">
        <v>368</v>
      </c>
      <c r="B40" t="s">
        <v>186</v>
      </c>
      <c r="C40" s="25">
        <v>45716</v>
      </c>
      <c r="D40" s="4">
        <v>8314030.6500000004</v>
      </c>
      <c r="E40" s="4">
        <v>1439492.33</v>
      </c>
      <c r="F40" s="4">
        <v>6874538.3200000003</v>
      </c>
      <c r="G40" s="6">
        <v>0.1731</v>
      </c>
    </row>
    <row r="41" spans="1:7" x14ac:dyDescent="0.3">
      <c r="A41" t="s">
        <v>368</v>
      </c>
      <c r="B41" t="s">
        <v>186</v>
      </c>
      <c r="C41" s="25">
        <v>45747</v>
      </c>
      <c r="D41" s="4">
        <v>8290983.3200000003</v>
      </c>
      <c r="E41" s="4">
        <v>1274773.44</v>
      </c>
      <c r="F41" s="4">
        <v>7016209.8799999999</v>
      </c>
      <c r="G41" s="6">
        <v>0.15379999999999999</v>
      </c>
    </row>
    <row r="42" spans="1:7" x14ac:dyDescent="0.3">
      <c r="A42" t="s">
        <v>368</v>
      </c>
      <c r="B42" t="s">
        <v>186</v>
      </c>
      <c r="C42" s="25">
        <v>45777</v>
      </c>
      <c r="D42" s="4">
        <v>8076287.1799999997</v>
      </c>
      <c r="E42" s="4">
        <v>1625477.56</v>
      </c>
      <c r="F42" s="4">
        <v>6450809.6100000003</v>
      </c>
      <c r="G42" s="6">
        <v>0.20130000000000001</v>
      </c>
    </row>
    <row r="43" spans="1:7" x14ac:dyDescent="0.3">
      <c r="A43" t="s">
        <v>368</v>
      </c>
      <c r="B43" t="s">
        <v>186</v>
      </c>
      <c r="C43" s="25">
        <v>45808</v>
      </c>
      <c r="D43" s="4">
        <v>8042606.9699999997</v>
      </c>
      <c r="E43" s="4">
        <v>1263533.3</v>
      </c>
      <c r="F43" s="4">
        <v>6779073.6500000004</v>
      </c>
      <c r="G43" s="6">
        <v>0.15709999999999999</v>
      </c>
    </row>
    <row r="44" spans="1:7" x14ac:dyDescent="0.3">
      <c r="A44" t="s">
        <v>368</v>
      </c>
      <c r="B44" t="s">
        <v>186</v>
      </c>
      <c r="C44" s="25">
        <v>45838</v>
      </c>
      <c r="D44" s="4">
        <v>8373596.6900000004</v>
      </c>
      <c r="E44" s="4">
        <v>1562601.76</v>
      </c>
      <c r="F44" s="4">
        <v>6810994.9299999997</v>
      </c>
      <c r="G44" s="6">
        <v>0.18659999999999999</v>
      </c>
    </row>
    <row r="45" spans="1:7" x14ac:dyDescent="0.3">
      <c r="A45" t="s">
        <v>368</v>
      </c>
      <c r="B45" t="s">
        <v>186</v>
      </c>
      <c r="C45" s="25">
        <v>45869</v>
      </c>
      <c r="D45" s="4">
        <v>8248857.9299999997</v>
      </c>
      <c r="E45" s="4">
        <v>1448067.41</v>
      </c>
      <c r="F45" s="4">
        <v>6800790.5199999996</v>
      </c>
      <c r="G45" s="6">
        <v>0.17549999999999999</v>
      </c>
    </row>
    <row r="46" spans="1:7" x14ac:dyDescent="0.3">
      <c r="A46" t="s">
        <v>368</v>
      </c>
      <c r="B46" t="s">
        <v>186</v>
      </c>
      <c r="C46" s="25">
        <v>45900</v>
      </c>
      <c r="D46" s="4">
        <v>8389962</v>
      </c>
      <c r="E46" s="4">
        <v>1256276.8600000001</v>
      </c>
      <c r="F46" s="4">
        <v>7133685.1500000004</v>
      </c>
      <c r="G46" s="6">
        <v>0.1497</v>
      </c>
    </row>
    <row r="47" spans="1:7" x14ac:dyDescent="0.3">
      <c r="A47" t="s">
        <v>368</v>
      </c>
      <c r="B47" t="s">
        <v>186</v>
      </c>
      <c r="C47" s="25">
        <v>45930</v>
      </c>
      <c r="D47" s="4">
        <v>8561419.3300000001</v>
      </c>
      <c r="E47" s="4">
        <v>1654667.26</v>
      </c>
      <c r="F47" s="4">
        <v>6906752.0599999996</v>
      </c>
      <c r="G47" s="6">
        <v>0.1933</v>
      </c>
    </row>
    <row r="48" spans="1:7" x14ac:dyDescent="0.3">
      <c r="A48" t="s">
        <v>368</v>
      </c>
      <c r="B48" t="s">
        <v>186</v>
      </c>
      <c r="C48" s="25">
        <v>45961</v>
      </c>
      <c r="D48" s="4">
        <v>8692920.9399999995</v>
      </c>
      <c r="E48" s="4">
        <v>1887961.26</v>
      </c>
      <c r="F48" s="4">
        <v>6804959.6799999997</v>
      </c>
      <c r="G48" s="6">
        <v>0.2172</v>
      </c>
    </row>
    <row r="49" spans="1:7" x14ac:dyDescent="0.3">
      <c r="A49" t="s">
        <v>368</v>
      </c>
      <c r="B49" t="s">
        <v>186</v>
      </c>
      <c r="C49" s="25">
        <v>45991</v>
      </c>
      <c r="D49" s="4">
        <v>8427622.3499999996</v>
      </c>
      <c r="E49" s="4">
        <v>1531374.18</v>
      </c>
      <c r="F49" s="4">
        <v>6896248.1699999999</v>
      </c>
      <c r="G49" s="6">
        <v>0.1817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BE29-A137-4D7F-8571-F5EAEAC3E61A}">
  <sheetPr>
    <tabColor theme="4" tint="0.39997558519241921"/>
  </sheetPr>
  <dimension ref="A1:K49"/>
  <sheetViews>
    <sheetView zoomScale="90" zoomScaleNormal="90" workbookViewId="0">
      <selection activeCell="P30" sqref="P30"/>
    </sheetView>
  </sheetViews>
  <sheetFormatPr defaultRowHeight="14.4" x14ac:dyDescent="0.3"/>
  <cols>
    <col min="1" max="3" width="18.109375" customWidth="1"/>
    <col min="4" max="4" width="22.109375" bestFit="1" customWidth="1"/>
    <col min="5" max="11" width="18.109375" customWidth="1"/>
  </cols>
  <sheetData>
    <row r="1" spans="1:11" x14ac:dyDescent="0.3">
      <c r="A1" s="13" t="s">
        <v>267</v>
      </c>
      <c r="B1" s="13" t="s">
        <v>290</v>
      </c>
      <c r="C1" s="13" t="s">
        <v>22</v>
      </c>
      <c r="D1" s="13" t="s">
        <v>297</v>
      </c>
      <c r="E1" s="13" t="s">
        <v>296</v>
      </c>
      <c r="F1" s="13" t="s">
        <v>295</v>
      </c>
      <c r="G1" s="13" t="s">
        <v>294</v>
      </c>
      <c r="H1" s="13" t="s">
        <v>293</v>
      </c>
      <c r="I1" s="13" t="s">
        <v>292</v>
      </c>
      <c r="J1" s="13" t="s">
        <v>265</v>
      </c>
      <c r="K1" s="13" t="s">
        <v>291</v>
      </c>
    </row>
    <row r="2" spans="1:11" x14ac:dyDescent="0.3">
      <c r="A2" s="25">
        <v>45657</v>
      </c>
      <c r="B2" t="s">
        <v>368</v>
      </c>
      <c r="C2" t="s">
        <v>192</v>
      </c>
      <c r="D2" s="4">
        <v>18813.32</v>
      </c>
      <c r="E2" s="4">
        <v>52172.33</v>
      </c>
      <c r="F2" s="4">
        <v>167966.92</v>
      </c>
      <c r="G2" s="4">
        <v>24052.11</v>
      </c>
      <c r="H2" s="4">
        <v>59411.3</v>
      </c>
      <c r="I2" s="4">
        <v>9972.33</v>
      </c>
      <c r="J2" s="4">
        <v>332388.31</v>
      </c>
      <c r="K2" s="6">
        <v>0.13619999999999999</v>
      </c>
    </row>
    <row r="3" spans="1:11" x14ac:dyDescent="0.3">
      <c r="A3" s="25">
        <v>45688</v>
      </c>
      <c r="B3" t="s">
        <v>368</v>
      </c>
      <c r="C3" t="s">
        <v>192</v>
      </c>
      <c r="D3" s="4">
        <v>80473.3</v>
      </c>
      <c r="E3" s="4">
        <v>18026.400000000001</v>
      </c>
      <c r="F3" s="4">
        <v>324066.63</v>
      </c>
      <c r="G3" s="4">
        <v>35841.019999999997</v>
      </c>
      <c r="H3" s="4">
        <v>162481.60999999999</v>
      </c>
      <c r="I3" s="4">
        <v>3554.42</v>
      </c>
      <c r="J3" s="4">
        <v>624443.38</v>
      </c>
      <c r="K3" s="6">
        <v>0.23599999999999999</v>
      </c>
    </row>
    <row r="4" spans="1:11" x14ac:dyDescent="0.3">
      <c r="A4" s="25">
        <v>45716</v>
      </c>
      <c r="B4" t="s">
        <v>368</v>
      </c>
      <c r="C4" t="s">
        <v>192</v>
      </c>
      <c r="D4" s="4">
        <v>81693.919999999998</v>
      </c>
      <c r="E4" s="4">
        <v>15043.02</v>
      </c>
      <c r="F4" s="4">
        <v>129462.12</v>
      </c>
      <c r="G4" s="4">
        <v>137529.60000000001</v>
      </c>
      <c r="H4" s="4">
        <v>23181.63</v>
      </c>
      <c r="I4" s="4">
        <v>37429.769999999997</v>
      </c>
      <c r="J4" s="4">
        <v>424340.06</v>
      </c>
      <c r="K4" s="6">
        <v>0.16650000000000001</v>
      </c>
    </row>
    <row r="5" spans="1:11" x14ac:dyDescent="0.3">
      <c r="A5" s="25">
        <v>45747</v>
      </c>
      <c r="B5" t="s">
        <v>368</v>
      </c>
      <c r="C5" t="s">
        <v>192</v>
      </c>
      <c r="D5" s="4">
        <v>269572.03000000003</v>
      </c>
      <c r="E5" s="4">
        <v>57646.54</v>
      </c>
      <c r="F5" s="4">
        <v>79195.929999999993</v>
      </c>
      <c r="G5" s="4">
        <v>121882.26</v>
      </c>
      <c r="H5" s="4">
        <v>45142.35</v>
      </c>
      <c r="I5" s="4">
        <v>4905</v>
      </c>
      <c r="J5" s="4">
        <v>578344.11</v>
      </c>
      <c r="K5" s="6">
        <v>0.23699999999999999</v>
      </c>
    </row>
    <row r="6" spans="1:11" x14ac:dyDescent="0.3">
      <c r="A6" s="25">
        <v>45777</v>
      </c>
      <c r="B6" t="s">
        <v>368</v>
      </c>
      <c r="C6" t="s">
        <v>192</v>
      </c>
      <c r="D6" s="4">
        <v>66461.34</v>
      </c>
      <c r="E6" s="4">
        <v>14620.75</v>
      </c>
      <c r="F6" s="4">
        <v>79849.31</v>
      </c>
      <c r="G6" s="4">
        <v>35093.910000000003</v>
      </c>
      <c r="H6" s="4">
        <v>82501.39</v>
      </c>
      <c r="I6" s="4">
        <v>58197.01</v>
      </c>
      <c r="J6" s="4">
        <v>336723.71</v>
      </c>
      <c r="K6" s="6">
        <v>0.13189999999999999</v>
      </c>
    </row>
    <row r="7" spans="1:11" x14ac:dyDescent="0.3">
      <c r="A7" s="25">
        <v>45808</v>
      </c>
      <c r="B7" t="s">
        <v>368</v>
      </c>
      <c r="C7" t="s">
        <v>192</v>
      </c>
      <c r="D7" s="4">
        <v>1046.8399999999999</v>
      </c>
      <c r="E7" s="4">
        <v>22558.68</v>
      </c>
      <c r="F7" s="4">
        <v>10007.83</v>
      </c>
      <c r="G7" s="4">
        <v>273138.98</v>
      </c>
      <c r="H7" s="4">
        <v>4677.26</v>
      </c>
      <c r="I7" s="4">
        <v>66849.77</v>
      </c>
      <c r="J7" s="4">
        <v>378279.36</v>
      </c>
      <c r="K7" s="6">
        <v>0.15179999999999999</v>
      </c>
    </row>
    <row r="8" spans="1:11" x14ac:dyDescent="0.3">
      <c r="A8" s="25">
        <v>45838</v>
      </c>
      <c r="B8" t="s">
        <v>368</v>
      </c>
      <c r="C8" t="s">
        <v>192</v>
      </c>
      <c r="D8" s="4">
        <v>801.49</v>
      </c>
      <c r="E8" s="4">
        <v>86709.08</v>
      </c>
      <c r="F8" s="4">
        <v>185787.77</v>
      </c>
      <c r="G8" s="4">
        <v>6570.4</v>
      </c>
      <c r="H8" s="4">
        <v>45170.080000000002</v>
      </c>
      <c r="I8" s="4">
        <v>102796.43</v>
      </c>
      <c r="J8" s="4">
        <v>427835.25</v>
      </c>
      <c r="K8" s="6">
        <v>0.16719999999999999</v>
      </c>
    </row>
    <row r="9" spans="1:11" x14ac:dyDescent="0.3">
      <c r="A9" s="25">
        <v>45869</v>
      </c>
      <c r="B9" t="s">
        <v>368</v>
      </c>
      <c r="C9" t="s">
        <v>192</v>
      </c>
      <c r="D9" s="4">
        <v>19281.16</v>
      </c>
      <c r="E9" s="4">
        <v>34609.4</v>
      </c>
      <c r="F9" s="4">
        <v>221679.59</v>
      </c>
      <c r="G9" s="4">
        <v>10804.57</v>
      </c>
      <c r="H9" s="4">
        <v>12351.58</v>
      </c>
      <c r="I9" s="4">
        <v>32913.47</v>
      </c>
      <c r="J9" s="4">
        <v>331639.77</v>
      </c>
      <c r="K9" s="6">
        <v>0.12759999999999999</v>
      </c>
    </row>
    <row r="10" spans="1:11" x14ac:dyDescent="0.3">
      <c r="A10" s="25">
        <v>45900</v>
      </c>
      <c r="B10" t="s">
        <v>368</v>
      </c>
      <c r="C10" t="s">
        <v>192</v>
      </c>
      <c r="D10" s="4">
        <v>85807.49</v>
      </c>
      <c r="E10" s="4">
        <v>50745.5</v>
      </c>
      <c r="F10" s="4">
        <v>52680.55</v>
      </c>
      <c r="G10" s="4">
        <v>186425.5</v>
      </c>
      <c r="H10" s="4">
        <v>98736.63</v>
      </c>
      <c r="I10" s="4">
        <v>63594.96</v>
      </c>
      <c r="J10" s="4">
        <v>537990.63</v>
      </c>
      <c r="K10" s="6">
        <v>0.21179999999999999</v>
      </c>
    </row>
    <row r="11" spans="1:11" x14ac:dyDescent="0.3">
      <c r="A11" s="25">
        <v>45930</v>
      </c>
      <c r="B11" t="s">
        <v>368</v>
      </c>
      <c r="C11" t="s">
        <v>192</v>
      </c>
      <c r="D11" s="4">
        <v>33661.019999999997</v>
      </c>
      <c r="E11" s="4">
        <v>36546.82</v>
      </c>
      <c r="F11" s="4">
        <v>165076.41</v>
      </c>
      <c r="G11" s="4">
        <v>147538.53</v>
      </c>
      <c r="H11" s="4">
        <v>4202.9799999999996</v>
      </c>
      <c r="I11" s="4">
        <v>176164.04</v>
      </c>
      <c r="J11" s="4">
        <v>563189.80000000005</v>
      </c>
      <c r="K11" s="6">
        <v>0.20860000000000001</v>
      </c>
    </row>
    <row r="12" spans="1:11" x14ac:dyDescent="0.3">
      <c r="A12" s="25">
        <v>45961</v>
      </c>
      <c r="B12" t="s">
        <v>368</v>
      </c>
      <c r="C12" t="s">
        <v>192</v>
      </c>
      <c r="D12" s="4">
        <v>33184.410000000003</v>
      </c>
      <c r="E12" s="4">
        <v>115120.4</v>
      </c>
      <c r="F12" s="4">
        <v>218597.55</v>
      </c>
      <c r="G12" s="4">
        <v>124571.4</v>
      </c>
      <c r="H12" s="4">
        <v>42497.57</v>
      </c>
      <c r="I12" s="4">
        <v>79974.37</v>
      </c>
      <c r="J12" s="4">
        <v>613945.69999999995</v>
      </c>
      <c r="K12" s="6">
        <v>0.22850000000000001</v>
      </c>
    </row>
    <row r="13" spans="1:11" x14ac:dyDescent="0.3">
      <c r="A13" s="25">
        <v>45991</v>
      </c>
      <c r="B13" t="s">
        <v>368</v>
      </c>
      <c r="C13" t="s">
        <v>192</v>
      </c>
      <c r="D13" s="4">
        <v>230908.03</v>
      </c>
      <c r="E13" s="4">
        <v>8613.7099999999991</v>
      </c>
      <c r="F13" s="4">
        <v>28574.36</v>
      </c>
      <c r="G13" s="4">
        <v>102331.66</v>
      </c>
      <c r="H13" s="4">
        <v>55695.71</v>
      </c>
      <c r="I13" s="4">
        <v>111374.38</v>
      </c>
      <c r="J13" s="4">
        <v>537497.85</v>
      </c>
      <c r="K13" s="6">
        <v>0.20169999999999999</v>
      </c>
    </row>
    <row r="14" spans="1:11" x14ac:dyDescent="0.3">
      <c r="A14" s="25">
        <v>45657</v>
      </c>
      <c r="B14" t="s">
        <v>368</v>
      </c>
      <c r="C14" t="s">
        <v>191</v>
      </c>
      <c r="D14" s="4">
        <v>43474.5</v>
      </c>
      <c r="E14" s="4">
        <v>20587.18</v>
      </c>
      <c r="F14" s="4">
        <v>91640.86</v>
      </c>
      <c r="G14" s="4">
        <v>24912.62</v>
      </c>
      <c r="H14" s="4">
        <v>28697.43</v>
      </c>
      <c r="I14" s="4">
        <v>16213.26</v>
      </c>
      <c r="J14" s="4">
        <v>225525.85</v>
      </c>
      <c r="K14" s="6">
        <v>0.18690000000000001</v>
      </c>
    </row>
    <row r="15" spans="1:11" x14ac:dyDescent="0.3">
      <c r="A15" s="25">
        <v>45688</v>
      </c>
      <c r="B15" t="s">
        <v>368</v>
      </c>
      <c r="C15" t="s">
        <v>191</v>
      </c>
      <c r="D15" s="4">
        <v>61977.15</v>
      </c>
      <c r="E15" s="4">
        <v>37333.519999999997</v>
      </c>
      <c r="F15" s="4">
        <v>4273.2299999999996</v>
      </c>
      <c r="G15" s="4">
        <v>30210.63</v>
      </c>
      <c r="H15" s="4">
        <v>18021.43</v>
      </c>
      <c r="I15" s="4">
        <v>11173.29</v>
      </c>
      <c r="J15" s="4">
        <v>162989.25</v>
      </c>
      <c r="K15" s="6">
        <v>0.13320000000000001</v>
      </c>
    </row>
    <row r="16" spans="1:11" x14ac:dyDescent="0.3">
      <c r="A16" s="25">
        <v>45716</v>
      </c>
      <c r="B16" t="s">
        <v>368</v>
      </c>
      <c r="C16" t="s">
        <v>191</v>
      </c>
      <c r="D16" s="4">
        <v>80901.850000000006</v>
      </c>
      <c r="E16" s="4">
        <v>15217.62</v>
      </c>
      <c r="F16" s="4">
        <v>5835.23</v>
      </c>
      <c r="G16" s="4">
        <v>75563.16</v>
      </c>
      <c r="H16" s="4">
        <v>62390.85</v>
      </c>
      <c r="I16" s="4">
        <v>16950.3</v>
      </c>
      <c r="J16" s="4">
        <v>256859.01</v>
      </c>
      <c r="K16" s="6">
        <v>0.2034</v>
      </c>
    </row>
    <row r="17" spans="1:11" x14ac:dyDescent="0.3">
      <c r="A17" s="25">
        <v>45747</v>
      </c>
      <c r="B17" t="s">
        <v>368</v>
      </c>
      <c r="C17" t="s">
        <v>191</v>
      </c>
      <c r="D17" s="4">
        <v>19178.150000000001</v>
      </c>
      <c r="E17" s="4">
        <v>76451.83</v>
      </c>
      <c r="F17" s="4">
        <v>105625.67</v>
      </c>
      <c r="G17" s="4">
        <v>10868.24</v>
      </c>
      <c r="H17" s="4">
        <v>4162.62</v>
      </c>
      <c r="I17" s="4">
        <v>11592.73</v>
      </c>
      <c r="J17" s="4">
        <v>227879.24</v>
      </c>
      <c r="K17" s="6">
        <v>0.184</v>
      </c>
    </row>
    <row r="18" spans="1:11" x14ac:dyDescent="0.3">
      <c r="A18" s="25">
        <v>45777</v>
      </c>
      <c r="B18" t="s">
        <v>368</v>
      </c>
      <c r="C18" t="s">
        <v>191</v>
      </c>
      <c r="D18" s="4">
        <v>92667.34</v>
      </c>
      <c r="E18" s="4">
        <v>37451.75</v>
      </c>
      <c r="F18" s="4">
        <v>34422.370000000003</v>
      </c>
      <c r="G18" s="4">
        <v>12073.07</v>
      </c>
      <c r="H18" s="4">
        <v>1848.79</v>
      </c>
      <c r="I18" s="4">
        <v>60881.26</v>
      </c>
      <c r="J18" s="4">
        <v>239344.58</v>
      </c>
      <c r="K18" s="6">
        <v>0.2079</v>
      </c>
    </row>
    <row r="19" spans="1:11" x14ac:dyDescent="0.3">
      <c r="A19" s="25">
        <v>45808</v>
      </c>
      <c r="B19" t="s">
        <v>368</v>
      </c>
      <c r="C19" t="s">
        <v>191</v>
      </c>
      <c r="D19" s="4">
        <v>43808.53</v>
      </c>
      <c r="E19" s="4">
        <v>14141.46</v>
      </c>
      <c r="F19" s="4">
        <v>6509.47</v>
      </c>
      <c r="G19" s="4">
        <v>135359.23000000001</v>
      </c>
      <c r="H19" s="4">
        <v>70760.33</v>
      </c>
      <c r="I19" s="4">
        <v>15574.71</v>
      </c>
      <c r="J19" s="4">
        <v>286153.73</v>
      </c>
      <c r="K19" s="6">
        <v>0.23899999999999999</v>
      </c>
    </row>
    <row r="20" spans="1:11" x14ac:dyDescent="0.3">
      <c r="A20" s="25">
        <v>45838</v>
      </c>
      <c r="B20" t="s">
        <v>368</v>
      </c>
      <c r="C20" t="s">
        <v>191</v>
      </c>
      <c r="D20" s="4">
        <v>6960.53</v>
      </c>
      <c r="E20" s="4">
        <v>66473.429999999993</v>
      </c>
      <c r="F20" s="4">
        <v>12596.87</v>
      </c>
      <c r="G20" s="4">
        <v>110687.71</v>
      </c>
      <c r="H20" s="4">
        <v>1586.9</v>
      </c>
      <c r="I20" s="4">
        <v>41113.269999999997</v>
      </c>
      <c r="J20" s="4">
        <v>239418.71</v>
      </c>
      <c r="K20" s="6">
        <v>0.18870000000000001</v>
      </c>
    </row>
    <row r="21" spans="1:11" x14ac:dyDescent="0.3">
      <c r="A21" s="25">
        <v>45869</v>
      </c>
      <c r="B21" t="s">
        <v>368</v>
      </c>
      <c r="C21" t="s">
        <v>191</v>
      </c>
      <c r="D21" s="4">
        <v>10310.52</v>
      </c>
      <c r="E21" s="4">
        <v>66519.12</v>
      </c>
      <c r="F21" s="4">
        <v>8051.8</v>
      </c>
      <c r="G21" s="4">
        <v>83158.8</v>
      </c>
      <c r="H21" s="4">
        <v>9804.3799999999992</v>
      </c>
      <c r="I21" s="4">
        <v>16009.37</v>
      </c>
      <c r="J21" s="4">
        <v>193853.99</v>
      </c>
      <c r="K21" s="6">
        <v>0.156</v>
      </c>
    </row>
    <row r="22" spans="1:11" x14ac:dyDescent="0.3">
      <c r="A22" s="25">
        <v>45900</v>
      </c>
      <c r="B22" t="s">
        <v>368</v>
      </c>
      <c r="C22" t="s">
        <v>191</v>
      </c>
      <c r="D22" s="4">
        <v>27550.71</v>
      </c>
      <c r="E22" s="4">
        <v>99911</v>
      </c>
      <c r="F22" s="4">
        <v>13885.57</v>
      </c>
      <c r="G22" s="4">
        <v>7253.08</v>
      </c>
      <c r="H22" s="4">
        <v>93534.35</v>
      </c>
      <c r="I22" s="4">
        <v>1206.52</v>
      </c>
      <c r="J22" s="4">
        <v>243341.23</v>
      </c>
      <c r="K22" s="6">
        <v>0.18959999999999999</v>
      </c>
    </row>
    <row r="23" spans="1:11" x14ac:dyDescent="0.3">
      <c r="A23" s="25">
        <v>45930</v>
      </c>
      <c r="B23" t="s">
        <v>368</v>
      </c>
      <c r="C23" t="s">
        <v>191</v>
      </c>
      <c r="D23" s="4">
        <v>30500.42</v>
      </c>
      <c r="E23" s="4">
        <v>122439</v>
      </c>
      <c r="F23" s="4">
        <v>84919.57</v>
      </c>
      <c r="G23" s="4">
        <v>29474.93</v>
      </c>
      <c r="H23" s="4">
        <v>6366.52</v>
      </c>
      <c r="I23" s="4">
        <v>23663.1</v>
      </c>
      <c r="J23" s="4">
        <v>297363.53999999998</v>
      </c>
      <c r="K23" s="6">
        <v>0.2384</v>
      </c>
    </row>
    <row r="24" spans="1:11" x14ac:dyDescent="0.3">
      <c r="A24" s="25">
        <v>45961</v>
      </c>
      <c r="B24" t="s">
        <v>368</v>
      </c>
      <c r="C24" t="s">
        <v>191</v>
      </c>
      <c r="D24" s="4">
        <v>17012.02</v>
      </c>
      <c r="E24" s="4">
        <v>14118.87</v>
      </c>
      <c r="F24" s="4">
        <v>64770.57</v>
      </c>
      <c r="G24" s="4">
        <v>44885.48</v>
      </c>
      <c r="H24" s="4">
        <v>42074.71</v>
      </c>
      <c r="I24" s="4">
        <v>7267.21</v>
      </c>
      <c r="J24" s="4">
        <v>190128.86</v>
      </c>
      <c r="K24" s="6">
        <v>0.15640000000000001</v>
      </c>
    </row>
    <row r="25" spans="1:11" x14ac:dyDescent="0.3">
      <c r="A25" s="25">
        <v>45991</v>
      </c>
      <c r="B25" t="s">
        <v>368</v>
      </c>
      <c r="C25" t="s">
        <v>191</v>
      </c>
      <c r="D25" s="4">
        <v>67898.64</v>
      </c>
      <c r="E25" s="4">
        <v>8828.2900000000009</v>
      </c>
      <c r="F25" s="4">
        <v>14092.12</v>
      </c>
      <c r="G25" s="4">
        <v>12411.73</v>
      </c>
      <c r="H25" s="4">
        <v>37764.42</v>
      </c>
      <c r="I25" s="4">
        <v>4085.65</v>
      </c>
      <c r="J25" s="4">
        <v>145080.85</v>
      </c>
      <c r="K25" s="6">
        <v>0.1144</v>
      </c>
    </row>
    <row r="26" spans="1:11" x14ac:dyDescent="0.3">
      <c r="A26" s="25">
        <v>45657</v>
      </c>
      <c r="B26" t="s">
        <v>368</v>
      </c>
      <c r="C26" t="s">
        <v>193</v>
      </c>
      <c r="D26" s="4">
        <v>29920.14</v>
      </c>
      <c r="E26" s="4">
        <v>32654.19</v>
      </c>
      <c r="F26" s="4">
        <v>12071.03</v>
      </c>
      <c r="G26" s="4">
        <v>235044.29</v>
      </c>
      <c r="H26" s="4">
        <v>77576.12</v>
      </c>
      <c r="I26" s="4">
        <v>88485.85</v>
      </c>
      <c r="J26" s="4">
        <v>475751.62</v>
      </c>
      <c r="K26" s="6">
        <v>0.1103</v>
      </c>
    </row>
    <row r="27" spans="1:11" x14ac:dyDescent="0.3">
      <c r="A27" s="25">
        <v>45688</v>
      </c>
      <c r="B27" t="s">
        <v>368</v>
      </c>
      <c r="C27" t="s">
        <v>193</v>
      </c>
      <c r="D27" s="4">
        <v>86390.61</v>
      </c>
      <c r="E27" s="4">
        <v>27988.97</v>
      </c>
      <c r="F27" s="4">
        <v>107265.37</v>
      </c>
      <c r="G27" s="4">
        <v>58208.78</v>
      </c>
      <c r="H27" s="4">
        <v>11303.44</v>
      </c>
      <c r="I27" s="4">
        <v>194736.9</v>
      </c>
      <c r="J27" s="4">
        <v>485894.07</v>
      </c>
      <c r="K27" s="6">
        <v>0.11550000000000001</v>
      </c>
    </row>
    <row r="28" spans="1:11" x14ac:dyDescent="0.3">
      <c r="A28" s="25">
        <v>45716</v>
      </c>
      <c r="B28" t="s">
        <v>368</v>
      </c>
      <c r="C28" t="s">
        <v>193</v>
      </c>
      <c r="D28" s="4">
        <v>432007.32</v>
      </c>
      <c r="E28" s="4">
        <v>110636.04</v>
      </c>
      <c r="F28" s="4">
        <v>27483.47</v>
      </c>
      <c r="G28" s="4">
        <v>101526.96</v>
      </c>
      <c r="H28" s="4">
        <v>40074.36</v>
      </c>
      <c r="I28" s="4">
        <v>46565.11</v>
      </c>
      <c r="J28" s="4">
        <v>758293.26</v>
      </c>
      <c r="K28" s="6">
        <v>0.16839999999999999</v>
      </c>
    </row>
    <row r="29" spans="1:11" x14ac:dyDescent="0.3">
      <c r="A29" s="25">
        <v>45747</v>
      </c>
      <c r="B29" t="s">
        <v>368</v>
      </c>
      <c r="C29" t="s">
        <v>193</v>
      </c>
      <c r="D29" s="4">
        <v>161396.29999999999</v>
      </c>
      <c r="E29" s="4">
        <v>1330.7</v>
      </c>
      <c r="F29" s="4">
        <v>182874.09</v>
      </c>
      <c r="G29" s="4">
        <v>34520.78</v>
      </c>
      <c r="H29" s="4">
        <v>37007.550000000003</v>
      </c>
      <c r="I29" s="4">
        <v>51420.67</v>
      </c>
      <c r="J29" s="4">
        <v>468550.09</v>
      </c>
      <c r="K29" s="6">
        <v>0.1016</v>
      </c>
    </row>
    <row r="30" spans="1:11" x14ac:dyDescent="0.3">
      <c r="A30" s="25">
        <v>45777</v>
      </c>
      <c r="B30" t="s">
        <v>368</v>
      </c>
      <c r="C30" t="s">
        <v>193</v>
      </c>
      <c r="D30" s="4">
        <v>291924.05</v>
      </c>
      <c r="E30" s="4">
        <v>52372.93</v>
      </c>
      <c r="F30" s="4">
        <v>26779.83</v>
      </c>
      <c r="G30" s="4">
        <v>214592.09</v>
      </c>
      <c r="H30" s="4">
        <v>109546.36</v>
      </c>
      <c r="I30" s="4">
        <v>354194.01</v>
      </c>
      <c r="J30" s="4">
        <v>1049409.27</v>
      </c>
      <c r="K30" s="6">
        <v>0.24</v>
      </c>
    </row>
    <row r="31" spans="1:11" x14ac:dyDescent="0.3">
      <c r="A31" s="25">
        <v>45808</v>
      </c>
      <c r="B31" t="s">
        <v>368</v>
      </c>
      <c r="C31" t="s">
        <v>193</v>
      </c>
      <c r="D31" s="4">
        <v>14978.23</v>
      </c>
      <c r="E31" s="4">
        <v>14315.11</v>
      </c>
      <c r="F31" s="4">
        <v>366047.56</v>
      </c>
      <c r="G31" s="4">
        <v>140427.15</v>
      </c>
      <c r="H31" s="4">
        <v>4183.1099999999997</v>
      </c>
      <c r="I31" s="4">
        <v>59149.05</v>
      </c>
      <c r="J31" s="4">
        <v>599100.21</v>
      </c>
      <c r="K31" s="6">
        <v>0.1376</v>
      </c>
    </row>
    <row r="32" spans="1:11" x14ac:dyDescent="0.3">
      <c r="A32" s="25">
        <v>45838</v>
      </c>
      <c r="B32" t="s">
        <v>368</v>
      </c>
      <c r="C32" t="s">
        <v>193</v>
      </c>
      <c r="D32" s="4">
        <v>36987.85</v>
      </c>
      <c r="E32" s="4">
        <v>138971.16</v>
      </c>
      <c r="F32" s="4">
        <v>148366.24</v>
      </c>
      <c r="G32" s="4">
        <v>84150.53</v>
      </c>
      <c r="H32" s="4">
        <v>317332.19</v>
      </c>
      <c r="I32" s="4">
        <v>169539.83</v>
      </c>
      <c r="J32" s="4">
        <v>895347.8</v>
      </c>
      <c r="K32" s="6">
        <v>0.19700000000000001</v>
      </c>
    </row>
    <row r="33" spans="1:11" x14ac:dyDescent="0.3">
      <c r="A33" s="25">
        <v>45869</v>
      </c>
      <c r="B33" t="s">
        <v>368</v>
      </c>
      <c r="C33" t="s">
        <v>193</v>
      </c>
      <c r="D33" s="4">
        <v>332761.81</v>
      </c>
      <c r="E33" s="4">
        <v>49252.13</v>
      </c>
      <c r="F33" s="4">
        <v>138718.35</v>
      </c>
      <c r="G33" s="4">
        <v>252344.26</v>
      </c>
      <c r="H33" s="4">
        <v>5749.92</v>
      </c>
      <c r="I33" s="4">
        <v>143747.18</v>
      </c>
      <c r="J33" s="4">
        <v>922573.65</v>
      </c>
      <c r="K33" s="6">
        <v>0.2094</v>
      </c>
    </row>
    <row r="34" spans="1:11" x14ac:dyDescent="0.3">
      <c r="A34" s="25">
        <v>45900</v>
      </c>
      <c r="B34" t="s">
        <v>368</v>
      </c>
      <c r="C34" t="s">
        <v>193</v>
      </c>
      <c r="D34" s="4">
        <v>28703.13</v>
      </c>
      <c r="E34" s="4">
        <v>174741.82</v>
      </c>
      <c r="F34" s="4">
        <v>39227.279999999999</v>
      </c>
      <c r="G34" s="4">
        <v>64903.54</v>
      </c>
      <c r="H34" s="4">
        <v>154163.79999999999</v>
      </c>
      <c r="I34" s="4">
        <v>13205.43</v>
      </c>
      <c r="J34" s="4">
        <v>474945</v>
      </c>
      <c r="K34" s="6">
        <v>0.104</v>
      </c>
    </row>
    <row r="35" spans="1:11" x14ac:dyDescent="0.3">
      <c r="A35" s="25">
        <v>45930</v>
      </c>
      <c r="B35" t="s">
        <v>368</v>
      </c>
      <c r="C35" t="s">
        <v>193</v>
      </c>
      <c r="D35" s="4">
        <v>197364.6</v>
      </c>
      <c r="E35" s="4">
        <v>23947.4</v>
      </c>
      <c r="F35" s="4">
        <v>153004.31</v>
      </c>
      <c r="G35" s="4">
        <v>236684.69</v>
      </c>
      <c r="H35" s="4">
        <v>131652.19</v>
      </c>
      <c r="I35" s="4">
        <v>51460.73</v>
      </c>
      <c r="J35" s="4">
        <v>794113.92</v>
      </c>
      <c r="K35" s="6">
        <v>0.1721</v>
      </c>
    </row>
    <row r="36" spans="1:11" x14ac:dyDescent="0.3">
      <c r="A36" s="25">
        <v>45961</v>
      </c>
      <c r="B36" t="s">
        <v>368</v>
      </c>
      <c r="C36" t="s">
        <v>193</v>
      </c>
      <c r="D36" s="4">
        <v>156129.12</v>
      </c>
      <c r="E36" s="4">
        <v>140471.5</v>
      </c>
      <c r="F36" s="4">
        <v>500679.62</v>
      </c>
      <c r="G36" s="4">
        <v>188374.42</v>
      </c>
      <c r="H36" s="4">
        <v>24491.22</v>
      </c>
      <c r="I36" s="4">
        <v>73740.820000000007</v>
      </c>
      <c r="J36" s="4">
        <v>1083886.7</v>
      </c>
      <c r="K36" s="6">
        <v>0.2263</v>
      </c>
    </row>
    <row r="37" spans="1:11" x14ac:dyDescent="0.3">
      <c r="A37" s="25">
        <v>45991</v>
      </c>
      <c r="B37" t="s">
        <v>368</v>
      </c>
      <c r="C37" t="s">
        <v>193</v>
      </c>
      <c r="D37" s="4">
        <v>84174.8</v>
      </c>
      <c r="E37" s="4">
        <v>313869.56</v>
      </c>
      <c r="F37" s="4">
        <v>43114.07</v>
      </c>
      <c r="G37" s="4">
        <v>113758.43</v>
      </c>
      <c r="H37" s="4">
        <v>236528.52</v>
      </c>
      <c r="I37" s="4">
        <v>57350.1</v>
      </c>
      <c r="J37" s="4">
        <v>848795.48</v>
      </c>
      <c r="K37" s="6">
        <v>0.18890000000000001</v>
      </c>
    </row>
    <row r="38" spans="1:11" x14ac:dyDescent="0.3">
      <c r="A38" s="25">
        <v>45657</v>
      </c>
      <c r="B38" t="s">
        <v>368</v>
      </c>
      <c r="C38" t="s">
        <v>186</v>
      </c>
      <c r="D38" s="4">
        <v>30535.11</v>
      </c>
      <c r="E38" s="4">
        <v>599308.24</v>
      </c>
      <c r="F38" s="4">
        <v>20079.47</v>
      </c>
      <c r="G38" s="4">
        <v>63621.41</v>
      </c>
      <c r="H38" s="4">
        <v>239144.21</v>
      </c>
      <c r="I38" s="4">
        <v>80977.34</v>
      </c>
      <c r="J38" s="4">
        <v>1033665.78</v>
      </c>
      <c r="K38" s="6">
        <v>0.1298</v>
      </c>
    </row>
    <row r="39" spans="1:11" x14ac:dyDescent="0.3">
      <c r="A39" s="25">
        <v>45688</v>
      </c>
      <c r="B39" t="s">
        <v>368</v>
      </c>
      <c r="C39" t="s">
        <v>186</v>
      </c>
      <c r="D39" s="4">
        <v>288388.53000000003</v>
      </c>
      <c r="E39" s="4">
        <v>527894.16</v>
      </c>
      <c r="F39" s="4">
        <v>52037.13</v>
      </c>
      <c r="G39" s="4">
        <v>209321.31</v>
      </c>
      <c r="H39" s="4">
        <v>202.88</v>
      </c>
      <c r="I39" s="4">
        <v>195482.69</v>
      </c>
      <c r="J39" s="4">
        <v>1273326.7</v>
      </c>
      <c r="K39" s="6">
        <v>0.15770000000000001</v>
      </c>
    </row>
    <row r="40" spans="1:11" x14ac:dyDescent="0.3">
      <c r="A40" s="25">
        <v>45716</v>
      </c>
      <c r="B40" t="s">
        <v>368</v>
      </c>
      <c r="C40" t="s">
        <v>186</v>
      </c>
      <c r="D40" s="4">
        <v>328019.53999999998</v>
      </c>
      <c r="E40" s="4">
        <v>66378.44</v>
      </c>
      <c r="F40" s="4">
        <v>104883.81</v>
      </c>
      <c r="G40" s="4">
        <v>297466.49</v>
      </c>
      <c r="H40" s="4">
        <v>474390.21</v>
      </c>
      <c r="I40" s="4">
        <v>168353.84</v>
      </c>
      <c r="J40" s="4">
        <v>1439492.33</v>
      </c>
      <c r="K40" s="6">
        <v>0.1731</v>
      </c>
    </row>
    <row r="41" spans="1:11" x14ac:dyDescent="0.3">
      <c r="A41" s="25">
        <v>45747</v>
      </c>
      <c r="B41" t="s">
        <v>368</v>
      </c>
      <c r="C41" t="s">
        <v>186</v>
      </c>
      <c r="D41" s="4">
        <v>307632.65000000002</v>
      </c>
      <c r="E41" s="4">
        <v>1920.45</v>
      </c>
      <c r="F41" s="4">
        <v>10009.14</v>
      </c>
      <c r="G41" s="4">
        <v>155989.49</v>
      </c>
      <c r="H41" s="4">
        <v>373848.75</v>
      </c>
      <c r="I41" s="4">
        <v>425372.96</v>
      </c>
      <c r="J41" s="4">
        <v>1274773.44</v>
      </c>
      <c r="K41" s="6">
        <v>0.15379999999999999</v>
      </c>
    </row>
    <row r="42" spans="1:11" x14ac:dyDescent="0.3">
      <c r="A42" s="25">
        <v>45777</v>
      </c>
      <c r="B42" t="s">
        <v>368</v>
      </c>
      <c r="C42" t="s">
        <v>186</v>
      </c>
      <c r="D42" s="4">
        <v>135426.73000000001</v>
      </c>
      <c r="E42" s="4">
        <v>640309.99</v>
      </c>
      <c r="F42" s="4">
        <v>638394.55000000005</v>
      </c>
      <c r="G42" s="4">
        <v>36306.57</v>
      </c>
      <c r="H42" s="4">
        <v>120810.29</v>
      </c>
      <c r="I42" s="4">
        <v>54229.43</v>
      </c>
      <c r="J42" s="4">
        <v>1625477.56</v>
      </c>
      <c r="K42" s="6">
        <v>0.20130000000000001</v>
      </c>
    </row>
    <row r="43" spans="1:11" x14ac:dyDescent="0.3">
      <c r="A43" s="25">
        <v>45808</v>
      </c>
      <c r="B43" t="s">
        <v>368</v>
      </c>
      <c r="C43" t="s">
        <v>186</v>
      </c>
      <c r="D43" s="4">
        <v>79270.03</v>
      </c>
      <c r="E43" s="4">
        <v>221199.46</v>
      </c>
      <c r="F43" s="4">
        <v>7577.53</v>
      </c>
      <c r="G43" s="4">
        <v>419558.84</v>
      </c>
      <c r="H43" s="4">
        <v>71948.539999999994</v>
      </c>
      <c r="I43" s="4">
        <v>463978.9</v>
      </c>
      <c r="J43" s="4">
        <v>1263533.3</v>
      </c>
      <c r="K43" s="6">
        <v>0.15709999999999999</v>
      </c>
    </row>
    <row r="44" spans="1:11" x14ac:dyDescent="0.3">
      <c r="A44" s="25">
        <v>45838</v>
      </c>
      <c r="B44" t="s">
        <v>368</v>
      </c>
      <c r="C44" t="s">
        <v>186</v>
      </c>
      <c r="D44" s="4">
        <v>54334.17</v>
      </c>
      <c r="E44" s="4">
        <v>59505.93</v>
      </c>
      <c r="F44" s="4">
        <v>664953.1</v>
      </c>
      <c r="G44" s="4">
        <v>212021.81</v>
      </c>
      <c r="H44" s="4">
        <v>267123.65000000002</v>
      </c>
      <c r="I44" s="4">
        <v>304663.09999999998</v>
      </c>
      <c r="J44" s="4">
        <v>1562601.76</v>
      </c>
      <c r="K44" s="6">
        <v>0.18659999999999999</v>
      </c>
    </row>
    <row r="45" spans="1:11" x14ac:dyDescent="0.3">
      <c r="A45" s="25">
        <v>45869</v>
      </c>
      <c r="B45" t="s">
        <v>368</v>
      </c>
      <c r="C45" t="s">
        <v>186</v>
      </c>
      <c r="D45" s="4">
        <v>139510.29999999999</v>
      </c>
      <c r="E45" s="4">
        <v>61647.08</v>
      </c>
      <c r="F45" s="4">
        <v>496561.81</v>
      </c>
      <c r="G45" s="4">
        <v>177863.03</v>
      </c>
      <c r="H45" s="4">
        <v>39817.15</v>
      </c>
      <c r="I45" s="4">
        <v>532668.04</v>
      </c>
      <c r="J45" s="4">
        <v>1448067.41</v>
      </c>
      <c r="K45" s="6">
        <v>0.17549999999999999</v>
      </c>
    </row>
    <row r="46" spans="1:11" x14ac:dyDescent="0.3">
      <c r="A46" s="25">
        <v>45900</v>
      </c>
      <c r="B46" t="s">
        <v>368</v>
      </c>
      <c r="C46" t="s">
        <v>186</v>
      </c>
      <c r="D46" s="4">
        <v>91849.02</v>
      </c>
      <c r="E46" s="4">
        <v>27689.200000000001</v>
      </c>
      <c r="F46" s="4">
        <v>146018.34</v>
      </c>
      <c r="G46" s="4">
        <v>258286.51</v>
      </c>
      <c r="H46" s="4">
        <v>624637.59</v>
      </c>
      <c r="I46" s="4">
        <v>107796.2</v>
      </c>
      <c r="J46" s="4">
        <v>1256276.8600000001</v>
      </c>
      <c r="K46" s="6">
        <v>0.1497</v>
      </c>
    </row>
    <row r="47" spans="1:11" x14ac:dyDescent="0.3">
      <c r="A47" s="25">
        <v>45930</v>
      </c>
      <c r="B47" t="s">
        <v>368</v>
      </c>
      <c r="C47" t="s">
        <v>186</v>
      </c>
      <c r="D47" s="4">
        <v>337673.83</v>
      </c>
      <c r="E47" s="4">
        <v>440105.25</v>
      </c>
      <c r="F47" s="4">
        <v>119843.85</v>
      </c>
      <c r="G47" s="4">
        <v>138387.59</v>
      </c>
      <c r="H47" s="4">
        <v>149563.07</v>
      </c>
      <c r="I47" s="4">
        <v>469093.67</v>
      </c>
      <c r="J47" s="4">
        <v>1654667.26</v>
      </c>
      <c r="K47" s="6">
        <v>0.1933</v>
      </c>
    </row>
    <row r="48" spans="1:11" x14ac:dyDescent="0.3">
      <c r="A48" s="25">
        <v>45961</v>
      </c>
      <c r="B48" t="s">
        <v>368</v>
      </c>
      <c r="C48" t="s">
        <v>186</v>
      </c>
      <c r="D48" s="4">
        <v>383967</v>
      </c>
      <c r="E48" s="4">
        <v>150997.79999999999</v>
      </c>
      <c r="F48" s="4">
        <v>3131.19</v>
      </c>
      <c r="G48" s="4">
        <v>279588.68</v>
      </c>
      <c r="H48" s="4">
        <v>887450.95</v>
      </c>
      <c r="I48" s="4">
        <v>182825.64</v>
      </c>
      <c r="J48" s="4">
        <v>1887961.26</v>
      </c>
      <c r="K48" s="6">
        <v>0.2172</v>
      </c>
    </row>
    <row r="49" spans="1:11" x14ac:dyDescent="0.3">
      <c r="A49" s="25">
        <v>45991</v>
      </c>
      <c r="B49" t="s">
        <v>368</v>
      </c>
      <c r="C49" t="s">
        <v>186</v>
      </c>
      <c r="D49" s="4">
        <v>753152.37</v>
      </c>
      <c r="E49" s="4">
        <v>13554.3</v>
      </c>
      <c r="F49" s="4">
        <v>131179.99</v>
      </c>
      <c r="G49" s="4">
        <v>24393.51</v>
      </c>
      <c r="H49" s="4">
        <v>220982.82</v>
      </c>
      <c r="I49" s="4">
        <v>388111.19</v>
      </c>
      <c r="J49" s="4">
        <v>1531374.18</v>
      </c>
      <c r="K49" s="6">
        <v>0.1817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0BB8-24B0-44FF-9674-78AEC898C568}">
  <sheetPr>
    <tabColor theme="4" tint="0.39997558519241921"/>
  </sheetPr>
  <dimension ref="A1:H481"/>
  <sheetViews>
    <sheetView workbookViewId="0">
      <selection activeCell="M45" sqref="M45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2.5546875" bestFit="1" customWidth="1"/>
    <col min="4" max="4" width="21.5546875" bestFit="1" customWidth="1"/>
    <col min="5" max="5" width="14.109375" bestFit="1" customWidth="1"/>
    <col min="6" max="6" width="18.33203125" bestFit="1" customWidth="1"/>
    <col min="7" max="7" width="18.109375" bestFit="1" customWidth="1"/>
    <col min="8" max="8" width="10.88671875" bestFit="1" customWidth="1"/>
  </cols>
  <sheetData>
    <row r="1" spans="1:8" x14ac:dyDescent="0.3">
      <c r="A1" s="13" t="s">
        <v>267</v>
      </c>
      <c r="B1" s="13" t="s">
        <v>290</v>
      </c>
      <c r="C1" s="13" t="s">
        <v>22</v>
      </c>
      <c r="D1" s="13" t="s">
        <v>333</v>
      </c>
      <c r="E1" s="13" t="s">
        <v>289</v>
      </c>
      <c r="F1" s="13" t="s">
        <v>288</v>
      </c>
      <c r="G1" s="13" t="s">
        <v>287</v>
      </c>
      <c r="H1" s="13" t="s">
        <v>379</v>
      </c>
    </row>
    <row r="2" spans="1:8" x14ac:dyDescent="0.3">
      <c r="A2" s="25">
        <v>45657</v>
      </c>
      <c r="B2" t="s">
        <v>368</v>
      </c>
      <c r="C2" t="s">
        <v>192</v>
      </c>
      <c r="D2" t="s">
        <v>378</v>
      </c>
      <c r="E2">
        <v>466605.45</v>
      </c>
      <c r="F2">
        <v>63558.69</v>
      </c>
      <c r="G2">
        <v>403046.76</v>
      </c>
      <c r="H2">
        <v>0.86380000000000001</v>
      </c>
    </row>
    <row r="3" spans="1:8" x14ac:dyDescent="0.3">
      <c r="A3" s="25">
        <v>45657</v>
      </c>
      <c r="B3" t="s">
        <v>368</v>
      </c>
      <c r="C3" t="s">
        <v>192</v>
      </c>
      <c r="D3" t="s">
        <v>377</v>
      </c>
      <c r="E3">
        <v>524177.82</v>
      </c>
      <c r="F3">
        <v>71400.91</v>
      </c>
      <c r="G3">
        <v>452776.91</v>
      </c>
      <c r="H3">
        <v>0.86380000000000001</v>
      </c>
    </row>
    <row r="4" spans="1:8" x14ac:dyDescent="0.3">
      <c r="A4" s="25">
        <v>45657</v>
      </c>
      <c r="B4" t="s">
        <v>368</v>
      </c>
      <c r="C4" t="s">
        <v>192</v>
      </c>
      <c r="D4" t="s">
        <v>376</v>
      </c>
      <c r="E4">
        <v>393594.13</v>
      </c>
      <c r="F4">
        <v>53613.45</v>
      </c>
      <c r="G4">
        <v>339980.68</v>
      </c>
      <c r="H4">
        <v>0.86380000000000001</v>
      </c>
    </row>
    <row r="5" spans="1:8" x14ac:dyDescent="0.3">
      <c r="A5" s="25">
        <v>45657</v>
      </c>
      <c r="B5" t="s">
        <v>368</v>
      </c>
      <c r="C5" t="s">
        <v>192</v>
      </c>
      <c r="D5" t="s">
        <v>375</v>
      </c>
      <c r="E5">
        <v>181904.58</v>
      </c>
      <c r="F5">
        <v>24778.14</v>
      </c>
      <c r="G5">
        <v>157126.44</v>
      </c>
      <c r="H5">
        <v>0.86380000000000001</v>
      </c>
    </row>
    <row r="6" spans="1:8" x14ac:dyDescent="0.3">
      <c r="A6" s="25">
        <v>45657</v>
      </c>
      <c r="B6" t="s">
        <v>368</v>
      </c>
      <c r="C6" t="s">
        <v>192</v>
      </c>
      <c r="D6" t="s">
        <v>374</v>
      </c>
      <c r="E6">
        <v>194385.32</v>
      </c>
      <c r="F6">
        <v>26478.21</v>
      </c>
      <c r="G6">
        <v>167907.12</v>
      </c>
      <c r="H6">
        <v>0.86380000000000001</v>
      </c>
    </row>
    <row r="7" spans="1:8" x14ac:dyDescent="0.3">
      <c r="A7" s="25">
        <v>45657</v>
      </c>
      <c r="B7" t="s">
        <v>368</v>
      </c>
      <c r="C7" t="s">
        <v>192</v>
      </c>
      <c r="D7" t="s">
        <v>373</v>
      </c>
      <c r="E7">
        <v>77960.039999999994</v>
      </c>
      <c r="F7">
        <v>10619.33</v>
      </c>
      <c r="G7">
        <v>67340.710000000006</v>
      </c>
      <c r="H7">
        <v>0.86380000000000001</v>
      </c>
    </row>
    <row r="8" spans="1:8" x14ac:dyDescent="0.3">
      <c r="A8" s="25">
        <v>45657</v>
      </c>
      <c r="B8" t="s">
        <v>368</v>
      </c>
      <c r="C8" t="s">
        <v>192</v>
      </c>
      <c r="D8" t="s">
        <v>372</v>
      </c>
      <c r="E8">
        <v>234882.53</v>
      </c>
      <c r="F8">
        <v>31994.54</v>
      </c>
      <c r="G8">
        <v>202887.99</v>
      </c>
      <c r="H8">
        <v>0.86380000000000001</v>
      </c>
    </row>
    <row r="9" spans="1:8" x14ac:dyDescent="0.3">
      <c r="A9" s="25">
        <v>45657</v>
      </c>
      <c r="B9" t="s">
        <v>368</v>
      </c>
      <c r="C9" t="s">
        <v>192</v>
      </c>
      <c r="D9" t="s">
        <v>371</v>
      </c>
      <c r="E9">
        <v>134355.04</v>
      </c>
      <c r="F9">
        <v>18301.18</v>
      </c>
      <c r="G9">
        <v>116053.86</v>
      </c>
      <c r="H9">
        <v>0.86380000000000001</v>
      </c>
    </row>
    <row r="10" spans="1:8" x14ac:dyDescent="0.3">
      <c r="A10" s="25">
        <v>45657</v>
      </c>
      <c r="B10" t="s">
        <v>368</v>
      </c>
      <c r="C10" t="s">
        <v>192</v>
      </c>
      <c r="D10" t="s">
        <v>370</v>
      </c>
      <c r="E10">
        <v>110054.28</v>
      </c>
      <c r="F10">
        <v>14991.05</v>
      </c>
      <c r="G10">
        <v>95063.23</v>
      </c>
      <c r="H10">
        <v>0.86380000000000001</v>
      </c>
    </row>
    <row r="11" spans="1:8" x14ac:dyDescent="0.3">
      <c r="A11" s="25">
        <v>45657</v>
      </c>
      <c r="B11" t="s">
        <v>368</v>
      </c>
      <c r="C11" t="s">
        <v>192</v>
      </c>
      <c r="D11" t="s">
        <v>369</v>
      </c>
      <c r="E11">
        <v>122253.83</v>
      </c>
      <c r="F11">
        <v>16652.810000000001</v>
      </c>
      <c r="G11">
        <v>105601</v>
      </c>
      <c r="H11">
        <v>0.86380000000000001</v>
      </c>
    </row>
    <row r="12" spans="1:8" x14ac:dyDescent="0.3">
      <c r="A12" s="25">
        <v>45688</v>
      </c>
      <c r="B12" t="s">
        <v>368</v>
      </c>
      <c r="C12" t="s">
        <v>192</v>
      </c>
      <c r="D12" t="s">
        <v>378</v>
      </c>
      <c r="E12">
        <v>446197.54</v>
      </c>
      <c r="F12">
        <v>105304.01</v>
      </c>
      <c r="G12">
        <v>340893.53</v>
      </c>
      <c r="H12">
        <v>0.76400000000000001</v>
      </c>
    </row>
    <row r="13" spans="1:8" x14ac:dyDescent="0.3">
      <c r="A13" s="25">
        <v>45688</v>
      </c>
      <c r="B13" t="s">
        <v>368</v>
      </c>
      <c r="C13" t="s">
        <v>192</v>
      </c>
      <c r="D13" t="s">
        <v>377</v>
      </c>
      <c r="E13">
        <v>569236.29</v>
      </c>
      <c r="F13">
        <v>134341.54</v>
      </c>
      <c r="G13">
        <v>434894.75</v>
      </c>
      <c r="H13">
        <v>0.76400000000000001</v>
      </c>
    </row>
    <row r="14" spans="1:8" x14ac:dyDescent="0.3">
      <c r="A14" s="25">
        <v>45688</v>
      </c>
      <c r="B14" t="s">
        <v>368</v>
      </c>
      <c r="C14" t="s">
        <v>192</v>
      </c>
      <c r="D14" t="s">
        <v>376</v>
      </c>
      <c r="E14">
        <v>306954.38</v>
      </c>
      <c r="F14">
        <v>72442.19</v>
      </c>
      <c r="G14">
        <v>234512.19</v>
      </c>
      <c r="H14">
        <v>0.76400000000000001</v>
      </c>
    </row>
    <row r="15" spans="1:8" x14ac:dyDescent="0.3">
      <c r="A15" s="25">
        <v>45688</v>
      </c>
      <c r="B15" t="s">
        <v>368</v>
      </c>
      <c r="C15" t="s">
        <v>192</v>
      </c>
      <c r="D15" t="s">
        <v>375</v>
      </c>
      <c r="E15">
        <v>310473.15999999997</v>
      </c>
      <c r="F15">
        <v>73272.639999999999</v>
      </c>
      <c r="G15">
        <v>237200.52</v>
      </c>
      <c r="H15">
        <v>0.76400000000000001</v>
      </c>
    </row>
    <row r="16" spans="1:8" x14ac:dyDescent="0.3">
      <c r="A16" s="25">
        <v>45688</v>
      </c>
      <c r="B16" t="s">
        <v>368</v>
      </c>
      <c r="C16" t="s">
        <v>192</v>
      </c>
      <c r="D16" t="s">
        <v>374</v>
      </c>
      <c r="E16">
        <v>219704.41</v>
      </c>
      <c r="F16">
        <v>51850.93</v>
      </c>
      <c r="G16">
        <v>167853.48</v>
      </c>
      <c r="H16">
        <v>0.76400000000000001</v>
      </c>
    </row>
    <row r="17" spans="1:8" x14ac:dyDescent="0.3">
      <c r="A17" s="25">
        <v>45688</v>
      </c>
      <c r="B17" t="s">
        <v>368</v>
      </c>
      <c r="C17" t="s">
        <v>192</v>
      </c>
      <c r="D17" t="s">
        <v>373</v>
      </c>
      <c r="E17">
        <v>25050.31</v>
      </c>
      <c r="F17">
        <v>5911.95</v>
      </c>
      <c r="G17">
        <v>19138.36</v>
      </c>
      <c r="H17">
        <v>0.76400000000000001</v>
      </c>
    </row>
    <row r="18" spans="1:8" x14ac:dyDescent="0.3">
      <c r="A18" s="25">
        <v>45688</v>
      </c>
      <c r="B18" t="s">
        <v>368</v>
      </c>
      <c r="C18" t="s">
        <v>192</v>
      </c>
      <c r="D18" t="s">
        <v>372</v>
      </c>
      <c r="E18">
        <v>315792.19</v>
      </c>
      <c r="F18">
        <v>74527.94</v>
      </c>
      <c r="G18">
        <v>241264.24</v>
      </c>
      <c r="H18">
        <v>0.76400000000000001</v>
      </c>
    </row>
    <row r="19" spans="1:8" x14ac:dyDescent="0.3">
      <c r="A19" s="25">
        <v>45688</v>
      </c>
      <c r="B19" t="s">
        <v>368</v>
      </c>
      <c r="C19" t="s">
        <v>192</v>
      </c>
      <c r="D19" t="s">
        <v>371</v>
      </c>
      <c r="E19">
        <v>61147.58</v>
      </c>
      <c r="F19">
        <v>14431.02</v>
      </c>
      <c r="G19">
        <v>46716.56</v>
      </c>
      <c r="H19">
        <v>0.76400000000000001</v>
      </c>
    </row>
    <row r="20" spans="1:8" x14ac:dyDescent="0.3">
      <c r="A20" s="25">
        <v>45688</v>
      </c>
      <c r="B20" t="s">
        <v>368</v>
      </c>
      <c r="C20" t="s">
        <v>192</v>
      </c>
      <c r="D20" t="s">
        <v>370</v>
      </c>
      <c r="E20">
        <v>219530.1</v>
      </c>
      <c r="F20">
        <v>51809.79</v>
      </c>
      <c r="G20">
        <v>167720.31</v>
      </c>
      <c r="H20">
        <v>0.76400000000000001</v>
      </c>
    </row>
    <row r="21" spans="1:8" x14ac:dyDescent="0.3">
      <c r="A21" s="25">
        <v>45688</v>
      </c>
      <c r="B21" t="s">
        <v>368</v>
      </c>
      <c r="C21" t="s">
        <v>192</v>
      </c>
      <c r="D21" t="s">
        <v>369</v>
      </c>
      <c r="E21">
        <v>171825.52</v>
      </c>
      <c r="F21">
        <v>40551.370000000003</v>
      </c>
      <c r="G21">
        <v>131274.16</v>
      </c>
      <c r="H21">
        <v>0.76400000000000001</v>
      </c>
    </row>
    <row r="22" spans="1:8" x14ac:dyDescent="0.3">
      <c r="A22" s="25">
        <v>45716</v>
      </c>
      <c r="B22" t="s">
        <v>368</v>
      </c>
      <c r="C22" t="s">
        <v>192</v>
      </c>
      <c r="D22" t="s">
        <v>378</v>
      </c>
      <c r="E22">
        <v>338363.57</v>
      </c>
      <c r="F22">
        <v>56334.26</v>
      </c>
      <c r="G22">
        <v>282029.3</v>
      </c>
      <c r="H22">
        <v>0.83350000000000002</v>
      </c>
    </row>
    <row r="23" spans="1:8" x14ac:dyDescent="0.3">
      <c r="A23" s="25">
        <v>45716</v>
      </c>
      <c r="B23" t="s">
        <v>368</v>
      </c>
      <c r="C23" t="s">
        <v>192</v>
      </c>
      <c r="D23" t="s">
        <v>377</v>
      </c>
      <c r="E23">
        <v>614572.84</v>
      </c>
      <c r="F23">
        <v>102320.44</v>
      </c>
      <c r="G23">
        <v>512252.41</v>
      </c>
      <c r="H23">
        <v>0.83350000000000002</v>
      </c>
    </row>
    <row r="24" spans="1:8" x14ac:dyDescent="0.3">
      <c r="A24" s="25">
        <v>45716</v>
      </c>
      <c r="B24" t="s">
        <v>368</v>
      </c>
      <c r="C24" t="s">
        <v>192</v>
      </c>
      <c r="D24" t="s">
        <v>376</v>
      </c>
      <c r="E24">
        <v>292253.57</v>
      </c>
      <c r="F24">
        <v>48657.4</v>
      </c>
      <c r="G24">
        <v>243596.18</v>
      </c>
      <c r="H24">
        <v>0.83350000000000002</v>
      </c>
    </row>
    <row r="25" spans="1:8" x14ac:dyDescent="0.3">
      <c r="A25" s="25">
        <v>45716</v>
      </c>
      <c r="B25" t="s">
        <v>368</v>
      </c>
      <c r="C25" t="s">
        <v>192</v>
      </c>
      <c r="D25" t="s">
        <v>375</v>
      </c>
      <c r="E25">
        <v>213061.27</v>
      </c>
      <c r="F25">
        <v>35472.639999999999</v>
      </c>
      <c r="G25">
        <v>177588.63</v>
      </c>
      <c r="H25">
        <v>0.83350000000000002</v>
      </c>
    </row>
    <row r="26" spans="1:8" x14ac:dyDescent="0.3">
      <c r="A26" s="25">
        <v>45716</v>
      </c>
      <c r="B26" t="s">
        <v>368</v>
      </c>
      <c r="C26" t="s">
        <v>192</v>
      </c>
      <c r="D26" t="s">
        <v>374</v>
      </c>
      <c r="E26">
        <v>277303.55</v>
      </c>
      <c r="F26">
        <v>46168.36</v>
      </c>
      <c r="G26">
        <v>231135.19</v>
      </c>
      <c r="H26">
        <v>0.83350000000000002</v>
      </c>
    </row>
    <row r="27" spans="1:8" x14ac:dyDescent="0.3">
      <c r="A27" s="25">
        <v>45716</v>
      </c>
      <c r="B27" t="s">
        <v>368</v>
      </c>
      <c r="C27" t="s">
        <v>192</v>
      </c>
      <c r="D27" t="s">
        <v>373</v>
      </c>
      <c r="E27">
        <v>56245.55</v>
      </c>
      <c r="F27">
        <v>9364.34</v>
      </c>
      <c r="G27">
        <v>46881.21</v>
      </c>
      <c r="H27">
        <v>0.83350000000000002</v>
      </c>
    </row>
    <row r="28" spans="1:8" x14ac:dyDescent="0.3">
      <c r="A28" s="25">
        <v>45716</v>
      </c>
      <c r="B28" t="s">
        <v>368</v>
      </c>
      <c r="C28" t="s">
        <v>192</v>
      </c>
      <c r="D28" t="s">
        <v>372</v>
      </c>
      <c r="E28">
        <v>209121.12</v>
      </c>
      <c r="F28">
        <v>34816.639999999999</v>
      </c>
      <c r="G28">
        <v>174304.47</v>
      </c>
      <c r="H28">
        <v>0.83350000000000002</v>
      </c>
    </row>
    <row r="29" spans="1:8" x14ac:dyDescent="0.3">
      <c r="A29" s="25">
        <v>45716</v>
      </c>
      <c r="B29" t="s">
        <v>368</v>
      </c>
      <c r="C29" t="s">
        <v>192</v>
      </c>
      <c r="D29" t="s">
        <v>371</v>
      </c>
      <c r="E29">
        <v>171776.47</v>
      </c>
      <c r="F29">
        <v>28599.119999999999</v>
      </c>
      <c r="G29">
        <v>143177.35</v>
      </c>
      <c r="H29">
        <v>0.83350000000000002</v>
      </c>
    </row>
    <row r="30" spans="1:8" x14ac:dyDescent="0.3">
      <c r="A30" s="25">
        <v>45716</v>
      </c>
      <c r="B30" t="s">
        <v>368</v>
      </c>
      <c r="C30" t="s">
        <v>192</v>
      </c>
      <c r="D30" t="s">
        <v>370</v>
      </c>
      <c r="E30">
        <v>249834.37</v>
      </c>
      <c r="F30">
        <v>41595.01</v>
      </c>
      <c r="G30">
        <v>208239.35999999999</v>
      </c>
      <c r="H30">
        <v>0.83350000000000002</v>
      </c>
    </row>
    <row r="31" spans="1:8" x14ac:dyDescent="0.3">
      <c r="A31" s="25">
        <v>45716</v>
      </c>
      <c r="B31" t="s">
        <v>368</v>
      </c>
      <c r="C31" t="s">
        <v>192</v>
      </c>
      <c r="D31" t="s">
        <v>369</v>
      </c>
      <c r="E31">
        <v>126204.59</v>
      </c>
      <c r="F31">
        <v>21011.85</v>
      </c>
      <c r="G31">
        <v>105192.74</v>
      </c>
      <c r="H31">
        <v>0.83350000000000002</v>
      </c>
    </row>
    <row r="32" spans="1:8" x14ac:dyDescent="0.3">
      <c r="A32" s="25">
        <v>45747</v>
      </c>
      <c r="B32" t="s">
        <v>368</v>
      </c>
      <c r="C32" t="s">
        <v>192</v>
      </c>
      <c r="D32" t="s">
        <v>378</v>
      </c>
      <c r="E32">
        <v>532422.78</v>
      </c>
      <c r="F32">
        <v>126188.97</v>
      </c>
      <c r="G32">
        <v>406233.81</v>
      </c>
      <c r="H32">
        <v>0.76300000000000001</v>
      </c>
    </row>
    <row r="33" spans="1:8" x14ac:dyDescent="0.3">
      <c r="A33" s="25">
        <v>45747</v>
      </c>
      <c r="B33" t="s">
        <v>368</v>
      </c>
      <c r="C33" t="s">
        <v>192</v>
      </c>
      <c r="D33" t="s">
        <v>377</v>
      </c>
      <c r="E33">
        <v>584275.85</v>
      </c>
      <c r="F33">
        <v>138478.60999999999</v>
      </c>
      <c r="G33">
        <v>445797.24</v>
      </c>
      <c r="H33">
        <v>0.76300000000000001</v>
      </c>
    </row>
    <row r="34" spans="1:8" x14ac:dyDescent="0.3">
      <c r="A34" s="25">
        <v>45747</v>
      </c>
      <c r="B34" t="s">
        <v>368</v>
      </c>
      <c r="C34" t="s">
        <v>192</v>
      </c>
      <c r="D34" t="s">
        <v>376</v>
      </c>
      <c r="E34">
        <v>135349.1</v>
      </c>
      <c r="F34">
        <v>32078.95</v>
      </c>
      <c r="G34">
        <v>103270.15</v>
      </c>
      <c r="H34">
        <v>0.76300000000000001</v>
      </c>
    </row>
    <row r="35" spans="1:8" x14ac:dyDescent="0.3">
      <c r="A35" s="25">
        <v>45747</v>
      </c>
      <c r="B35" t="s">
        <v>368</v>
      </c>
      <c r="C35" t="s">
        <v>192</v>
      </c>
      <c r="D35" t="s">
        <v>375</v>
      </c>
      <c r="E35">
        <v>208312.19</v>
      </c>
      <c r="F35">
        <v>49371.85</v>
      </c>
      <c r="G35">
        <v>158940.32999999999</v>
      </c>
      <c r="H35">
        <v>0.76300000000000001</v>
      </c>
    </row>
    <row r="36" spans="1:8" x14ac:dyDescent="0.3">
      <c r="A36" s="25">
        <v>45747</v>
      </c>
      <c r="B36" t="s">
        <v>368</v>
      </c>
      <c r="C36" t="s">
        <v>192</v>
      </c>
      <c r="D36" t="s">
        <v>374</v>
      </c>
      <c r="E36">
        <v>106847.4</v>
      </c>
      <c r="F36">
        <v>25323.79</v>
      </c>
      <c r="G36">
        <v>81523.61</v>
      </c>
      <c r="H36">
        <v>0.76300000000000001</v>
      </c>
    </row>
    <row r="37" spans="1:8" x14ac:dyDescent="0.3">
      <c r="A37" s="25">
        <v>45747</v>
      </c>
      <c r="B37" t="s">
        <v>368</v>
      </c>
      <c r="C37" t="s">
        <v>192</v>
      </c>
      <c r="D37" t="s">
        <v>373</v>
      </c>
      <c r="E37">
        <v>134673.43</v>
      </c>
      <c r="F37">
        <v>31918.81</v>
      </c>
      <c r="G37">
        <v>102754.62</v>
      </c>
      <c r="H37">
        <v>0.76300000000000001</v>
      </c>
    </row>
    <row r="38" spans="1:8" x14ac:dyDescent="0.3">
      <c r="A38" s="25">
        <v>45747</v>
      </c>
      <c r="B38" t="s">
        <v>368</v>
      </c>
      <c r="C38" t="s">
        <v>192</v>
      </c>
      <c r="D38" t="s">
        <v>372</v>
      </c>
      <c r="E38">
        <v>52638.95</v>
      </c>
      <c r="F38">
        <v>12475.9</v>
      </c>
      <c r="G38">
        <v>40163.050000000003</v>
      </c>
      <c r="H38">
        <v>0.76300000000000001</v>
      </c>
    </row>
    <row r="39" spans="1:8" x14ac:dyDescent="0.3">
      <c r="A39" s="25">
        <v>45747</v>
      </c>
      <c r="B39" t="s">
        <v>368</v>
      </c>
      <c r="C39" t="s">
        <v>192</v>
      </c>
      <c r="D39" t="s">
        <v>371</v>
      </c>
      <c r="E39">
        <v>337966.95</v>
      </c>
      <c r="F39">
        <v>80101.2</v>
      </c>
      <c r="G39">
        <v>257865.76</v>
      </c>
      <c r="H39">
        <v>0.76300000000000001</v>
      </c>
    </row>
    <row r="40" spans="1:8" x14ac:dyDescent="0.3">
      <c r="A40" s="25">
        <v>45747</v>
      </c>
      <c r="B40" t="s">
        <v>368</v>
      </c>
      <c r="C40" t="s">
        <v>192</v>
      </c>
      <c r="D40" t="s">
        <v>370</v>
      </c>
      <c r="E40">
        <v>212806.5</v>
      </c>
      <c r="F40">
        <v>50437.05</v>
      </c>
      <c r="G40">
        <v>162369.45000000001</v>
      </c>
      <c r="H40">
        <v>0.76300000000000001</v>
      </c>
    </row>
    <row r="41" spans="1:8" x14ac:dyDescent="0.3">
      <c r="A41" s="25">
        <v>45747</v>
      </c>
      <c r="B41" t="s">
        <v>368</v>
      </c>
      <c r="C41" t="s">
        <v>192</v>
      </c>
      <c r="D41" t="s">
        <v>369</v>
      </c>
      <c r="E41">
        <v>134885.10999999999</v>
      </c>
      <c r="F41">
        <v>31968.98</v>
      </c>
      <c r="G41">
        <v>102916.13</v>
      </c>
      <c r="H41">
        <v>0.76300000000000001</v>
      </c>
    </row>
    <row r="42" spans="1:8" x14ac:dyDescent="0.3">
      <c r="A42" s="25">
        <v>45777</v>
      </c>
      <c r="B42" t="s">
        <v>368</v>
      </c>
      <c r="C42" t="s">
        <v>192</v>
      </c>
      <c r="D42" t="s">
        <v>378</v>
      </c>
      <c r="E42">
        <v>518665.34</v>
      </c>
      <c r="F42">
        <v>68417.100000000006</v>
      </c>
      <c r="G42">
        <v>450248.24</v>
      </c>
      <c r="H42">
        <v>0.86809999999999998</v>
      </c>
    </row>
    <row r="43" spans="1:8" x14ac:dyDescent="0.3">
      <c r="A43" s="25">
        <v>45777</v>
      </c>
      <c r="B43" t="s">
        <v>368</v>
      </c>
      <c r="C43" t="s">
        <v>192</v>
      </c>
      <c r="D43" t="s">
        <v>377</v>
      </c>
      <c r="E43">
        <v>698888.9</v>
      </c>
      <c r="F43">
        <v>92190.38</v>
      </c>
      <c r="G43">
        <v>606698.52</v>
      </c>
      <c r="H43">
        <v>0.86809999999999998</v>
      </c>
    </row>
    <row r="44" spans="1:8" x14ac:dyDescent="0.3">
      <c r="A44" s="25">
        <v>45777</v>
      </c>
      <c r="B44" t="s">
        <v>368</v>
      </c>
      <c r="C44" t="s">
        <v>192</v>
      </c>
      <c r="D44" t="s">
        <v>376</v>
      </c>
      <c r="E44">
        <v>351773.81</v>
      </c>
      <c r="F44">
        <v>46402.45</v>
      </c>
      <c r="G44">
        <v>305371.36</v>
      </c>
      <c r="H44">
        <v>0.86809999999999998</v>
      </c>
    </row>
    <row r="45" spans="1:8" x14ac:dyDescent="0.3">
      <c r="A45" s="25">
        <v>45777</v>
      </c>
      <c r="B45" t="s">
        <v>368</v>
      </c>
      <c r="C45" t="s">
        <v>192</v>
      </c>
      <c r="D45" t="s">
        <v>375</v>
      </c>
      <c r="E45">
        <v>309264.08</v>
      </c>
      <c r="F45">
        <v>40795</v>
      </c>
      <c r="G45">
        <v>268469.08</v>
      </c>
      <c r="H45">
        <v>0.86809999999999998</v>
      </c>
    </row>
    <row r="46" spans="1:8" x14ac:dyDescent="0.3">
      <c r="A46" s="25">
        <v>45777</v>
      </c>
      <c r="B46" t="s">
        <v>368</v>
      </c>
      <c r="C46" t="s">
        <v>192</v>
      </c>
      <c r="D46" t="s">
        <v>374</v>
      </c>
      <c r="E46">
        <v>153882.15</v>
      </c>
      <c r="F46">
        <v>20298.580000000002</v>
      </c>
      <c r="G46">
        <v>133583.57</v>
      </c>
      <c r="H46">
        <v>0.86809999999999998</v>
      </c>
    </row>
    <row r="47" spans="1:8" x14ac:dyDescent="0.3">
      <c r="A47" s="25">
        <v>45777</v>
      </c>
      <c r="B47" t="s">
        <v>368</v>
      </c>
      <c r="C47" t="s">
        <v>192</v>
      </c>
      <c r="D47" t="s">
        <v>373</v>
      </c>
      <c r="E47">
        <v>86074.42</v>
      </c>
      <c r="F47">
        <v>11354.07</v>
      </c>
      <c r="G47">
        <v>74720.350000000006</v>
      </c>
      <c r="H47">
        <v>0.86809999999999998</v>
      </c>
    </row>
    <row r="48" spans="1:8" x14ac:dyDescent="0.3">
      <c r="A48" s="25">
        <v>45777</v>
      </c>
      <c r="B48" t="s">
        <v>368</v>
      </c>
      <c r="C48" t="s">
        <v>192</v>
      </c>
      <c r="D48" t="s">
        <v>372</v>
      </c>
      <c r="E48">
        <v>206376.37</v>
      </c>
      <c r="F48">
        <v>27223.09</v>
      </c>
      <c r="G48">
        <v>179153.28</v>
      </c>
      <c r="H48">
        <v>0.86809999999999998</v>
      </c>
    </row>
    <row r="49" spans="1:8" x14ac:dyDescent="0.3">
      <c r="A49" s="25">
        <v>45777</v>
      </c>
      <c r="B49" t="s">
        <v>368</v>
      </c>
      <c r="C49" t="s">
        <v>192</v>
      </c>
      <c r="D49" t="s">
        <v>371</v>
      </c>
      <c r="E49">
        <v>84780.24</v>
      </c>
      <c r="F49">
        <v>11183.35</v>
      </c>
      <c r="G49">
        <v>73596.88</v>
      </c>
      <c r="H49">
        <v>0.86809999999999998</v>
      </c>
    </row>
    <row r="50" spans="1:8" x14ac:dyDescent="0.3">
      <c r="A50" s="25">
        <v>45777</v>
      </c>
      <c r="B50" t="s">
        <v>368</v>
      </c>
      <c r="C50" t="s">
        <v>192</v>
      </c>
      <c r="D50" t="s">
        <v>370</v>
      </c>
      <c r="E50">
        <v>118900.04</v>
      </c>
      <c r="F50">
        <v>15684.1</v>
      </c>
      <c r="G50">
        <v>103215.95</v>
      </c>
      <c r="H50">
        <v>0.86809999999999998</v>
      </c>
    </row>
    <row r="51" spans="1:8" x14ac:dyDescent="0.3">
      <c r="A51" s="25">
        <v>45777</v>
      </c>
      <c r="B51" t="s">
        <v>368</v>
      </c>
      <c r="C51" t="s">
        <v>192</v>
      </c>
      <c r="D51" t="s">
        <v>369</v>
      </c>
      <c r="E51">
        <v>24073.91</v>
      </c>
      <c r="F51">
        <v>3175.59</v>
      </c>
      <c r="G51">
        <v>20898.32</v>
      </c>
      <c r="H51">
        <v>0.86809999999999998</v>
      </c>
    </row>
    <row r="52" spans="1:8" x14ac:dyDescent="0.3">
      <c r="A52" s="25">
        <v>45808</v>
      </c>
      <c r="B52" t="s">
        <v>368</v>
      </c>
      <c r="C52" t="s">
        <v>192</v>
      </c>
      <c r="D52" t="s">
        <v>378</v>
      </c>
      <c r="E52">
        <v>424543.79</v>
      </c>
      <c r="F52">
        <v>64437.54</v>
      </c>
      <c r="G52">
        <v>360106.25</v>
      </c>
      <c r="H52">
        <v>0.84819999999999995</v>
      </c>
    </row>
    <row r="53" spans="1:8" x14ac:dyDescent="0.3">
      <c r="A53" s="25">
        <v>45808</v>
      </c>
      <c r="B53" t="s">
        <v>368</v>
      </c>
      <c r="C53" t="s">
        <v>192</v>
      </c>
      <c r="D53" t="s">
        <v>377</v>
      </c>
      <c r="E53">
        <v>404803.17</v>
      </c>
      <c r="F53">
        <v>61441.29</v>
      </c>
      <c r="G53">
        <v>343361.87</v>
      </c>
      <c r="H53">
        <v>0.84819999999999995</v>
      </c>
    </row>
    <row r="54" spans="1:8" x14ac:dyDescent="0.3">
      <c r="A54" s="25">
        <v>45808</v>
      </c>
      <c r="B54" t="s">
        <v>368</v>
      </c>
      <c r="C54" t="s">
        <v>192</v>
      </c>
      <c r="D54" t="s">
        <v>376</v>
      </c>
      <c r="E54">
        <v>300335.75</v>
      </c>
      <c r="F54">
        <v>45585.16</v>
      </c>
      <c r="G54">
        <v>254750.59</v>
      </c>
      <c r="H54">
        <v>0.84819999999999995</v>
      </c>
    </row>
    <row r="55" spans="1:8" x14ac:dyDescent="0.3">
      <c r="A55" s="25">
        <v>45808</v>
      </c>
      <c r="B55" t="s">
        <v>368</v>
      </c>
      <c r="C55" t="s">
        <v>192</v>
      </c>
      <c r="D55" t="s">
        <v>375</v>
      </c>
      <c r="E55">
        <v>236274.76</v>
      </c>
      <c r="F55">
        <v>35861.94</v>
      </c>
      <c r="G55">
        <v>200412.82</v>
      </c>
      <c r="H55">
        <v>0.84819999999999995</v>
      </c>
    </row>
    <row r="56" spans="1:8" x14ac:dyDescent="0.3">
      <c r="A56" s="25">
        <v>45808</v>
      </c>
      <c r="B56" t="s">
        <v>368</v>
      </c>
      <c r="C56" t="s">
        <v>192</v>
      </c>
      <c r="D56" t="s">
        <v>374</v>
      </c>
      <c r="E56">
        <v>153856.9</v>
      </c>
      <c r="F56">
        <v>23352.5</v>
      </c>
      <c r="G56">
        <v>130504.4</v>
      </c>
      <c r="H56">
        <v>0.84819999999999995</v>
      </c>
    </row>
    <row r="57" spans="1:8" x14ac:dyDescent="0.3">
      <c r="A57" s="25">
        <v>45808</v>
      </c>
      <c r="B57" t="s">
        <v>368</v>
      </c>
      <c r="C57" t="s">
        <v>192</v>
      </c>
      <c r="D57" t="s">
        <v>373</v>
      </c>
      <c r="E57">
        <v>58133.56</v>
      </c>
      <c r="F57">
        <v>8823.5499999999993</v>
      </c>
      <c r="G57">
        <v>49310.01</v>
      </c>
      <c r="H57">
        <v>0.84819999999999995</v>
      </c>
    </row>
    <row r="58" spans="1:8" x14ac:dyDescent="0.3">
      <c r="A58" s="25">
        <v>45808</v>
      </c>
      <c r="B58" t="s">
        <v>368</v>
      </c>
      <c r="C58" t="s">
        <v>192</v>
      </c>
      <c r="D58" t="s">
        <v>372</v>
      </c>
      <c r="E58">
        <v>459376.92</v>
      </c>
      <c r="F58">
        <v>69724.53</v>
      </c>
      <c r="G58">
        <v>389652.39</v>
      </c>
      <c r="H58">
        <v>0.84819999999999995</v>
      </c>
    </row>
    <row r="59" spans="1:8" x14ac:dyDescent="0.3">
      <c r="A59" s="25">
        <v>45808</v>
      </c>
      <c r="B59" t="s">
        <v>368</v>
      </c>
      <c r="C59" t="s">
        <v>192</v>
      </c>
      <c r="D59" t="s">
        <v>371</v>
      </c>
      <c r="E59">
        <v>240797.67</v>
      </c>
      <c r="F59">
        <v>36548.43</v>
      </c>
      <c r="G59">
        <v>204249.24</v>
      </c>
      <c r="H59">
        <v>0.84819999999999995</v>
      </c>
    </row>
    <row r="60" spans="1:8" x14ac:dyDescent="0.3">
      <c r="A60" s="25">
        <v>45808</v>
      </c>
      <c r="B60" t="s">
        <v>368</v>
      </c>
      <c r="C60" t="s">
        <v>192</v>
      </c>
      <c r="D60" t="s">
        <v>370</v>
      </c>
      <c r="E60">
        <v>78026.559999999998</v>
      </c>
      <c r="F60">
        <v>11842.92</v>
      </c>
      <c r="G60">
        <v>66183.64</v>
      </c>
      <c r="H60">
        <v>0.84819999999999995</v>
      </c>
    </row>
    <row r="61" spans="1:8" x14ac:dyDescent="0.3">
      <c r="A61" s="25">
        <v>45808</v>
      </c>
      <c r="B61" t="s">
        <v>368</v>
      </c>
      <c r="C61" t="s">
        <v>192</v>
      </c>
      <c r="D61" t="s">
        <v>369</v>
      </c>
      <c r="E61">
        <v>136127.32</v>
      </c>
      <c r="F61">
        <v>20661.5</v>
      </c>
      <c r="G61">
        <v>115465.82</v>
      </c>
      <c r="H61">
        <v>0.84819999999999995</v>
      </c>
    </row>
    <row r="62" spans="1:8" x14ac:dyDescent="0.3">
      <c r="A62" s="25">
        <v>45838</v>
      </c>
      <c r="B62" t="s">
        <v>368</v>
      </c>
      <c r="C62" t="s">
        <v>192</v>
      </c>
      <c r="D62" t="s">
        <v>378</v>
      </c>
      <c r="E62">
        <v>417077.23</v>
      </c>
      <c r="F62">
        <v>69736.31</v>
      </c>
      <c r="G62">
        <v>347340.92</v>
      </c>
      <c r="H62">
        <v>0.83279999999999998</v>
      </c>
    </row>
    <row r="63" spans="1:8" x14ac:dyDescent="0.3">
      <c r="A63" s="25">
        <v>45838</v>
      </c>
      <c r="B63" t="s">
        <v>368</v>
      </c>
      <c r="C63" t="s">
        <v>192</v>
      </c>
      <c r="D63" t="s">
        <v>377</v>
      </c>
      <c r="E63">
        <v>488770.95</v>
      </c>
      <c r="F63">
        <v>81723.67</v>
      </c>
      <c r="G63">
        <v>407047.27</v>
      </c>
      <c r="H63">
        <v>0.83279999999999998</v>
      </c>
    </row>
    <row r="64" spans="1:8" x14ac:dyDescent="0.3">
      <c r="A64" s="25">
        <v>45838</v>
      </c>
      <c r="B64" t="s">
        <v>368</v>
      </c>
      <c r="C64" t="s">
        <v>192</v>
      </c>
      <c r="D64" t="s">
        <v>376</v>
      </c>
      <c r="E64">
        <v>205748.63</v>
      </c>
      <c r="F64">
        <v>34401.660000000003</v>
      </c>
      <c r="G64">
        <v>171346.97</v>
      </c>
      <c r="H64">
        <v>0.83279999999999998</v>
      </c>
    </row>
    <row r="65" spans="1:8" x14ac:dyDescent="0.3">
      <c r="A65" s="25">
        <v>45838</v>
      </c>
      <c r="B65" t="s">
        <v>368</v>
      </c>
      <c r="C65" t="s">
        <v>192</v>
      </c>
      <c r="D65" t="s">
        <v>375</v>
      </c>
      <c r="E65">
        <v>291269.83</v>
      </c>
      <c r="F65">
        <v>48701.01</v>
      </c>
      <c r="G65">
        <v>242568.82</v>
      </c>
      <c r="H65">
        <v>0.83279999999999998</v>
      </c>
    </row>
    <row r="66" spans="1:8" x14ac:dyDescent="0.3">
      <c r="A66" s="25">
        <v>45838</v>
      </c>
      <c r="B66" t="s">
        <v>368</v>
      </c>
      <c r="C66" t="s">
        <v>192</v>
      </c>
      <c r="D66" t="s">
        <v>374</v>
      </c>
      <c r="E66">
        <v>101996.83</v>
      </c>
      <c r="F66">
        <v>17054.11</v>
      </c>
      <c r="G66">
        <v>84942.71</v>
      </c>
      <c r="H66">
        <v>0.83279999999999998</v>
      </c>
    </row>
    <row r="67" spans="1:8" x14ac:dyDescent="0.3">
      <c r="A67" s="25">
        <v>45838</v>
      </c>
      <c r="B67" t="s">
        <v>368</v>
      </c>
      <c r="C67" t="s">
        <v>192</v>
      </c>
      <c r="D67" t="s">
        <v>373</v>
      </c>
      <c r="E67">
        <v>177997.45</v>
      </c>
      <c r="F67">
        <v>29761.599999999999</v>
      </c>
      <c r="G67">
        <v>148235.85</v>
      </c>
      <c r="H67">
        <v>0.83279999999999998</v>
      </c>
    </row>
    <row r="68" spans="1:8" x14ac:dyDescent="0.3">
      <c r="A68" s="25">
        <v>45838</v>
      </c>
      <c r="B68" t="s">
        <v>368</v>
      </c>
      <c r="C68" t="s">
        <v>192</v>
      </c>
      <c r="D68" t="s">
        <v>372</v>
      </c>
      <c r="E68">
        <v>334707.59999999998</v>
      </c>
      <c r="F68">
        <v>55963.91</v>
      </c>
      <c r="G68">
        <v>278743.69</v>
      </c>
      <c r="H68">
        <v>0.83279999999999998</v>
      </c>
    </row>
    <row r="69" spans="1:8" x14ac:dyDescent="0.3">
      <c r="A69" s="25">
        <v>45838</v>
      </c>
      <c r="B69" t="s">
        <v>368</v>
      </c>
      <c r="C69" t="s">
        <v>192</v>
      </c>
      <c r="D69" t="s">
        <v>371</v>
      </c>
      <c r="E69">
        <v>260976.35</v>
      </c>
      <c r="F69">
        <v>43635.87</v>
      </c>
      <c r="G69">
        <v>217340.48</v>
      </c>
      <c r="H69">
        <v>0.83279999999999998</v>
      </c>
    </row>
    <row r="70" spans="1:8" x14ac:dyDescent="0.3">
      <c r="A70" s="25">
        <v>45838</v>
      </c>
      <c r="B70" t="s">
        <v>368</v>
      </c>
      <c r="C70" t="s">
        <v>192</v>
      </c>
      <c r="D70" t="s">
        <v>370</v>
      </c>
      <c r="E70">
        <v>114553</v>
      </c>
      <c r="F70">
        <v>19153.54</v>
      </c>
      <c r="G70">
        <v>95399.47</v>
      </c>
      <c r="H70">
        <v>0.83279999999999998</v>
      </c>
    </row>
    <row r="71" spans="1:8" x14ac:dyDescent="0.3">
      <c r="A71" s="25">
        <v>45838</v>
      </c>
      <c r="B71" t="s">
        <v>368</v>
      </c>
      <c r="C71" t="s">
        <v>192</v>
      </c>
      <c r="D71" t="s">
        <v>369</v>
      </c>
      <c r="E71">
        <v>165688.78</v>
      </c>
      <c r="F71">
        <v>27703.57</v>
      </c>
      <c r="G71">
        <v>137985.22</v>
      </c>
      <c r="H71">
        <v>0.83279999999999998</v>
      </c>
    </row>
    <row r="72" spans="1:8" x14ac:dyDescent="0.3">
      <c r="A72" s="25">
        <v>45869</v>
      </c>
      <c r="B72" t="s">
        <v>368</v>
      </c>
      <c r="C72" t="s">
        <v>192</v>
      </c>
      <c r="D72" t="s">
        <v>378</v>
      </c>
      <c r="E72">
        <v>531231.93000000005</v>
      </c>
      <c r="F72">
        <v>67767.149999999994</v>
      </c>
      <c r="G72">
        <v>463464.78</v>
      </c>
      <c r="H72">
        <v>0.87239999999999995</v>
      </c>
    </row>
    <row r="73" spans="1:8" x14ac:dyDescent="0.3">
      <c r="A73" s="25">
        <v>45869</v>
      </c>
      <c r="B73" t="s">
        <v>368</v>
      </c>
      <c r="C73" t="s">
        <v>192</v>
      </c>
      <c r="D73" t="s">
        <v>377</v>
      </c>
      <c r="E73">
        <v>549389.73</v>
      </c>
      <c r="F73">
        <v>70083.47</v>
      </c>
      <c r="G73">
        <v>479306.26</v>
      </c>
      <c r="H73">
        <v>0.87239999999999995</v>
      </c>
    </row>
    <row r="74" spans="1:8" x14ac:dyDescent="0.3">
      <c r="A74" s="25">
        <v>45869</v>
      </c>
      <c r="B74" t="s">
        <v>368</v>
      </c>
      <c r="C74" t="s">
        <v>192</v>
      </c>
      <c r="D74" t="s">
        <v>376</v>
      </c>
      <c r="E74">
        <v>258567.61</v>
      </c>
      <c r="F74">
        <v>32984.449999999997</v>
      </c>
      <c r="G74">
        <v>225583.16</v>
      </c>
      <c r="H74">
        <v>0.87239999999999995</v>
      </c>
    </row>
    <row r="75" spans="1:8" x14ac:dyDescent="0.3">
      <c r="A75" s="25">
        <v>45869</v>
      </c>
      <c r="B75" t="s">
        <v>368</v>
      </c>
      <c r="C75" t="s">
        <v>192</v>
      </c>
      <c r="D75" t="s">
        <v>375</v>
      </c>
      <c r="E75">
        <v>395902</v>
      </c>
      <c r="F75">
        <v>50503.65</v>
      </c>
      <c r="G75">
        <v>345398.35</v>
      </c>
      <c r="H75">
        <v>0.87239999999999995</v>
      </c>
    </row>
    <row r="76" spans="1:8" x14ac:dyDescent="0.3">
      <c r="A76" s="25">
        <v>45869</v>
      </c>
      <c r="B76" t="s">
        <v>368</v>
      </c>
      <c r="C76" t="s">
        <v>192</v>
      </c>
      <c r="D76" t="s">
        <v>374</v>
      </c>
      <c r="E76">
        <v>178413.13</v>
      </c>
      <c r="F76">
        <v>22759.46</v>
      </c>
      <c r="G76">
        <v>155653.68</v>
      </c>
      <c r="H76">
        <v>0.87239999999999995</v>
      </c>
    </row>
    <row r="77" spans="1:8" x14ac:dyDescent="0.3">
      <c r="A77" s="25">
        <v>45869</v>
      </c>
      <c r="B77" t="s">
        <v>368</v>
      </c>
      <c r="C77" t="s">
        <v>192</v>
      </c>
      <c r="D77" t="s">
        <v>373</v>
      </c>
      <c r="E77">
        <v>157732.81</v>
      </c>
      <c r="F77">
        <v>20121.349999999999</v>
      </c>
      <c r="G77">
        <v>137611.46</v>
      </c>
      <c r="H77">
        <v>0.87239999999999995</v>
      </c>
    </row>
    <row r="78" spans="1:8" x14ac:dyDescent="0.3">
      <c r="A78" s="25">
        <v>45869</v>
      </c>
      <c r="B78" t="s">
        <v>368</v>
      </c>
      <c r="C78" t="s">
        <v>192</v>
      </c>
      <c r="D78" t="s">
        <v>372</v>
      </c>
      <c r="E78">
        <v>201141.24</v>
      </c>
      <c r="F78">
        <v>25658.79</v>
      </c>
      <c r="G78">
        <v>175482.45</v>
      </c>
      <c r="H78">
        <v>0.87239999999999995</v>
      </c>
    </row>
    <row r="79" spans="1:8" x14ac:dyDescent="0.3">
      <c r="A79" s="25">
        <v>45869</v>
      </c>
      <c r="B79" t="s">
        <v>368</v>
      </c>
      <c r="C79" t="s">
        <v>192</v>
      </c>
      <c r="D79" t="s">
        <v>371</v>
      </c>
      <c r="E79">
        <v>62532.06</v>
      </c>
      <c r="F79">
        <v>7976.97</v>
      </c>
      <c r="G79">
        <v>54555.09</v>
      </c>
      <c r="H79">
        <v>0.87239999999999995</v>
      </c>
    </row>
    <row r="80" spans="1:8" x14ac:dyDescent="0.3">
      <c r="A80" s="25">
        <v>45869</v>
      </c>
      <c r="B80" t="s">
        <v>368</v>
      </c>
      <c r="C80" t="s">
        <v>192</v>
      </c>
      <c r="D80" t="s">
        <v>370</v>
      </c>
      <c r="E80">
        <v>141279.72</v>
      </c>
      <c r="F80">
        <v>18022.490000000002</v>
      </c>
      <c r="G80">
        <v>123257.22</v>
      </c>
      <c r="H80">
        <v>0.87239999999999995</v>
      </c>
    </row>
    <row r="81" spans="1:8" x14ac:dyDescent="0.3">
      <c r="A81" s="25">
        <v>45869</v>
      </c>
      <c r="B81" t="s">
        <v>368</v>
      </c>
      <c r="C81" t="s">
        <v>192</v>
      </c>
      <c r="D81" t="s">
        <v>369</v>
      </c>
      <c r="E81">
        <v>123559.45</v>
      </c>
      <c r="F81">
        <v>15761.99</v>
      </c>
      <c r="G81">
        <v>107797.45</v>
      </c>
      <c r="H81">
        <v>0.87239999999999995</v>
      </c>
    </row>
    <row r="82" spans="1:8" x14ac:dyDescent="0.3">
      <c r="A82" s="25">
        <v>45900</v>
      </c>
      <c r="B82" t="s">
        <v>368</v>
      </c>
      <c r="C82" t="s">
        <v>192</v>
      </c>
      <c r="D82" t="s">
        <v>378</v>
      </c>
      <c r="E82">
        <v>449135.45</v>
      </c>
      <c r="F82">
        <v>95124.25</v>
      </c>
      <c r="G82">
        <v>354011.2</v>
      </c>
      <c r="H82">
        <v>0.78820000000000001</v>
      </c>
    </row>
    <row r="83" spans="1:8" x14ac:dyDescent="0.3">
      <c r="A83" s="25">
        <v>45900</v>
      </c>
      <c r="B83" t="s">
        <v>368</v>
      </c>
      <c r="C83" t="s">
        <v>192</v>
      </c>
      <c r="D83" t="s">
        <v>377</v>
      </c>
      <c r="E83">
        <v>666406.99</v>
      </c>
      <c r="F83">
        <v>141141.09</v>
      </c>
      <c r="G83">
        <v>525265.9</v>
      </c>
      <c r="H83">
        <v>0.78820000000000001</v>
      </c>
    </row>
    <row r="84" spans="1:8" x14ac:dyDescent="0.3">
      <c r="A84" s="25">
        <v>45900</v>
      </c>
      <c r="B84" t="s">
        <v>368</v>
      </c>
      <c r="C84" t="s">
        <v>192</v>
      </c>
      <c r="D84" t="s">
        <v>376</v>
      </c>
      <c r="E84">
        <v>210336.41</v>
      </c>
      <c r="F84">
        <v>44548.02</v>
      </c>
      <c r="G84">
        <v>165788.4</v>
      </c>
      <c r="H84">
        <v>0.78820000000000001</v>
      </c>
    </row>
    <row r="85" spans="1:8" x14ac:dyDescent="0.3">
      <c r="A85" s="25">
        <v>45900</v>
      </c>
      <c r="B85" t="s">
        <v>368</v>
      </c>
      <c r="C85" t="s">
        <v>192</v>
      </c>
      <c r="D85" t="s">
        <v>375</v>
      </c>
      <c r="E85">
        <v>201399.81</v>
      </c>
      <c r="F85">
        <v>42655.3</v>
      </c>
      <c r="G85">
        <v>158744.51</v>
      </c>
      <c r="H85">
        <v>0.78820000000000001</v>
      </c>
    </row>
    <row r="86" spans="1:8" x14ac:dyDescent="0.3">
      <c r="A86" s="25">
        <v>45900</v>
      </c>
      <c r="B86" t="s">
        <v>368</v>
      </c>
      <c r="C86" t="s">
        <v>192</v>
      </c>
      <c r="D86" t="s">
        <v>374</v>
      </c>
      <c r="E86">
        <v>243041.81</v>
      </c>
      <c r="F86">
        <v>51474.83</v>
      </c>
      <c r="G86">
        <v>191566.98</v>
      </c>
      <c r="H86">
        <v>0.78820000000000001</v>
      </c>
    </row>
    <row r="87" spans="1:8" x14ac:dyDescent="0.3">
      <c r="A87" s="25">
        <v>45900</v>
      </c>
      <c r="B87" t="s">
        <v>368</v>
      </c>
      <c r="C87" t="s">
        <v>192</v>
      </c>
      <c r="D87" t="s">
        <v>373</v>
      </c>
      <c r="E87">
        <v>176270.21</v>
      </c>
      <c r="F87">
        <v>37333</v>
      </c>
      <c r="G87">
        <v>138937.22</v>
      </c>
      <c r="H87">
        <v>0.78820000000000001</v>
      </c>
    </row>
    <row r="88" spans="1:8" x14ac:dyDescent="0.3">
      <c r="A88" s="25">
        <v>45900</v>
      </c>
      <c r="B88" t="s">
        <v>368</v>
      </c>
      <c r="C88" t="s">
        <v>192</v>
      </c>
      <c r="D88" t="s">
        <v>372</v>
      </c>
      <c r="E88">
        <v>267660.31</v>
      </c>
      <c r="F88">
        <v>56688.88</v>
      </c>
      <c r="G88">
        <v>210971.43</v>
      </c>
      <c r="H88">
        <v>0.78820000000000001</v>
      </c>
    </row>
    <row r="89" spans="1:8" x14ac:dyDescent="0.3">
      <c r="A89" s="25">
        <v>45900</v>
      </c>
      <c r="B89" t="s">
        <v>368</v>
      </c>
      <c r="C89" t="s">
        <v>192</v>
      </c>
      <c r="D89" t="s">
        <v>371</v>
      </c>
      <c r="E89">
        <v>89379.36</v>
      </c>
      <c r="F89">
        <v>18930.02</v>
      </c>
      <c r="G89">
        <v>70449.34</v>
      </c>
      <c r="H89">
        <v>0.78820000000000001</v>
      </c>
    </row>
    <row r="90" spans="1:8" x14ac:dyDescent="0.3">
      <c r="A90" s="25">
        <v>45900</v>
      </c>
      <c r="B90" t="s">
        <v>368</v>
      </c>
      <c r="C90" t="s">
        <v>192</v>
      </c>
      <c r="D90" t="s">
        <v>370</v>
      </c>
      <c r="E90">
        <v>118834.18</v>
      </c>
      <c r="F90">
        <v>25168.38</v>
      </c>
      <c r="G90">
        <v>93665.8</v>
      </c>
      <c r="H90">
        <v>0.78820000000000001</v>
      </c>
    </row>
    <row r="91" spans="1:8" x14ac:dyDescent="0.3">
      <c r="A91" s="25">
        <v>45900</v>
      </c>
      <c r="B91" t="s">
        <v>368</v>
      </c>
      <c r="C91" t="s">
        <v>192</v>
      </c>
      <c r="D91" t="s">
        <v>369</v>
      </c>
      <c r="E91">
        <v>117693.88</v>
      </c>
      <c r="F91">
        <v>24926.86</v>
      </c>
      <c r="G91">
        <v>92767</v>
      </c>
      <c r="H91">
        <v>0.78820000000000001</v>
      </c>
    </row>
    <row r="92" spans="1:8" x14ac:dyDescent="0.3">
      <c r="A92" s="25">
        <v>45930</v>
      </c>
      <c r="B92" t="s">
        <v>368</v>
      </c>
      <c r="C92" t="s">
        <v>192</v>
      </c>
      <c r="D92" t="s">
        <v>378</v>
      </c>
      <c r="E92">
        <v>520106.37</v>
      </c>
      <c r="F92">
        <v>108490.99</v>
      </c>
      <c r="G92">
        <v>411615.37</v>
      </c>
      <c r="H92">
        <v>0.79139999999999999</v>
      </c>
    </row>
    <row r="93" spans="1:8" x14ac:dyDescent="0.3">
      <c r="A93" s="25">
        <v>45930</v>
      </c>
      <c r="B93" t="s">
        <v>368</v>
      </c>
      <c r="C93" t="s">
        <v>192</v>
      </c>
      <c r="D93" t="s">
        <v>377</v>
      </c>
      <c r="E93">
        <v>646683.41</v>
      </c>
      <c r="F93">
        <v>134894.19</v>
      </c>
      <c r="G93">
        <v>511789.22</v>
      </c>
      <c r="H93">
        <v>0.79139999999999999</v>
      </c>
    </row>
    <row r="94" spans="1:8" x14ac:dyDescent="0.3">
      <c r="A94" s="25">
        <v>45930</v>
      </c>
      <c r="B94" t="s">
        <v>368</v>
      </c>
      <c r="C94" t="s">
        <v>192</v>
      </c>
      <c r="D94" t="s">
        <v>376</v>
      </c>
      <c r="E94">
        <v>274237.5</v>
      </c>
      <c r="F94">
        <v>57204.26</v>
      </c>
      <c r="G94">
        <v>217033.24</v>
      </c>
      <c r="H94">
        <v>0.79139999999999999</v>
      </c>
    </row>
    <row r="95" spans="1:8" x14ac:dyDescent="0.3">
      <c r="A95" s="25">
        <v>45930</v>
      </c>
      <c r="B95" t="s">
        <v>368</v>
      </c>
      <c r="C95" t="s">
        <v>192</v>
      </c>
      <c r="D95" t="s">
        <v>375</v>
      </c>
      <c r="E95">
        <v>170629.24</v>
      </c>
      <c r="F95">
        <v>35592.21</v>
      </c>
      <c r="G95">
        <v>135037.03</v>
      </c>
      <c r="H95">
        <v>0.79139999999999999</v>
      </c>
    </row>
    <row r="96" spans="1:8" x14ac:dyDescent="0.3">
      <c r="A96" s="25">
        <v>45930</v>
      </c>
      <c r="B96" t="s">
        <v>368</v>
      </c>
      <c r="C96" t="s">
        <v>192</v>
      </c>
      <c r="D96" t="s">
        <v>374</v>
      </c>
      <c r="E96">
        <v>177517.74</v>
      </c>
      <c r="F96">
        <v>37029.11</v>
      </c>
      <c r="G96">
        <v>140488.63</v>
      </c>
      <c r="H96">
        <v>0.79139999999999999</v>
      </c>
    </row>
    <row r="97" spans="1:8" x14ac:dyDescent="0.3">
      <c r="A97" s="25">
        <v>45930</v>
      </c>
      <c r="B97" t="s">
        <v>368</v>
      </c>
      <c r="C97" t="s">
        <v>192</v>
      </c>
      <c r="D97" t="s">
        <v>373</v>
      </c>
      <c r="E97">
        <v>39904.980000000003</v>
      </c>
      <c r="F97">
        <v>8323.93</v>
      </c>
      <c r="G97">
        <v>31581.05</v>
      </c>
      <c r="H97">
        <v>0.79139999999999999</v>
      </c>
    </row>
    <row r="98" spans="1:8" x14ac:dyDescent="0.3">
      <c r="A98" s="25">
        <v>45930</v>
      </c>
      <c r="B98" t="s">
        <v>368</v>
      </c>
      <c r="C98" t="s">
        <v>192</v>
      </c>
      <c r="D98" t="s">
        <v>372</v>
      </c>
      <c r="E98">
        <v>220353.27</v>
      </c>
      <c r="F98">
        <v>45964.34</v>
      </c>
      <c r="G98">
        <v>174388.93</v>
      </c>
      <c r="H98">
        <v>0.79139999999999999</v>
      </c>
    </row>
    <row r="99" spans="1:8" x14ac:dyDescent="0.3">
      <c r="A99" s="25">
        <v>45930</v>
      </c>
      <c r="B99" t="s">
        <v>368</v>
      </c>
      <c r="C99" t="s">
        <v>192</v>
      </c>
      <c r="D99" t="s">
        <v>371</v>
      </c>
      <c r="E99">
        <v>260289.33</v>
      </c>
      <c r="F99">
        <v>54294.75</v>
      </c>
      <c r="G99">
        <v>205994.58</v>
      </c>
      <c r="H99">
        <v>0.79139999999999999</v>
      </c>
    </row>
    <row r="100" spans="1:8" x14ac:dyDescent="0.3">
      <c r="A100" s="25">
        <v>45930</v>
      </c>
      <c r="B100" t="s">
        <v>368</v>
      </c>
      <c r="C100" t="s">
        <v>192</v>
      </c>
      <c r="D100" t="s">
        <v>370</v>
      </c>
      <c r="E100">
        <v>247387.31</v>
      </c>
      <c r="F100">
        <v>51603.47</v>
      </c>
      <c r="G100">
        <v>195783.83</v>
      </c>
      <c r="H100">
        <v>0.79139999999999999</v>
      </c>
    </row>
    <row r="101" spans="1:8" x14ac:dyDescent="0.3">
      <c r="A101" s="25">
        <v>45930</v>
      </c>
      <c r="B101" t="s">
        <v>368</v>
      </c>
      <c r="C101" t="s">
        <v>192</v>
      </c>
      <c r="D101" t="s">
        <v>369</v>
      </c>
      <c r="E101">
        <v>142825.60999999999</v>
      </c>
      <c r="F101">
        <v>29792.55</v>
      </c>
      <c r="G101">
        <v>113033.07</v>
      </c>
      <c r="H101">
        <v>0.79139999999999999</v>
      </c>
    </row>
    <row r="102" spans="1:8" x14ac:dyDescent="0.3">
      <c r="A102" s="25">
        <v>45961</v>
      </c>
      <c r="B102" t="s">
        <v>368</v>
      </c>
      <c r="C102" t="s">
        <v>192</v>
      </c>
      <c r="D102" t="s">
        <v>378</v>
      </c>
      <c r="E102">
        <v>321000.09999999998</v>
      </c>
      <c r="F102">
        <v>73350.350000000006</v>
      </c>
      <c r="G102">
        <v>247649.75</v>
      </c>
      <c r="H102">
        <v>0.77149999999999996</v>
      </c>
    </row>
    <row r="103" spans="1:8" x14ac:dyDescent="0.3">
      <c r="A103" s="25">
        <v>45961</v>
      </c>
      <c r="B103" t="s">
        <v>368</v>
      </c>
      <c r="C103" t="s">
        <v>192</v>
      </c>
      <c r="D103" t="s">
        <v>377</v>
      </c>
      <c r="E103">
        <v>512228.76</v>
      </c>
      <c r="F103">
        <v>117047.19</v>
      </c>
      <c r="G103">
        <v>395181.58</v>
      </c>
      <c r="H103">
        <v>0.77149999999999996</v>
      </c>
    </row>
    <row r="104" spans="1:8" x14ac:dyDescent="0.3">
      <c r="A104" s="25">
        <v>45961</v>
      </c>
      <c r="B104" t="s">
        <v>368</v>
      </c>
      <c r="C104" t="s">
        <v>192</v>
      </c>
      <c r="D104" t="s">
        <v>376</v>
      </c>
      <c r="E104">
        <v>343715.24</v>
      </c>
      <c r="F104">
        <v>78540.89</v>
      </c>
      <c r="G104">
        <v>265174.34999999998</v>
      </c>
      <c r="H104">
        <v>0.77149999999999996</v>
      </c>
    </row>
    <row r="105" spans="1:8" x14ac:dyDescent="0.3">
      <c r="A105" s="25">
        <v>45961</v>
      </c>
      <c r="B105" t="s">
        <v>368</v>
      </c>
      <c r="C105" t="s">
        <v>192</v>
      </c>
      <c r="D105" t="s">
        <v>375</v>
      </c>
      <c r="E105">
        <v>200804.91</v>
      </c>
      <c r="F105">
        <v>45885.07</v>
      </c>
      <c r="G105">
        <v>154919.85</v>
      </c>
      <c r="H105">
        <v>0.77149999999999996</v>
      </c>
    </row>
    <row r="106" spans="1:8" x14ac:dyDescent="0.3">
      <c r="A106" s="25">
        <v>45961</v>
      </c>
      <c r="B106" t="s">
        <v>368</v>
      </c>
      <c r="C106" t="s">
        <v>192</v>
      </c>
      <c r="D106" t="s">
        <v>374</v>
      </c>
      <c r="E106">
        <v>227514.71</v>
      </c>
      <c r="F106">
        <v>51988.41</v>
      </c>
      <c r="G106">
        <v>175526.3</v>
      </c>
      <c r="H106">
        <v>0.77149999999999996</v>
      </c>
    </row>
    <row r="107" spans="1:8" x14ac:dyDescent="0.3">
      <c r="A107" s="25">
        <v>45961</v>
      </c>
      <c r="B107" t="s">
        <v>368</v>
      </c>
      <c r="C107" t="s">
        <v>192</v>
      </c>
      <c r="D107" t="s">
        <v>373</v>
      </c>
      <c r="E107">
        <v>178290.41</v>
      </c>
      <c r="F107">
        <v>40740.370000000003</v>
      </c>
      <c r="G107">
        <v>137550.04</v>
      </c>
      <c r="H107">
        <v>0.77149999999999996</v>
      </c>
    </row>
    <row r="108" spans="1:8" x14ac:dyDescent="0.3">
      <c r="A108" s="25">
        <v>45961</v>
      </c>
      <c r="B108" t="s">
        <v>368</v>
      </c>
      <c r="C108" t="s">
        <v>192</v>
      </c>
      <c r="D108" t="s">
        <v>372</v>
      </c>
      <c r="E108">
        <v>339262.12</v>
      </c>
      <c r="F108">
        <v>77523.320000000007</v>
      </c>
      <c r="G108">
        <v>261738.79</v>
      </c>
      <c r="H108">
        <v>0.77149999999999996</v>
      </c>
    </row>
    <row r="109" spans="1:8" x14ac:dyDescent="0.3">
      <c r="A109" s="25">
        <v>45961</v>
      </c>
      <c r="B109" t="s">
        <v>368</v>
      </c>
      <c r="C109" t="s">
        <v>192</v>
      </c>
      <c r="D109" t="s">
        <v>371</v>
      </c>
      <c r="E109">
        <v>156508.17000000001</v>
      </c>
      <c r="F109">
        <v>35763.01</v>
      </c>
      <c r="G109">
        <v>120745.16</v>
      </c>
      <c r="H109">
        <v>0.77149999999999996</v>
      </c>
    </row>
    <row r="110" spans="1:8" x14ac:dyDescent="0.3">
      <c r="A110" s="25">
        <v>45961</v>
      </c>
      <c r="B110" t="s">
        <v>368</v>
      </c>
      <c r="C110" t="s">
        <v>192</v>
      </c>
      <c r="D110" t="s">
        <v>370</v>
      </c>
      <c r="E110">
        <v>198294.62</v>
      </c>
      <c r="F110">
        <v>45311.45</v>
      </c>
      <c r="G110">
        <v>152983.17000000001</v>
      </c>
      <c r="H110">
        <v>0.77149999999999996</v>
      </c>
    </row>
    <row r="111" spans="1:8" x14ac:dyDescent="0.3">
      <c r="A111" s="25">
        <v>45961</v>
      </c>
      <c r="B111" t="s">
        <v>368</v>
      </c>
      <c r="C111" t="s">
        <v>192</v>
      </c>
      <c r="D111" t="s">
        <v>369</v>
      </c>
      <c r="E111">
        <v>209166.15</v>
      </c>
      <c r="F111">
        <v>47795.64</v>
      </c>
      <c r="G111">
        <v>161370.49</v>
      </c>
      <c r="H111">
        <v>0.77149999999999996</v>
      </c>
    </row>
    <row r="112" spans="1:8" x14ac:dyDescent="0.3">
      <c r="A112" s="25">
        <v>45991</v>
      </c>
      <c r="B112" t="s">
        <v>368</v>
      </c>
      <c r="C112" t="s">
        <v>192</v>
      </c>
      <c r="D112" t="s">
        <v>378</v>
      </c>
      <c r="E112">
        <v>509606.38</v>
      </c>
      <c r="F112">
        <v>102764.28</v>
      </c>
      <c r="G112">
        <v>406842.1</v>
      </c>
      <c r="H112">
        <v>0.79830000000000001</v>
      </c>
    </row>
    <row r="113" spans="1:8" x14ac:dyDescent="0.3">
      <c r="A113" s="25">
        <v>45991</v>
      </c>
      <c r="B113" t="s">
        <v>368</v>
      </c>
      <c r="C113" t="s">
        <v>192</v>
      </c>
      <c r="D113" t="s">
        <v>377</v>
      </c>
      <c r="E113">
        <v>540013.75</v>
      </c>
      <c r="F113">
        <v>108896.05</v>
      </c>
      <c r="G113">
        <v>431117.7</v>
      </c>
      <c r="H113">
        <v>0.79830000000000001</v>
      </c>
    </row>
    <row r="114" spans="1:8" x14ac:dyDescent="0.3">
      <c r="A114" s="25">
        <v>45991</v>
      </c>
      <c r="B114" t="s">
        <v>368</v>
      </c>
      <c r="C114" t="s">
        <v>192</v>
      </c>
      <c r="D114" t="s">
        <v>376</v>
      </c>
      <c r="E114">
        <v>280709.58</v>
      </c>
      <c r="F114">
        <v>56606.27</v>
      </c>
      <c r="G114">
        <v>224103.31</v>
      </c>
      <c r="H114">
        <v>0.79830000000000001</v>
      </c>
    </row>
    <row r="115" spans="1:8" x14ac:dyDescent="0.3">
      <c r="A115" s="25">
        <v>45991</v>
      </c>
      <c r="B115" t="s">
        <v>368</v>
      </c>
      <c r="C115" t="s">
        <v>192</v>
      </c>
      <c r="D115" t="s">
        <v>375</v>
      </c>
      <c r="E115">
        <v>282324.46999999997</v>
      </c>
      <c r="F115">
        <v>56931.92</v>
      </c>
      <c r="G115">
        <v>225392.55</v>
      </c>
      <c r="H115">
        <v>0.79830000000000001</v>
      </c>
    </row>
    <row r="116" spans="1:8" x14ac:dyDescent="0.3">
      <c r="A116" s="25">
        <v>45991</v>
      </c>
      <c r="B116" t="s">
        <v>368</v>
      </c>
      <c r="C116" t="s">
        <v>192</v>
      </c>
      <c r="D116" t="s">
        <v>374</v>
      </c>
      <c r="E116">
        <v>56074.51</v>
      </c>
      <c r="F116">
        <v>11307.66</v>
      </c>
      <c r="G116">
        <v>44766.84</v>
      </c>
      <c r="H116">
        <v>0.79830000000000001</v>
      </c>
    </row>
    <row r="117" spans="1:8" x14ac:dyDescent="0.3">
      <c r="A117" s="25">
        <v>45991</v>
      </c>
      <c r="B117" t="s">
        <v>368</v>
      </c>
      <c r="C117" t="s">
        <v>192</v>
      </c>
      <c r="D117" t="s">
        <v>373</v>
      </c>
      <c r="E117">
        <v>94064.29</v>
      </c>
      <c r="F117">
        <v>18968.46</v>
      </c>
      <c r="G117">
        <v>75095.83</v>
      </c>
      <c r="H117">
        <v>0.79830000000000001</v>
      </c>
    </row>
    <row r="118" spans="1:8" x14ac:dyDescent="0.3">
      <c r="A118" s="25">
        <v>45991</v>
      </c>
      <c r="B118" t="s">
        <v>368</v>
      </c>
      <c r="C118" t="s">
        <v>192</v>
      </c>
      <c r="D118" t="s">
        <v>372</v>
      </c>
      <c r="E118">
        <v>350140.75</v>
      </c>
      <c r="F118">
        <v>70607.360000000001</v>
      </c>
      <c r="G118">
        <v>279533.39</v>
      </c>
      <c r="H118">
        <v>0.79830000000000001</v>
      </c>
    </row>
    <row r="119" spans="1:8" x14ac:dyDescent="0.3">
      <c r="A119" s="25">
        <v>45991</v>
      </c>
      <c r="B119" t="s">
        <v>368</v>
      </c>
      <c r="C119" t="s">
        <v>192</v>
      </c>
      <c r="D119" t="s">
        <v>371</v>
      </c>
      <c r="E119">
        <v>26346.89</v>
      </c>
      <c r="F119">
        <v>5312.96</v>
      </c>
      <c r="G119">
        <v>21033.93</v>
      </c>
      <c r="H119">
        <v>0.79830000000000001</v>
      </c>
    </row>
    <row r="120" spans="1:8" x14ac:dyDescent="0.3">
      <c r="A120" s="25">
        <v>45991</v>
      </c>
      <c r="B120" t="s">
        <v>368</v>
      </c>
      <c r="C120" t="s">
        <v>192</v>
      </c>
      <c r="D120" t="s">
        <v>370</v>
      </c>
      <c r="E120">
        <v>305714.75</v>
      </c>
      <c r="F120">
        <v>61648.67</v>
      </c>
      <c r="G120">
        <v>244066.08</v>
      </c>
      <c r="H120">
        <v>0.79830000000000001</v>
      </c>
    </row>
    <row r="121" spans="1:8" x14ac:dyDescent="0.3">
      <c r="A121" s="25">
        <v>45991</v>
      </c>
      <c r="B121" t="s">
        <v>368</v>
      </c>
      <c r="C121" t="s">
        <v>192</v>
      </c>
      <c r="D121" t="s">
        <v>369</v>
      </c>
      <c r="E121">
        <v>220447.68</v>
      </c>
      <c r="F121">
        <v>44454.22</v>
      </c>
      <c r="G121">
        <v>175993.47</v>
      </c>
      <c r="H121">
        <v>0.79830000000000001</v>
      </c>
    </row>
    <row r="122" spans="1:8" x14ac:dyDescent="0.3">
      <c r="A122" s="25">
        <v>45657</v>
      </c>
      <c r="B122" t="s">
        <v>368</v>
      </c>
      <c r="C122" t="s">
        <v>191</v>
      </c>
      <c r="D122" t="s">
        <v>378</v>
      </c>
      <c r="E122">
        <v>220035.42</v>
      </c>
      <c r="F122">
        <v>41127.85</v>
      </c>
      <c r="G122">
        <v>178907.58</v>
      </c>
      <c r="H122">
        <v>0.81310000000000004</v>
      </c>
    </row>
    <row r="123" spans="1:8" x14ac:dyDescent="0.3">
      <c r="A123" s="25">
        <v>45657</v>
      </c>
      <c r="B123" t="s">
        <v>368</v>
      </c>
      <c r="C123" t="s">
        <v>191</v>
      </c>
      <c r="D123" t="s">
        <v>377</v>
      </c>
      <c r="E123">
        <v>255597.41</v>
      </c>
      <c r="F123">
        <v>47774.9</v>
      </c>
      <c r="G123">
        <v>207822.5</v>
      </c>
      <c r="H123">
        <v>0.81310000000000004</v>
      </c>
    </row>
    <row r="124" spans="1:8" x14ac:dyDescent="0.3">
      <c r="A124" s="25">
        <v>45657</v>
      </c>
      <c r="B124" t="s">
        <v>368</v>
      </c>
      <c r="C124" t="s">
        <v>191</v>
      </c>
      <c r="D124" t="s">
        <v>376</v>
      </c>
      <c r="E124">
        <v>94645.24</v>
      </c>
      <c r="F124">
        <v>17690.580000000002</v>
      </c>
      <c r="G124">
        <v>76954.66</v>
      </c>
      <c r="H124">
        <v>0.81310000000000004</v>
      </c>
    </row>
    <row r="125" spans="1:8" x14ac:dyDescent="0.3">
      <c r="A125" s="25">
        <v>45657</v>
      </c>
      <c r="B125" t="s">
        <v>368</v>
      </c>
      <c r="C125" t="s">
        <v>191</v>
      </c>
      <c r="D125" t="s">
        <v>375</v>
      </c>
      <c r="E125">
        <v>161770.37</v>
      </c>
      <c r="F125">
        <v>30237.26</v>
      </c>
      <c r="G125">
        <v>131533.12</v>
      </c>
      <c r="H125">
        <v>0.81310000000000004</v>
      </c>
    </row>
    <row r="126" spans="1:8" x14ac:dyDescent="0.3">
      <c r="A126" s="25">
        <v>45657</v>
      </c>
      <c r="B126" t="s">
        <v>368</v>
      </c>
      <c r="C126" t="s">
        <v>191</v>
      </c>
      <c r="D126" t="s">
        <v>374</v>
      </c>
      <c r="E126">
        <v>117553.18</v>
      </c>
      <c r="F126">
        <v>21972.41</v>
      </c>
      <c r="G126">
        <v>95580.77</v>
      </c>
      <c r="H126">
        <v>0.81310000000000004</v>
      </c>
    </row>
    <row r="127" spans="1:8" x14ac:dyDescent="0.3">
      <c r="A127" s="25">
        <v>45657</v>
      </c>
      <c r="B127" t="s">
        <v>368</v>
      </c>
      <c r="C127" t="s">
        <v>191</v>
      </c>
      <c r="D127" t="s">
        <v>373</v>
      </c>
      <c r="E127">
        <v>11816.71</v>
      </c>
      <c r="F127">
        <v>2208.7199999999998</v>
      </c>
      <c r="G127">
        <v>9607.99</v>
      </c>
      <c r="H127">
        <v>0.81310000000000004</v>
      </c>
    </row>
    <row r="128" spans="1:8" x14ac:dyDescent="0.3">
      <c r="A128" s="25">
        <v>45657</v>
      </c>
      <c r="B128" t="s">
        <v>368</v>
      </c>
      <c r="C128" t="s">
        <v>191</v>
      </c>
      <c r="D128" t="s">
        <v>372</v>
      </c>
      <c r="E128">
        <v>115352.18</v>
      </c>
      <c r="F128">
        <v>21561.01</v>
      </c>
      <c r="G128">
        <v>93791.16</v>
      </c>
      <c r="H128">
        <v>0.81310000000000004</v>
      </c>
    </row>
    <row r="129" spans="1:8" x14ac:dyDescent="0.3">
      <c r="A129" s="25">
        <v>45657</v>
      </c>
      <c r="B129" t="s">
        <v>368</v>
      </c>
      <c r="C129" t="s">
        <v>191</v>
      </c>
      <c r="D129" t="s">
        <v>371</v>
      </c>
      <c r="E129">
        <v>87244.12</v>
      </c>
      <c r="F129">
        <v>16307.21</v>
      </c>
      <c r="G129">
        <v>70936.92</v>
      </c>
      <c r="H129">
        <v>0.81310000000000004</v>
      </c>
    </row>
    <row r="130" spans="1:8" x14ac:dyDescent="0.3">
      <c r="A130" s="25">
        <v>45657</v>
      </c>
      <c r="B130" t="s">
        <v>368</v>
      </c>
      <c r="C130" t="s">
        <v>191</v>
      </c>
      <c r="D130" t="s">
        <v>370</v>
      </c>
      <c r="E130">
        <v>109286.79</v>
      </c>
      <c r="F130">
        <v>20427.3</v>
      </c>
      <c r="G130">
        <v>88859.48</v>
      </c>
      <c r="H130">
        <v>0.81310000000000004</v>
      </c>
    </row>
    <row r="131" spans="1:8" x14ac:dyDescent="0.3">
      <c r="A131" s="25">
        <v>45657</v>
      </c>
      <c r="B131" t="s">
        <v>368</v>
      </c>
      <c r="C131" t="s">
        <v>191</v>
      </c>
      <c r="D131" t="s">
        <v>369</v>
      </c>
      <c r="E131">
        <v>33269.75</v>
      </c>
      <c r="F131">
        <v>6218.61</v>
      </c>
      <c r="G131">
        <v>27051.14</v>
      </c>
      <c r="H131">
        <v>0.81310000000000004</v>
      </c>
    </row>
    <row r="132" spans="1:8" x14ac:dyDescent="0.3">
      <c r="A132" s="25">
        <v>45688</v>
      </c>
      <c r="B132" t="s">
        <v>368</v>
      </c>
      <c r="C132" t="s">
        <v>191</v>
      </c>
      <c r="D132" t="s">
        <v>378</v>
      </c>
      <c r="E132">
        <v>275672.83</v>
      </c>
      <c r="F132">
        <v>36721.99</v>
      </c>
      <c r="G132">
        <v>238950.84</v>
      </c>
      <c r="H132">
        <v>0.86680000000000001</v>
      </c>
    </row>
    <row r="133" spans="1:8" x14ac:dyDescent="0.3">
      <c r="A133" s="25">
        <v>45688</v>
      </c>
      <c r="B133" t="s">
        <v>368</v>
      </c>
      <c r="C133" t="s">
        <v>191</v>
      </c>
      <c r="D133" t="s">
        <v>377</v>
      </c>
      <c r="E133">
        <v>252475.96</v>
      </c>
      <c r="F133">
        <v>33631.97</v>
      </c>
      <c r="G133">
        <v>218843.99</v>
      </c>
      <c r="H133">
        <v>0.86680000000000001</v>
      </c>
    </row>
    <row r="134" spans="1:8" x14ac:dyDescent="0.3">
      <c r="A134" s="25">
        <v>45688</v>
      </c>
      <c r="B134" t="s">
        <v>368</v>
      </c>
      <c r="C134" t="s">
        <v>191</v>
      </c>
      <c r="D134" t="s">
        <v>376</v>
      </c>
      <c r="E134">
        <v>63125.98</v>
      </c>
      <c r="F134">
        <v>8408.92</v>
      </c>
      <c r="G134">
        <v>54717.06</v>
      </c>
      <c r="H134">
        <v>0.86680000000000001</v>
      </c>
    </row>
    <row r="135" spans="1:8" x14ac:dyDescent="0.3">
      <c r="A135" s="25">
        <v>45688</v>
      </c>
      <c r="B135" t="s">
        <v>368</v>
      </c>
      <c r="C135" t="s">
        <v>191</v>
      </c>
      <c r="D135" t="s">
        <v>375</v>
      </c>
      <c r="E135">
        <v>65479.07</v>
      </c>
      <c r="F135">
        <v>8722.3799999999992</v>
      </c>
      <c r="G135">
        <v>56756.7</v>
      </c>
      <c r="H135">
        <v>0.86680000000000001</v>
      </c>
    </row>
    <row r="136" spans="1:8" x14ac:dyDescent="0.3">
      <c r="A136" s="25">
        <v>45688</v>
      </c>
      <c r="B136" t="s">
        <v>368</v>
      </c>
      <c r="C136" t="s">
        <v>191</v>
      </c>
      <c r="D136" t="s">
        <v>374</v>
      </c>
      <c r="E136">
        <v>63806.26</v>
      </c>
      <c r="F136">
        <v>8499.5400000000009</v>
      </c>
      <c r="G136">
        <v>55306.720000000001</v>
      </c>
      <c r="H136">
        <v>0.86680000000000001</v>
      </c>
    </row>
    <row r="137" spans="1:8" x14ac:dyDescent="0.3">
      <c r="A137" s="25">
        <v>45688</v>
      </c>
      <c r="B137" t="s">
        <v>368</v>
      </c>
      <c r="C137" t="s">
        <v>191</v>
      </c>
      <c r="D137" t="s">
        <v>373</v>
      </c>
      <c r="E137">
        <v>68835.27</v>
      </c>
      <c r="F137">
        <v>9169.4500000000007</v>
      </c>
      <c r="G137">
        <v>59665.82</v>
      </c>
      <c r="H137">
        <v>0.86680000000000001</v>
      </c>
    </row>
    <row r="138" spans="1:8" x14ac:dyDescent="0.3">
      <c r="A138" s="25">
        <v>45688</v>
      </c>
      <c r="B138" t="s">
        <v>368</v>
      </c>
      <c r="C138" t="s">
        <v>191</v>
      </c>
      <c r="D138" t="s">
        <v>372</v>
      </c>
      <c r="E138">
        <v>95230.48</v>
      </c>
      <c r="F138">
        <v>12685.52</v>
      </c>
      <c r="G138">
        <v>82544.960000000006</v>
      </c>
      <c r="H138">
        <v>0.86680000000000001</v>
      </c>
    </row>
    <row r="139" spans="1:8" x14ac:dyDescent="0.3">
      <c r="A139" s="25">
        <v>45688</v>
      </c>
      <c r="B139" t="s">
        <v>368</v>
      </c>
      <c r="C139" t="s">
        <v>191</v>
      </c>
      <c r="D139" t="s">
        <v>371</v>
      </c>
      <c r="E139">
        <v>128414.43</v>
      </c>
      <c r="F139">
        <v>17105.91</v>
      </c>
      <c r="G139">
        <v>111308.52</v>
      </c>
      <c r="H139">
        <v>0.86680000000000001</v>
      </c>
    </row>
    <row r="140" spans="1:8" x14ac:dyDescent="0.3">
      <c r="A140" s="25">
        <v>45688</v>
      </c>
      <c r="B140" t="s">
        <v>368</v>
      </c>
      <c r="C140" t="s">
        <v>191</v>
      </c>
      <c r="D140" t="s">
        <v>370</v>
      </c>
      <c r="E140">
        <v>124159.51</v>
      </c>
      <c r="F140">
        <v>16539.11</v>
      </c>
      <c r="G140">
        <v>107620.4</v>
      </c>
      <c r="H140">
        <v>0.86680000000000001</v>
      </c>
    </row>
    <row r="141" spans="1:8" x14ac:dyDescent="0.3">
      <c r="A141" s="25">
        <v>45688</v>
      </c>
      <c r="B141" t="s">
        <v>368</v>
      </c>
      <c r="C141" t="s">
        <v>191</v>
      </c>
      <c r="D141" t="s">
        <v>369</v>
      </c>
      <c r="E141">
        <v>86364.29</v>
      </c>
      <c r="F141">
        <v>11504.46</v>
      </c>
      <c r="G141">
        <v>74859.820000000007</v>
      </c>
      <c r="H141">
        <v>0.86680000000000001</v>
      </c>
    </row>
    <row r="142" spans="1:8" x14ac:dyDescent="0.3">
      <c r="A142" s="25">
        <v>45716</v>
      </c>
      <c r="B142" t="s">
        <v>368</v>
      </c>
      <c r="C142" t="s">
        <v>191</v>
      </c>
      <c r="D142" t="s">
        <v>378</v>
      </c>
      <c r="E142">
        <v>272422.71999999997</v>
      </c>
      <c r="F142">
        <v>55401.85</v>
      </c>
      <c r="G142">
        <v>217020.87</v>
      </c>
      <c r="H142">
        <v>0.79659999999999997</v>
      </c>
    </row>
    <row r="143" spans="1:8" x14ac:dyDescent="0.3">
      <c r="A143" s="25">
        <v>45716</v>
      </c>
      <c r="B143" t="s">
        <v>368</v>
      </c>
      <c r="C143" t="s">
        <v>191</v>
      </c>
      <c r="D143" t="s">
        <v>377</v>
      </c>
      <c r="E143">
        <v>205572.37</v>
      </c>
      <c r="F143">
        <v>41806.68</v>
      </c>
      <c r="G143">
        <v>163765.69</v>
      </c>
      <c r="H143">
        <v>0.79659999999999997</v>
      </c>
    </row>
    <row r="144" spans="1:8" x14ac:dyDescent="0.3">
      <c r="A144" s="25">
        <v>45716</v>
      </c>
      <c r="B144" t="s">
        <v>368</v>
      </c>
      <c r="C144" t="s">
        <v>191</v>
      </c>
      <c r="D144" t="s">
        <v>376</v>
      </c>
      <c r="E144">
        <v>96253.05</v>
      </c>
      <c r="F144">
        <v>19574.72</v>
      </c>
      <c r="G144">
        <v>76678.34</v>
      </c>
      <c r="H144">
        <v>0.79659999999999997</v>
      </c>
    </row>
    <row r="145" spans="1:8" x14ac:dyDescent="0.3">
      <c r="A145" s="25">
        <v>45716</v>
      </c>
      <c r="B145" t="s">
        <v>368</v>
      </c>
      <c r="C145" t="s">
        <v>191</v>
      </c>
      <c r="D145" t="s">
        <v>375</v>
      </c>
      <c r="E145">
        <v>171139.55</v>
      </c>
      <c r="F145">
        <v>34804.18</v>
      </c>
      <c r="G145">
        <v>136335.38</v>
      </c>
      <c r="H145">
        <v>0.79659999999999997</v>
      </c>
    </row>
    <row r="146" spans="1:8" x14ac:dyDescent="0.3">
      <c r="A146" s="25">
        <v>45716</v>
      </c>
      <c r="B146" t="s">
        <v>368</v>
      </c>
      <c r="C146" t="s">
        <v>191</v>
      </c>
      <c r="D146" t="s">
        <v>374</v>
      </c>
      <c r="E146">
        <v>88884.68</v>
      </c>
      <c r="F146">
        <v>18076.23</v>
      </c>
      <c r="G146">
        <v>70808.45</v>
      </c>
      <c r="H146">
        <v>0.79659999999999997</v>
      </c>
    </row>
    <row r="147" spans="1:8" x14ac:dyDescent="0.3">
      <c r="A147" s="25">
        <v>45716</v>
      </c>
      <c r="B147" t="s">
        <v>368</v>
      </c>
      <c r="C147" t="s">
        <v>191</v>
      </c>
      <c r="D147" t="s">
        <v>373</v>
      </c>
      <c r="E147">
        <v>84519.8</v>
      </c>
      <c r="F147">
        <v>17188.560000000001</v>
      </c>
      <c r="G147">
        <v>67331.25</v>
      </c>
      <c r="H147">
        <v>0.79659999999999997</v>
      </c>
    </row>
    <row r="148" spans="1:8" x14ac:dyDescent="0.3">
      <c r="A148" s="25">
        <v>45716</v>
      </c>
      <c r="B148" t="s">
        <v>368</v>
      </c>
      <c r="C148" t="s">
        <v>191</v>
      </c>
      <c r="D148" t="s">
        <v>372</v>
      </c>
      <c r="E148">
        <v>91459.82</v>
      </c>
      <c r="F148">
        <v>18599.93</v>
      </c>
      <c r="G148">
        <v>72859.89</v>
      </c>
      <c r="H148">
        <v>0.79659999999999997</v>
      </c>
    </row>
    <row r="149" spans="1:8" x14ac:dyDescent="0.3">
      <c r="A149" s="25">
        <v>45716</v>
      </c>
      <c r="B149" t="s">
        <v>368</v>
      </c>
      <c r="C149" t="s">
        <v>191</v>
      </c>
      <c r="D149" t="s">
        <v>371</v>
      </c>
      <c r="E149">
        <v>63761.35</v>
      </c>
      <c r="F149">
        <v>12966.97</v>
      </c>
      <c r="G149">
        <v>50794.38</v>
      </c>
      <c r="H149">
        <v>0.79659999999999997</v>
      </c>
    </row>
    <row r="150" spans="1:8" x14ac:dyDescent="0.3">
      <c r="A150" s="25">
        <v>45716</v>
      </c>
      <c r="B150" t="s">
        <v>368</v>
      </c>
      <c r="C150" t="s">
        <v>191</v>
      </c>
      <c r="D150" t="s">
        <v>370</v>
      </c>
      <c r="E150">
        <v>112056.05</v>
      </c>
      <c r="F150">
        <v>22788.53</v>
      </c>
      <c r="G150">
        <v>89267.520000000004</v>
      </c>
      <c r="H150">
        <v>0.79659999999999997</v>
      </c>
    </row>
    <row r="151" spans="1:8" x14ac:dyDescent="0.3">
      <c r="A151" s="25">
        <v>45716</v>
      </c>
      <c r="B151" t="s">
        <v>368</v>
      </c>
      <c r="C151" t="s">
        <v>191</v>
      </c>
      <c r="D151" t="s">
        <v>369</v>
      </c>
      <c r="E151">
        <v>76961.149999999994</v>
      </c>
      <c r="F151">
        <v>15651.36</v>
      </c>
      <c r="G151">
        <v>61309.760000000002</v>
      </c>
      <c r="H151">
        <v>0.79659999999999997</v>
      </c>
    </row>
    <row r="152" spans="1:8" x14ac:dyDescent="0.3">
      <c r="A152" s="25">
        <v>45747</v>
      </c>
      <c r="B152" t="s">
        <v>368</v>
      </c>
      <c r="C152" t="s">
        <v>191</v>
      </c>
      <c r="D152" t="s">
        <v>378</v>
      </c>
      <c r="E152">
        <v>226394.49</v>
      </c>
      <c r="F152">
        <v>41652.370000000003</v>
      </c>
      <c r="G152">
        <v>184742.12</v>
      </c>
      <c r="H152">
        <v>0.81599999999999995</v>
      </c>
    </row>
    <row r="153" spans="1:8" x14ac:dyDescent="0.3">
      <c r="A153" s="25">
        <v>45747</v>
      </c>
      <c r="B153" t="s">
        <v>368</v>
      </c>
      <c r="C153" t="s">
        <v>191</v>
      </c>
      <c r="D153" t="s">
        <v>377</v>
      </c>
      <c r="E153">
        <v>242212.27</v>
      </c>
      <c r="F153">
        <v>44562.55</v>
      </c>
      <c r="G153">
        <v>197649.72</v>
      </c>
      <c r="H153">
        <v>0.81599999999999995</v>
      </c>
    </row>
    <row r="154" spans="1:8" x14ac:dyDescent="0.3">
      <c r="A154" s="25">
        <v>45747</v>
      </c>
      <c r="B154" t="s">
        <v>368</v>
      </c>
      <c r="C154" t="s">
        <v>191</v>
      </c>
      <c r="D154" t="s">
        <v>376</v>
      </c>
      <c r="E154">
        <v>65052.52</v>
      </c>
      <c r="F154">
        <v>11968.45</v>
      </c>
      <c r="G154">
        <v>53084.07</v>
      </c>
      <c r="H154">
        <v>0.81599999999999995</v>
      </c>
    </row>
    <row r="155" spans="1:8" x14ac:dyDescent="0.3">
      <c r="A155" s="25">
        <v>45747</v>
      </c>
      <c r="B155" t="s">
        <v>368</v>
      </c>
      <c r="C155" t="s">
        <v>191</v>
      </c>
      <c r="D155" t="s">
        <v>375</v>
      </c>
      <c r="E155">
        <v>167699.67000000001</v>
      </c>
      <c r="F155">
        <v>30853.62</v>
      </c>
      <c r="G155">
        <v>136846.04999999999</v>
      </c>
      <c r="H155">
        <v>0.81599999999999995</v>
      </c>
    </row>
    <row r="156" spans="1:8" x14ac:dyDescent="0.3">
      <c r="A156" s="25">
        <v>45747</v>
      </c>
      <c r="B156" t="s">
        <v>368</v>
      </c>
      <c r="C156" t="s">
        <v>191</v>
      </c>
      <c r="D156" t="s">
        <v>374</v>
      </c>
      <c r="E156">
        <v>76791.259999999995</v>
      </c>
      <c r="F156">
        <v>14128.16</v>
      </c>
      <c r="G156">
        <v>62663.1</v>
      </c>
      <c r="H156">
        <v>0.81599999999999995</v>
      </c>
    </row>
    <row r="157" spans="1:8" x14ac:dyDescent="0.3">
      <c r="A157" s="25">
        <v>45747</v>
      </c>
      <c r="B157" t="s">
        <v>368</v>
      </c>
      <c r="C157" t="s">
        <v>191</v>
      </c>
      <c r="D157" t="s">
        <v>373</v>
      </c>
      <c r="E157">
        <v>117488.35</v>
      </c>
      <c r="F157">
        <v>21615.67</v>
      </c>
      <c r="G157">
        <v>95872.68</v>
      </c>
      <c r="H157">
        <v>0.81599999999999995</v>
      </c>
    </row>
    <row r="158" spans="1:8" x14ac:dyDescent="0.3">
      <c r="A158" s="25">
        <v>45747</v>
      </c>
      <c r="B158" t="s">
        <v>368</v>
      </c>
      <c r="C158" t="s">
        <v>191</v>
      </c>
      <c r="D158" t="s">
        <v>372</v>
      </c>
      <c r="E158">
        <v>158013.98000000001</v>
      </c>
      <c r="F158">
        <v>29071.63</v>
      </c>
      <c r="G158">
        <v>128942.35</v>
      </c>
      <c r="H158">
        <v>0.81599999999999995</v>
      </c>
    </row>
    <row r="159" spans="1:8" x14ac:dyDescent="0.3">
      <c r="A159" s="25">
        <v>45747</v>
      </c>
      <c r="B159" t="s">
        <v>368</v>
      </c>
      <c r="C159" t="s">
        <v>191</v>
      </c>
      <c r="D159" t="s">
        <v>371</v>
      </c>
      <c r="E159">
        <v>97383.52</v>
      </c>
      <c r="F159">
        <v>17916.759999999998</v>
      </c>
      <c r="G159">
        <v>79466.759999999995</v>
      </c>
      <c r="H159">
        <v>0.81599999999999995</v>
      </c>
    </row>
    <row r="160" spans="1:8" x14ac:dyDescent="0.3">
      <c r="A160" s="25">
        <v>45747</v>
      </c>
      <c r="B160" t="s">
        <v>368</v>
      </c>
      <c r="C160" t="s">
        <v>191</v>
      </c>
      <c r="D160" t="s">
        <v>370</v>
      </c>
      <c r="E160">
        <v>75008.789999999994</v>
      </c>
      <c r="F160">
        <v>13800.22</v>
      </c>
      <c r="G160">
        <v>61208.57</v>
      </c>
      <c r="H160">
        <v>0.81599999999999995</v>
      </c>
    </row>
    <row r="161" spans="1:8" x14ac:dyDescent="0.3">
      <c r="A161" s="25">
        <v>45747</v>
      </c>
      <c r="B161" t="s">
        <v>368</v>
      </c>
      <c r="C161" t="s">
        <v>191</v>
      </c>
      <c r="D161" t="s">
        <v>369</v>
      </c>
      <c r="E161">
        <v>12554.51</v>
      </c>
      <c r="F161">
        <v>2309.81</v>
      </c>
      <c r="G161">
        <v>10244.700000000001</v>
      </c>
      <c r="H161">
        <v>0.81599999999999995</v>
      </c>
    </row>
    <row r="162" spans="1:8" x14ac:dyDescent="0.3">
      <c r="A162" s="25">
        <v>45777</v>
      </c>
      <c r="B162" t="s">
        <v>368</v>
      </c>
      <c r="C162" t="s">
        <v>191</v>
      </c>
      <c r="D162" t="s">
        <v>378</v>
      </c>
      <c r="E162">
        <v>193736.66</v>
      </c>
      <c r="F162">
        <v>40279.85</v>
      </c>
      <c r="G162">
        <v>153456.79999999999</v>
      </c>
      <c r="H162">
        <v>0.79210000000000003</v>
      </c>
    </row>
    <row r="163" spans="1:8" x14ac:dyDescent="0.3">
      <c r="A163" s="25">
        <v>45777</v>
      </c>
      <c r="B163" t="s">
        <v>368</v>
      </c>
      <c r="C163" t="s">
        <v>191</v>
      </c>
      <c r="D163" t="s">
        <v>377</v>
      </c>
      <c r="E163">
        <v>197399.16</v>
      </c>
      <c r="F163">
        <v>41041.32</v>
      </c>
      <c r="G163">
        <v>156357.84</v>
      </c>
      <c r="H163">
        <v>0.79210000000000003</v>
      </c>
    </row>
    <row r="164" spans="1:8" x14ac:dyDescent="0.3">
      <c r="A164" s="25">
        <v>45777</v>
      </c>
      <c r="B164" t="s">
        <v>368</v>
      </c>
      <c r="C164" t="s">
        <v>191</v>
      </c>
      <c r="D164" t="s">
        <v>376</v>
      </c>
      <c r="E164">
        <v>150865.65</v>
      </c>
      <c r="F164">
        <v>31366.53</v>
      </c>
      <c r="G164">
        <v>119499.12</v>
      </c>
      <c r="H164">
        <v>0.79210000000000003</v>
      </c>
    </row>
    <row r="165" spans="1:8" x14ac:dyDescent="0.3">
      <c r="A165" s="25">
        <v>45777</v>
      </c>
      <c r="B165" t="s">
        <v>368</v>
      </c>
      <c r="C165" t="s">
        <v>191</v>
      </c>
      <c r="D165" t="s">
        <v>375</v>
      </c>
      <c r="E165">
        <v>128638.3</v>
      </c>
      <c r="F165">
        <v>26745.23</v>
      </c>
      <c r="G165">
        <v>101893.07</v>
      </c>
      <c r="H165">
        <v>0.79210000000000003</v>
      </c>
    </row>
    <row r="166" spans="1:8" x14ac:dyDescent="0.3">
      <c r="A166" s="25">
        <v>45777</v>
      </c>
      <c r="B166" t="s">
        <v>368</v>
      </c>
      <c r="C166" t="s">
        <v>191</v>
      </c>
      <c r="D166" t="s">
        <v>374</v>
      </c>
      <c r="E166">
        <v>101553.51</v>
      </c>
      <c r="F166">
        <v>21114.02</v>
      </c>
      <c r="G166">
        <v>80439.490000000005</v>
      </c>
      <c r="H166">
        <v>0.79210000000000003</v>
      </c>
    </row>
    <row r="167" spans="1:8" x14ac:dyDescent="0.3">
      <c r="A167" s="25">
        <v>45777</v>
      </c>
      <c r="B167" t="s">
        <v>368</v>
      </c>
      <c r="C167" t="s">
        <v>191</v>
      </c>
      <c r="D167" t="s">
        <v>373</v>
      </c>
      <c r="E167">
        <v>12431.86</v>
      </c>
      <c r="F167">
        <v>2584.71</v>
      </c>
      <c r="G167">
        <v>9847.14</v>
      </c>
      <c r="H167">
        <v>0.79210000000000003</v>
      </c>
    </row>
    <row r="168" spans="1:8" x14ac:dyDescent="0.3">
      <c r="A168" s="25">
        <v>45777</v>
      </c>
      <c r="B168" t="s">
        <v>368</v>
      </c>
      <c r="C168" t="s">
        <v>191</v>
      </c>
      <c r="D168" t="s">
        <v>372</v>
      </c>
      <c r="E168">
        <v>54776.01</v>
      </c>
      <c r="F168">
        <v>11388.5</v>
      </c>
      <c r="G168">
        <v>43387.51</v>
      </c>
      <c r="H168">
        <v>0.79210000000000003</v>
      </c>
    </row>
    <row r="169" spans="1:8" x14ac:dyDescent="0.3">
      <c r="A169" s="25">
        <v>45777</v>
      </c>
      <c r="B169" t="s">
        <v>368</v>
      </c>
      <c r="C169" t="s">
        <v>191</v>
      </c>
      <c r="D169" t="s">
        <v>371</v>
      </c>
      <c r="E169">
        <v>132538.99</v>
      </c>
      <c r="F169">
        <v>27556.22</v>
      </c>
      <c r="G169">
        <v>104982.76</v>
      </c>
      <c r="H169">
        <v>0.79210000000000003</v>
      </c>
    </row>
    <row r="170" spans="1:8" x14ac:dyDescent="0.3">
      <c r="A170" s="25">
        <v>45777</v>
      </c>
      <c r="B170" t="s">
        <v>368</v>
      </c>
      <c r="C170" t="s">
        <v>191</v>
      </c>
      <c r="D170" t="s">
        <v>370</v>
      </c>
      <c r="E170">
        <v>122582.1</v>
      </c>
      <c r="F170">
        <v>25486.080000000002</v>
      </c>
      <c r="G170">
        <v>97096.02</v>
      </c>
      <c r="H170">
        <v>0.79210000000000003</v>
      </c>
    </row>
    <row r="171" spans="1:8" x14ac:dyDescent="0.3">
      <c r="A171" s="25">
        <v>45777</v>
      </c>
      <c r="B171" t="s">
        <v>368</v>
      </c>
      <c r="C171" t="s">
        <v>191</v>
      </c>
      <c r="D171" t="s">
        <v>369</v>
      </c>
      <c r="E171">
        <v>56669.17</v>
      </c>
      <c r="F171">
        <v>11782.12</v>
      </c>
      <c r="G171">
        <v>44887.08</v>
      </c>
      <c r="H171">
        <v>0.79210000000000003</v>
      </c>
    </row>
    <row r="172" spans="1:8" x14ac:dyDescent="0.3">
      <c r="A172" s="25">
        <v>45808</v>
      </c>
      <c r="B172" t="s">
        <v>368</v>
      </c>
      <c r="C172" t="s">
        <v>191</v>
      </c>
      <c r="D172" t="s">
        <v>378</v>
      </c>
      <c r="E172">
        <v>234022.41</v>
      </c>
      <c r="F172">
        <v>55923.360000000001</v>
      </c>
      <c r="G172">
        <v>178099.05</v>
      </c>
      <c r="H172">
        <v>0.76100000000000001</v>
      </c>
    </row>
    <row r="173" spans="1:8" x14ac:dyDescent="0.3">
      <c r="A173" s="25">
        <v>45808</v>
      </c>
      <c r="B173" t="s">
        <v>368</v>
      </c>
      <c r="C173" t="s">
        <v>191</v>
      </c>
      <c r="D173" t="s">
        <v>377</v>
      </c>
      <c r="E173">
        <v>268680.12</v>
      </c>
      <c r="F173">
        <v>64205.37</v>
      </c>
      <c r="G173">
        <v>204474.76</v>
      </c>
      <c r="H173">
        <v>0.76100000000000001</v>
      </c>
    </row>
    <row r="174" spans="1:8" x14ac:dyDescent="0.3">
      <c r="A174" s="25">
        <v>45808</v>
      </c>
      <c r="B174" t="s">
        <v>368</v>
      </c>
      <c r="C174" t="s">
        <v>191</v>
      </c>
      <c r="D174" t="s">
        <v>376</v>
      </c>
      <c r="E174">
        <v>79144.039999999994</v>
      </c>
      <c r="F174">
        <v>18912.72</v>
      </c>
      <c r="G174">
        <v>60231.32</v>
      </c>
      <c r="H174">
        <v>0.76100000000000001</v>
      </c>
    </row>
    <row r="175" spans="1:8" x14ac:dyDescent="0.3">
      <c r="A175" s="25">
        <v>45808</v>
      </c>
      <c r="B175" t="s">
        <v>368</v>
      </c>
      <c r="C175" t="s">
        <v>191</v>
      </c>
      <c r="D175" t="s">
        <v>375</v>
      </c>
      <c r="E175">
        <v>110116.55</v>
      </c>
      <c r="F175">
        <v>26314.09</v>
      </c>
      <c r="G175">
        <v>83802.45</v>
      </c>
      <c r="H175">
        <v>0.76100000000000001</v>
      </c>
    </row>
    <row r="176" spans="1:8" x14ac:dyDescent="0.3">
      <c r="A176" s="25">
        <v>45808</v>
      </c>
      <c r="B176" t="s">
        <v>368</v>
      </c>
      <c r="C176" t="s">
        <v>191</v>
      </c>
      <c r="D176" t="s">
        <v>374</v>
      </c>
      <c r="E176">
        <v>81742.87</v>
      </c>
      <c r="F176">
        <v>19533.75</v>
      </c>
      <c r="G176">
        <v>62209.120000000003</v>
      </c>
      <c r="H176">
        <v>0.76100000000000001</v>
      </c>
    </row>
    <row r="177" spans="1:8" x14ac:dyDescent="0.3">
      <c r="A177" s="25">
        <v>45808</v>
      </c>
      <c r="B177" t="s">
        <v>368</v>
      </c>
      <c r="C177" t="s">
        <v>191</v>
      </c>
      <c r="D177" t="s">
        <v>373</v>
      </c>
      <c r="E177">
        <v>131348.04999999999</v>
      </c>
      <c r="F177">
        <v>31387.7</v>
      </c>
      <c r="G177">
        <v>99960.36</v>
      </c>
      <c r="H177">
        <v>0.76100000000000001</v>
      </c>
    </row>
    <row r="178" spans="1:8" x14ac:dyDescent="0.3">
      <c r="A178" s="25">
        <v>45808</v>
      </c>
      <c r="B178" t="s">
        <v>368</v>
      </c>
      <c r="C178" t="s">
        <v>191</v>
      </c>
      <c r="D178" t="s">
        <v>372</v>
      </c>
      <c r="E178">
        <v>18359.009999999998</v>
      </c>
      <c r="F178">
        <v>4387.18</v>
      </c>
      <c r="G178">
        <v>13971.83</v>
      </c>
      <c r="H178">
        <v>0.76100000000000001</v>
      </c>
    </row>
    <row r="179" spans="1:8" x14ac:dyDescent="0.3">
      <c r="A179" s="25">
        <v>45808</v>
      </c>
      <c r="B179" t="s">
        <v>368</v>
      </c>
      <c r="C179" t="s">
        <v>191</v>
      </c>
      <c r="D179" t="s">
        <v>371</v>
      </c>
      <c r="E179">
        <v>108407.42</v>
      </c>
      <c r="F179">
        <v>25905.67</v>
      </c>
      <c r="G179">
        <v>82501.75</v>
      </c>
      <c r="H179">
        <v>0.76100000000000001</v>
      </c>
    </row>
    <row r="180" spans="1:8" x14ac:dyDescent="0.3">
      <c r="A180" s="25">
        <v>45808</v>
      </c>
      <c r="B180" t="s">
        <v>368</v>
      </c>
      <c r="C180" t="s">
        <v>191</v>
      </c>
      <c r="D180" t="s">
        <v>370</v>
      </c>
      <c r="E180">
        <v>93369.3</v>
      </c>
      <c r="F180">
        <v>22312.07</v>
      </c>
      <c r="G180">
        <v>71057.23</v>
      </c>
      <c r="H180">
        <v>0.76100000000000001</v>
      </c>
    </row>
    <row r="181" spans="1:8" x14ac:dyDescent="0.3">
      <c r="A181" s="25">
        <v>45808</v>
      </c>
      <c r="B181" t="s">
        <v>368</v>
      </c>
      <c r="C181" t="s">
        <v>191</v>
      </c>
      <c r="D181" t="s">
        <v>369</v>
      </c>
      <c r="E181">
        <v>72277.399999999994</v>
      </c>
      <c r="F181">
        <v>17271.82</v>
      </c>
      <c r="G181">
        <v>55005.57</v>
      </c>
      <c r="H181">
        <v>0.76100000000000001</v>
      </c>
    </row>
    <row r="182" spans="1:8" x14ac:dyDescent="0.3">
      <c r="A182" s="25">
        <v>45838</v>
      </c>
      <c r="B182" t="s">
        <v>368</v>
      </c>
      <c r="C182" t="s">
        <v>191</v>
      </c>
      <c r="D182" t="s">
        <v>378</v>
      </c>
      <c r="E182">
        <v>228230.16</v>
      </c>
      <c r="F182">
        <v>43065.17</v>
      </c>
      <c r="G182">
        <v>185164.99</v>
      </c>
      <c r="H182">
        <v>0.81130000000000002</v>
      </c>
    </row>
    <row r="183" spans="1:8" x14ac:dyDescent="0.3">
      <c r="A183" s="25">
        <v>45838</v>
      </c>
      <c r="B183" t="s">
        <v>368</v>
      </c>
      <c r="C183" t="s">
        <v>191</v>
      </c>
      <c r="D183" t="s">
        <v>377</v>
      </c>
      <c r="E183">
        <v>251337.19</v>
      </c>
      <c r="F183">
        <v>47425.27</v>
      </c>
      <c r="G183">
        <v>203911.92</v>
      </c>
      <c r="H183">
        <v>0.81130000000000002</v>
      </c>
    </row>
    <row r="184" spans="1:8" x14ac:dyDescent="0.3">
      <c r="A184" s="25">
        <v>45838</v>
      </c>
      <c r="B184" t="s">
        <v>368</v>
      </c>
      <c r="C184" t="s">
        <v>191</v>
      </c>
      <c r="D184" t="s">
        <v>376</v>
      </c>
      <c r="E184">
        <v>128297.78</v>
      </c>
      <c r="F184">
        <v>24208.74</v>
      </c>
      <c r="G184">
        <v>104089.04</v>
      </c>
      <c r="H184">
        <v>0.81130000000000002</v>
      </c>
    </row>
    <row r="185" spans="1:8" x14ac:dyDescent="0.3">
      <c r="A185" s="25">
        <v>45838</v>
      </c>
      <c r="B185" t="s">
        <v>368</v>
      </c>
      <c r="C185" t="s">
        <v>191</v>
      </c>
      <c r="D185" t="s">
        <v>375</v>
      </c>
      <c r="E185">
        <v>244825.29</v>
      </c>
      <c r="F185">
        <v>46196.53</v>
      </c>
      <c r="G185">
        <v>198628.76</v>
      </c>
      <c r="H185">
        <v>0.81130000000000002</v>
      </c>
    </row>
    <row r="186" spans="1:8" x14ac:dyDescent="0.3">
      <c r="A186" s="25">
        <v>45838</v>
      </c>
      <c r="B186" t="s">
        <v>368</v>
      </c>
      <c r="C186" t="s">
        <v>191</v>
      </c>
      <c r="D186" t="s">
        <v>374</v>
      </c>
      <c r="E186">
        <v>119307.73</v>
      </c>
      <c r="F186">
        <v>22512.39</v>
      </c>
      <c r="G186">
        <v>96795.34</v>
      </c>
      <c r="H186">
        <v>0.81130000000000002</v>
      </c>
    </row>
    <row r="187" spans="1:8" x14ac:dyDescent="0.3">
      <c r="A187" s="25">
        <v>45838</v>
      </c>
      <c r="B187" t="s">
        <v>368</v>
      </c>
      <c r="C187" t="s">
        <v>191</v>
      </c>
      <c r="D187" t="s">
        <v>373</v>
      </c>
      <c r="E187">
        <v>31090.080000000002</v>
      </c>
      <c r="F187">
        <v>5866.44</v>
      </c>
      <c r="G187">
        <v>25223.64</v>
      </c>
      <c r="H187">
        <v>0.81130000000000002</v>
      </c>
    </row>
    <row r="188" spans="1:8" x14ac:dyDescent="0.3">
      <c r="A188" s="25">
        <v>45838</v>
      </c>
      <c r="B188" t="s">
        <v>368</v>
      </c>
      <c r="C188" t="s">
        <v>191</v>
      </c>
      <c r="D188" t="s">
        <v>372</v>
      </c>
      <c r="E188">
        <v>85184.55</v>
      </c>
      <c r="F188">
        <v>16073.63</v>
      </c>
      <c r="G188">
        <v>69110.92</v>
      </c>
      <c r="H188">
        <v>0.81130000000000002</v>
      </c>
    </row>
    <row r="189" spans="1:8" x14ac:dyDescent="0.3">
      <c r="A189" s="25">
        <v>45838</v>
      </c>
      <c r="B189" t="s">
        <v>368</v>
      </c>
      <c r="C189" t="s">
        <v>191</v>
      </c>
      <c r="D189" t="s">
        <v>371</v>
      </c>
      <c r="E189">
        <v>84058.29</v>
      </c>
      <c r="F189">
        <v>15861.11</v>
      </c>
      <c r="G189">
        <v>68197.179999999993</v>
      </c>
      <c r="H189">
        <v>0.81130000000000002</v>
      </c>
    </row>
    <row r="190" spans="1:8" x14ac:dyDescent="0.3">
      <c r="A190" s="25">
        <v>45838</v>
      </c>
      <c r="B190" t="s">
        <v>368</v>
      </c>
      <c r="C190" t="s">
        <v>191</v>
      </c>
      <c r="D190" t="s">
        <v>370</v>
      </c>
      <c r="E190">
        <v>45740.9</v>
      </c>
      <c r="F190">
        <v>8630.94</v>
      </c>
      <c r="G190">
        <v>37109.97</v>
      </c>
      <c r="H190">
        <v>0.81130000000000002</v>
      </c>
    </row>
    <row r="191" spans="1:8" x14ac:dyDescent="0.3">
      <c r="A191" s="25">
        <v>45838</v>
      </c>
      <c r="B191" t="s">
        <v>368</v>
      </c>
      <c r="C191" t="s">
        <v>191</v>
      </c>
      <c r="D191" t="s">
        <v>369</v>
      </c>
      <c r="E191">
        <v>50762.559999999998</v>
      </c>
      <c r="F191">
        <v>9578.49</v>
      </c>
      <c r="G191">
        <v>41184.06</v>
      </c>
      <c r="H191">
        <v>0.81130000000000002</v>
      </c>
    </row>
    <row r="192" spans="1:8" x14ac:dyDescent="0.3">
      <c r="A192" s="25">
        <v>45869</v>
      </c>
      <c r="B192" t="s">
        <v>368</v>
      </c>
      <c r="C192" t="s">
        <v>191</v>
      </c>
      <c r="D192" t="s">
        <v>378</v>
      </c>
      <c r="E192">
        <v>258639.05</v>
      </c>
      <c r="F192">
        <v>40343.29</v>
      </c>
      <c r="G192">
        <v>218295.75</v>
      </c>
      <c r="H192">
        <v>0.84399999999999997</v>
      </c>
    </row>
    <row r="193" spans="1:8" x14ac:dyDescent="0.3">
      <c r="A193" s="25">
        <v>45869</v>
      </c>
      <c r="B193" t="s">
        <v>368</v>
      </c>
      <c r="C193" t="s">
        <v>191</v>
      </c>
      <c r="D193" t="s">
        <v>377</v>
      </c>
      <c r="E193">
        <v>188485.02</v>
      </c>
      <c r="F193">
        <v>29400.46</v>
      </c>
      <c r="G193">
        <v>159084.56</v>
      </c>
      <c r="H193">
        <v>0.84399999999999997</v>
      </c>
    </row>
    <row r="194" spans="1:8" x14ac:dyDescent="0.3">
      <c r="A194" s="25">
        <v>45869</v>
      </c>
      <c r="B194" t="s">
        <v>368</v>
      </c>
      <c r="C194" t="s">
        <v>191</v>
      </c>
      <c r="D194" t="s">
        <v>376</v>
      </c>
      <c r="E194">
        <v>129857.86</v>
      </c>
      <c r="F194">
        <v>20255.62</v>
      </c>
      <c r="G194">
        <v>109602.24000000001</v>
      </c>
      <c r="H194">
        <v>0.84399999999999997</v>
      </c>
    </row>
    <row r="195" spans="1:8" x14ac:dyDescent="0.3">
      <c r="A195" s="25">
        <v>45869</v>
      </c>
      <c r="B195" t="s">
        <v>368</v>
      </c>
      <c r="C195" t="s">
        <v>191</v>
      </c>
      <c r="D195" t="s">
        <v>375</v>
      </c>
      <c r="E195">
        <v>133561.5</v>
      </c>
      <c r="F195">
        <v>20833.32</v>
      </c>
      <c r="G195">
        <v>112728.18</v>
      </c>
      <c r="H195">
        <v>0.84399999999999997</v>
      </c>
    </row>
    <row r="196" spans="1:8" x14ac:dyDescent="0.3">
      <c r="A196" s="25">
        <v>45869</v>
      </c>
      <c r="B196" t="s">
        <v>368</v>
      </c>
      <c r="C196" t="s">
        <v>191</v>
      </c>
      <c r="D196" t="s">
        <v>374</v>
      </c>
      <c r="E196">
        <v>55894.31</v>
      </c>
      <c r="F196">
        <v>8718.56</v>
      </c>
      <c r="G196">
        <v>47175.75</v>
      </c>
      <c r="H196">
        <v>0.84399999999999997</v>
      </c>
    </row>
    <row r="197" spans="1:8" x14ac:dyDescent="0.3">
      <c r="A197" s="25">
        <v>45869</v>
      </c>
      <c r="B197" t="s">
        <v>368</v>
      </c>
      <c r="C197" t="s">
        <v>191</v>
      </c>
      <c r="D197" t="s">
        <v>373</v>
      </c>
      <c r="E197">
        <v>53309.04</v>
      </c>
      <c r="F197">
        <v>8315.2999999999993</v>
      </c>
      <c r="G197">
        <v>44993.73</v>
      </c>
      <c r="H197">
        <v>0.84399999999999997</v>
      </c>
    </row>
    <row r="198" spans="1:8" x14ac:dyDescent="0.3">
      <c r="A198" s="25">
        <v>45869</v>
      </c>
      <c r="B198" t="s">
        <v>368</v>
      </c>
      <c r="C198" t="s">
        <v>191</v>
      </c>
      <c r="D198" t="s">
        <v>372</v>
      </c>
      <c r="E198">
        <v>149076.72</v>
      </c>
      <c r="F198">
        <v>23253.43</v>
      </c>
      <c r="G198">
        <v>125823.29</v>
      </c>
      <c r="H198">
        <v>0.84399999999999997</v>
      </c>
    </row>
    <row r="199" spans="1:8" x14ac:dyDescent="0.3">
      <c r="A199" s="25">
        <v>45869</v>
      </c>
      <c r="B199" t="s">
        <v>368</v>
      </c>
      <c r="C199" t="s">
        <v>191</v>
      </c>
      <c r="D199" t="s">
        <v>371</v>
      </c>
      <c r="E199">
        <v>118849.75</v>
      </c>
      <c r="F199">
        <v>18538.54</v>
      </c>
      <c r="G199">
        <v>100311.21</v>
      </c>
      <c r="H199">
        <v>0.84399999999999997</v>
      </c>
    </row>
    <row r="200" spans="1:8" x14ac:dyDescent="0.3">
      <c r="A200" s="25">
        <v>45869</v>
      </c>
      <c r="B200" t="s">
        <v>368</v>
      </c>
      <c r="C200" t="s">
        <v>191</v>
      </c>
      <c r="D200" t="s">
        <v>370</v>
      </c>
      <c r="E200">
        <v>105167.83</v>
      </c>
      <c r="F200">
        <v>16404.39</v>
      </c>
      <c r="G200">
        <v>88763.44</v>
      </c>
      <c r="H200">
        <v>0.84399999999999997</v>
      </c>
    </row>
    <row r="201" spans="1:8" x14ac:dyDescent="0.3">
      <c r="A201" s="25">
        <v>45869</v>
      </c>
      <c r="B201" t="s">
        <v>368</v>
      </c>
      <c r="C201" t="s">
        <v>191</v>
      </c>
      <c r="D201" t="s">
        <v>369</v>
      </c>
      <c r="E201">
        <v>49948.12</v>
      </c>
      <c r="F201">
        <v>7791.08</v>
      </c>
      <c r="G201">
        <v>42157.06</v>
      </c>
      <c r="H201">
        <v>0.84399999999999997</v>
      </c>
    </row>
    <row r="202" spans="1:8" x14ac:dyDescent="0.3">
      <c r="A202" s="25">
        <v>45900</v>
      </c>
      <c r="B202" t="s">
        <v>368</v>
      </c>
      <c r="C202" t="s">
        <v>191</v>
      </c>
      <c r="D202" t="s">
        <v>378</v>
      </c>
      <c r="E202">
        <v>278493.13</v>
      </c>
      <c r="F202">
        <v>52802</v>
      </c>
      <c r="G202">
        <v>225691.13</v>
      </c>
      <c r="H202">
        <v>0.81040000000000001</v>
      </c>
    </row>
    <row r="203" spans="1:8" x14ac:dyDescent="0.3">
      <c r="A203" s="25">
        <v>45900</v>
      </c>
      <c r="B203" t="s">
        <v>368</v>
      </c>
      <c r="C203" t="s">
        <v>191</v>
      </c>
      <c r="D203" t="s">
        <v>377</v>
      </c>
      <c r="E203">
        <v>254193.7</v>
      </c>
      <c r="F203">
        <v>48194.85</v>
      </c>
      <c r="G203">
        <v>205998.85</v>
      </c>
      <c r="H203">
        <v>0.81040000000000001</v>
      </c>
    </row>
    <row r="204" spans="1:8" x14ac:dyDescent="0.3">
      <c r="A204" s="25">
        <v>45900</v>
      </c>
      <c r="B204" t="s">
        <v>368</v>
      </c>
      <c r="C204" t="s">
        <v>191</v>
      </c>
      <c r="D204" t="s">
        <v>376</v>
      </c>
      <c r="E204">
        <v>23206.83</v>
      </c>
      <c r="F204">
        <v>4399.99</v>
      </c>
      <c r="G204">
        <v>18806.84</v>
      </c>
      <c r="H204">
        <v>0.81040000000000001</v>
      </c>
    </row>
    <row r="205" spans="1:8" x14ac:dyDescent="0.3">
      <c r="A205" s="25">
        <v>45900</v>
      </c>
      <c r="B205" t="s">
        <v>368</v>
      </c>
      <c r="C205" t="s">
        <v>191</v>
      </c>
      <c r="D205" t="s">
        <v>375</v>
      </c>
      <c r="E205">
        <v>222005.3</v>
      </c>
      <c r="F205">
        <v>42091.97</v>
      </c>
      <c r="G205">
        <v>179913.33</v>
      </c>
      <c r="H205">
        <v>0.81040000000000001</v>
      </c>
    </row>
    <row r="206" spans="1:8" x14ac:dyDescent="0.3">
      <c r="A206" s="25">
        <v>45900</v>
      </c>
      <c r="B206" t="s">
        <v>368</v>
      </c>
      <c r="C206" t="s">
        <v>191</v>
      </c>
      <c r="D206" t="s">
        <v>374</v>
      </c>
      <c r="E206">
        <v>102780.05</v>
      </c>
      <c r="F206">
        <v>19486.990000000002</v>
      </c>
      <c r="G206">
        <v>83293.070000000007</v>
      </c>
      <c r="H206">
        <v>0.81040000000000001</v>
      </c>
    </row>
    <row r="207" spans="1:8" x14ac:dyDescent="0.3">
      <c r="A207" s="25">
        <v>45900</v>
      </c>
      <c r="B207" t="s">
        <v>368</v>
      </c>
      <c r="C207" t="s">
        <v>191</v>
      </c>
      <c r="D207" t="s">
        <v>373</v>
      </c>
      <c r="E207">
        <v>85275.54</v>
      </c>
      <c r="F207">
        <v>16168.15</v>
      </c>
      <c r="G207">
        <v>69107.39</v>
      </c>
      <c r="H207">
        <v>0.81040000000000001</v>
      </c>
    </row>
    <row r="208" spans="1:8" x14ac:dyDescent="0.3">
      <c r="A208" s="25">
        <v>45900</v>
      </c>
      <c r="B208" t="s">
        <v>368</v>
      </c>
      <c r="C208" t="s">
        <v>191</v>
      </c>
      <c r="D208" t="s">
        <v>372</v>
      </c>
      <c r="E208">
        <v>107740.13</v>
      </c>
      <c r="F208">
        <v>20427.41</v>
      </c>
      <c r="G208">
        <v>87312.72</v>
      </c>
      <c r="H208">
        <v>0.81040000000000001</v>
      </c>
    </row>
    <row r="209" spans="1:8" x14ac:dyDescent="0.3">
      <c r="A209" s="25">
        <v>45900</v>
      </c>
      <c r="B209" t="s">
        <v>368</v>
      </c>
      <c r="C209" t="s">
        <v>191</v>
      </c>
      <c r="D209" t="s">
        <v>371</v>
      </c>
      <c r="E209">
        <v>79771.820000000007</v>
      </c>
      <c r="F209">
        <v>15124.65</v>
      </c>
      <c r="G209">
        <v>64647.17</v>
      </c>
      <c r="H209">
        <v>0.81040000000000001</v>
      </c>
    </row>
    <row r="210" spans="1:8" x14ac:dyDescent="0.3">
      <c r="A210" s="25">
        <v>45900</v>
      </c>
      <c r="B210" t="s">
        <v>368</v>
      </c>
      <c r="C210" t="s">
        <v>191</v>
      </c>
      <c r="D210" t="s">
        <v>370</v>
      </c>
      <c r="E210">
        <v>116219.58</v>
      </c>
      <c r="F210">
        <v>22035.11</v>
      </c>
      <c r="G210">
        <v>94184.48</v>
      </c>
      <c r="H210">
        <v>0.81040000000000001</v>
      </c>
    </row>
    <row r="211" spans="1:8" x14ac:dyDescent="0.3">
      <c r="A211" s="25">
        <v>45900</v>
      </c>
      <c r="B211" t="s">
        <v>368</v>
      </c>
      <c r="C211" t="s">
        <v>191</v>
      </c>
      <c r="D211" t="s">
        <v>369</v>
      </c>
      <c r="E211">
        <v>13766.48</v>
      </c>
      <c r="F211">
        <v>2610.11</v>
      </c>
      <c r="G211">
        <v>11156.35</v>
      </c>
      <c r="H211">
        <v>0.81040000000000001</v>
      </c>
    </row>
    <row r="212" spans="1:8" x14ac:dyDescent="0.3">
      <c r="A212" s="25">
        <v>45930</v>
      </c>
      <c r="B212" t="s">
        <v>368</v>
      </c>
      <c r="C212" t="s">
        <v>191</v>
      </c>
      <c r="D212" t="s">
        <v>378</v>
      </c>
      <c r="E212">
        <v>314297.25</v>
      </c>
      <c r="F212">
        <v>74929.66</v>
      </c>
      <c r="G212">
        <v>239367.6</v>
      </c>
      <c r="H212">
        <v>0.76160000000000005</v>
      </c>
    </row>
    <row r="213" spans="1:8" x14ac:dyDescent="0.3">
      <c r="A213" s="25">
        <v>45930</v>
      </c>
      <c r="B213" t="s">
        <v>368</v>
      </c>
      <c r="C213" t="s">
        <v>191</v>
      </c>
      <c r="D213" t="s">
        <v>377</v>
      </c>
      <c r="E213">
        <v>190894.28</v>
      </c>
      <c r="F213">
        <v>45509.919999999998</v>
      </c>
      <c r="G213">
        <v>145384.35999999999</v>
      </c>
      <c r="H213">
        <v>0.76160000000000005</v>
      </c>
    </row>
    <row r="214" spans="1:8" x14ac:dyDescent="0.3">
      <c r="A214" s="25">
        <v>45930</v>
      </c>
      <c r="B214" t="s">
        <v>368</v>
      </c>
      <c r="C214" t="s">
        <v>191</v>
      </c>
      <c r="D214" t="s">
        <v>376</v>
      </c>
      <c r="E214">
        <v>57445.89</v>
      </c>
      <c r="F214">
        <v>13695.32</v>
      </c>
      <c r="G214">
        <v>43750.57</v>
      </c>
      <c r="H214">
        <v>0.76160000000000005</v>
      </c>
    </row>
    <row r="215" spans="1:8" x14ac:dyDescent="0.3">
      <c r="A215" s="25">
        <v>45930</v>
      </c>
      <c r="B215" t="s">
        <v>368</v>
      </c>
      <c r="C215" t="s">
        <v>191</v>
      </c>
      <c r="D215" t="s">
        <v>375</v>
      </c>
      <c r="E215">
        <v>101667.08</v>
      </c>
      <c r="F215">
        <v>24237.82</v>
      </c>
      <c r="G215">
        <v>77429.259999999995</v>
      </c>
      <c r="H215">
        <v>0.76160000000000005</v>
      </c>
    </row>
    <row r="216" spans="1:8" x14ac:dyDescent="0.3">
      <c r="A216" s="25">
        <v>45930</v>
      </c>
      <c r="B216" t="s">
        <v>368</v>
      </c>
      <c r="C216" t="s">
        <v>191</v>
      </c>
      <c r="D216" t="s">
        <v>374</v>
      </c>
      <c r="E216">
        <v>127261.89</v>
      </c>
      <c r="F216">
        <v>30339.72</v>
      </c>
      <c r="G216">
        <v>96922.17</v>
      </c>
      <c r="H216">
        <v>0.76160000000000005</v>
      </c>
    </row>
    <row r="217" spans="1:8" x14ac:dyDescent="0.3">
      <c r="A217" s="25">
        <v>45930</v>
      </c>
      <c r="B217" t="s">
        <v>368</v>
      </c>
      <c r="C217" t="s">
        <v>191</v>
      </c>
      <c r="D217" t="s">
        <v>373</v>
      </c>
      <c r="E217">
        <v>59079.1</v>
      </c>
      <c r="F217">
        <v>14084.68</v>
      </c>
      <c r="G217">
        <v>44994.42</v>
      </c>
      <c r="H217">
        <v>0.76160000000000005</v>
      </c>
    </row>
    <row r="218" spans="1:8" x14ac:dyDescent="0.3">
      <c r="A218" s="25">
        <v>45930</v>
      </c>
      <c r="B218" t="s">
        <v>368</v>
      </c>
      <c r="C218" t="s">
        <v>191</v>
      </c>
      <c r="D218" t="s">
        <v>372</v>
      </c>
      <c r="E218">
        <v>50271.06</v>
      </c>
      <c r="F218">
        <v>11984.81</v>
      </c>
      <c r="G218">
        <v>38286.25</v>
      </c>
      <c r="H218">
        <v>0.76160000000000005</v>
      </c>
    </row>
    <row r="219" spans="1:8" x14ac:dyDescent="0.3">
      <c r="A219" s="25">
        <v>45930</v>
      </c>
      <c r="B219" t="s">
        <v>368</v>
      </c>
      <c r="C219" t="s">
        <v>191</v>
      </c>
      <c r="D219" t="s">
        <v>371</v>
      </c>
      <c r="E219">
        <v>137790.15</v>
      </c>
      <c r="F219">
        <v>32849.69</v>
      </c>
      <c r="G219">
        <v>104940.46</v>
      </c>
      <c r="H219">
        <v>0.76160000000000005</v>
      </c>
    </row>
    <row r="220" spans="1:8" x14ac:dyDescent="0.3">
      <c r="A220" s="25">
        <v>45930</v>
      </c>
      <c r="B220" t="s">
        <v>368</v>
      </c>
      <c r="C220" t="s">
        <v>191</v>
      </c>
      <c r="D220" t="s">
        <v>370</v>
      </c>
      <c r="E220">
        <v>131113.1</v>
      </c>
      <c r="F220">
        <v>31257.86</v>
      </c>
      <c r="G220">
        <v>99855.24</v>
      </c>
      <c r="H220">
        <v>0.76160000000000005</v>
      </c>
    </row>
    <row r="221" spans="1:8" x14ac:dyDescent="0.3">
      <c r="A221" s="25">
        <v>45930</v>
      </c>
      <c r="B221" t="s">
        <v>368</v>
      </c>
      <c r="C221" t="s">
        <v>191</v>
      </c>
      <c r="D221" t="s">
        <v>369</v>
      </c>
      <c r="E221">
        <v>77490.66</v>
      </c>
      <c r="F221">
        <v>18474.060000000001</v>
      </c>
      <c r="G221">
        <v>59016.59</v>
      </c>
      <c r="H221">
        <v>0.76160000000000005</v>
      </c>
    </row>
    <row r="222" spans="1:8" x14ac:dyDescent="0.3">
      <c r="A222" s="25">
        <v>45961</v>
      </c>
      <c r="B222" t="s">
        <v>368</v>
      </c>
      <c r="C222" t="s">
        <v>191</v>
      </c>
      <c r="D222" t="s">
        <v>378</v>
      </c>
      <c r="E222">
        <v>237649.06</v>
      </c>
      <c r="F222">
        <v>37159.53</v>
      </c>
      <c r="G222">
        <v>200489.54</v>
      </c>
      <c r="H222">
        <v>0.84360000000000002</v>
      </c>
    </row>
    <row r="223" spans="1:8" x14ac:dyDescent="0.3">
      <c r="A223" s="25">
        <v>45961</v>
      </c>
      <c r="B223" t="s">
        <v>368</v>
      </c>
      <c r="C223" t="s">
        <v>191</v>
      </c>
      <c r="D223" t="s">
        <v>377</v>
      </c>
      <c r="E223">
        <v>291686.26</v>
      </c>
      <c r="F223">
        <v>45608.95</v>
      </c>
      <c r="G223">
        <v>246077.32</v>
      </c>
      <c r="H223">
        <v>0.84360000000000002</v>
      </c>
    </row>
    <row r="224" spans="1:8" x14ac:dyDescent="0.3">
      <c r="A224" s="25">
        <v>45961</v>
      </c>
      <c r="B224" t="s">
        <v>368</v>
      </c>
      <c r="C224" t="s">
        <v>191</v>
      </c>
      <c r="D224" t="s">
        <v>376</v>
      </c>
      <c r="E224">
        <v>156184.5</v>
      </c>
      <c r="F224">
        <v>24421.48</v>
      </c>
      <c r="G224">
        <v>131763.01999999999</v>
      </c>
      <c r="H224">
        <v>0.84360000000000002</v>
      </c>
    </row>
    <row r="225" spans="1:8" x14ac:dyDescent="0.3">
      <c r="A225" s="25">
        <v>45961</v>
      </c>
      <c r="B225" t="s">
        <v>368</v>
      </c>
      <c r="C225" t="s">
        <v>191</v>
      </c>
      <c r="D225" t="s">
        <v>375</v>
      </c>
      <c r="E225">
        <v>85198.07</v>
      </c>
      <c r="F225">
        <v>13321.83</v>
      </c>
      <c r="G225">
        <v>71876.240000000005</v>
      </c>
      <c r="H225">
        <v>0.84360000000000002</v>
      </c>
    </row>
    <row r="226" spans="1:8" x14ac:dyDescent="0.3">
      <c r="A226" s="25">
        <v>45961</v>
      </c>
      <c r="B226" t="s">
        <v>368</v>
      </c>
      <c r="C226" t="s">
        <v>191</v>
      </c>
      <c r="D226" t="s">
        <v>374</v>
      </c>
      <c r="E226">
        <v>127387.99</v>
      </c>
      <c r="F226">
        <v>19918.77</v>
      </c>
      <c r="G226">
        <v>107469.22</v>
      </c>
      <c r="H226">
        <v>0.84360000000000002</v>
      </c>
    </row>
    <row r="227" spans="1:8" x14ac:dyDescent="0.3">
      <c r="A227" s="25">
        <v>45961</v>
      </c>
      <c r="B227" t="s">
        <v>368</v>
      </c>
      <c r="C227" t="s">
        <v>191</v>
      </c>
      <c r="D227" t="s">
        <v>373</v>
      </c>
      <c r="E227">
        <v>65986.84</v>
      </c>
      <c r="F227">
        <v>10317.9</v>
      </c>
      <c r="G227">
        <v>55668.94</v>
      </c>
      <c r="H227">
        <v>0.84360000000000002</v>
      </c>
    </row>
    <row r="228" spans="1:8" x14ac:dyDescent="0.3">
      <c r="A228" s="25">
        <v>45961</v>
      </c>
      <c r="B228" t="s">
        <v>368</v>
      </c>
      <c r="C228" t="s">
        <v>191</v>
      </c>
      <c r="D228" t="s">
        <v>372</v>
      </c>
      <c r="E228">
        <v>101910</v>
      </c>
      <c r="F228">
        <v>15934.96</v>
      </c>
      <c r="G228">
        <v>85975.039999999994</v>
      </c>
      <c r="H228">
        <v>0.84360000000000002</v>
      </c>
    </row>
    <row r="229" spans="1:8" x14ac:dyDescent="0.3">
      <c r="A229" s="25">
        <v>45961</v>
      </c>
      <c r="B229" t="s">
        <v>368</v>
      </c>
      <c r="C229" t="s">
        <v>191</v>
      </c>
      <c r="D229" t="s">
        <v>371</v>
      </c>
      <c r="E229">
        <v>31367.07</v>
      </c>
      <c r="F229">
        <v>4904.6499999999996</v>
      </c>
      <c r="G229">
        <v>26462.42</v>
      </c>
      <c r="H229">
        <v>0.84360000000000002</v>
      </c>
    </row>
    <row r="230" spans="1:8" x14ac:dyDescent="0.3">
      <c r="A230" s="25">
        <v>45961</v>
      </c>
      <c r="B230" t="s">
        <v>368</v>
      </c>
      <c r="C230" t="s">
        <v>191</v>
      </c>
      <c r="D230" t="s">
        <v>370</v>
      </c>
      <c r="E230">
        <v>91088.95</v>
      </c>
      <c r="F230">
        <v>14242.95</v>
      </c>
      <c r="G230">
        <v>76846.009999999995</v>
      </c>
      <c r="H230">
        <v>0.84360000000000002</v>
      </c>
    </row>
    <row r="231" spans="1:8" x14ac:dyDescent="0.3">
      <c r="A231" s="25">
        <v>45961</v>
      </c>
      <c r="B231" t="s">
        <v>368</v>
      </c>
      <c r="C231" t="s">
        <v>191</v>
      </c>
      <c r="D231" t="s">
        <v>369</v>
      </c>
      <c r="E231">
        <v>27486.32</v>
      </c>
      <c r="F231">
        <v>4297.84</v>
      </c>
      <c r="G231">
        <v>23188.46</v>
      </c>
      <c r="H231">
        <v>0.84360000000000002</v>
      </c>
    </row>
    <row r="232" spans="1:8" x14ac:dyDescent="0.3">
      <c r="A232" s="25">
        <v>45991</v>
      </c>
      <c r="B232" t="s">
        <v>368</v>
      </c>
      <c r="C232" t="s">
        <v>191</v>
      </c>
      <c r="D232" t="s">
        <v>378</v>
      </c>
      <c r="E232">
        <v>269837.78999999998</v>
      </c>
      <c r="F232">
        <v>30871.33</v>
      </c>
      <c r="G232">
        <v>238966.46</v>
      </c>
      <c r="H232">
        <v>0.88560000000000005</v>
      </c>
    </row>
    <row r="233" spans="1:8" x14ac:dyDescent="0.3">
      <c r="A233" s="25">
        <v>45991</v>
      </c>
      <c r="B233" t="s">
        <v>368</v>
      </c>
      <c r="C233" t="s">
        <v>191</v>
      </c>
      <c r="D233" t="s">
        <v>377</v>
      </c>
      <c r="E233">
        <v>278587.46999999997</v>
      </c>
      <c r="F233">
        <v>31872.36</v>
      </c>
      <c r="G233">
        <v>246715.11</v>
      </c>
      <c r="H233">
        <v>0.88560000000000005</v>
      </c>
    </row>
    <row r="234" spans="1:8" x14ac:dyDescent="0.3">
      <c r="A234" s="25">
        <v>45991</v>
      </c>
      <c r="B234" t="s">
        <v>368</v>
      </c>
      <c r="C234" t="s">
        <v>191</v>
      </c>
      <c r="D234" t="s">
        <v>376</v>
      </c>
      <c r="E234">
        <v>21320.68</v>
      </c>
      <c r="F234">
        <v>2439.23</v>
      </c>
      <c r="G234">
        <v>18881.439999999999</v>
      </c>
      <c r="H234">
        <v>0.88560000000000005</v>
      </c>
    </row>
    <row r="235" spans="1:8" x14ac:dyDescent="0.3">
      <c r="A235" s="25">
        <v>45991</v>
      </c>
      <c r="B235" t="s">
        <v>368</v>
      </c>
      <c r="C235" t="s">
        <v>191</v>
      </c>
      <c r="D235" t="s">
        <v>375</v>
      </c>
      <c r="E235">
        <v>119218.97</v>
      </c>
      <c r="F235">
        <v>13639.49</v>
      </c>
      <c r="G235">
        <v>105579.49</v>
      </c>
      <c r="H235">
        <v>0.88560000000000005</v>
      </c>
    </row>
    <row r="236" spans="1:8" x14ac:dyDescent="0.3">
      <c r="A236" s="25">
        <v>45991</v>
      </c>
      <c r="B236" t="s">
        <v>368</v>
      </c>
      <c r="C236" t="s">
        <v>191</v>
      </c>
      <c r="D236" t="s">
        <v>374</v>
      </c>
      <c r="E236">
        <v>124399.77</v>
      </c>
      <c r="F236">
        <v>14232.21</v>
      </c>
      <c r="G236">
        <v>110167.57</v>
      </c>
      <c r="H236">
        <v>0.88560000000000005</v>
      </c>
    </row>
    <row r="237" spans="1:8" x14ac:dyDescent="0.3">
      <c r="A237" s="25">
        <v>45991</v>
      </c>
      <c r="B237" t="s">
        <v>368</v>
      </c>
      <c r="C237" t="s">
        <v>191</v>
      </c>
      <c r="D237" t="s">
        <v>373</v>
      </c>
      <c r="E237">
        <v>53285.02</v>
      </c>
      <c r="F237">
        <v>6096.18</v>
      </c>
      <c r="G237">
        <v>47188.84</v>
      </c>
      <c r="H237">
        <v>0.88560000000000005</v>
      </c>
    </row>
    <row r="238" spans="1:8" x14ac:dyDescent="0.3">
      <c r="A238" s="25">
        <v>45991</v>
      </c>
      <c r="B238" t="s">
        <v>368</v>
      </c>
      <c r="C238" t="s">
        <v>191</v>
      </c>
      <c r="D238" t="s">
        <v>372</v>
      </c>
      <c r="E238">
        <v>122258.83</v>
      </c>
      <c r="F238">
        <v>13987.27</v>
      </c>
      <c r="G238">
        <v>108271.56</v>
      </c>
      <c r="H238">
        <v>0.88560000000000005</v>
      </c>
    </row>
    <row r="239" spans="1:8" x14ac:dyDescent="0.3">
      <c r="A239" s="25">
        <v>45991</v>
      </c>
      <c r="B239" t="s">
        <v>368</v>
      </c>
      <c r="C239" t="s">
        <v>191</v>
      </c>
      <c r="D239" t="s">
        <v>371</v>
      </c>
      <c r="E239">
        <v>108653.1</v>
      </c>
      <c r="F239">
        <v>12430.68</v>
      </c>
      <c r="G239">
        <v>96222.43</v>
      </c>
      <c r="H239">
        <v>0.88560000000000005</v>
      </c>
    </row>
    <row r="240" spans="1:8" x14ac:dyDescent="0.3">
      <c r="A240" s="25">
        <v>45991</v>
      </c>
      <c r="B240" t="s">
        <v>368</v>
      </c>
      <c r="C240" t="s">
        <v>191</v>
      </c>
      <c r="D240" t="s">
        <v>370</v>
      </c>
      <c r="E240">
        <v>120312.11</v>
      </c>
      <c r="F240">
        <v>13764.55</v>
      </c>
      <c r="G240">
        <v>106547.56</v>
      </c>
      <c r="H240">
        <v>0.88560000000000005</v>
      </c>
    </row>
    <row r="241" spans="1:8" x14ac:dyDescent="0.3">
      <c r="A241" s="25">
        <v>45991</v>
      </c>
      <c r="B241" t="s">
        <v>368</v>
      </c>
      <c r="C241" t="s">
        <v>191</v>
      </c>
      <c r="D241" t="s">
        <v>369</v>
      </c>
      <c r="E241">
        <v>50237.83</v>
      </c>
      <c r="F241">
        <v>5747.55</v>
      </c>
      <c r="G241">
        <v>44490.26</v>
      </c>
      <c r="H241">
        <v>0.88560000000000005</v>
      </c>
    </row>
    <row r="242" spans="1:8" x14ac:dyDescent="0.3">
      <c r="A242" s="25">
        <v>45657</v>
      </c>
      <c r="B242" t="s">
        <v>368</v>
      </c>
      <c r="C242" t="s">
        <v>193</v>
      </c>
      <c r="D242" t="s">
        <v>378</v>
      </c>
      <c r="E242">
        <v>872976.24</v>
      </c>
      <c r="F242">
        <v>96248.6</v>
      </c>
      <c r="G242">
        <v>776727.64</v>
      </c>
      <c r="H242">
        <v>0.88970000000000005</v>
      </c>
    </row>
    <row r="243" spans="1:8" x14ac:dyDescent="0.3">
      <c r="A243" s="25">
        <v>45657</v>
      </c>
      <c r="B243" t="s">
        <v>368</v>
      </c>
      <c r="C243" t="s">
        <v>193</v>
      </c>
      <c r="D243" t="s">
        <v>377</v>
      </c>
      <c r="E243">
        <v>696249.89</v>
      </c>
      <c r="F243">
        <v>76763.92</v>
      </c>
      <c r="G243">
        <v>619485.97</v>
      </c>
      <c r="H243">
        <v>0.88970000000000005</v>
      </c>
    </row>
    <row r="244" spans="1:8" x14ac:dyDescent="0.3">
      <c r="A244" s="25">
        <v>45657</v>
      </c>
      <c r="B244" t="s">
        <v>368</v>
      </c>
      <c r="C244" t="s">
        <v>193</v>
      </c>
      <c r="D244" t="s">
        <v>376</v>
      </c>
      <c r="E244">
        <v>576967.71</v>
      </c>
      <c r="F244">
        <v>63612.65</v>
      </c>
      <c r="G244">
        <v>513355.06</v>
      </c>
      <c r="H244">
        <v>0.88970000000000005</v>
      </c>
    </row>
    <row r="245" spans="1:8" x14ac:dyDescent="0.3">
      <c r="A245" s="25">
        <v>45657</v>
      </c>
      <c r="B245" t="s">
        <v>368</v>
      </c>
      <c r="C245" t="s">
        <v>193</v>
      </c>
      <c r="D245" t="s">
        <v>375</v>
      </c>
      <c r="E245">
        <v>430933.78</v>
      </c>
      <c r="F245">
        <v>47511.92</v>
      </c>
      <c r="G245">
        <v>383421.87</v>
      </c>
      <c r="H245">
        <v>0.88970000000000005</v>
      </c>
    </row>
    <row r="246" spans="1:8" x14ac:dyDescent="0.3">
      <c r="A246" s="25">
        <v>45657</v>
      </c>
      <c r="B246" t="s">
        <v>368</v>
      </c>
      <c r="C246" t="s">
        <v>193</v>
      </c>
      <c r="D246" t="s">
        <v>374</v>
      </c>
      <c r="E246">
        <v>360815.44</v>
      </c>
      <c r="F246">
        <v>39781.129999999997</v>
      </c>
      <c r="G246">
        <v>321034.31</v>
      </c>
      <c r="H246">
        <v>0.88970000000000005</v>
      </c>
    </row>
    <row r="247" spans="1:8" x14ac:dyDescent="0.3">
      <c r="A247" s="25">
        <v>45657</v>
      </c>
      <c r="B247" t="s">
        <v>368</v>
      </c>
      <c r="C247" t="s">
        <v>193</v>
      </c>
      <c r="D247" t="s">
        <v>373</v>
      </c>
      <c r="E247">
        <v>177367.72</v>
      </c>
      <c r="F247">
        <v>19555.39</v>
      </c>
      <c r="G247">
        <v>157812.32999999999</v>
      </c>
      <c r="H247">
        <v>0.88970000000000005</v>
      </c>
    </row>
    <row r="248" spans="1:8" x14ac:dyDescent="0.3">
      <c r="A248" s="25">
        <v>45657</v>
      </c>
      <c r="B248" t="s">
        <v>368</v>
      </c>
      <c r="C248" t="s">
        <v>193</v>
      </c>
      <c r="D248" t="s">
        <v>372</v>
      </c>
      <c r="E248">
        <v>384600.51</v>
      </c>
      <c r="F248">
        <v>42403.51</v>
      </c>
      <c r="G248">
        <v>342196.99</v>
      </c>
      <c r="H248">
        <v>0.88970000000000005</v>
      </c>
    </row>
    <row r="249" spans="1:8" x14ac:dyDescent="0.3">
      <c r="A249" s="25">
        <v>45657</v>
      </c>
      <c r="B249" t="s">
        <v>368</v>
      </c>
      <c r="C249" t="s">
        <v>193</v>
      </c>
      <c r="D249" t="s">
        <v>371</v>
      </c>
      <c r="E249">
        <v>482424.89</v>
      </c>
      <c r="F249">
        <v>53188.99</v>
      </c>
      <c r="G249">
        <v>429235.91</v>
      </c>
      <c r="H249">
        <v>0.88970000000000005</v>
      </c>
    </row>
    <row r="250" spans="1:8" x14ac:dyDescent="0.3">
      <c r="A250" s="25">
        <v>45657</v>
      </c>
      <c r="B250" t="s">
        <v>368</v>
      </c>
      <c r="C250" t="s">
        <v>193</v>
      </c>
      <c r="D250" t="s">
        <v>370</v>
      </c>
      <c r="E250">
        <v>285165.12</v>
      </c>
      <c r="F250">
        <v>31440.42</v>
      </c>
      <c r="G250">
        <v>253724.69</v>
      </c>
      <c r="H250">
        <v>0.88970000000000005</v>
      </c>
    </row>
    <row r="251" spans="1:8" x14ac:dyDescent="0.3">
      <c r="A251" s="25">
        <v>45657</v>
      </c>
      <c r="B251" t="s">
        <v>368</v>
      </c>
      <c r="C251" t="s">
        <v>193</v>
      </c>
      <c r="D251" t="s">
        <v>369</v>
      </c>
      <c r="E251">
        <v>47572.97</v>
      </c>
      <c r="F251">
        <v>5245.09</v>
      </c>
      <c r="G251">
        <v>42327.88</v>
      </c>
      <c r="H251">
        <v>0.88970000000000005</v>
      </c>
    </row>
    <row r="252" spans="1:8" x14ac:dyDescent="0.3">
      <c r="A252" s="25">
        <v>45688</v>
      </c>
      <c r="B252" t="s">
        <v>368</v>
      </c>
      <c r="C252" t="s">
        <v>193</v>
      </c>
      <c r="D252" t="s">
        <v>378</v>
      </c>
      <c r="E252">
        <v>1009337.01</v>
      </c>
      <c r="F252">
        <v>116603.49</v>
      </c>
      <c r="G252">
        <v>892733.53</v>
      </c>
      <c r="H252">
        <v>0.88449999999999995</v>
      </c>
    </row>
    <row r="253" spans="1:8" x14ac:dyDescent="0.3">
      <c r="A253" s="25">
        <v>45688</v>
      </c>
      <c r="B253" t="s">
        <v>368</v>
      </c>
      <c r="C253" t="s">
        <v>193</v>
      </c>
      <c r="D253" t="s">
        <v>377</v>
      </c>
      <c r="E253">
        <v>724185.13</v>
      </c>
      <c r="F253">
        <v>83661.36</v>
      </c>
      <c r="G253">
        <v>640523.76</v>
      </c>
      <c r="H253">
        <v>0.88449999999999995</v>
      </c>
    </row>
    <row r="254" spans="1:8" x14ac:dyDescent="0.3">
      <c r="A254" s="25">
        <v>45688</v>
      </c>
      <c r="B254" t="s">
        <v>368</v>
      </c>
      <c r="C254" t="s">
        <v>193</v>
      </c>
      <c r="D254" t="s">
        <v>376</v>
      </c>
      <c r="E254">
        <v>420471.96</v>
      </c>
      <c r="F254">
        <v>48574.95</v>
      </c>
      <c r="G254">
        <v>371897</v>
      </c>
      <c r="H254">
        <v>0.88449999999999995</v>
      </c>
    </row>
    <row r="255" spans="1:8" x14ac:dyDescent="0.3">
      <c r="A255" s="25">
        <v>45688</v>
      </c>
      <c r="B255" t="s">
        <v>368</v>
      </c>
      <c r="C255" t="s">
        <v>193</v>
      </c>
      <c r="D255" t="s">
        <v>375</v>
      </c>
      <c r="E255">
        <v>575784.06999999995</v>
      </c>
      <c r="F255">
        <v>66517.36</v>
      </c>
      <c r="G255">
        <v>509266.71</v>
      </c>
      <c r="H255">
        <v>0.88449999999999995</v>
      </c>
    </row>
    <row r="256" spans="1:8" x14ac:dyDescent="0.3">
      <c r="A256" s="25">
        <v>45688</v>
      </c>
      <c r="B256" t="s">
        <v>368</v>
      </c>
      <c r="C256" t="s">
        <v>193</v>
      </c>
      <c r="D256" t="s">
        <v>374</v>
      </c>
      <c r="E256">
        <v>330669.53000000003</v>
      </c>
      <c r="F256">
        <v>38200.54</v>
      </c>
      <c r="G256">
        <v>292468.99</v>
      </c>
      <c r="H256">
        <v>0.88449999999999995</v>
      </c>
    </row>
    <row r="257" spans="1:8" x14ac:dyDescent="0.3">
      <c r="A257" s="25">
        <v>45688</v>
      </c>
      <c r="B257" t="s">
        <v>368</v>
      </c>
      <c r="C257" t="s">
        <v>193</v>
      </c>
      <c r="D257" t="s">
        <v>373</v>
      </c>
      <c r="E257">
        <v>244412.01</v>
      </c>
      <c r="F257">
        <v>28235.66</v>
      </c>
      <c r="G257">
        <v>216176.35</v>
      </c>
      <c r="H257">
        <v>0.88449999999999995</v>
      </c>
    </row>
    <row r="258" spans="1:8" x14ac:dyDescent="0.3">
      <c r="A258" s="25">
        <v>45688</v>
      </c>
      <c r="B258" t="s">
        <v>368</v>
      </c>
      <c r="C258" t="s">
        <v>193</v>
      </c>
      <c r="D258" t="s">
        <v>372</v>
      </c>
      <c r="E258">
        <v>227570.05</v>
      </c>
      <c r="F258">
        <v>26289.99</v>
      </c>
      <c r="G258">
        <v>201280.06</v>
      </c>
      <c r="H258">
        <v>0.88449999999999995</v>
      </c>
    </row>
    <row r="259" spans="1:8" x14ac:dyDescent="0.3">
      <c r="A259" s="25">
        <v>45688</v>
      </c>
      <c r="B259" t="s">
        <v>368</v>
      </c>
      <c r="C259" t="s">
        <v>193</v>
      </c>
      <c r="D259" t="s">
        <v>371</v>
      </c>
      <c r="E259">
        <v>264133.11</v>
      </c>
      <c r="F259">
        <v>30513.93</v>
      </c>
      <c r="G259">
        <v>233619.18</v>
      </c>
      <c r="H259">
        <v>0.88449999999999995</v>
      </c>
    </row>
    <row r="260" spans="1:8" x14ac:dyDescent="0.3">
      <c r="A260" s="25">
        <v>45688</v>
      </c>
      <c r="B260" t="s">
        <v>368</v>
      </c>
      <c r="C260" t="s">
        <v>193</v>
      </c>
      <c r="D260" t="s">
        <v>370</v>
      </c>
      <c r="E260">
        <v>367753.17</v>
      </c>
      <c r="F260">
        <v>42484.62</v>
      </c>
      <c r="G260">
        <v>325268.55</v>
      </c>
      <c r="H260">
        <v>0.88449999999999995</v>
      </c>
    </row>
    <row r="261" spans="1:8" x14ac:dyDescent="0.3">
      <c r="A261" s="25">
        <v>45688</v>
      </c>
      <c r="B261" t="s">
        <v>368</v>
      </c>
      <c r="C261" t="s">
        <v>193</v>
      </c>
      <c r="D261" t="s">
        <v>369</v>
      </c>
      <c r="E261">
        <v>41654.85</v>
      </c>
      <c r="F261">
        <v>4812.17</v>
      </c>
      <c r="G261">
        <v>36842.69</v>
      </c>
      <c r="H261">
        <v>0.88449999999999995</v>
      </c>
    </row>
    <row r="262" spans="1:8" x14ac:dyDescent="0.3">
      <c r="A262" s="25">
        <v>45716</v>
      </c>
      <c r="B262" t="s">
        <v>368</v>
      </c>
      <c r="C262" t="s">
        <v>193</v>
      </c>
      <c r="D262" t="s">
        <v>378</v>
      </c>
      <c r="E262">
        <v>978012.03</v>
      </c>
      <c r="F262">
        <v>164721.57999999999</v>
      </c>
      <c r="G262">
        <v>813290.44</v>
      </c>
      <c r="H262">
        <v>0.83160000000000001</v>
      </c>
    </row>
    <row r="263" spans="1:8" x14ac:dyDescent="0.3">
      <c r="A263" s="25">
        <v>45716</v>
      </c>
      <c r="B263" t="s">
        <v>368</v>
      </c>
      <c r="C263" t="s">
        <v>193</v>
      </c>
      <c r="D263" t="s">
        <v>377</v>
      </c>
      <c r="E263">
        <v>791943.95</v>
      </c>
      <c r="F263">
        <v>133383.09</v>
      </c>
      <c r="G263">
        <v>658560.87</v>
      </c>
      <c r="H263">
        <v>0.83160000000000001</v>
      </c>
    </row>
    <row r="264" spans="1:8" x14ac:dyDescent="0.3">
      <c r="A264" s="25">
        <v>45716</v>
      </c>
      <c r="B264" t="s">
        <v>368</v>
      </c>
      <c r="C264" t="s">
        <v>193</v>
      </c>
      <c r="D264" t="s">
        <v>376</v>
      </c>
      <c r="E264">
        <v>438059.67</v>
      </c>
      <c r="F264">
        <v>73780.160000000003</v>
      </c>
      <c r="G264">
        <v>364279.51</v>
      </c>
      <c r="H264">
        <v>0.83160000000000001</v>
      </c>
    </row>
    <row r="265" spans="1:8" x14ac:dyDescent="0.3">
      <c r="A265" s="25">
        <v>45716</v>
      </c>
      <c r="B265" t="s">
        <v>368</v>
      </c>
      <c r="C265" t="s">
        <v>193</v>
      </c>
      <c r="D265" t="s">
        <v>375</v>
      </c>
      <c r="E265">
        <v>524063.77</v>
      </c>
      <c r="F265">
        <v>88265.39</v>
      </c>
      <c r="G265">
        <v>435798.38</v>
      </c>
      <c r="H265">
        <v>0.83160000000000001</v>
      </c>
    </row>
    <row r="266" spans="1:8" x14ac:dyDescent="0.3">
      <c r="A266" s="25">
        <v>45716</v>
      </c>
      <c r="B266" t="s">
        <v>368</v>
      </c>
      <c r="C266" t="s">
        <v>193</v>
      </c>
      <c r="D266" t="s">
        <v>374</v>
      </c>
      <c r="E266">
        <v>389573.59</v>
      </c>
      <c r="F266">
        <v>65613.899999999994</v>
      </c>
      <c r="G266">
        <v>323959.7</v>
      </c>
      <c r="H266">
        <v>0.83160000000000001</v>
      </c>
    </row>
    <row r="267" spans="1:8" x14ac:dyDescent="0.3">
      <c r="A267" s="25">
        <v>45716</v>
      </c>
      <c r="B267" t="s">
        <v>368</v>
      </c>
      <c r="C267" t="s">
        <v>193</v>
      </c>
      <c r="D267" t="s">
        <v>373</v>
      </c>
      <c r="E267">
        <v>408218.65</v>
      </c>
      <c r="F267">
        <v>68754.19</v>
      </c>
      <c r="G267">
        <v>339464.46</v>
      </c>
      <c r="H267">
        <v>0.83160000000000001</v>
      </c>
    </row>
    <row r="268" spans="1:8" x14ac:dyDescent="0.3">
      <c r="A268" s="25">
        <v>45716</v>
      </c>
      <c r="B268" t="s">
        <v>368</v>
      </c>
      <c r="C268" t="s">
        <v>193</v>
      </c>
      <c r="D268" t="s">
        <v>372</v>
      </c>
      <c r="E268">
        <v>260452.23</v>
      </c>
      <c r="F268">
        <v>43866.64</v>
      </c>
      <c r="G268">
        <v>216585.59</v>
      </c>
      <c r="H268">
        <v>0.83160000000000001</v>
      </c>
    </row>
    <row r="269" spans="1:8" x14ac:dyDescent="0.3">
      <c r="A269" s="25">
        <v>45716</v>
      </c>
      <c r="B269" t="s">
        <v>368</v>
      </c>
      <c r="C269" t="s">
        <v>193</v>
      </c>
      <c r="D269" t="s">
        <v>371</v>
      </c>
      <c r="E269">
        <v>320534.46999999997</v>
      </c>
      <c r="F269">
        <v>53985.99</v>
      </c>
      <c r="G269">
        <v>266548.49</v>
      </c>
      <c r="H269">
        <v>0.83160000000000001</v>
      </c>
    </row>
    <row r="270" spans="1:8" x14ac:dyDescent="0.3">
      <c r="A270" s="25">
        <v>45716</v>
      </c>
      <c r="B270" t="s">
        <v>368</v>
      </c>
      <c r="C270" t="s">
        <v>193</v>
      </c>
      <c r="D270" t="s">
        <v>370</v>
      </c>
      <c r="E270">
        <v>313854.74</v>
      </c>
      <c r="F270">
        <v>52860.95</v>
      </c>
      <c r="G270">
        <v>260993.78</v>
      </c>
      <c r="H270">
        <v>0.83160000000000001</v>
      </c>
    </row>
    <row r="271" spans="1:8" x14ac:dyDescent="0.3">
      <c r="A271" s="25">
        <v>45716</v>
      </c>
      <c r="B271" t="s">
        <v>368</v>
      </c>
      <c r="C271" t="s">
        <v>193</v>
      </c>
      <c r="D271" t="s">
        <v>369</v>
      </c>
      <c r="E271">
        <v>77550.11</v>
      </c>
      <c r="F271">
        <v>13061.37</v>
      </c>
      <c r="G271">
        <v>64488.73</v>
      </c>
      <c r="H271">
        <v>0.83160000000000001</v>
      </c>
    </row>
    <row r="272" spans="1:8" x14ac:dyDescent="0.3">
      <c r="A272" s="25">
        <v>45747</v>
      </c>
      <c r="B272" t="s">
        <v>368</v>
      </c>
      <c r="C272" t="s">
        <v>193</v>
      </c>
      <c r="D272" t="s">
        <v>378</v>
      </c>
      <c r="E272">
        <v>1116017.01</v>
      </c>
      <c r="F272">
        <v>113375.23</v>
      </c>
      <c r="G272">
        <v>1002641.79</v>
      </c>
      <c r="H272">
        <v>0.89839999999999998</v>
      </c>
    </row>
    <row r="273" spans="1:8" x14ac:dyDescent="0.3">
      <c r="A273" s="25">
        <v>45747</v>
      </c>
      <c r="B273" t="s">
        <v>368</v>
      </c>
      <c r="C273" t="s">
        <v>193</v>
      </c>
      <c r="D273" t="s">
        <v>377</v>
      </c>
      <c r="E273">
        <v>1120735.05</v>
      </c>
      <c r="F273">
        <v>113854.53</v>
      </c>
      <c r="G273">
        <v>1006880.52</v>
      </c>
      <c r="H273">
        <v>0.89839999999999998</v>
      </c>
    </row>
    <row r="274" spans="1:8" x14ac:dyDescent="0.3">
      <c r="A274" s="25">
        <v>45747</v>
      </c>
      <c r="B274" t="s">
        <v>368</v>
      </c>
      <c r="C274" t="s">
        <v>193</v>
      </c>
      <c r="D274" t="s">
        <v>376</v>
      </c>
      <c r="E274">
        <v>446470.88</v>
      </c>
      <c r="F274">
        <v>45356.6</v>
      </c>
      <c r="G274">
        <v>401114.28</v>
      </c>
      <c r="H274">
        <v>0.89839999999999998</v>
      </c>
    </row>
    <row r="275" spans="1:8" x14ac:dyDescent="0.3">
      <c r="A275" s="25">
        <v>45747</v>
      </c>
      <c r="B275" t="s">
        <v>368</v>
      </c>
      <c r="C275" t="s">
        <v>193</v>
      </c>
      <c r="D275" t="s">
        <v>375</v>
      </c>
      <c r="E275">
        <v>471874.37</v>
      </c>
      <c r="F275">
        <v>47937.32</v>
      </c>
      <c r="G275">
        <v>423937.05</v>
      </c>
      <c r="H275">
        <v>0.89839999999999998</v>
      </c>
    </row>
    <row r="276" spans="1:8" x14ac:dyDescent="0.3">
      <c r="A276" s="25">
        <v>45747</v>
      </c>
      <c r="B276" t="s">
        <v>368</v>
      </c>
      <c r="C276" t="s">
        <v>193</v>
      </c>
      <c r="D276" t="s">
        <v>374</v>
      </c>
      <c r="E276">
        <v>370386.86</v>
      </c>
      <c r="F276">
        <v>37627.29</v>
      </c>
      <c r="G276">
        <v>332759.57</v>
      </c>
      <c r="H276">
        <v>0.89839999999999998</v>
      </c>
    </row>
    <row r="277" spans="1:8" x14ac:dyDescent="0.3">
      <c r="A277" s="25">
        <v>45747</v>
      </c>
      <c r="B277" t="s">
        <v>368</v>
      </c>
      <c r="C277" t="s">
        <v>193</v>
      </c>
      <c r="D277" t="s">
        <v>373</v>
      </c>
      <c r="E277">
        <v>128311.63</v>
      </c>
      <c r="F277">
        <v>13035.07</v>
      </c>
      <c r="G277">
        <v>115276.56</v>
      </c>
      <c r="H277">
        <v>0.89839999999999998</v>
      </c>
    </row>
    <row r="278" spans="1:8" x14ac:dyDescent="0.3">
      <c r="A278" s="25">
        <v>45747</v>
      </c>
      <c r="B278" t="s">
        <v>368</v>
      </c>
      <c r="C278" t="s">
        <v>193</v>
      </c>
      <c r="D278" t="s">
        <v>372</v>
      </c>
      <c r="E278">
        <v>158758.82</v>
      </c>
      <c r="F278">
        <v>16128.17</v>
      </c>
      <c r="G278">
        <v>142630.64000000001</v>
      </c>
      <c r="H278">
        <v>0.89839999999999998</v>
      </c>
    </row>
    <row r="279" spans="1:8" x14ac:dyDescent="0.3">
      <c r="A279" s="25">
        <v>45747</v>
      </c>
      <c r="B279" t="s">
        <v>368</v>
      </c>
      <c r="C279" t="s">
        <v>193</v>
      </c>
      <c r="D279" t="s">
        <v>371</v>
      </c>
      <c r="E279">
        <v>219115.31</v>
      </c>
      <c r="F279">
        <v>22259.74</v>
      </c>
      <c r="G279">
        <v>196855.57</v>
      </c>
      <c r="H279">
        <v>0.89839999999999998</v>
      </c>
    </row>
    <row r="280" spans="1:8" x14ac:dyDescent="0.3">
      <c r="A280" s="25">
        <v>45747</v>
      </c>
      <c r="B280" t="s">
        <v>368</v>
      </c>
      <c r="C280" t="s">
        <v>193</v>
      </c>
      <c r="D280" t="s">
        <v>370</v>
      </c>
      <c r="E280">
        <v>126735.53</v>
      </c>
      <c r="F280">
        <v>12874.96</v>
      </c>
      <c r="G280">
        <v>113860.58</v>
      </c>
      <c r="H280">
        <v>0.89839999999999998</v>
      </c>
    </row>
    <row r="281" spans="1:8" x14ac:dyDescent="0.3">
      <c r="A281" s="25">
        <v>45747</v>
      </c>
      <c r="B281" t="s">
        <v>368</v>
      </c>
      <c r="C281" t="s">
        <v>193</v>
      </c>
      <c r="D281" t="s">
        <v>369</v>
      </c>
      <c r="E281">
        <v>453800.24</v>
      </c>
      <c r="F281">
        <v>46101.18</v>
      </c>
      <c r="G281">
        <v>407699.05</v>
      </c>
      <c r="H281">
        <v>0.89839999999999998</v>
      </c>
    </row>
    <row r="282" spans="1:8" x14ac:dyDescent="0.3">
      <c r="A282" s="25">
        <v>45777</v>
      </c>
      <c r="B282" t="s">
        <v>368</v>
      </c>
      <c r="C282" t="s">
        <v>193</v>
      </c>
      <c r="D282" t="s">
        <v>378</v>
      </c>
      <c r="E282">
        <v>933820.21</v>
      </c>
      <c r="F282">
        <v>224123.11</v>
      </c>
      <c r="G282">
        <v>709697.1</v>
      </c>
      <c r="H282">
        <v>0.76</v>
      </c>
    </row>
    <row r="283" spans="1:8" x14ac:dyDescent="0.3">
      <c r="A283" s="25">
        <v>45777</v>
      </c>
      <c r="B283" t="s">
        <v>368</v>
      </c>
      <c r="C283" t="s">
        <v>193</v>
      </c>
      <c r="D283" t="s">
        <v>377</v>
      </c>
      <c r="E283">
        <v>731467.34</v>
      </c>
      <c r="F283">
        <v>175557.06</v>
      </c>
      <c r="G283">
        <v>555910.27</v>
      </c>
      <c r="H283">
        <v>0.76</v>
      </c>
    </row>
    <row r="284" spans="1:8" x14ac:dyDescent="0.3">
      <c r="A284" s="25">
        <v>45777</v>
      </c>
      <c r="B284" t="s">
        <v>368</v>
      </c>
      <c r="C284" t="s">
        <v>193</v>
      </c>
      <c r="D284" t="s">
        <v>376</v>
      </c>
      <c r="E284">
        <v>546262.36</v>
      </c>
      <c r="F284">
        <v>131106.63</v>
      </c>
      <c r="G284">
        <v>415155.73</v>
      </c>
      <c r="H284">
        <v>0.76</v>
      </c>
    </row>
    <row r="285" spans="1:8" x14ac:dyDescent="0.3">
      <c r="A285" s="25">
        <v>45777</v>
      </c>
      <c r="B285" t="s">
        <v>368</v>
      </c>
      <c r="C285" t="s">
        <v>193</v>
      </c>
      <c r="D285" t="s">
        <v>375</v>
      </c>
      <c r="E285">
        <v>242988.7</v>
      </c>
      <c r="F285">
        <v>58318.92</v>
      </c>
      <c r="G285">
        <v>184669.78</v>
      </c>
      <c r="H285">
        <v>0.76</v>
      </c>
    </row>
    <row r="286" spans="1:8" x14ac:dyDescent="0.3">
      <c r="A286" s="25">
        <v>45777</v>
      </c>
      <c r="B286" t="s">
        <v>368</v>
      </c>
      <c r="C286" t="s">
        <v>193</v>
      </c>
      <c r="D286" t="s">
        <v>374</v>
      </c>
      <c r="E286">
        <v>245777.1</v>
      </c>
      <c r="F286">
        <v>58988.15</v>
      </c>
      <c r="G286">
        <v>186788.95</v>
      </c>
      <c r="H286">
        <v>0.76</v>
      </c>
    </row>
    <row r="287" spans="1:8" x14ac:dyDescent="0.3">
      <c r="A287" s="25">
        <v>45777</v>
      </c>
      <c r="B287" t="s">
        <v>368</v>
      </c>
      <c r="C287" t="s">
        <v>193</v>
      </c>
      <c r="D287" t="s">
        <v>373</v>
      </c>
      <c r="E287">
        <v>224422.85</v>
      </c>
      <c r="F287">
        <v>53862.99</v>
      </c>
      <c r="G287">
        <v>170559.86</v>
      </c>
      <c r="H287">
        <v>0.76</v>
      </c>
    </row>
    <row r="288" spans="1:8" x14ac:dyDescent="0.3">
      <c r="A288" s="25">
        <v>45777</v>
      </c>
      <c r="B288" t="s">
        <v>368</v>
      </c>
      <c r="C288" t="s">
        <v>193</v>
      </c>
      <c r="D288" t="s">
        <v>372</v>
      </c>
      <c r="E288">
        <v>521201.08</v>
      </c>
      <c r="F288">
        <v>125091.75</v>
      </c>
      <c r="G288">
        <v>396109.32</v>
      </c>
      <c r="H288">
        <v>0.76</v>
      </c>
    </row>
    <row r="289" spans="1:8" x14ac:dyDescent="0.3">
      <c r="A289" s="25">
        <v>45777</v>
      </c>
      <c r="B289" t="s">
        <v>368</v>
      </c>
      <c r="C289" t="s">
        <v>193</v>
      </c>
      <c r="D289" t="s">
        <v>371</v>
      </c>
      <c r="E289">
        <v>366765.79</v>
      </c>
      <c r="F289">
        <v>88026.25</v>
      </c>
      <c r="G289">
        <v>278739.53999999998</v>
      </c>
      <c r="H289">
        <v>0.76</v>
      </c>
    </row>
    <row r="290" spans="1:8" x14ac:dyDescent="0.3">
      <c r="A290" s="25">
        <v>45777</v>
      </c>
      <c r="B290" t="s">
        <v>368</v>
      </c>
      <c r="C290" t="s">
        <v>193</v>
      </c>
      <c r="D290" t="s">
        <v>370</v>
      </c>
      <c r="E290">
        <v>333988.65999999997</v>
      </c>
      <c r="F290">
        <v>80159.520000000004</v>
      </c>
      <c r="G290">
        <v>253829.15</v>
      </c>
      <c r="H290">
        <v>0.76</v>
      </c>
    </row>
    <row r="291" spans="1:8" x14ac:dyDescent="0.3">
      <c r="A291" s="25">
        <v>45777</v>
      </c>
      <c r="B291" t="s">
        <v>368</v>
      </c>
      <c r="C291" t="s">
        <v>193</v>
      </c>
      <c r="D291" t="s">
        <v>369</v>
      </c>
      <c r="E291">
        <v>225722.42</v>
      </c>
      <c r="F291">
        <v>54174.89</v>
      </c>
      <c r="G291">
        <v>171547.53</v>
      </c>
      <c r="H291">
        <v>0.76</v>
      </c>
    </row>
    <row r="292" spans="1:8" x14ac:dyDescent="0.3">
      <c r="A292" s="25">
        <v>45808</v>
      </c>
      <c r="B292" t="s">
        <v>368</v>
      </c>
      <c r="C292" t="s">
        <v>193</v>
      </c>
      <c r="D292" t="s">
        <v>378</v>
      </c>
      <c r="E292">
        <v>1031213.52</v>
      </c>
      <c r="F292">
        <v>141929.62</v>
      </c>
      <c r="G292">
        <v>889283.9</v>
      </c>
      <c r="H292">
        <v>0.86240000000000006</v>
      </c>
    </row>
    <row r="293" spans="1:8" x14ac:dyDescent="0.3">
      <c r="A293" s="25">
        <v>45808</v>
      </c>
      <c r="B293" t="s">
        <v>368</v>
      </c>
      <c r="C293" t="s">
        <v>193</v>
      </c>
      <c r="D293" t="s">
        <v>377</v>
      </c>
      <c r="E293">
        <v>826943.96</v>
      </c>
      <c r="F293">
        <v>113815.26</v>
      </c>
      <c r="G293">
        <v>713128.69</v>
      </c>
      <c r="H293">
        <v>0.86240000000000006</v>
      </c>
    </row>
    <row r="294" spans="1:8" x14ac:dyDescent="0.3">
      <c r="A294" s="25">
        <v>45808</v>
      </c>
      <c r="B294" t="s">
        <v>368</v>
      </c>
      <c r="C294" t="s">
        <v>193</v>
      </c>
      <c r="D294" t="s">
        <v>376</v>
      </c>
      <c r="E294">
        <v>307135.94</v>
      </c>
      <c r="F294">
        <v>42272.22</v>
      </c>
      <c r="G294">
        <v>264863.71999999997</v>
      </c>
      <c r="H294">
        <v>0.86240000000000006</v>
      </c>
    </row>
    <row r="295" spans="1:8" x14ac:dyDescent="0.3">
      <c r="A295" s="25">
        <v>45808</v>
      </c>
      <c r="B295" t="s">
        <v>368</v>
      </c>
      <c r="C295" t="s">
        <v>193</v>
      </c>
      <c r="D295" t="s">
        <v>375</v>
      </c>
      <c r="E295">
        <v>406171.85</v>
      </c>
      <c r="F295">
        <v>55902.89</v>
      </c>
      <c r="G295">
        <v>350268.96</v>
      </c>
      <c r="H295">
        <v>0.86240000000000006</v>
      </c>
    </row>
    <row r="296" spans="1:8" x14ac:dyDescent="0.3">
      <c r="A296" s="25">
        <v>45808</v>
      </c>
      <c r="B296" t="s">
        <v>368</v>
      </c>
      <c r="C296" t="s">
        <v>193</v>
      </c>
      <c r="D296" t="s">
        <v>374</v>
      </c>
      <c r="E296">
        <v>212411.69</v>
      </c>
      <c r="F296">
        <v>29234.98</v>
      </c>
      <c r="G296">
        <v>183176.7</v>
      </c>
      <c r="H296">
        <v>0.86240000000000006</v>
      </c>
    </row>
    <row r="297" spans="1:8" x14ac:dyDescent="0.3">
      <c r="A297" s="25">
        <v>45808</v>
      </c>
      <c r="B297" t="s">
        <v>368</v>
      </c>
      <c r="C297" t="s">
        <v>193</v>
      </c>
      <c r="D297" t="s">
        <v>373</v>
      </c>
      <c r="E297">
        <v>233049.27</v>
      </c>
      <c r="F297">
        <v>32075.41</v>
      </c>
      <c r="G297">
        <v>200973.86</v>
      </c>
      <c r="H297">
        <v>0.86240000000000006</v>
      </c>
    </row>
    <row r="298" spans="1:8" x14ac:dyDescent="0.3">
      <c r="A298" s="25">
        <v>45808</v>
      </c>
      <c r="B298" t="s">
        <v>368</v>
      </c>
      <c r="C298" t="s">
        <v>193</v>
      </c>
      <c r="D298" t="s">
        <v>372</v>
      </c>
      <c r="E298">
        <v>335936.73</v>
      </c>
      <c r="F298">
        <v>46236.18</v>
      </c>
      <c r="G298">
        <v>289700.55</v>
      </c>
      <c r="H298">
        <v>0.86240000000000006</v>
      </c>
    </row>
    <row r="299" spans="1:8" x14ac:dyDescent="0.3">
      <c r="A299" s="25">
        <v>45808</v>
      </c>
      <c r="B299" t="s">
        <v>368</v>
      </c>
      <c r="C299" t="s">
        <v>193</v>
      </c>
      <c r="D299" t="s">
        <v>371</v>
      </c>
      <c r="E299">
        <v>649740.04</v>
      </c>
      <c r="F299">
        <v>89426.05</v>
      </c>
      <c r="G299">
        <v>560313.99</v>
      </c>
      <c r="H299">
        <v>0.86240000000000006</v>
      </c>
    </row>
    <row r="300" spans="1:8" x14ac:dyDescent="0.3">
      <c r="A300" s="25">
        <v>45808</v>
      </c>
      <c r="B300" t="s">
        <v>368</v>
      </c>
      <c r="C300" t="s">
        <v>193</v>
      </c>
      <c r="D300" t="s">
        <v>370</v>
      </c>
      <c r="E300">
        <v>305812.90000000002</v>
      </c>
      <c r="F300">
        <v>42090.13</v>
      </c>
      <c r="G300">
        <v>263722.78000000003</v>
      </c>
      <c r="H300">
        <v>0.86240000000000006</v>
      </c>
    </row>
    <row r="301" spans="1:8" x14ac:dyDescent="0.3">
      <c r="A301" s="25">
        <v>45808</v>
      </c>
      <c r="B301" t="s">
        <v>368</v>
      </c>
      <c r="C301" t="s">
        <v>193</v>
      </c>
      <c r="D301" t="s">
        <v>369</v>
      </c>
      <c r="E301">
        <v>44447.5</v>
      </c>
      <c r="F301">
        <v>6117.47</v>
      </c>
      <c r="G301">
        <v>38330.03</v>
      </c>
      <c r="H301">
        <v>0.86240000000000006</v>
      </c>
    </row>
    <row r="302" spans="1:8" x14ac:dyDescent="0.3">
      <c r="A302" s="25">
        <v>45838</v>
      </c>
      <c r="B302" t="s">
        <v>368</v>
      </c>
      <c r="C302" t="s">
        <v>193</v>
      </c>
      <c r="D302" t="s">
        <v>378</v>
      </c>
      <c r="E302">
        <v>1026161.04</v>
      </c>
      <c r="F302">
        <v>202106.46</v>
      </c>
      <c r="G302">
        <v>824054.58</v>
      </c>
      <c r="H302">
        <v>0.80300000000000005</v>
      </c>
    </row>
    <row r="303" spans="1:8" x14ac:dyDescent="0.3">
      <c r="A303" s="25">
        <v>45838</v>
      </c>
      <c r="B303" t="s">
        <v>368</v>
      </c>
      <c r="C303" t="s">
        <v>193</v>
      </c>
      <c r="D303" t="s">
        <v>377</v>
      </c>
      <c r="E303">
        <v>929263.74</v>
      </c>
      <c r="F303">
        <v>183022.16</v>
      </c>
      <c r="G303">
        <v>746241.58</v>
      </c>
      <c r="H303">
        <v>0.80300000000000005</v>
      </c>
    </row>
    <row r="304" spans="1:8" x14ac:dyDescent="0.3">
      <c r="A304" s="25">
        <v>45838</v>
      </c>
      <c r="B304" t="s">
        <v>368</v>
      </c>
      <c r="C304" t="s">
        <v>193</v>
      </c>
      <c r="D304" t="s">
        <v>376</v>
      </c>
      <c r="E304">
        <v>713650.29</v>
      </c>
      <c r="F304">
        <v>140556.24</v>
      </c>
      <c r="G304">
        <v>573094.05000000005</v>
      </c>
      <c r="H304">
        <v>0.80300000000000005</v>
      </c>
    </row>
    <row r="305" spans="1:8" x14ac:dyDescent="0.3">
      <c r="A305" s="25">
        <v>45838</v>
      </c>
      <c r="B305" t="s">
        <v>368</v>
      </c>
      <c r="C305" t="s">
        <v>193</v>
      </c>
      <c r="D305" t="s">
        <v>375</v>
      </c>
      <c r="E305">
        <v>343597.36</v>
      </c>
      <c r="F305">
        <v>67672.86</v>
      </c>
      <c r="G305">
        <v>275924.51</v>
      </c>
      <c r="H305">
        <v>0.80300000000000005</v>
      </c>
    </row>
    <row r="306" spans="1:8" x14ac:dyDescent="0.3">
      <c r="A306" s="25">
        <v>45838</v>
      </c>
      <c r="B306" t="s">
        <v>368</v>
      </c>
      <c r="C306" t="s">
        <v>193</v>
      </c>
      <c r="D306" t="s">
        <v>374</v>
      </c>
      <c r="E306">
        <v>154546.44</v>
      </c>
      <c r="F306">
        <v>30438.53</v>
      </c>
      <c r="G306">
        <v>124107.91</v>
      </c>
      <c r="H306">
        <v>0.80300000000000005</v>
      </c>
    </row>
    <row r="307" spans="1:8" x14ac:dyDescent="0.3">
      <c r="A307" s="25">
        <v>45838</v>
      </c>
      <c r="B307" t="s">
        <v>368</v>
      </c>
      <c r="C307" t="s">
        <v>193</v>
      </c>
      <c r="D307" t="s">
        <v>373</v>
      </c>
      <c r="E307">
        <v>353996.46</v>
      </c>
      <c r="F307">
        <v>69721</v>
      </c>
      <c r="G307">
        <v>284275.46000000002</v>
      </c>
      <c r="H307">
        <v>0.80300000000000005</v>
      </c>
    </row>
    <row r="308" spans="1:8" x14ac:dyDescent="0.3">
      <c r="A308" s="25">
        <v>45838</v>
      </c>
      <c r="B308" t="s">
        <v>368</v>
      </c>
      <c r="C308" t="s">
        <v>193</v>
      </c>
      <c r="D308" t="s">
        <v>372</v>
      </c>
      <c r="E308">
        <v>230828.06</v>
      </c>
      <c r="F308">
        <v>45462.5</v>
      </c>
      <c r="G308">
        <v>185365.56</v>
      </c>
      <c r="H308">
        <v>0.80300000000000005</v>
      </c>
    </row>
    <row r="309" spans="1:8" x14ac:dyDescent="0.3">
      <c r="A309" s="25">
        <v>45838</v>
      </c>
      <c r="B309" t="s">
        <v>368</v>
      </c>
      <c r="C309" t="s">
        <v>193</v>
      </c>
      <c r="D309" t="s">
        <v>371</v>
      </c>
      <c r="E309">
        <v>270422.09000000003</v>
      </c>
      <c r="F309">
        <v>53260.7</v>
      </c>
      <c r="G309">
        <v>217161.39</v>
      </c>
      <c r="H309">
        <v>0.80300000000000005</v>
      </c>
    </row>
    <row r="310" spans="1:8" x14ac:dyDescent="0.3">
      <c r="A310" s="25">
        <v>45838</v>
      </c>
      <c r="B310" t="s">
        <v>368</v>
      </c>
      <c r="C310" t="s">
        <v>193</v>
      </c>
      <c r="D310" t="s">
        <v>370</v>
      </c>
      <c r="E310">
        <v>295870.31</v>
      </c>
      <c r="F310">
        <v>58272.82</v>
      </c>
      <c r="G310">
        <v>237597.48</v>
      </c>
      <c r="H310">
        <v>0.80300000000000005</v>
      </c>
    </row>
    <row r="311" spans="1:8" x14ac:dyDescent="0.3">
      <c r="A311" s="25">
        <v>45838</v>
      </c>
      <c r="B311" t="s">
        <v>368</v>
      </c>
      <c r="C311" t="s">
        <v>193</v>
      </c>
      <c r="D311" t="s">
        <v>369</v>
      </c>
      <c r="E311">
        <v>227639.72</v>
      </c>
      <c r="F311">
        <v>44834.53</v>
      </c>
      <c r="G311">
        <v>182805.19</v>
      </c>
      <c r="H311">
        <v>0.80300000000000005</v>
      </c>
    </row>
    <row r="312" spans="1:8" x14ac:dyDescent="0.3">
      <c r="A312" s="25">
        <v>45869</v>
      </c>
      <c r="B312" t="s">
        <v>368</v>
      </c>
      <c r="C312" t="s">
        <v>193</v>
      </c>
      <c r="D312" t="s">
        <v>378</v>
      </c>
      <c r="E312">
        <v>997892.15</v>
      </c>
      <c r="F312">
        <v>208933.81</v>
      </c>
      <c r="G312">
        <v>788958.35</v>
      </c>
      <c r="H312">
        <v>0.79059999999999997</v>
      </c>
    </row>
    <row r="313" spans="1:8" x14ac:dyDescent="0.3">
      <c r="A313" s="25">
        <v>45869</v>
      </c>
      <c r="B313" t="s">
        <v>368</v>
      </c>
      <c r="C313" t="s">
        <v>193</v>
      </c>
      <c r="D313" t="s">
        <v>377</v>
      </c>
      <c r="E313">
        <v>661285.27</v>
      </c>
      <c r="F313">
        <v>138456.69</v>
      </c>
      <c r="G313">
        <v>522828.58</v>
      </c>
      <c r="H313">
        <v>0.79059999999999997</v>
      </c>
    </row>
    <row r="314" spans="1:8" x14ac:dyDescent="0.3">
      <c r="A314" s="25">
        <v>45869</v>
      </c>
      <c r="B314" t="s">
        <v>368</v>
      </c>
      <c r="C314" t="s">
        <v>193</v>
      </c>
      <c r="D314" t="s">
        <v>376</v>
      </c>
      <c r="E314">
        <v>380574.1</v>
      </c>
      <c r="F314">
        <v>79682.75</v>
      </c>
      <c r="G314">
        <v>300891.34999999998</v>
      </c>
      <c r="H314">
        <v>0.79059999999999997</v>
      </c>
    </row>
    <row r="315" spans="1:8" x14ac:dyDescent="0.3">
      <c r="A315" s="25">
        <v>45869</v>
      </c>
      <c r="B315" t="s">
        <v>368</v>
      </c>
      <c r="C315" t="s">
        <v>193</v>
      </c>
      <c r="D315" t="s">
        <v>375</v>
      </c>
      <c r="E315">
        <v>371385.11</v>
      </c>
      <c r="F315">
        <v>77758.81</v>
      </c>
      <c r="G315">
        <v>293626.3</v>
      </c>
      <c r="H315">
        <v>0.79059999999999997</v>
      </c>
    </row>
    <row r="316" spans="1:8" x14ac:dyDescent="0.3">
      <c r="A316" s="25">
        <v>45869</v>
      </c>
      <c r="B316" t="s">
        <v>368</v>
      </c>
      <c r="C316" t="s">
        <v>193</v>
      </c>
      <c r="D316" t="s">
        <v>374</v>
      </c>
      <c r="E316">
        <v>350305.91</v>
      </c>
      <c r="F316">
        <v>73345.350000000006</v>
      </c>
      <c r="G316">
        <v>276960.56</v>
      </c>
      <c r="H316">
        <v>0.79059999999999997</v>
      </c>
    </row>
    <row r="317" spans="1:8" x14ac:dyDescent="0.3">
      <c r="A317" s="25">
        <v>45869</v>
      </c>
      <c r="B317" t="s">
        <v>368</v>
      </c>
      <c r="C317" t="s">
        <v>193</v>
      </c>
      <c r="D317" t="s">
        <v>373</v>
      </c>
      <c r="E317">
        <v>219479.59</v>
      </c>
      <c r="F317">
        <v>45953.57</v>
      </c>
      <c r="G317">
        <v>173526.02</v>
      </c>
      <c r="H317">
        <v>0.79059999999999997</v>
      </c>
    </row>
    <row r="318" spans="1:8" x14ac:dyDescent="0.3">
      <c r="A318" s="25">
        <v>45869</v>
      </c>
      <c r="B318" t="s">
        <v>368</v>
      </c>
      <c r="C318" t="s">
        <v>193</v>
      </c>
      <c r="D318" t="s">
        <v>372</v>
      </c>
      <c r="E318">
        <v>427393.47</v>
      </c>
      <c r="F318">
        <v>89485.57</v>
      </c>
      <c r="G318">
        <v>337907.91</v>
      </c>
      <c r="H318">
        <v>0.79059999999999997</v>
      </c>
    </row>
    <row r="319" spans="1:8" x14ac:dyDescent="0.3">
      <c r="A319" s="25">
        <v>45869</v>
      </c>
      <c r="B319" t="s">
        <v>368</v>
      </c>
      <c r="C319" t="s">
        <v>193</v>
      </c>
      <c r="D319" t="s">
        <v>371</v>
      </c>
      <c r="E319">
        <v>395198.1</v>
      </c>
      <c r="F319">
        <v>82744.649999999994</v>
      </c>
      <c r="G319">
        <v>312453.44</v>
      </c>
      <c r="H319">
        <v>0.79059999999999997</v>
      </c>
    </row>
    <row r="320" spans="1:8" x14ac:dyDescent="0.3">
      <c r="A320" s="25">
        <v>45869</v>
      </c>
      <c r="B320" t="s">
        <v>368</v>
      </c>
      <c r="C320" t="s">
        <v>193</v>
      </c>
      <c r="D320" t="s">
        <v>370</v>
      </c>
      <c r="E320">
        <v>339074.14</v>
      </c>
      <c r="F320">
        <v>70993.69</v>
      </c>
      <c r="G320">
        <v>268080.45</v>
      </c>
      <c r="H320">
        <v>0.79059999999999997</v>
      </c>
    </row>
    <row r="321" spans="1:8" x14ac:dyDescent="0.3">
      <c r="A321" s="25">
        <v>45869</v>
      </c>
      <c r="B321" t="s">
        <v>368</v>
      </c>
      <c r="C321" t="s">
        <v>193</v>
      </c>
      <c r="D321" t="s">
        <v>369</v>
      </c>
      <c r="E321">
        <v>263731.21000000002</v>
      </c>
      <c r="F321">
        <v>55218.76</v>
      </c>
      <c r="G321">
        <v>208512.45</v>
      </c>
      <c r="H321">
        <v>0.79059999999999997</v>
      </c>
    </row>
    <row r="322" spans="1:8" x14ac:dyDescent="0.3">
      <c r="A322" s="25">
        <v>45900</v>
      </c>
      <c r="B322" t="s">
        <v>368</v>
      </c>
      <c r="C322" t="s">
        <v>193</v>
      </c>
      <c r="D322" t="s">
        <v>378</v>
      </c>
      <c r="E322">
        <v>814385.26</v>
      </c>
      <c r="F322">
        <v>84704</v>
      </c>
      <c r="G322">
        <v>729681.26</v>
      </c>
      <c r="H322">
        <v>0.89600000000000002</v>
      </c>
    </row>
    <row r="323" spans="1:8" x14ac:dyDescent="0.3">
      <c r="A323" s="25">
        <v>45900</v>
      </c>
      <c r="B323" t="s">
        <v>368</v>
      </c>
      <c r="C323" t="s">
        <v>193</v>
      </c>
      <c r="D323" t="s">
        <v>377</v>
      </c>
      <c r="E323">
        <v>856741.76</v>
      </c>
      <c r="F323">
        <v>89109.49</v>
      </c>
      <c r="G323">
        <v>767632.27</v>
      </c>
      <c r="H323">
        <v>0.89600000000000002</v>
      </c>
    </row>
    <row r="324" spans="1:8" x14ac:dyDescent="0.3">
      <c r="A324" s="25">
        <v>45900</v>
      </c>
      <c r="B324" t="s">
        <v>368</v>
      </c>
      <c r="C324" t="s">
        <v>193</v>
      </c>
      <c r="D324" t="s">
        <v>376</v>
      </c>
      <c r="E324">
        <v>539916.87</v>
      </c>
      <c r="F324">
        <v>56156.62</v>
      </c>
      <c r="G324">
        <v>483760.26</v>
      </c>
      <c r="H324">
        <v>0.89600000000000002</v>
      </c>
    </row>
    <row r="325" spans="1:8" x14ac:dyDescent="0.3">
      <c r="A325" s="25">
        <v>45900</v>
      </c>
      <c r="B325" t="s">
        <v>368</v>
      </c>
      <c r="C325" t="s">
        <v>193</v>
      </c>
      <c r="D325" t="s">
        <v>375</v>
      </c>
      <c r="E325">
        <v>528036.26</v>
      </c>
      <c r="F325">
        <v>54920.92</v>
      </c>
      <c r="G325">
        <v>473115.35</v>
      </c>
      <c r="H325">
        <v>0.89600000000000002</v>
      </c>
    </row>
    <row r="326" spans="1:8" x14ac:dyDescent="0.3">
      <c r="A326" s="25">
        <v>45900</v>
      </c>
      <c r="B326" t="s">
        <v>368</v>
      </c>
      <c r="C326" t="s">
        <v>193</v>
      </c>
      <c r="D326" t="s">
        <v>374</v>
      </c>
      <c r="E326">
        <v>279572.76</v>
      </c>
      <c r="F326">
        <v>29078.29</v>
      </c>
      <c r="G326">
        <v>250494.47</v>
      </c>
      <c r="H326">
        <v>0.89600000000000002</v>
      </c>
    </row>
    <row r="327" spans="1:8" x14ac:dyDescent="0.3">
      <c r="A327" s="25">
        <v>45900</v>
      </c>
      <c r="B327" t="s">
        <v>368</v>
      </c>
      <c r="C327" t="s">
        <v>193</v>
      </c>
      <c r="D327" t="s">
        <v>373</v>
      </c>
      <c r="E327">
        <v>142684.95000000001</v>
      </c>
      <c r="F327">
        <v>14840.63</v>
      </c>
      <c r="G327">
        <v>127844.33</v>
      </c>
      <c r="H327">
        <v>0.89600000000000002</v>
      </c>
    </row>
    <row r="328" spans="1:8" x14ac:dyDescent="0.3">
      <c r="A328" s="25">
        <v>45900</v>
      </c>
      <c r="B328" t="s">
        <v>368</v>
      </c>
      <c r="C328" t="s">
        <v>193</v>
      </c>
      <c r="D328" t="s">
        <v>372</v>
      </c>
      <c r="E328">
        <v>343519.18</v>
      </c>
      <c r="F328">
        <v>35729.339999999997</v>
      </c>
      <c r="G328">
        <v>307789.84000000003</v>
      </c>
      <c r="H328">
        <v>0.89600000000000002</v>
      </c>
    </row>
    <row r="329" spans="1:8" x14ac:dyDescent="0.3">
      <c r="A329" s="25">
        <v>45900</v>
      </c>
      <c r="B329" t="s">
        <v>368</v>
      </c>
      <c r="C329" t="s">
        <v>193</v>
      </c>
      <c r="D329" t="s">
        <v>371</v>
      </c>
      <c r="E329">
        <v>406370.21</v>
      </c>
      <c r="F329">
        <v>42266.46</v>
      </c>
      <c r="G329">
        <v>364103.75</v>
      </c>
      <c r="H329">
        <v>0.89600000000000002</v>
      </c>
    </row>
    <row r="330" spans="1:8" x14ac:dyDescent="0.3">
      <c r="A330" s="25">
        <v>45900</v>
      </c>
      <c r="B330" t="s">
        <v>368</v>
      </c>
      <c r="C330" t="s">
        <v>193</v>
      </c>
      <c r="D330" t="s">
        <v>370</v>
      </c>
      <c r="E330">
        <v>476813.98</v>
      </c>
      <c r="F330">
        <v>49593.3</v>
      </c>
      <c r="G330">
        <v>427220.69</v>
      </c>
      <c r="H330">
        <v>0.89600000000000002</v>
      </c>
    </row>
    <row r="331" spans="1:8" x14ac:dyDescent="0.3">
      <c r="A331" s="25">
        <v>45900</v>
      </c>
      <c r="B331" t="s">
        <v>368</v>
      </c>
      <c r="C331" t="s">
        <v>193</v>
      </c>
      <c r="D331" t="s">
        <v>369</v>
      </c>
      <c r="E331">
        <v>178309.8</v>
      </c>
      <c r="F331">
        <v>18545.95</v>
      </c>
      <c r="G331">
        <v>159763.82</v>
      </c>
      <c r="H331">
        <v>0.89600000000000002</v>
      </c>
    </row>
    <row r="332" spans="1:8" x14ac:dyDescent="0.3">
      <c r="A332" s="25">
        <v>45930</v>
      </c>
      <c r="B332" t="s">
        <v>368</v>
      </c>
      <c r="C332" t="s">
        <v>193</v>
      </c>
      <c r="D332" t="s">
        <v>378</v>
      </c>
      <c r="E332">
        <v>1041435.76</v>
      </c>
      <c r="F332">
        <v>179234.38</v>
      </c>
      <c r="G332">
        <v>862201.38</v>
      </c>
      <c r="H332">
        <v>0.82789999999999997</v>
      </c>
    </row>
    <row r="333" spans="1:8" x14ac:dyDescent="0.3">
      <c r="A333" s="25">
        <v>45930</v>
      </c>
      <c r="B333" t="s">
        <v>368</v>
      </c>
      <c r="C333" t="s">
        <v>193</v>
      </c>
      <c r="D333" t="s">
        <v>377</v>
      </c>
      <c r="E333">
        <v>773811.68</v>
      </c>
      <c r="F333">
        <v>133175.43</v>
      </c>
      <c r="G333">
        <v>640636.25</v>
      </c>
      <c r="H333">
        <v>0.82789999999999997</v>
      </c>
    </row>
    <row r="334" spans="1:8" x14ac:dyDescent="0.3">
      <c r="A334" s="25">
        <v>45930</v>
      </c>
      <c r="B334" t="s">
        <v>368</v>
      </c>
      <c r="C334" t="s">
        <v>193</v>
      </c>
      <c r="D334" t="s">
        <v>376</v>
      </c>
      <c r="E334">
        <v>405520.81</v>
      </c>
      <c r="F334">
        <v>69791.41</v>
      </c>
      <c r="G334">
        <v>335729.4</v>
      </c>
      <c r="H334">
        <v>0.82789999999999997</v>
      </c>
    </row>
    <row r="335" spans="1:8" x14ac:dyDescent="0.3">
      <c r="A335" s="25">
        <v>45930</v>
      </c>
      <c r="B335" t="s">
        <v>368</v>
      </c>
      <c r="C335" t="s">
        <v>193</v>
      </c>
      <c r="D335" t="s">
        <v>375</v>
      </c>
      <c r="E335">
        <v>352391.7</v>
      </c>
      <c r="F335">
        <v>60647.72</v>
      </c>
      <c r="G335">
        <v>291743.98</v>
      </c>
      <c r="H335">
        <v>0.82789999999999997</v>
      </c>
    </row>
    <row r="336" spans="1:8" x14ac:dyDescent="0.3">
      <c r="A336" s="25">
        <v>45930</v>
      </c>
      <c r="B336" t="s">
        <v>368</v>
      </c>
      <c r="C336" t="s">
        <v>193</v>
      </c>
      <c r="D336" t="s">
        <v>374</v>
      </c>
      <c r="E336">
        <v>431329</v>
      </c>
      <c r="F336">
        <v>74233.08</v>
      </c>
      <c r="G336">
        <v>357095.92</v>
      </c>
      <c r="H336">
        <v>0.82789999999999997</v>
      </c>
    </row>
    <row r="337" spans="1:8" x14ac:dyDescent="0.3">
      <c r="A337" s="25">
        <v>45930</v>
      </c>
      <c r="B337" t="s">
        <v>368</v>
      </c>
      <c r="C337" t="s">
        <v>193</v>
      </c>
      <c r="D337" t="s">
        <v>373</v>
      </c>
      <c r="E337">
        <v>251755.88</v>
      </c>
      <c r="F337">
        <v>43327.98</v>
      </c>
      <c r="G337">
        <v>208427.9</v>
      </c>
      <c r="H337">
        <v>0.82789999999999997</v>
      </c>
    </row>
    <row r="338" spans="1:8" x14ac:dyDescent="0.3">
      <c r="A338" s="25">
        <v>45930</v>
      </c>
      <c r="B338" t="s">
        <v>368</v>
      </c>
      <c r="C338" t="s">
        <v>193</v>
      </c>
      <c r="D338" t="s">
        <v>372</v>
      </c>
      <c r="E338">
        <v>666695.31999999995</v>
      </c>
      <c r="F338">
        <v>114740.37</v>
      </c>
      <c r="G338">
        <v>551954.94999999995</v>
      </c>
      <c r="H338">
        <v>0.82789999999999997</v>
      </c>
    </row>
    <row r="339" spans="1:8" x14ac:dyDescent="0.3">
      <c r="A339" s="25">
        <v>45930</v>
      </c>
      <c r="B339" t="s">
        <v>368</v>
      </c>
      <c r="C339" t="s">
        <v>193</v>
      </c>
      <c r="D339" t="s">
        <v>371</v>
      </c>
      <c r="E339">
        <v>187164.69</v>
      </c>
      <c r="F339">
        <v>32211.63</v>
      </c>
      <c r="G339">
        <v>154953.06</v>
      </c>
      <c r="H339">
        <v>0.82789999999999997</v>
      </c>
    </row>
    <row r="340" spans="1:8" x14ac:dyDescent="0.3">
      <c r="A340" s="25">
        <v>45930</v>
      </c>
      <c r="B340" t="s">
        <v>368</v>
      </c>
      <c r="C340" t="s">
        <v>193</v>
      </c>
      <c r="D340" t="s">
        <v>370</v>
      </c>
      <c r="E340">
        <v>360330.04</v>
      </c>
      <c r="F340">
        <v>62013.94</v>
      </c>
      <c r="G340">
        <v>298316.11</v>
      </c>
      <c r="H340">
        <v>0.82789999999999997</v>
      </c>
    </row>
    <row r="341" spans="1:8" x14ac:dyDescent="0.3">
      <c r="A341" s="25">
        <v>45930</v>
      </c>
      <c r="B341" t="s">
        <v>368</v>
      </c>
      <c r="C341" t="s">
        <v>193</v>
      </c>
      <c r="D341" t="s">
        <v>369</v>
      </c>
      <c r="E341">
        <v>143739.23000000001</v>
      </c>
      <c r="F341">
        <v>24737.98</v>
      </c>
      <c r="G341">
        <v>119001.24</v>
      </c>
      <c r="H341">
        <v>0.82789999999999997</v>
      </c>
    </row>
    <row r="342" spans="1:8" x14ac:dyDescent="0.3">
      <c r="A342" s="25">
        <v>45961</v>
      </c>
      <c r="B342" t="s">
        <v>368</v>
      </c>
      <c r="C342" t="s">
        <v>193</v>
      </c>
      <c r="D342" t="s">
        <v>378</v>
      </c>
      <c r="E342">
        <v>955931.43</v>
      </c>
      <c r="F342">
        <v>216300.65</v>
      </c>
      <c r="G342">
        <v>739630.78</v>
      </c>
      <c r="H342">
        <v>0.77370000000000005</v>
      </c>
    </row>
    <row r="343" spans="1:8" x14ac:dyDescent="0.3">
      <c r="A343" s="25">
        <v>45961</v>
      </c>
      <c r="B343" t="s">
        <v>368</v>
      </c>
      <c r="C343" t="s">
        <v>193</v>
      </c>
      <c r="D343" t="s">
        <v>377</v>
      </c>
      <c r="E343">
        <v>885699.15</v>
      </c>
      <c r="F343">
        <v>200409.04</v>
      </c>
      <c r="G343">
        <v>685290.11</v>
      </c>
      <c r="H343">
        <v>0.77370000000000005</v>
      </c>
    </row>
    <row r="344" spans="1:8" x14ac:dyDescent="0.3">
      <c r="A344" s="25">
        <v>45961</v>
      </c>
      <c r="B344" t="s">
        <v>368</v>
      </c>
      <c r="C344" t="s">
        <v>193</v>
      </c>
      <c r="D344" t="s">
        <v>376</v>
      </c>
      <c r="E344">
        <v>513260.19</v>
      </c>
      <c r="F344">
        <v>116136.48</v>
      </c>
      <c r="G344">
        <v>397123.71</v>
      </c>
      <c r="H344">
        <v>0.77370000000000005</v>
      </c>
    </row>
    <row r="345" spans="1:8" x14ac:dyDescent="0.3">
      <c r="A345" s="25">
        <v>45961</v>
      </c>
      <c r="B345" t="s">
        <v>368</v>
      </c>
      <c r="C345" t="s">
        <v>193</v>
      </c>
      <c r="D345" t="s">
        <v>375</v>
      </c>
      <c r="E345">
        <v>875205.38</v>
      </c>
      <c r="F345">
        <v>198034.59</v>
      </c>
      <c r="G345">
        <v>677170.78</v>
      </c>
      <c r="H345">
        <v>0.77370000000000005</v>
      </c>
    </row>
    <row r="346" spans="1:8" x14ac:dyDescent="0.3">
      <c r="A346" s="25">
        <v>45961</v>
      </c>
      <c r="B346" t="s">
        <v>368</v>
      </c>
      <c r="C346" t="s">
        <v>193</v>
      </c>
      <c r="D346" t="s">
        <v>374</v>
      </c>
      <c r="E346">
        <v>367126.04</v>
      </c>
      <c r="F346">
        <v>83070.39</v>
      </c>
      <c r="G346">
        <v>284055.64</v>
      </c>
      <c r="H346">
        <v>0.77370000000000005</v>
      </c>
    </row>
    <row r="347" spans="1:8" x14ac:dyDescent="0.3">
      <c r="A347" s="25">
        <v>45961</v>
      </c>
      <c r="B347" t="s">
        <v>368</v>
      </c>
      <c r="C347" t="s">
        <v>193</v>
      </c>
      <c r="D347" t="s">
        <v>373</v>
      </c>
      <c r="E347">
        <v>79338.179999999993</v>
      </c>
      <c r="F347">
        <v>17952.02</v>
      </c>
      <c r="G347">
        <v>61386.16</v>
      </c>
      <c r="H347">
        <v>0.77370000000000005</v>
      </c>
    </row>
    <row r="348" spans="1:8" x14ac:dyDescent="0.3">
      <c r="A348" s="25">
        <v>45961</v>
      </c>
      <c r="B348" t="s">
        <v>368</v>
      </c>
      <c r="C348" t="s">
        <v>193</v>
      </c>
      <c r="D348" t="s">
        <v>372</v>
      </c>
      <c r="E348">
        <v>484027.13</v>
      </c>
      <c r="F348">
        <v>109521.86</v>
      </c>
      <c r="G348">
        <v>374505.28</v>
      </c>
      <c r="H348">
        <v>0.77370000000000005</v>
      </c>
    </row>
    <row r="349" spans="1:8" x14ac:dyDescent="0.3">
      <c r="A349" s="25">
        <v>45961</v>
      </c>
      <c r="B349" t="s">
        <v>368</v>
      </c>
      <c r="C349" t="s">
        <v>193</v>
      </c>
      <c r="D349" t="s">
        <v>371</v>
      </c>
      <c r="E349">
        <v>49294.79</v>
      </c>
      <c r="F349">
        <v>11154.04</v>
      </c>
      <c r="G349">
        <v>38140.75</v>
      </c>
      <c r="H349">
        <v>0.77370000000000005</v>
      </c>
    </row>
    <row r="350" spans="1:8" x14ac:dyDescent="0.3">
      <c r="A350" s="25">
        <v>45961</v>
      </c>
      <c r="B350" t="s">
        <v>368</v>
      </c>
      <c r="C350" t="s">
        <v>193</v>
      </c>
      <c r="D350" t="s">
        <v>370</v>
      </c>
      <c r="E350">
        <v>331464.56</v>
      </c>
      <c r="F350">
        <v>75001.2</v>
      </c>
      <c r="G350">
        <v>256463.37</v>
      </c>
      <c r="H350">
        <v>0.77370000000000005</v>
      </c>
    </row>
    <row r="351" spans="1:8" x14ac:dyDescent="0.3">
      <c r="A351" s="25">
        <v>45961</v>
      </c>
      <c r="B351" t="s">
        <v>368</v>
      </c>
      <c r="C351" t="s">
        <v>193</v>
      </c>
      <c r="D351" t="s">
        <v>369</v>
      </c>
      <c r="E351">
        <v>248843.84</v>
      </c>
      <c r="F351">
        <v>56306.43</v>
      </c>
      <c r="G351">
        <v>192537.41</v>
      </c>
      <c r="H351">
        <v>0.77370000000000005</v>
      </c>
    </row>
    <row r="352" spans="1:8" x14ac:dyDescent="0.3">
      <c r="A352" s="25">
        <v>45991</v>
      </c>
      <c r="B352" t="s">
        <v>368</v>
      </c>
      <c r="C352" t="s">
        <v>193</v>
      </c>
      <c r="D352" t="s">
        <v>378</v>
      </c>
      <c r="E352">
        <v>1210333.03</v>
      </c>
      <c r="F352">
        <v>228595.84</v>
      </c>
      <c r="G352">
        <v>981737.19</v>
      </c>
      <c r="H352">
        <v>0.81110000000000004</v>
      </c>
    </row>
    <row r="353" spans="1:8" x14ac:dyDescent="0.3">
      <c r="A353" s="25">
        <v>45991</v>
      </c>
      <c r="B353" t="s">
        <v>368</v>
      </c>
      <c r="C353" t="s">
        <v>193</v>
      </c>
      <c r="D353" t="s">
        <v>377</v>
      </c>
      <c r="E353">
        <v>1038444.17</v>
      </c>
      <c r="F353">
        <v>196131.16</v>
      </c>
      <c r="G353">
        <v>842313.01</v>
      </c>
      <c r="H353">
        <v>0.81110000000000004</v>
      </c>
    </row>
    <row r="354" spans="1:8" x14ac:dyDescent="0.3">
      <c r="A354" s="25">
        <v>45991</v>
      </c>
      <c r="B354" t="s">
        <v>368</v>
      </c>
      <c r="C354" t="s">
        <v>193</v>
      </c>
      <c r="D354" t="s">
        <v>376</v>
      </c>
      <c r="E354">
        <v>421380.96</v>
      </c>
      <c r="F354">
        <v>79586.31</v>
      </c>
      <c r="G354">
        <v>341794.65</v>
      </c>
      <c r="H354">
        <v>0.81110000000000004</v>
      </c>
    </row>
    <row r="355" spans="1:8" x14ac:dyDescent="0.3">
      <c r="A355" s="25">
        <v>45991</v>
      </c>
      <c r="B355" t="s">
        <v>368</v>
      </c>
      <c r="C355" t="s">
        <v>193</v>
      </c>
      <c r="D355" t="s">
        <v>375</v>
      </c>
      <c r="E355">
        <v>424302.92</v>
      </c>
      <c r="F355">
        <v>80138.179999999993</v>
      </c>
      <c r="G355">
        <v>344164.74</v>
      </c>
      <c r="H355">
        <v>0.81110000000000004</v>
      </c>
    </row>
    <row r="356" spans="1:8" x14ac:dyDescent="0.3">
      <c r="A356" s="25">
        <v>45991</v>
      </c>
      <c r="B356" t="s">
        <v>368</v>
      </c>
      <c r="C356" t="s">
        <v>193</v>
      </c>
      <c r="D356" t="s">
        <v>374</v>
      </c>
      <c r="E356">
        <v>283010.84999999998</v>
      </c>
      <c r="F356">
        <v>53452.32</v>
      </c>
      <c r="G356">
        <v>229558.53</v>
      </c>
      <c r="H356">
        <v>0.81110000000000004</v>
      </c>
    </row>
    <row r="357" spans="1:8" x14ac:dyDescent="0.3">
      <c r="A357" s="25">
        <v>45991</v>
      </c>
      <c r="B357" t="s">
        <v>368</v>
      </c>
      <c r="C357" t="s">
        <v>193</v>
      </c>
      <c r="D357" t="s">
        <v>373</v>
      </c>
      <c r="E357">
        <v>80203.7</v>
      </c>
      <c r="F357">
        <v>15148.09</v>
      </c>
      <c r="G357">
        <v>65055.61</v>
      </c>
      <c r="H357">
        <v>0.81110000000000004</v>
      </c>
    </row>
    <row r="358" spans="1:8" x14ac:dyDescent="0.3">
      <c r="A358" s="25">
        <v>45991</v>
      </c>
      <c r="B358" t="s">
        <v>368</v>
      </c>
      <c r="C358" t="s">
        <v>193</v>
      </c>
      <c r="D358" t="s">
        <v>372</v>
      </c>
      <c r="E358">
        <v>492877.42</v>
      </c>
      <c r="F358">
        <v>93089.86</v>
      </c>
      <c r="G358">
        <v>399787.56</v>
      </c>
      <c r="H358">
        <v>0.81110000000000004</v>
      </c>
    </row>
    <row r="359" spans="1:8" x14ac:dyDescent="0.3">
      <c r="A359" s="25">
        <v>45991</v>
      </c>
      <c r="B359" t="s">
        <v>368</v>
      </c>
      <c r="C359" t="s">
        <v>193</v>
      </c>
      <c r="D359" t="s">
        <v>371</v>
      </c>
      <c r="E359">
        <v>157807.35999999999</v>
      </c>
      <c r="F359">
        <v>29805.11</v>
      </c>
      <c r="G359">
        <v>128002.25</v>
      </c>
      <c r="H359">
        <v>0.81110000000000004</v>
      </c>
    </row>
    <row r="360" spans="1:8" x14ac:dyDescent="0.3">
      <c r="A360" s="25">
        <v>45991</v>
      </c>
      <c r="B360" t="s">
        <v>368</v>
      </c>
      <c r="C360" t="s">
        <v>193</v>
      </c>
      <c r="D360" t="s">
        <v>370</v>
      </c>
      <c r="E360">
        <v>285715.15000000002</v>
      </c>
      <c r="F360">
        <v>53963.08</v>
      </c>
      <c r="G360">
        <v>231752.07</v>
      </c>
      <c r="H360">
        <v>0.81110000000000004</v>
      </c>
    </row>
    <row r="361" spans="1:8" x14ac:dyDescent="0.3">
      <c r="A361" s="25">
        <v>45991</v>
      </c>
      <c r="B361" t="s">
        <v>368</v>
      </c>
      <c r="C361" t="s">
        <v>193</v>
      </c>
      <c r="D361" t="s">
        <v>369</v>
      </c>
      <c r="E361">
        <v>99992.17</v>
      </c>
      <c r="F361">
        <v>18885.53</v>
      </c>
      <c r="G361">
        <v>81106.64</v>
      </c>
      <c r="H361">
        <v>0.81110000000000004</v>
      </c>
    </row>
    <row r="362" spans="1:8" x14ac:dyDescent="0.3">
      <c r="A362" s="25">
        <v>45657</v>
      </c>
      <c r="B362" t="s">
        <v>368</v>
      </c>
      <c r="C362" t="s">
        <v>186</v>
      </c>
      <c r="D362" t="s">
        <v>378</v>
      </c>
      <c r="E362">
        <v>1775510.33</v>
      </c>
      <c r="F362">
        <v>230510.69</v>
      </c>
      <c r="G362">
        <v>1544999.64</v>
      </c>
      <c r="H362">
        <v>0.87019999999999997</v>
      </c>
    </row>
    <row r="363" spans="1:8" x14ac:dyDescent="0.3">
      <c r="A363" s="25">
        <v>45657</v>
      </c>
      <c r="B363" t="s">
        <v>368</v>
      </c>
      <c r="C363" t="s">
        <v>186</v>
      </c>
      <c r="D363" t="s">
        <v>377</v>
      </c>
      <c r="E363">
        <v>2083490.07</v>
      </c>
      <c r="F363">
        <v>270495.03999999998</v>
      </c>
      <c r="G363">
        <v>1812995.03</v>
      </c>
      <c r="H363">
        <v>0.87019999999999997</v>
      </c>
    </row>
    <row r="364" spans="1:8" x14ac:dyDescent="0.3">
      <c r="A364" s="25">
        <v>45657</v>
      </c>
      <c r="B364" t="s">
        <v>368</v>
      </c>
      <c r="C364" t="s">
        <v>186</v>
      </c>
      <c r="D364" t="s">
        <v>376</v>
      </c>
      <c r="E364">
        <v>499890.52</v>
      </c>
      <c r="F364">
        <v>64899.71</v>
      </c>
      <c r="G364">
        <v>434990.81</v>
      </c>
      <c r="H364">
        <v>0.87019999999999997</v>
      </c>
    </row>
    <row r="365" spans="1:8" x14ac:dyDescent="0.3">
      <c r="A365" s="25">
        <v>45657</v>
      </c>
      <c r="B365" t="s">
        <v>368</v>
      </c>
      <c r="C365" t="s">
        <v>186</v>
      </c>
      <c r="D365" t="s">
        <v>375</v>
      </c>
      <c r="E365">
        <v>364216.59</v>
      </c>
      <c r="F365">
        <v>47285.46</v>
      </c>
      <c r="G365">
        <v>316931.13</v>
      </c>
      <c r="H365">
        <v>0.87019999999999997</v>
      </c>
    </row>
    <row r="366" spans="1:8" x14ac:dyDescent="0.3">
      <c r="A366" s="25">
        <v>45657</v>
      </c>
      <c r="B366" t="s">
        <v>368</v>
      </c>
      <c r="C366" t="s">
        <v>186</v>
      </c>
      <c r="D366" t="s">
        <v>374</v>
      </c>
      <c r="E366">
        <v>543366.05000000005</v>
      </c>
      <c r="F366">
        <v>70544.05</v>
      </c>
      <c r="G366">
        <v>472822</v>
      </c>
      <c r="H366">
        <v>0.87019999999999997</v>
      </c>
    </row>
    <row r="367" spans="1:8" x14ac:dyDescent="0.3">
      <c r="A367" s="25">
        <v>45657</v>
      </c>
      <c r="B367" t="s">
        <v>368</v>
      </c>
      <c r="C367" t="s">
        <v>186</v>
      </c>
      <c r="D367" t="s">
        <v>373</v>
      </c>
      <c r="E367">
        <v>413928.86</v>
      </c>
      <c r="F367">
        <v>53739.49</v>
      </c>
      <c r="G367">
        <v>360189.37</v>
      </c>
      <c r="H367">
        <v>0.87019999999999997</v>
      </c>
    </row>
    <row r="368" spans="1:8" x14ac:dyDescent="0.3">
      <c r="A368" s="25">
        <v>45657</v>
      </c>
      <c r="B368" t="s">
        <v>368</v>
      </c>
      <c r="C368" t="s">
        <v>186</v>
      </c>
      <c r="D368" t="s">
        <v>372</v>
      </c>
      <c r="E368">
        <v>791918.76</v>
      </c>
      <c r="F368">
        <v>102813.11</v>
      </c>
      <c r="G368">
        <v>689105.65</v>
      </c>
      <c r="H368">
        <v>0.87019999999999997</v>
      </c>
    </row>
    <row r="369" spans="1:8" x14ac:dyDescent="0.3">
      <c r="A369" s="25">
        <v>45657</v>
      </c>
      <c r="B369" t="s">
        <v>368</v>
      </c>
      <c r="C369" t="s">
        <v>186</v>
      </c>
      <c r="D369" t="s">
        <v>371</v>
      </c>
      <c r="E369">
        <v>464280.53</v>
      </c>
      <c r="F369">
        <v>60276.54</v>
      </c>
      <c r="G369">
        <v>404003.99</v>
      </c>
      <c r="H369">
        <v>0.87019999999999997</v>
      </c>
    </row>
    <row r="370" spans="1:8" x14ac:dyDescent="0.3">
      <c r="A370" s="25">
        <v>45657</v>
      </c>
      <c r="B370" t="s">
        <v>368</v>
      </c>
      <c r="C370" t="s">
        <v>186</v>
      </c>
      <c r="D370" t="s">
        <v>370</v>
      </c>
      <c r="E370">
        <v>524727.93000000005</v>
      </c>
      <c r="F370">
        <v>68124.3</v>
      </c>
      <c r="G370">
        <v>456603.63</v>
      </c>
      <c r="H370">
        <v>0.87019999999999997</v>
      </c>
    </row>
    <row r="371" spans="1:8" x14ac:dyDescent="0.3">
      <c r="A371" s="25">
        <v>45657</v>
      </c>
      <c r="B371" t="s">
        <v>368</v>
      </c>
      <c r="C371" t="s">
        <v>186</v>
      </c>
      <c r="D371" t="s">
        <v>369</v>
      </c>
      <c r="E371">
        <v>500488.82</v>
      </c>
      <c r="F371">
        <v>64977.39</v>
      </c>
      <c r="G371">
        <v>435511.42</v>
      </c>
      <c r="H371">
        <v>0.87019999999999997</v>
      </c>
    </row>
    <row r="372" spans="1:8" x14ac:dyDescent="0.3">
      <c r="A372" s="25">
        <v>45688</v>
      </c>
      <c r="B372" t="s">
        <v>368</v>
      </c>
      <c r="C372" t="s">
        <v>186</v>
      </c>
      <c r="D372" t="s">
        <v>378</v>
      </c>
      <c r="E372">
        <v>1923022.19</v>
      </c>
      <c r="F372">
        <v>303219.83</v>
      </c>
      <c r="G372">
        <v>1619802.36</v>
      </c>
      <c r="H372">
        <v>0.84230000000000005</v>
      </c>
    </row>
    <row r="373" spans="1:8" x14ac:dyDescent="0.3">
      <c r="A373" s="25">
        <v>45688</v>
      </c>
      <c r="B373" t="s">
        <v>368</v>
      </c>
      <c r="C373" t="s">
        <v>186</v>
      </c>
      <c r="D373" t="s">
        <v>377</v>
      </c>
      <c r="E373">
        <v>1175610.6200000001</v>
      </c>
      <c r="F373">
        <v>185368.87</v>
      </c>
      <c r="G373">
        <v>990241.75</v>
      </c>
      <c r="H373">
        <v>0.84230000000000005</v>
      </c>
    </row>
    <row r="374" spans="1:8" x14ac:dyDescent="0.3">
      <c r="A374" s="25">
        <v>45688</v>
      </c>
      <c r="B374" t="s">
        <v>368</v>
      </c>
      <c r="C374" t="s">
        <v>186</v>
      </c>
      <c r="D374" t="s">
        <v>376</v>
      </c>
      <c r="E374">
        <v>739655.26</v>
      </c>
      <c r="F374">
        <v>116627.95</v>
      </c>
      <c r="G374">
        <v>623027.30000000005</v>
      </c>
      <c r="H374">
        <v>0.84230000000000005</v>
      </c>
    </row>
    <row r="375" spans="1:8" x14ac:dyDescent="0.3">
      <c r="A375" s="25">
        <v>45688</v>
      </c>
      <c r="B375" t="s">
        <v>368</v>
      </c>
      <c r="C375" t="s">
        <v>186</v>
      </c>
      <c r="D375" t="s">
        <v>375</v>
      </c>
      <c r="E375">
        <v>885058.6</v>
      </c>
      <c r="F375">
        <v>139554.98000000001</v>
      </c>
      <c r="G375">
        <v>745503.63</v>
      </c>
      <c r="H375">
        <v>0.84230000000000005</v>
      </c>
    </row>
    <row r="376" spans="1:8" x14ac:dyDescent="0.3">
      <c r="A376" s="25">
        <v>45688</v>
      </c>
      <c r="B376" t="s">
        <v>368</v>
      </c>
      <c r="C376" t="s">
        <v>186</v>
      </c>
      <c r="D376" t="s">
        <v>374</v>
      </c>
      <c r="E376">
        <v>353150.24</v>
      </c>
      <c r="F376">
        <v>55684.31</v>
      </c>
      <c r="G376">
        <v>297465.93</v>
      </c>
      <c r="H376">
        <v>0.84230000000000005</v>
      </c>
    </row>
    <row r="377" spans="1:8" x14ac:dyDescent="0.3">
      <c r="A377" s="25">
        <v>45688</v>
      </c>
      <c r="B377" t="s">
        <v>368</v>
      </c>
      <c r="C377" t="s">
        <v>186</v>
      </c>
      <c r="D377" t="s">
        <v>373</v>
      </c>
      <c r="E377">
        <v>847804.84</v>
      </c>
      <c r="F377">
        <v>133680.85</v>
      </c>
      <c r="G377">
        <v>714123.99</v>
      </c>
      <c r="H377">
        <v>0.84230000000000005</v>
      </c>
    </row>
    <row r="378" spans="1:8" x14ac:dyDescent="0.3">
      <c r="A378" s="25">
        <v>45688</v>
      </c>
      <c r="B378" t="s">
        <v>368</v>
      </c>
      <c r="C378" t="s">
        <v>186</v>
      </c>
      <c r="D378" t="s">
        <v>372</v>
      </c>
      <c r="E378">
        <v>589996.32999999996</v>
      </c>
      <c r="F378">
        <v>93029.91</v>
      </c>
      <c r="G378">
        <v>496966.42</v>
      </c>
      <c r="H378">
        <v>0.84230000000000005</v>
      </c>
    </row>
    <row r="379" spans="1:8" x14ac:dyDescent="0.3">
      <c r="A379" s="25">
        <v>45688</v>
      </c>
      <c r="B379" t="s">
        <v>368</v>
      </c>
      <c r="C379" t="s">
        <v>186</v>
      </c>
      <c r="D379" t="s">
        <v>371</v>
      </c>
      <c r="E379">
        <v>571894.28</v>
      </c>
      <c r="F379">
        <v>90175.6</v>
      </c>
      <c r="G379">
        <v>481718.68</v>
      </c>
      <c r="H379">
        <v>0.84230000000000005</v>
      </c>
    </row>
    <row r="380" spans="1:8" x14ac:dyDescent="0.3">
      <c r="A380" s="25">
        <v>45688</v>
      </c>
      <c r="B380" t="s">
        <v>368</v>
      </c>
      <c r="C380" t="s">
        <v>186</v>
      </c>
      <c r="D380" t="s">
        <v>370</v>
      </c>
      <c r="E380">
        <v>720932.17</v>
      </c>
      <c r="F380">
        <v>113675.72</v>
      </c>
      <c r="G380">
        <v>607256.44999999995</v>
      </c>
      <c r="H380">
        <v>0.84230000000000005</v>
      </c>
    </row>
    <row r="381" spans="1:8" x14ac:dyDescent="0.3">
      <c r="A381" s="25">
        <v>45688</v>
      </c>
      <c r="B381" t="s">
        <v>368</v>
      </c>
      <c r="C381" t="s">
        <v>186</v>
      </c>
      <c r="D381" t="s">
        <v>369</v>
      </c>
      <c r="E381">
        <v>268321.91999999998</v>
      </c>
      <c r="F381">
        <v>42308.68</v>
      </c>
      <c r="G381">
        <v>226013.24</v>
      </c>
      <c r="H381">
        <v>0.84230000000000005</v>
      </c>
    </row>
    <row r="382" spans="1:8" x14ac:dyDescent="0.3">
      <c r="A382" s="25">
        <v>45716</v>
      </c>
      <c r="B382" t="s">
        <v>368</v>
      </c>
      <c r="C382" t="s">
        <v>186</v>
      </c>
      <c r="D382" t="s">
        <v>378</v>
      </c>
      <c r="E382">
        <v>1255890.3600000001</v>
      </c>
      <c r="F382">
        <v>217445.02</v>
      </c>
      <c r="G382">
        <v>1038445.34</v>
      </c>
      <c r="H382">
        <v>0.82689999999999997</v>
      </c>
    </row>
    <row r="383" spans="1:8" x14ac:dyDescent="0.3">
      <c r="A383" s="25">
        <v>45716</v>
      </c>
      <c r="B383" t="s">
        <v>368</v>
      </c>
      <c r="C383" t="s">
        <v>186</v>
      </c>
      <c r="D383" t="s">
        <v>377</v>
      </c>
      <c r="E383">
        <v>1625333.44</v>
      </c>
      <c r="F383">
        <v>281410.44</v>
      </c>
      <c r="G383">
        <v>1343923</v>
      </c>
      <c r="H383">
        <v>0.82689999999999997</v>
      </c>
    </row>
    <row r="384" spans="1:8" x14ac:dyDescent="0.3">
      <c r="A384" s="25">
        <v>45716</v>
      </c>
      <c r="B384" t="s">
        <v>368</v>
      </c>
      <c r="C384" t="s">
        <v>186</v>
      </c>
      <c r="D384" t="s">
        <v>376</v>
      </c>
      <c r="E384">
        <v>1136734.29</v>
      </c>
      <c r="F384">
        <v>196814.32</v>
      </c>
      <c r="G384">
        <v>939919.97</v>
      </c>
      <c r="H384">
        <v>0.82689999999999997</v>
      </c>
    </row>
    <row r="385" spans="1:8" x14ac:dyDescent="0.3">
      <c r="A385" s="25">
        <v>45716</v>
      </c>
      <c r="B385" t="s">
        <v>368</v>
      </c>
      <c r="C385" t="s">
        <v>186</v>
      </c>
      <c r="D385" t="s">
        <v>375</v>
      </c>
      <c r="E385">
        <v>780731.28</v>
      </c>
      <c r="F385">
        <v>135175.91</v>
      </c>
      <c r="G385">
        <v>645555.37</v>
      </c>
      <c r="H385">
        <v>0.82689999999999997</v>
      </c>
    </row>
    <row r="386" spans="1:8" x14ac:dyDescent="0.3">
      <c r="A386" s="25">
        <v>45716</v>
      </c>
      <c r="B386" t="s">
        <v>368</v>
      </c>
      <c r="C386" t="s">
        <v>186</v>
      </c>
      <c r="D386" t="s">
        <v>374</v>
      </c>
      <c r="E386">
        <v>387416.16</v>
      </c>
      <c r="F386">
        <v>67077.279999999999</v>
      </c>
      <c r="G386">
        <v>320338.88</v>
      </c>
      <c r="H386">
        <v>0.82689999999999997</v>
      </c>
    </row>
    <row r="387" spans="1:8" x14ac:dyDescent="0.3">
      <c r="A387" s="25">
        <v>45716</v>
      </c>
      <c r="B387" t="s">
        <v>368</v>
      </c>
      <c r="C387" t="s">
        <v>186</v>
      </c>
      <c r="D387" t="s">
        <v>373</v>
      </c>
      <c r="E387">
        <v>675441.94</v>
      </c>
      <c r="F387">
        <v>116946.1</v>
      </c>
      <c r="G387">
        <v>558495.84</v>
      </c>
      <c r="H387">
        <v>0.82689999999999997</v>
      </c>
    </row>
    <row r="388" spans="1:8" x14ac:dyDescent="0.3">
      <c r="A388" s="25">
        <v>45716</v>
      </c>
      <c r="B388" t="s">
        <v>368</v>
      </c>
      <c r="C388" t="s">
        <v>186</v>
      </c>
      <c r="D388" t="s">
        <v>372</v>
      </c>
      <c r="E388">
        <v>695474.89</v>
      </c>
      <c r="F388">
        <v>120414.61</v>
      </c>
      <c r="G388">
        <v>575060.28</v>
      </c>
      <c r="H388">
        <v>0.82689999999999997</v>
      </c>
    </row>
    <row r="389" spans="1:8" x14ac:dyDescent="0.3">
      <c r="A389" s="25">
        <v>45716</v>
      </c>
      <c r="B389" t="s">
        <v>368</v>
      </c>
      <c r="C389" t="s">
        <v>186</v>
      </c>
      <c r="D389" t="s">
        <v>371</v>
      </c>
      <c r="E389">
        <v>475033.26</v>
      </c>
      <c r="F389">
        <v>82247.320000000007</v>
      </c>
      <c r="G389">
        <v>392785.94</v>
      </c>
      <c r="H389">
        <v>0.82689999999999997</v>
      </c>
    </row>
    <row r="390" spans="1:8" x14ac:dyDescent="0.3">
      <c r="A390" s="25">
        <v>45716</v>
      </c>
      <c r="B390" t="s">
        <v>368</v>
      </c>
      <c r="C390" t="s">
        <v>186</v>
      </c>
      <c r="D390" t="s">
        <v>370</v>
      </c>
      <c r="E390">
        <v>646898.49</v>
      </c>
      <c r="F390">
        <v>112004.09</v>
      </c>
      <c r="G390">
        <v>534894.41</v>
      </c>
      <c r="H390">
        <v>0.82689999999999997</v>
      </c>
    </row>
    <row r="391" spans="1:8" x14ac:dyDescent="0.3">
      <c r="A391" s="25">
        <v>45716</v>
      </c>
      <c r="B391" t="s">
        <v>368</v>
      </c>
      <c r="C391" t="s">
        <v>186</v>
      </c>
      <c r="D391" t="s">
        <v>369</v>
      </c>
      <c r="E391">
        <v>635076.54</v>
      </c>
      <c r="F391">
        <v>109957.24</v>
      </c>
      <c r="G391">
        <v>525119.29</v>
      </c>
      <c r="H391">
        <v>0.82689999999999997</v>
      </c>
    </row>
    <row r="392" spans="1:8" x14ac:dyDescent="0.3">
      <c r="A392" s="25">
        <v>45747</v>
      </c>
      <c r="B392" t="s">
        <v>368</v>
      </c>
      <c r="C392" t="s">
        <v>186</v>
      </c>
      <c r="D392" t="s">
        <v>378</v>
      </c>
      <c r="E392">
        <v>2114113.98</v>
      </c>
      <c r="F392">
        <v>325053.89</v>
      </c>
      <c r="G392">
        <v>1789060.09</v>
      </c>
      <c r="H392">
        <v>0.84619999999999995</v>
      </c>
    </row>
    <row r="393" spans="1:8" x14ac:dyDescent="0.3">
      <c r="A393" s="25">
        <v>45747</v>
      </c>
      <c r="B393" t="s">
        <v>368</v>
      </c>
      <c r="C393" t="s">
        <v>186</v>
      </c>
      <c r="D393" t="s">
        <v>377</v>
      </c>
      <c r="E393">
        <v>1750917.21</v>
      </c>
      <c r="F393">
        <v>269210.86</v>
      </c>
      <c r="G393">
        <v>1481706.35</v>
      </c>
      <c r="H393">
        <v>0.84619999999999995</v>
      </c>
    </row>
    <row r="394" spans="1:8" x14ac:dyDescent="0.3">
      <c r="A394" s="25">
        <v>45747</v>
      </c>
      <c r="B394" t="s">
        <v>368</v>
      </c>
      <c r="C394" t="s">
        <v>186</v>
      </c>
      <c r="D394" t="s">
        <v>376</v>
      </c>
      <c r="E394">
        <v>1049810.05</v>
      </c>
      <c r="F394">
        <v>161412.70000000001</v>
      </c>
      <c r="G394">
        <v>888397.36</v>
      </c>
      <c r="H394">
        <v>0.84619999999999995</v>
      </c>
    </row>
    <row r="395" spans="1:8" x14ac:dyDescent="0.3">
      <c r="A395" s="25">
        <v>45747</v>
      </c>
      <c r="B395" t="s">
        <v>368</v>
      </c>
      <c r="C395" t="s">
        <v>186</v>
      </c>
      <c r="D395" t="s">
        <v>375</v>
      </c>
      <c r="E395">
        <v>660601.81999999995</v>
      </c>
      <c r="F395">
        <v>101570.3</v>
      </c>
      <c r="G395">
        <v>559031.52</v>
      </c>
      <c r="H395">
        <v>0.84619999999999995</v>
      </c>
    </row>
    <row r="396" spans="1:8" x14ac:dyDescent="0.3">
      <c r="A396" s="25">
        <v>45747</v>
      </c>
      <c r="B396" t="s">
        <v>368</v>
      </c>
      <c r="C396" t="s">
        <v>186</v>
      </c>
      <c r="D396" t="s">
        <v>374</v>
      </c>
      <c r="E396">
        <v>305483.46000000002</v>
      </c>
      <c r="F396">
        <v>46969.36</v>
      </c>
      <c r="G396">
        <v>258514.1</v>
      </c>
      <c r="H396">
        <v>0.84619999999999995</v>
      </c>
    </row>
    <row r="397" spans="1:8" x14ac:dyDescent="0.3">
      <c r="A397" s="25">
        <v>45747</v>
      </c>
      <c r="B397" t="s">
        <v>368</v>
      </c>
      <c r="C397" t="s">
        <v>186</v>
      </c>
      <c r="D397" t="s">
        <v>373</v>
      </c>
      <c r="E397">
        <v>403972.73</v>
      </c>
      <c r="F397">
        <v>62112.5</v>
      </c>
      <c r="G397">
        <v>341860.23</v>
      </c>
      <c r="H397">
        <v>0.84619999999999995</v>
      </c>
    </row>
    <row r="398" spans="1:8" x14ac:dyDescent="0.3">
      <c r="A398" s="25">
        <v>45747</v>
      </c>
      <c r="B398" t="s">
        <v>368</v>
      </c>
      <c r="C398" t="s">
        <v>186</v>
      </c>
      <c r="D398" t="s">
        <v>372</v>
      </c>
      <c r="E398">
        <v>725976.5</v>
      </c>
      <c r="F398">
        <v>111621.93</v>
      </c>
      <c r="G398">
        <v>614354.56999999995</v>
      </c>
      <c r="H398">
        <v>0.84619999999999995</v>
      </c>
    </row>
    <row r="399" spans="1:8" x14ac:dyDescent="0.3">
      <c r="A399" s="25">
        <v>45747</v>
      </c>
      <c r="B399" t="s">
        <v>368</v>
      </c>
      <c r="C399" t="s">
        <v>186</v>
      </c>
      <c r="D399" t="s">
        <v>371</v>
      </c>
      <c r="E399">
        <v>293183.28000000003</v>
      </c>
      <c r="F399">
        <v>45078.16</v>
      </c>
      <c r="G399">
        <v>248105.12</v>
      </c>
      <c r="H399">
        <v>0.84619999999999995</v>
      </c>
    </row>
    <row r="400" spans="1:8" x14ac:dyDescent="0.3">
      <c r="A400" s="25">
        <v>45747</v>
      </c>
      <c r="B400" t="s">
        <v>368</v>
      </c>
      <c r="C400" t="s">
        <v>186</v>
      </c>
      <c r="D400" t="s">
        <v>370</v>
      </c>
      <c r="E400">
        <v>504216.21</v>
      </c>
      <c r="F400">
        <v>77525.36</v>
      </c>
      <c r="G400">
        <v>426690.86</v>
      </c>
      <c r="H400">
        <v>0.84619999999999995</v>
      </c>
    </row>
    <row r="401" spans="1:8" x14ac:dyDescent="0.3">
      <c r="A401" s="25">
        <v>45747</v>
      </c>
      <c r="B401" t="s">
        <v>368</v>
      </c>
      <c r="C401" t="s">
        <v>186</v>
      </c>
      <c r="D401" t="s">
        <v>369</v>
      </c>
      <c r="E401">
        <v>482708.08</v>
      </c>
      <c r="F401">
        <v>74218.38</v>
      </c>
      <c r="G401">
        <v>408489.68</v>
      </c>
      <c r="H401">
        <v>0.84619999999999995</v>
      </c>
    </row>
    <row r="402" spans="1:8" x14ac:dyDescent="0.3">
      <c r="A402" s="25">
        <v>45777</v>
      </c>
      <c r="B402" t="s">
        <v>368</v>
      </c>
      <c r="C402" t="s">
        <v>186</v>
      </c>
      <c r="D402" t="s">
        <v>378</v>
      </c>
      <c r="E402">
        <v>1724283.72</v>
      </c>
      <c r="F402">
        <v>347038.74</v>
      </c>
      <c r="G402">
        <v>1377244.98</v>
      </c>
      <c r="H402">
        <v>0.79869999999999997</v>
      </c>
    </row>
    <row r="403" spans="1:8" x14ac:dyDescent="0.3">
      <c r="A403" s="25">
        <v>45777</v>
      </c>
      <c r="B403" t="s">
        <v>368</v>
      </c>
      <c r="C403" t="s">
        <v>186</v>
      </c>
      <c r="D403" t="s">
        <v>377</v>
      </c>
      <c r="E403">
        <v>1759592.21</v>
      </c>
      <c r="F403">
        <v>354145.11</v>
      </c>
      <c r="G403">
        <v>1405447.09</v>
      </c>
      <c r="H403">
        <v>0.79869999999999997</v>
      </c>
    </row>
    <row r="404" spans="1:8" x14ac:dyDescent="0.3">
      <c r="A404" s="25">
        <v>45777</v>
      </c>
      <c r="B404" t="s">
        <v>368</v>
      </c>
      <c r="C404" t="s">
        <v>186</v>
      </c>
      <c r="D404" t="s">
        <v>376</v>
      </c>
      <c r="E404">
        <v>889321.86</v>
      </c>
      <c r="F404">
        <v>178989.76</v>
      </c>
      <c r="G404">
        <v>710332.1</v>
      </c>
      <c r="H404">
        <v>0.79869999999999997</v>
      </c>
    </row>
    <row r="405" spans="1:8" x14ac:dyDescent="0.3">
      <c r="A405" s="25">
        <v>45777</v>
      </c>
      <c r="B405" t="s">
        <v>368</v>
      </c>
      <c r="C405" t="s">
        <v>186</v>
      </c>
      <c r="D405" t="s">
        <v>375</v>
      </c>
      <c r="E405">
        <v>693517</v>
      </c>
      <c r="F405">
        <v>139581.01</v>
      </c>
      <c r="G405">
        <v>553935.99</v>
      </c>
      <c r="H405">
        <v>0.79869999999999997</v>
      </c>
    </row>
    <row r="406" spans="1:8" x14ac:dyDescent="0.3">
      <c r="A406" s="25">
        <v>45777</v>
      </c>
      <c r="B406" t="s">
        <v>368</v>
      </c>
      <c r="C406" t="s">
        <v>186</v>
      </c>
      <c r="D406" t="s">
        <v>374</v>
      </c>
      <c r="E406">
        <v>446448.18</v>
      </c>
      <c r="F406">
        <v>89854.59</v>
      </c>
      <c r="G406">
        <v>356593.59</v>
      </c>
      <c r="H406">
        <v>0.79869999999999997</v>
      </c>
    </row>
    <row r="407" spans="1:8" x14ac:dyDescent="0.3">
      <c r="A407" s="25">
        <v>45777</v>
      </c>
      <c r="B407" t="s">
        <v>368</v>
      </c>
      <c r="C407" t="s">
        <v>186</v>
      </c>
      <c r="D407" t="s">
        <v>373</v>
      </c>
      <c r="E407">
        <v>114766.89</v>
      </c>
      <c r="F407">
        <v>23098.61</v>
      </c>
      <c r="G407">
        <v>91668.28</v>
      </c>
      <c r="H407">
        <v>0.79869999999999997</v>
      </c>
    </row>
    <row r="408" spans="1:8" x14ac:dyDescent="0.3">
      <c r="A408" s="25">
        <v>45777</v>
      </c>
      <c r="B408" t="s">
        <v>368</v>
      </c>
      <c r="C408" t="s">
        <v>186</v>
      </c>
      <c r="D408" t="s">
        <v>372</v>
      </c>
      <c r="E408">
        <v>1174077.01</v>
      </c>
      <c r="F408">
        <v>236301.14</v>
      </c>
      <c r="G408">
        <v>937775.88</v>
      </c>
      <c r="H408">
        <v>0.79869999999999997</v>
      </c>
    </row>
    <row r="409" spans="1:8" x14ac:dyDescent="0.3">
      <c r="A409" s="25">
        <v>45777</v>
      </c>
      <c r="B409" t="s">
        <v>368</v>
      </c>
      <c r="C409" t="s">
        <v>186</v>
      </c>
      <c r="D409" t="s">
        <v>371</v>
      </c>
      <c r="E409">
        <v>575848.35</v>
      </c>
      <c r="F409">
        <v>115898.38</v>
      </c>
      <c r="G409">
        <v>459949.97</v>
      </c>
      <c r="H409">
        <v>0.79869999999999997</v>
      </c>
    </row>
    <row r="410" spans="1:8" x14ac:dyDescent="0.3">
      <c r="A410" s="25">
        <v>45777</v>
      </c>
      <c r="B410" t="s">
        <v>368</v>
      </c>
      <c r="C410" t="s">
        <v>186</v>
      </c>
      <c r="D410" t="s">
        <v>370</v>
      </c>
      <c r="E410">
        <v>517374.01</v>
      </c>
      <c r="F410">
        <v>104129.51</v>
      </c>
      <c r="G410">
        <v>413244.49</v>
      </c>
      <c r="H410">
        <v>0.79869999999999997</v>
      </c>
    </row>
    <row r="411" spans="1:8" x14ac:dyDescent="0.3">
      <c r="A411" s="25">
        <v>45777</v>
      </c>
      <c r="B411" t="s">
        <v>368</v>
      </c>
      <c r="C411" t="s">
        <v>186</v>
      </c>
      <c r="D411" t="s">
        <v>369</v>
      </c>
      <c r="E411">
        <v>181057.95</v>
      </c>
      <c r="F411">
        <v>36440.71</v>
      </c>
      <c r="G411">
        <v>144617.24</v>
      </c>
      <c r="H411">
        <v>0.79869999999999997</v>
      </c>
    </row>
    <row r="412" spans="1:8" x14ac:dyDescent="0.3">
      <c r="A412" s="25">
        <v>45808</v>
      </c>
      <c r="B412" t="s">
        <v>368</v>
      </c>
      <c r="C412" t="s">
        <v>186</v>
      </c>
      <c r="D412" t="s">
        <v>378</v>
      </c>
      <c r="E412">
        <v>2046223.49</v>
      </c>
      <c r="F412">
        <v>321471.82</v>
      </c>
      <c r="G412">
        <v>1724751.66</v>
      </c>
      <c r="H412">
        <v>0.84289999999999998</v>
      </c>
    </row>
    <row r="413" spans="1:8" x14ac:dyDescent="0.3">
      <c r="A413" s="25">
        <v>45808</v>
      </c>
      <c r="B413" t="s">
        <v>368</v>
      </c>
      <c r="C413" t="s">
        <v>186</v>
      </c>
      <c r="D413" t="s">
        <v>377</v>
      </c>
      <c r="E413">
        <v>1191921.8899999999</v>
      </c>
      <c r="F413">
        <v>187256.82</v>
      </c>
      <c r="G413">
        <v>1004665.07</v>
      </c>
      <c r="H413">
        <v>0.84289999999999998</v>
      </c>
    </row>
    <row r="414" spans="1:8" x14ac:dyDescent="0.3">
      <c r="A414" s="25">
        <v>45808</v>
      </c>
      <c r="B414" t="s">
        <v>368</v>
      </c>
      <c r="C414" t="s">
        <v>186</v>
      </c>
      <c r="D414" t="s">
        <v>376</v>
      </c>
      <c r="E414">
        <v>618936.19999999995</v>
      </c>
      <c r="F414">
        <v>97237.94</v>
      </c>
      <c r="G414">
        <v>521698.26</v>
      </c>
      <c r="H414">
        <v>0.84289999999999998</v>
      </c>
    </row>
    <row r="415" spans="1:8" x14ac:dyDescent="0.3">
      <c r="A415" s="25">
        <v>45808</v>
      </c>
      <c r="B415" t="s">
        <v>368</v>
      </c>
      <c r="C415" t="s">
        <v>186</v>
      </c>
      <c r="D415" t="s">
        <v>375</v>
      </c>
      <c r="E415">
        <v>798935.72</v>
      </c>
      <c r="F415">
        <v>125516.75</v>
      </c>
      <c r="G415">
        <v>673418.96</v>
      </c>
      <c r="H415">
        <v>0.84289999999999998</v>
      </c>
    </row>
    <row r="416" spans="1:8" x14ac:dyDescent="0.3">
      <c r="A416" s="25">
        <v>45808</v>
      </c>
      <c r="B416" t="s">
        <v>368</v>
      </c>
      <c r="C416" t="s">
        <v>186</v>
      </c>
      <c r="D416" t="s">
        <v>374</v>
      </c>
      <c r="E416">
        <v>625128.98</v>
      </c>
      <c r="F416">
        <v>98210.85</v>
      </c>
      <c r="G416">
        <v>526918.12</v>
      </c>
      <c r="H416">
        <v>0.84289999999999998</v>
      </c>
    </row>
    <row r="417" spans="1:8" x14ac:dyDescent="0.3">
      <c r="A417" s="25">
        <v>45808</v>
      </c>
      <c r="B417" t="s">
        <v>368</v>
      </c>
      <c r="C417" t="s">
        <v>186</v>
      </c>
      <c r="D417" t="s">
        <v>373</v>
      </c>
      <c r="E417">
        <v>559293.27</v>
      </c>
      <c r="F417">
        <v>87867.74</v>
      </c>
      <c r="G417">
        <v>471425.54</v>
      </c>
      <c r="H417">
        <v>0.84289999999999998</v>
      </c>
    </row>
    <row r="418" spans="1:8" x14ac:dyDescent="0.3">
      <c r="A418" s="25">
        <v>45808</v>
      </c>
      <c r="B418" t="s">
        <v>368</v>
      </c>
      <c r="C418" t="s">
        <v>186</v>
      </c>
      <c r="D418" t="s">
        <v>372</v>
      </c>
      <c r="E418">
        <v>1024485.41</v>
      </c>
      <c r="F418">
        <v>160951.72</v>
      </c>
      <c r="G418">
        <v>863533.69</v>
      </c>
      <c r="H418">
        <v>0.84289999999999998</v>
      </c>
    </row>
    <row r="419" spans="1:8" x14ac:dyDescent="0.3">
      <c r="A419" s="25">
        <v>45808</v>
      </c>
      <c r="B419" t="s">
        <v>368</v>
      </c>
      <c r="C419" t="s">
        <v>186</v>
      </c>
      <c r="D419" t="s">
        <v>371</v>
      </c>
      <c r="E419">
        <v>605086.1</v>
      </c>
      <c r="F419">
        <v>95062.02</v>
      </c>
      <c r="G419">
        <v>510024.08</v>
      </c>
      <c r="H419">
        <v>0.84289999999999998</v>
      </c>
    </row>
    <row r="420" spans="1:8" x14ac:dyDescent="0.3">
      <c r="A420" s="25">
        <v>45808</v>
      </c>
      <c r="B420" t="s">
        <v>368</v>
      </c>
      <c r="C420" t="s">
        <v>186</v>
      </c>
      <c r="D420" t="s">
        <v>370</v>
      </c>
      <c r="E420">
        <v>272188.93</v>
      </c>
      <c r="F420">
        <v>42762.23</v>
      </c>
      <c r="G420">
        <v>229426.7</v>
      </c>
      <c r="H420">
        <v>0.84289999999999998</v>
      </c>
    </row>
    <row r="421" spans="1:8" x14ac:dyDescent="0.3">
      <c r="A421" s="25">
        <v>45808</v>
      </c>
      <c r="B421" t="s">
        <v>368</v>
      </c>
      <c r="C421" t="s">
        <v>186</v>
      </c>
      <c r="D421" t="s">
        <v>369</v>
      </c>
      <c r="E421">
        <v>300406.98</v>
      </c>
      <c r="F421">
        <v>47195.41</v>
      </c>
      <c r="G421">
        <v>253211.57</v>
      </c>
      <c r="H421">
        <v>0.84289999999999998</v>
      </c>
    </row>
    <row r="422" spans="1:8" x14ac:dyDescent="0.3">
      <c r="A422" s="25">
        <v>45838</v>
      </c>
      <c r="B422" t="s">
        <v>368</v>
      </c>
      <c r="C422" t="s">
        <v>186</v>
      </c>
      <c r="D422" t="s">
        <v>378</v>
      </c>
      <c r="E422">
        <v>1578730.65</v>
      </c>
      <c r="F422">
        <v>294607.84999999998</v>
      </c>
      <c r="G422">
        <v>1284122.8</v>
      </c>
      <c r="H422">
        <v>0.81340000000000001</v>
      </c>
    </row>
    <row r="423" spans="1:8" x14ac:dyDescent="0.3">
      <c r="A423" s="25">
        <v>45838</v>
      </c>
      <c r="B423" t="s">
        <v>368</v>
      </c>
      <c r="C423" t="s">
        <v>186</v>
      </c>
      <c r="D423" t="s">
        <v>377</v>
      </c>
      <c r="E423">
        <v>1977209.08</v>
      </c>
      <c r="F423">
        <v>368968.14</v>
      </c>
      <c r="G423">
        <v>1608240.94</v>
      </c>
      <c r="H423">
        <v>0.81340000000000001</v>
      </c>
    </row>
    <row r="424" spans="1:8" x14ac:dyDescent="0.3">
      <c r="A424" s="25">
        <v>45838</v>
      </c>
      <c r="B424" t="s">
        <v>368</v>
      </c>
      <c r="C424" t="s">
        <v>186</v>
      </c>
      <c r="D424" t="s">
        <v>376</v>
      </c>
      <c r="E424">
        <v>438121.38</v>
      </c>
      <c r="F424">
        <v>81758.09</v>
      </c>
      <c r="G424">
        <v>356363.29</v>
      </c>
      <c r="H424">
        <v>0.81340000000000001</v>
      </c>
    </row>
    <row r="425" spans="1:8" x14ac:dyDescent="0.3">
      <c r="A425" s="25">
        <v>45838</v>
      </c>
      <c r="B425" t="s">
        <v>368</v>
      </c>
      <c r="C425" t="s">
        <v>186</v>
      </c>
      <c r="D425" t="s">
        <v>375</v>
      </c>
      <c r="E425">
        <v>1026737.52</v>
      </c>
      <c r="F425">
        <v>191600.09</v>
      </c>
      <c r="G425">
        <v>835137.44</v>
      </c>
      <c r="H425">
        <v>0.81340000000000001</v>
      </c>
    </row>
    <row r="426" spans="1:8" x14ac:dyDescent="0.3">
      <c r="A426" s="25">
        <v>45838</v>
      </c>
      <c r="B426" t="s">
        <v>368</v>
      </c>
      <c r="C426" t="s">
        <v>186</v>
      </c>
      <c r="D426" t="s">
        <v>374</v>
      </c>
      <c r="E426">
        <v>568892.64</v>
      </c>
      <c r="F426">
        <v>106161.39</v>
      </c>
      <c r="G426">
        <v>462731.25</v>
      </c>
      <c r="H426">
        <v>0.81340000000000001</v>
      </c>
    </row>
    <row r="427" spans="1:8" x14ac:dyDescent="0.3">
      <c r="A427" s="25">
        <v>45838</v>
      </c>
      <c r="B427" t="s">
        <v>368</v>
      </c>
      <c r="C427" t="s">
        <v>186</v>
      </c>
      <c r="D427" t="s">
        <v>373</v>
      </c>
      <c r="E427">
        <v>566911.9</v>
      </c>
      <c r="F427">
        <v>105791.76</v>
      </c>
      <c r="G427">
        <v>461120.14</v>
      </c>
      <c r="H427">
        <v>0.81340000000000001</v>
      </c>
    </row>
    <row r="428" spans="1:8" x14ac:dyDescent="0.3">
      <c r="A428" s="25">
        <v>45838</v>
      </c>
      <c r="B428" t="s">
        <v>368</v>
      </c>
      <c r="C428" t="s">
        <v>186</v>
      </c>
      <c r="D428" t="s">
        <v>372</v>
      </c>
      <c r="E428">
        <v>655985.43000000005</v>
      </c>
      <c r="F428">
        <v>122413.82</v>
      </c>
      <c r="G428">
        <v>533571.61</v>
      </c>
      <c r="H428">
        <v>0.81340000000000001</v>
      </c>
    </row>
    <row r="429" spans="1:8" x14ac:dyDescent="0.3">
      <c r="A429" s="25">
        <v>45838</v>
      </c>
      <c r="B429" t="s">
        <v>368</v>
      </c>
      <c r="C429" t="s">
        <v>186</v>
      </c>
      <c r="D429" t="s">
        <v>371</v>
      </c>
      <c r="E429">
        <v>337476.66</v>
      </c>
      <c r="F429">
        <v>62976.72</v>
      </c>
      <c r="G429">
        <v>274499.94</v>
      </c>
      <c r="H429">
        <v>0.81340000000000001</v>
      </c>
    </row>
    <row r="430" spans="1:8" x14ac:dyDescent="0.3">
      <c r="A430" s="25">
        <v>45838</v>
      </c>
      <c r="B430" t="s">
        <v>368</v>
      </c>
      <c r="C430" t="s">
        <v>186</v>
      </c>
      <c r="D430" t="s">
        <v>370</v>
      </c>
      <c r="E430">
        <v>698133.4</v>
      </c>
      <c r="F430">
        <v>130279.08</v>
      </c>
      <c r="G430">
        <v>567854.31999999995</v>
      </c>
      <c r="H430">
        <v>0.81340000000000001</v>
      </c>
    </row>
    <row r="431" spans="1:8" x14ac:dyDescent="0.3">
      <c r="A431" s="25">
        <v>45838</v>
      </c>
      <c r="B431" t="s">
        <v>368</v>
      </c>
      <c r="C431" t="s">
        <v>186</v>
      </c>
      <c r="D431" t="s">
        <v>369</v>
      </c>
      <c r="E431">
        <v>525398.03</v>
      </c>
      <c r="F431">
        <v>98044.82</v>
      </c>
      <c r="G431">
        <v>427353.2</v>
      </c>
      <c r="H431">
        <v>0.81340000000000001</v>
      </c>
    </row>
    <row r="432" spans="1:8" x14ac:dyDescent="0.3">
      <c r="A432" s="25">
        <v>45869</v>
      </c>
      <c r="B432" t="s">
        <v>368</v>
      </c>
      <c r="C432" t="s">
        <v>186</v>
      </c>
      <c r="D432" t="s">
        <v>378</v>
      </c>
      <c r="E432">
        <v>2095309.14</v>
      </c>
      <c r="F432">
        <v>367826.54</v>
      </c>
      <c r="G432">
        <v>1727482.6</v>
      </c>
      <c r="H432">
        <v>0.82450000000000001</v>
      </c>
    </row>
    <row r="433" spans="1:8" x14ac:dyDescent="0.3">
      <c r="A433" s="25">
        <v>45869</v>
      </c>
      <c r="B433" t="s">
        <v>368</v>
      </c>
      <c r="C433" t="s">
        <v>186</v>
      </c>
      <c r="D433" t="s">
        <v>377</v>
      </c>
      <c r="E433">
        <v>1825023.52</v>
      </c>
      <c r="F433">
        <v>320378.53999999998</v>
      </c>
      <c r="G433">
        <v>1504644.97</v>
      </c>
      <c r="H433">
        <v>0.82450000000000001</v>
      </c>
    </row>
    <row r="434" spans="1:8" x14ac:dyDescent="0.3">
      <c r="A434" s="25">
        <v>45869</v>
      </c>
      <c r="B434" t="s">
        <v>368</v>
      </c>
      <c r="C434" t="s">
        <v>186</v>
      </c>
      <c r="D434" t="s">
        <v>376</v>
      </c>
      <c r="E434">
        <v>749804.75</v>
      </c>
      <c r="F434">
        <v>131626.44</v>
      </c>
      <c r="G434">
        <v>618178.30000000005</v>
      </c>
      <c r="H434">
        <v>0.82450000000000001</v>
      </c>
    </row>
    <row r="435" spans="1:8" x14ac:dyDescent="0.3">
      <c r="A435" s="25">
        <v>45869</v>
      </c>
      <c r="B435" t="s">
        <v>368</v>
      </c>
      <c r="C435" t="s">
        <v>186</v>
      </c>
      <c r="D435" t="s">
        <v>375</v>
      </c>
      <c r="E435">
        <v>486759.74</v>
      </c>
      <c r="F435">
        <v>85449.52</v>
      </c>
      <c r="G435">
        <v>401310.23</v>
      </c>
      <c r="H435">
        <v>0.82450000000000001</v>
      </c>
    </row>
    <row r="436" spans="1:8" x14ac:dyDescent="0.3">
      <c r="A436" s="25">
        <v>45869</v>
      </c>
      <c r="B436" t="s">
        <v>368</v>
      </c>
      <c r="C436" t="s">
        <v>186</v>
      </c>
      <c r="D436" t="s">
        <v>374</v>
      </c>
      <c r="E436">
        <v>864790.41</v>
      </c>
      <c r="F436">
        <v>151811.9</v>
      </c>
      <c r="G436">
        <v>712978.51</v>
      </c>
      <c r="H436">
        <v>0.82450000000000001</v>
      </c>
    </row>
    <row r="437" spans="1:8" x14ac:dyDescent="0.3">
      <c r="A437" s="25">
        <v>45869</v>
      </c>
      <c r="B437" t="s">
        <v>368</v>
      </c>
      <c r="C437" t="s">
        <v>186</v>
      </c>
      <c r="D437" t="s">
        <v>373</v>
      </c>
      <c r="E437">
        <v>573441.53</v>
      </c>
      <c r="F437">
        <v>100666.3</v>
      </c>
      <c r="G437">
        <v>472775.24</v>
      </c>
      <c r="H437">
        <v>0.82450000000000001</v>
      </c>
    </row>
    <row r="438" spans="1:8" x14ac:dyDescent="0.3">
      <c r="A438" s="25">
        <v>45869</v>
      </c>
      <c r="B438" t="s">
        <v>368</v>
      </c>
      <c r="C438" t="s">
        <v>186</v>
      </c>
      <c r="D438" t="s">
        <v>372</v>
      </c>
      <c r="E438">
        <v>557987.75</v>
      </c>
      <c r="F438">
        <v>97953.42</v>
      </c>
      <c r="G438">
        <v>460034.33</v>
      </c>
      <c r="H438">
        <v>0.82450000000000001</v>
      </c>
    </row>
    <row r="439" spans="1:8" x14ac:dyDescent="0.3">
      <c r="A439" s="25">
        <v>45869</v>
      </c>
      <c r="B439" t="s">
        <v>368</v>
      </c>
      <c r="C439" t="s">
        <v>186</v>
      </c>
      <c r="D439" t="s">
        <v>371</v>
      </c>
      <c r="E439">
        <v>492304.28</v>
      </c>
      <c r="F439">
        <v>86422.85</v>
      </c>
      <c r="G439">
        <v>405881.43</v>
      </c>
      <c r="H439">
        <v>0.82450000000000001</v>
      </c>
    </row>
    <row r="440" spans="1:8" x14ac:dyDescent="0.3">
      <c r="A440" s="25">
        <v>45869</v>
      </c>
      <c r="B440" t="s">
        <v>368</v>
      </c>
      <c r="C440" t="s">
        <v>186</v>
      </c>
      <c r="D440" t="s">
        <v>370</v>
      </c>
      <c r="E440">
        <v>512003.16</v>
      </c>
      <c r="F440">
        <v>89880.94</v>
      </c>
      <c r="G440">
        <v>422122.22</v>
      </c>
      <c r="H440">
        <v>0.82450000000000001</v>
      </c>
    </row>
    <row r="441" spans="1:8" x14ac:dyDescent="0.3">
      <c r="A441" s="25">
        <v>45869</v>
      </c>
      <c r="B441" t="s">
        <v>368</v>
      </c>
      <c r="C441" t="s">
        <v>186</v>
      </c>
      <c r="D441" t="s">
        <v>369</v>
      </c>
      <c r="E441">
        <v>91433.65</v>
      </c>
      <c r="F441">
        <v>16050.96</v>
      </c>
      <c r="G441">
        <v>75382.69</v>
      </c>
      <c r="H441">
        <v>0.82450000000000001</v>
      </c>
    </row>
    <row r="442" spans="1:8" x14ac:dyDescent="0.3">
      <c r="A442" s="25">
        <v>45900</v>
      </c>
      <c r="B442" t="s">
        <v>368</v>
      </c>
      <c r="C442" t="s">
        <v>186</v>
      </c>
      <c r="D442" t="s">
        <v>378</v>
      </c>
      <c r="E442">
        <v>1543671.46</v>
      </c>
      <c r="F442">
        <v>231142.73</v>
      </c>
      <c r="G442">
        <v>1312528.73</v>
      </c>
      <c r="H442">
        <v>0.85029999999999994</v>
      </c>
    </row>
    <row r="443" spans="1:8" x14ac:dyDescent="0.3">
      <c r="A443" s="25">
        <v>45900</v>
      </c>
      <c r="B443" t="s">
        <v>368</v>
      </c>
      <c r="C443" t="s">
        <v>186</v>
      </c>
      <c r="D443" t="s">
        <v>377</v>
      </c>
      <c r="E443">
        <v>1460233.29</v>
      </c>
      <c r="F443">
        <v>218649.06</v>
      </c>
      <c r="G443">
        <v>1241584.23</v>
      </c>
      <c r="H443">
        <v>0.85029999999999994</v>
      </c>
    </row>
    <row r="444" spans="1:8" x14ac:dyDescent="0.3">
      <c r="A444" s="25">
        <v>45900</v>
      </c>
      <c r="B444" t="s">
        <v>368</v>
      </c>
      <c r="C444" t="s">
        <v>186</v>
      </c>
      <c r="D444" t="s">
        <v>376</v>
      </c>
      <c r="E444">
        <v>770875.64</v>
      </c>
      <c r="F444">
        <v>115427.61</v>
      </c>
      <c r="G444">
        <v>655448.03</v>
      </c>
      <c r="H444">
        <v>0.85029999999999994</v>
      </c>
    </row>
    <row r="445" spans="1:8" x14ac:dyDescent="0.3">
      <c r="A445" s="25">
        <v>45900</v>
      </c>
      <c r="B445" t="s">
        <v>368</v>
      </c>
      <c r="C445" t="s">
        <v>186</v>
      </c>
      <c r="D445" t="s">
        <v>375</v>
      </c>
      <c r="E445">
        <v>684779.63</v>
      </c>
      <c r="F445">
        <v>102535.96</v>
      </c>
      <c r="G445">
        <v>582243.67000000004</v>
      </c>
      <c r="H445">
        <v>0.85029999999999994</v>
      </c>
    </row>
    <row r="446" spans="1:8" x14ac:dyDescent="0.3">
      <c r="A446" s="25">
        <v>45900</v>
      </c>
      <c r="B446" t="s">
        <v>368</v>
      </c>
      <c r="C446" t="s">
        <v>186</v>
      </c>
      <c r="D446" t="s">
        <v>374</v>
      </c>
      <c r="E446">
        <v>186415.1</v>
      </c>
      <c r="F446">
        <v>27913</v>
      </c>
      <c r="G446">
        <v>158502.10999999999</v>
      </c>
      <c r="H446">
        <v>0.85029999999999994</v>
      </c>
    </row>
    <row r="447" spans="1:8" x14ac:dyDescent="0.3">
      <c r="A447" s="25">
        <v>45900</v>
      </c>
      <c r="B447" t="s">
        <v>368</v>
      </c>
      <c r="C447" t="s">
        <v>186</v>
      </c>
      <c r="D447" t="s">
        <v>373</v>
      </c>
      <c r="E447">
        <v>973673.43</v>
      </c>
      <c r="F447">
        <v>145793.68</v>
      </c>
      <c r="G447">
        <v>827879.76</v>
      </c>
      <c r="H447">
        <v>0.85029999999999994</v>
      </c>
    </row>
    <row r="448" spans="1:8" x14ac:dyDescent="0.3">
      <c r="A448" s="25">
        <v>45900</v>
      </c>
      <c r="B448" t="s">
        <v>368</v>
      </c>
      <c r="C448" t="s">
        <v>186</v>
      </c>
      <c r="D448" t="s">
        <v>372</v>
      </c>
      <c r="E448">
        <v>1122336.03</v>
      </c>
      <c r="F448">
        <v>168053.77</v>
      </c>
      <c r="G448">
        <v>954282.26</v>
      </c>
      <c r="H448">
        <v>0.85029999999999994</v>
      </c>
    </row>
    <row r="449" spans="1:8" x14ac:dyDescent="0.3">
      <c r="A449" s="25">
        <v>45900</v>
      </c>
      <c r="B449" t="s">
        <v>368</v>
      </c>
      <c r="C449" t="s">
        <v>186</v>
      </c>
      <c r="D449" t="s">
        <v>371</v>
      </c>
      <c r="E449">
        <v>410216.53</v>
      </c>
      <c r="F449">
        <v>61424.06</v>
      </c>
      <c r="G449">
        <v>348792.47</v>
      </c>
      <c r="H449">
        <v>0.85029999999999994</v>
      </c>
    </row>
    <row r="450" spans="1:8" x14ac:dyDescent="0.3">
      <c r="A450" s="25">
        <v>45900</v>
      </c>
      <c r="B450" t="s">
        <v>368</v>
      </c>
      <c r="C450" t="s">
        <v>186</v>
      </c>
      <c r="D450" t="s">
        <v>370</v>
      </c>
      <c r="E450">
        <v>687714.15</v>
      </c>
      <c r="F450">
        <v>102975.36</v>
      </c>
      <c r="G450">
        <v>584738.79</v>
      </c>
      <c r="H450">
        <v>0.85029999999999994</v>
      </c>
    </row>
    <row r="451" spans="1:8" x14ac:dyDescent="0.3">
      <c r="A451" s="25">
        <v>45900</v>
      </c>
      <c r="B451" t="s">
        <v>368</v>
      </c>
      <c r="C451" t="s">
        <v>186</v>
      </c>
      <c r="D451" t="s">
        <v>369</v>
      </c>
      <c r="E451">
        <v>550046.74</v>
      </c>
      <c r="F451">
        <v>82361.63</v>
      </c>
      <c r="G451">
        <v>467685.1</v>
      </c>
      <c r="H451">
        <v>0.85029999999999994</v>
      </c>
    </row>
    <row r="452" spans="1:8" x14ac:dyDescent="0.3">
      <c r="A452" s="25">
        <v>45930</v>
      </c>
      <c r="B452" t="s">
        <v>368</v>
      </c>
      <c r="C452" t="s">
        <v>186</v>
      </c>
      <c r="D452" t="s">
        <v>378</v>
      </c>
      <c r="E452">
        <v>1817409.74</v>
      </c>
      <c r="F452">
        <v>351251.15</v>
      </c>
      <c r="G452">
        <v>1466158.58</v>
      </c>
      <c r="H452">
        <v>0.80669999999999997</v>
      </c>
    </row>
    <row r="453" spans="1:8" x14ac:dyDescent="0.3">
      <c r="A453" s="25">
        <v>45930</v>
      </c>
      <c r="B453" t="s">
        <v>368</v>
      </c>
      <c r="C453" t="s">
        <v>186</v>
      </c>
      <c r="D453" t="s">
        <v>377</v>
      </c>
      <c r="E453">
        <v>1352590.85</v>
      </c>
      <c r="F453">
        <v>261415.51</v>
      </c>
      <c r="G453">
        <v>1091175.3400000001</v>
      </c>
      <c r="H453">
        <v>0.80669999999999997</v>
      </c>
    </row>
    <row r="454" spans="1:8" x14ac:dyDescent="0.3">
      <c r="A454" s="25">
        <v>45930</v>
      </c>
      <c r="B454" t="s">
        <v>368</v>
      </c>
      <c r="C454" t="s">
        <v>186</v>
      </c>
      <c r="D454" t="s">
        <v>376</v>
      </c>
      <c r="E454">
        <v>1023554.5</v>
      </c>
      <c r="F454">
        <v>197822.59</v>
      </c>
      <c r="G454">
        <v>825731.91</v>
      </c>
      <c r="H454">
        <v>0.80669999999999997</v>
      </c>
    </row>
    <row r="455" spans="1:8" x14ac:dyDescent="0.3">
      <c r="A455" s="25">
        <v>45930</v>
      </c>
      <c r="B455" t="s">
        <v>368</v>
      </c>
      <c r="C455" t="s">
        <v>186</v>
      </c>
      <c r="D455" t="s">
        <v>375</v>
      </c>
      <c r="E455">
        <v>644238.16</v>
      </c>
      <c r="F455">
        <v>124512.04</v>
      </c>
      <c r="G455">
        <v>519726.12</v>
      </c>
      <c r="H455">
        <v>0.80669999999999997</v>
      </c>
    </row>
    <row r="456" spans="1:8" x14ac:dyDescent="0.3">
      <c r="A456" s="25">
        <v>45930</v>
      </c>
      <c r="B456" t="s">
        <v>368</v>
      </c>
      <c r="C456" t="s">
        <v>186</v>
      </c>
      <c r="D456" t="s">
        <v>374</v>
      </c>
      <c r="E456">
        <v>230703.8</v>
      </c>
      <c r="F456">
        <v>44588.17</v>
      </c>
      <c r="G456">
        <v>186115.63</v>
      </c>
      <c r="H456">
        <v>0.80669999999999997</v>
      </c>
    </row>
    <row r="457" spans="1:8" x14ac:dyDescent="0.3">
      <c r="A457" s="25">
        <v>45930</v>
      </c>
      <c r="B457" t="s">
        <v>368</v>
      </c>
      <c r="C457" t="s">
        <v>186</v>
      </c>
      <c r="D457" t="s">
        <v>373</v>
      </c>
      <c r="E457">
        <v>552965.88</v>
      </c>
      <c r="F457">
        <v>106871.83</v>
      </c>
      <c r="G457">
        <v>446094.05</v>
      </c>
      <c r="H457">
        <v>0.80669999999999997</v>
      </c>
    </row>
    <row r="458" spans="1:8" x14ac:dyDescent="0.3">
      <c r="A458" s="25">
        <v>45930</v>
      </c>
      <c r="B458" t="s">
        <v>368</v>
      </c>
      <c r="C458" t="s">
        <v>186</v>
      </c>
      <c r="D458" t="s">
        <v>372</v>
      </c>
      <c r="E458">
        <v>992404.14</v>
      </c>
      <c r="F458">
        <v>191802.15</v>
      </c>
      <c r="G458">
        <v>800601.99</v>
      </c>
      <c r="H458">
        <v>0.80669999999999997</v>
      </c>
    </row>
    <row r="459" spans="1:8" x14ac:dyDescent="0.3">
      <c r="A459" s="25">
        <v>45930</v>
      </c>
      <c r="B459" t="s">
        <v>368</v>
      </c>
      <c r="C459" t="s">
        <v>186</v>
      </c>
      <c r="D459" t="s">
        <v>371</v>
      </c>
      <c r="E459">
        <v>1138227.97</v>
      </c>
      <c r="F459">
        <v>219985.55</v>
      </c>
      <c r="G459">
        <v>918242.41</v>
      </c>
      <c r="H459">
        <v>0.80669999999999997</v>
      </c>
    </row>
    <row r="460" spans="1:8" x14ac:dyDescent="0.3">
      <c r="A460" s="25">
        <v>45930</v>
      </c>
      <c r="B460" t="s">
        <v>368</v>
      </c>
      <c r="C460" t="s">
        <v>186</v>
      </c>
      <c r="D460" t="s">
        <v>370</v>
      </c>
      <c r="E460">
        <v>262190.78999999998</v>
      </c>
      <c r="F460">
        <v>50673.67</v>
      </c>
      <c r="G460">
        <v>211517.12</v>
      </c>
      <c r="H460">
        <v>0.80669999999999997</v>
      </c>
    </row>
    <row r="461" spans="1:8" x14ac:dyDescent="0.3">
      <c r="A461" s="25">
        <v>45930</v>
      </c>
      <c r="B461" t="s">
        <v>368</v>
      </c>
      <c r="C461" t="s">
        <v>186</v>
      </c>
      <c r="D461" t="s">
        <v>369</v>
      </c>
      <c r="E461">
        <v>547133.5</v>
      </c>
      <c r="F461">
        <v>105744.6</v>
      </c>
      <c r="G461">
        <v>441388.91</v>
      </c>
      <c r="H461">
        <v>0.80669999999999997</v>
      </c>
    </row>
    <row r="462" spans="1:8" x14ac:dyDescent="0.3">
      <c r="A462" s="25">
        <v>45961</v>
      </c>
      <c r="B462" t="s">
        <v>368</v>
      </c>
      <c r="C462" t="s">
        <v>186</v>
      </c>
      <c r="D462" t="s">
        <v>378</v>
      </c>
      <c r="E462">
        <v>1703898.8</v>
      </c>
      <c r="F462">
        <v>370059.15</v>
      </c>
      <c r="G462">
        <v>1333839.6499999999</v>
      </c>
      <c r="H462">
        <v>0.78280000000000005</v>
      </c>
    </row>
    <row r="463" spans="1:8" x14ac:dyDescent="0.3">
      <c r="A463" s="25">
        <v>45961</v>
      </c>
      <c r="B463" t="s">
        <v>368</v>
      </c>
      <c r="C463" t="s">
        <v>186</v>
      </c>
      <c r="D463" t="s">
        <v>377</v>
      </c>
      <c r="E463">
        <v>2028825.69</v>
      </c>
      <c r="F463">
        <v>440627.99</v>
      </c>
      <c r="G463">
        <v>1588197.7</v>
      </c>
      <c r="H463">
        <v>0.78280000000000005</v>
      </c>
    </row>
    <row r="464" spans="1:8" x14ac:dyDescent="0.3">
      <c r="A464" s="25">
        <v>45961</v>
      </c>
      <c r="B464" t="s">
        <v>368</v>
      </c>
      <c r="C464" t="s">
        <v>186</v>
      </c>
      <c r="D464" t="s">
        <v>376</v>
      </c>
      <c r="E464">
        <v>507298.32</v>
      </c>
      <c r="F464">
        <v>110176.96000000001</v>
      </c>
      <c r="G464">
        <v>397121.36</v>
      </c>
      <c r="H464">
        <v>0.78280000000000005</v>
      </c>
    </row>
    <row r="465" spans="1:8" x14ac:dyDescent="0.3">
      <c r="A465" s="25">
        <v>45961</v>
      </c>
      <c r="B465" t="s">
        <v>368</v>
      </c>
      <c r="C465" t="s">
        <v>186</v>
      </c>
      <c r="D465" t="s">
        <v>375</v>
      </c>
      <c r="E465">
        <v>563865.54</v>
      </c>
      <c r="F465">
        <v>122462.44</v>
      </c>
      <c r="G465">
        <v>441403.1</v>
      </c>
      <c r="H465">
        <v>0.78280000000000005</v>
      </c>
    </row>
    <row r="466" spans="1:8" x14ac:dyDescent="0.3">
      <c r="A466" s="25">
        <v>45961</v>
      </c>
      <c r="B466" t="s">
        <v>368</v>
      </c>
      <c r="C466" t="s">
        <v>186</v>
      </c>
      <c r="D466" t="s">
        <v>374</v>
      </c>
      <c r="E466">
        <v>424134.37</v>
      </c>
      <c r="F466">
        <v>92115.1</v>
      </c>
      <c r="G466">
        <v>332019.27</v>
      </c>
      <c r="H466">
        <v>0.78280000000000005</v>
      </c>
    </row>
    <row r="467" spans="1:8" x14ac:dyDescent="0.3">
      <c r="A467" s="25">
        <v>45961</v>
      </c>
      <c r="B467" t="s">
        <v>368</v>
      </c>
      <c r="C467" t="s">
        <v>186</v>
      </c>
      <c r="D467" t="s">
        <v>373</v>
      </c>
      <c r="E467">
        <v>475378.31</v>
      </c>
      <c r="F467">
        <v>103244.45</v>
      </c>
      <c r="G467">
        <v>372133.86</v>
      </c>
      <c r="H467">
        <v>0.78280000000000005</v>
      </c>
    </row>
    <row r="468" spans="1:8" x14ac:dyDescent="0.3">
      <c r="A468" s="25">
        <v>45961</v>
      </c>
      <c r="B468" t="s">
        <v>368</v>
      </c>
      <c r="C468" t="s">
        <v>186</v>
      </c>
      <c r="D468" t="s">
        <v>372</v>
      </c>
      <c r="E468">
        <v>642391.76</v>
      </c>
      <c r="F468">
        <v>139517.06</v>
      </c>
      <c r="G468">
        <v>502874.7</v>
      </c>
      <c r="H468">
        <v>0.78280000000000005</v>
      </c>
    </row>
    <row r="469" spans="1:8" x14ac:dyDescent="0.3">
      <c r="A469" s="25">
        <v>45961</v>
      </c>
      <c r="B469" t="s">
        <v>368</v>
      </c>
      <c r="C469" t="s">
        <v>186</v>
      </c>
      <c r="D469" t="s">
        <v>371</v>
      </c>
      <c r="E469">
        <v>814900.98</v>
      </c>
      <c r="F469">
        <v>176983.26</v>
      </c>
      <c r="G469">
        <v>637917.72</v>
      </c>
      <c r="H469">
        <v>0.78280000000000005</v>
      </c>
    </row>
    <row r="470" spans="1:8" x14ac:dyDescent="0.3">
      <c r="A470" s="25">
        <v>45961</v>
      </c>
      <c r="B470" t="s">
        <v>368</v>
      </c>
      <c r="C470" t="s">
        <v>186</v>
      </c>
      <c r="D470" t="s">
        <v>370</v>
      </c>
      <c r="E470">
        <v>915072.96</v>
      </c>
      <c r="F470">
        <v>198738.99</v>
      </c>
      <c r="G470">
        <v>716333.98</v>
      </c>
      <c r="H470">
        <v>0.78280000000000005</v>
      </c>
    </row>
    <row r="471" spans="1:8" x14ac:dyDescent="0.3">
      <c r="A471" s="25">
        <v>45961</v>
      </c>
      <c r="B471" t="s">
        <v>368</v>
      </c>
      <c r="C471" t="s">
        <v>186</v>
      </c>
      <c r="D471" t="s">
        <v>369</v>
      </c>
      <c r="E471">
        <v>617154.21</v>
      </c>
      <c r="F471">
        <v>134035.85999999999</v>
      </c>
      <c r="G471">
        <v>483118.34</v>
      </c>
      <c r="H471">
        <v>0.78280000000000005</v>
      </c>
    </row>
    <row r="472" spans="1:8" x14ac:dyDescent="0.3">
      <c r="A472" s="25">
        <v>45991</v>
      </c>
      <c r="B472" t="s">
        <v>368</v>
      </c>
      <c r="C472" t="s">
        <v>186</v>
      </c>
      <c r="D472" t="s">
        <v>378</v>
      </c>
      <c r="E472">
        <v>1970515.59</v>
      </c>
      <c r="F472">
        <v>358060.27</v>
      </c>
      <c r="G472">
        <v>1612455.32</v>
      </c>
      <c r="H472">
        <v>0.81830000000000003</v>
      </c>
    </row>
    <row r="473" spans="1:8" x14ac:dyDescent="0.3">
      <c r="A473" s="25">
        <v>45991</v>
      </c>
      <c r="B473" t="s">
        <v>368</v>
      </c>
      <c r="C473" t="s">
        <v>186</v>
      </c>
      <c r="D473" t="s">
        <v>377</v>
      </c>
      <c r="E473">
        <v>1684417.41</v>
      </c>
      <c r="F473">
        <v>306073.67</v>
      </c>
      <c r="G473">
        <v>1378343.73</v>
      </c>
      <c r="H473">
        <v>0.81830000000000003</v>
      </c>
    </row>
    <row r="474" spans="1:8" x14ac:dyDescent="0.3">
      <c r="A474" s="25">
        <v>45991</v>
      </c>
      <c r="B474" t="s">
        <v>368</v>
      </c>
      <c r="C474" t="s">
        <v>186</v>
      </c>
      <c r="D474" t="s">
        <v>376</v>
      </c>
      <c r="E474">
        <v>503348.54</v>
      </c>
      <c r="F474">
        <v>91462.92</v>
      </c>
      <c r="G474">
        <v>411885.62</v>
      </c>
      <c r="H474">
        <v>0.81830000000000003</v>
      </c>
    </row>
    <row r="475" spans="1:8" x14ac:dyDescent="0.3">
      <c r="A475" s="25">
        <v>45991</v>
      </c>
      <c r="B475" t="s">
        <v>368</v>
      </c>
      <c r="C475" t="s">
        <v>186</v>
      </c>
      <c r="D475" t="s">
        <v>375</v>
      </c>
      <c r="E475">
        <v>1117010.56</v>
      </c>
      <c r="F475">
        <v>202970.79</v>
      </c>
      <c r="G475">
        <v>914039.78</v>
      </c>
      <c r="H475">
        <v>0.81830000000000003</v>
      </c>
    </row>
    <row r="476" spans="1:8" x14ac:dyDescent="0.3">
      <c r="A476" s="25">
        <v>45991</v>
      </c>
      <c r="B476" t="s">
        <v>368</v>
      </c>
      <c r="C476" t="s">
        <v>186</v>
      </c>
      <c r="D476" t="s">
        <v>374</v>
      </c>
      <c r="E476">
        <v>411009.44</v>
      </c>
      <c r="F476">
        <v>74684.08</v>
      </c>
      <c r="G476">
        <v>336325.36</v>
      </c>
      <c r="H476">
        <v>0.81830000000000003</v>
      </c>
    </row>
    <row r="477" spans="1:8" x14ac:dyDescent="0.3">
      <c r="A477" s="25">
        <v>45991</v>
      </c>
      <c r="B477" t="s">
        <v>368</v>
      </c>
      <c r="C477" t="s">
        <v>186</v>
      </c>
      <c r="D477" t="s">
        <v>373</v>
      </c>
      <c r="E477">
        <v>612903.81000000006</v>
      </c>
      <c r="F477">
        <v>111370.09</v>
      </c>
      <c r="G477">
        <v>501533.72</v>
      </c>
      <c r="H477">
        <v>0.81830000000000003</v>
      </c>
    </row>
    <row r="478" spans="1:8" x14ac:dyDescent="0.3">
      <c r="A478" s="25">
        <v>45991</v>
      </c>
      <c r="B478" t="s">
        <v>368</v>
      </c>
      <c r="C478" t="s">
        <v>186</v>
      </c>
      <c r="D478" t="s">
        <v>372</v>
      </c>
      <c r="E478">
        <v>1087763.48</v>
      </c>
      <c r="F478">
        <v>197656.33</v>
      </c>
      <c r="G478">
        <v>890107.15</v>
      </c>
      <c r="H478">
        <v>0.81830000000000003</v>
      </c>
    </row>
    <row r="479" spans="1:8" x14ac:dyDescent="0.3">
      <c r="A479" s="25">
        <v>45991</v>
      </c>
      <c r="B479" t="s">
        <v>368</v>
      </c>
      <c r="C479" t="s">
        <v>186</v>
      </c>
      <c r="D479" t="s">
        <v>371</v>
      </c>
      <c r="E479">
        <v>663546.06000000006</v>
      </c>
      <c r="F479">
        <v>120572.24</v>
      </c>
      <c r="G479">
        <v>542973.81999999995</v>
      </c>
      <c r="H479">
        <v>0.81830000000000003</v>
      </c>
    </row>
    <row r="480" spans="1:8" x14ac:dyDescent="0.3">
      <c r="A480" s="25">
        <v>45991</v>
      </c>
      <c r="B480" t="s">
        <v>368</v>
      </c>
      <c r="C480" t="s">
        <v>186</v>
      </c>
      <c r="D480" t="s">
        <v>370</v>
      </c>
      <c r="E480">
        <v>199103.8</v>
      </c>
      <c r="F480">
        <v>36178.94</v>
      </c>
      <c r="G480">
        <v>162924.85999999999</v>
      </c>
      <c r="H480">
        <v>0.81830000000000003</v>
      </c>
    </row>
    <row r="481" spans="1:8" x14ac:dyDescent="0.3">
      <c r="A481" s="25">
        <v>45991</v>
      </c>
      <c r="B481" t="s">
        <v>368</v>
      </c>
      <c r="C481" t="s">
        <v>186</v>
      </c>
      <c r="D481" t="s">
        <v>369</v>
      </c>
      <c r="E481">
        <v>178003.66</v>
      </c>
      <c r="F481">
        <v>32344.85</v>
      </c>
      <c r="G481">
        <v>145658.81</v>
      </c>
      <c r="H481">
        <v>0.81830000000000003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0045-BB80-4D9F-9A1A-4AEE5671D664}">
  <sheetPr>
    <tabColor theme="4" tint="0.39997558519241921"/>
  </sheetPr>
  <dimension ref="A1:J961"/>
  <sheetViews>
    <sheetView workbookViewId="0">
      <selection sqref="A1:J1048576"/>
    </sheetView>
  </sheetViews>
  <sheetFormatPr defaultRowHeight="14.4" x14ac:dyDescent="0.3"/>
  <cols>
    <col min="1" max="1" width="14" bestFit="1" customWidth="1"/>
    <col min="2" max="2" width="12.5546875" bestFit="1" customWidth="1"/>
    <col min="3" max="3" width="10.44140625" bestFit="1" customWidth="1"/>
    <col min="4" max="4" width="7" bestFit="1" customWidth="1"/>
    <col min="5" max="5" width="21.5546875" bestFit="1" customWidth="1"/>
    <col min="6" max="6" width="32.44140625" bestFit="1" customWidth="1"/>
    <col min="7" max="7" width="10" bestFit="1" customWidth="1"/>
    <col min="8" max="8" width="7" bestFit="1" customWidth="1"/>
    <col min="9" max="9" width="6.6640625" bestFit="1" customWidth="1"/>
    <col min="10" max="10" width="10.88671875" bestFit="1" customWidth="1"/>
  </cols>
  <sheetData>
    <row r="1" spans="1:10" x14ac:dyDescent="0.3">
      <c r="A1" s="13" t="s">
        <v>290</v>
      </c>
      <c r="B1" s="13" t="s">
        <v>22</v>
      </c>
      <c r="C1" s="13" t="s">
        <v>197</v>
      </c>
      <c r="D1" s="13" t="s">
        <v>461</v>
      </c>
      <c r="E1" s="13" t="s">
        <v>333</v>
      </c>
      <c r="F1" s="13" t="s">
        <v>11</v>
      </c>
      <c r="G1" s="13" t="s">
        <v>194</v>
      </c>
      <c r="H1" s="13" t="s">
        <v>460</v>
      </c>
      <c r="I1" s="13" t="s">
        <v>459</v>
      </c>
      <c r="J1" s="13" t="s">
        <v>379</v>
      </c>
    </row>
    <row r="2" spans="1:10" x14ac:dyDescent="0.3">
      <c r="A2" t="s">
        <v>368</v>
      </c>
      <c r="B2" t="s">
        <v>192</v>
      </c>
      <c r="C2" s="25">
        <v>45657</v>
      </c>
      <c r="D2">
        <v>551989</v>
      </c>
      <c r="E2" t="s">
        <v>378</v>
      </c>
      <c r="F2" t="s">
        <v>458</v>
      </c>
      <c r="G2">
        <v>136109.35999999999</v>
      </c>
      <c r="H2">
        <v>65760</v>
      </c>
      <c r="I2">
        <v>2.0699999999999998</v>
      </c>
      <c r="J2">
        <v>6.4574999999999996</v>
      </c>
    </row>
    <row r="3" spans="1:10" x14ac:dyDescent="0.3">
      <c r="A3" t="s">
        <v>368</v>
      </c>
      <c r="B3" t="s">
        <v>192</v>
      </c>
      <c r="C3" s="25">
        <v>45688</v>
      </c>
      <c r="D3">
        <v>551989</v>
      </c>
      <c r="E3" t="s">
        <v>378</v>
      </c>
      <c r="F3" t="s">
        <v>458</v>
      </c>
      <c r="G3">
        <v>112448.54</v>
      </c>
      <c r="H3">
        <v>35929</v>
      </c>
      <c r="I3">
        <v>3.13</v>
      </c>
      <c r="J3">
        <v>5.5627000000000004</v>
      </c>
    </row>
    <row r="4" spans="1:10" x14ac:dyDescent="0.3">
      <c r="A4" t="s">
        <v>368</v>
      </c>
      <c r="B4" t="s">
        <v>192</v>
      </c>
      <c r="C4" s="25">
        <v>45716</v>
      </c>
      <c r="D4">
        <v>551989</v>
      </c>
      <c r="E4" t="s">
        <v>378</v>
      </c>
      <c r="F4" t="s">
        <v>458</v>
      </c>
      <c r="G4">
        <v>108926.22</v>
      </c>
      <c r="H4">
        <v>19320</v>
      </c>
      <c r="I4">
        <v>5.64</v>
      </c>
      <c r="J4">
        <v>5.1273999999999997</v>
      </c>
    </row>
    <row r="5" spans="1:10" x14ac:dyDescent="0.3">
      <c r="A5" t="s">
        <v>368</v>
      </c>
      <c r="B5" t="s">
        <v>192</v>
      </c>
      <c r="C5" s="25">
        <v>45747</v>
      </c>
      <c r="D5">
        <v>551989</v>
      </c>
      <c r="E5" t="s">
        <v>378</v>
      </c>
      <c r="F5" t="s">
        <v>458</v>
      </c>
      <c r="G5">
        <v>122009.5</v>
      </c>
      <c r="H5">
        <v>209779</v>
      </c>
      <c r="I5">
        <v>0.57999999999999996</v>
      </c>
      <c r="J5">
        <v>6.5532000000000004</v>
      </c>
    </row>
    <row r="6" spans="1:10" x14ac:dyDescent="0.3">
      <c r="A6" t="s">
        <v>368</v>
      </c>
      <c r="B6" t="s">
        <v>192</v>
      </c>
      <c r="C6" s="25">
        <v>45777</v>
      </c>
      <c r="D6">
        <v>551989</v>
      </c>
      <c r="E6" t="s">
        <v>378</v>
      </c>
      <c r="F6" t="s">
        <v>458</v>
      </c>
      <c r="G6">
        <v>108156.26</v>
      </c>
      <c r="H6">
        <v>16098</v>
      </c>
      <c r="I6">
        <v>6.72</v>
      </c>
      <c r="J6">
        <v>4.8807999999999998</v>
      </c>
    </row>
    <row r="7" spans="1:10" x14ac:dyDescent="0.3">
      <c r="A7" t="s">
        <v>368</v>
      </c>
      <c r="B7" t="s">
        <v>192</v>
      </c>
      <c r="C7" s="25">
        <v>45808</v>
      </c>
      <c r="D7">
        <v>551989</v>
      </c>
      <c r="E7" t="s">
        <v>378</v>
      </c>
      <c r="F7" t="s">
        <v>458</v>
      </c>
      <c r="G7">
        <v>129562.27</v>
      </c>
      <c r="H7">
        <v>15631</v>
      </c>
      <c r="I7">
        <v>8.2899999999999991</v>
      </c>
      <c r="J7">
        <v>6.1288</v>
      </c>
    </row>
    <row r="8" spans="1:10" x14ac:dyDescent="0.3">
      <c r="A8" t="s">
        <v>368</v>
      </c>
      <c r="B8" t="s">
        <v>192</v>
      </c>
      <c r="C8" s="25">
        <v>45838</v>
      </c>
      <c r="D8">
        <v>551989</v>
      </c>
      <c r="E8" t="s">
        <v>378</v>
      </c>
      <c r="F8" t="s">
        <v>458</v>
      </c>
      <c r="G8">
        <v>113510.91</v>
      </c>
      <c r="H8">
        <v>17172</v>
      </c>
      <c r="I8">
        <v>6.61</v>
      </c>
      <c r="J8">
        <v>5.3268000000000004</v>
      </c>
    </row>
    <row r="9" spans="1:10" x14ac:dyDescent="0.3">
      <c r="A9" t="s">
        <v>368</v>
      </c>
      <c r="B9" t="s">
        <v>192</v>
      </c>
      <c r="C9" s="25">
        <v>45869</v>
      </c>
      <c r="D9">
        <v>551989</v>
      </c>
      <c r="E9" t="s">
        <v>378</v>
      </c>
      <c r="F9" t="s">
        <v>458</v>
      </c>
      <c r="G9">
        <v>119993.79</v>
      </c>
      <c r="H9">
        <v>23543</v>
      </c>
      <c r="I9">
        <v>5.0999999999999996</v>
      </c>
      <c r="J9">
        <v>5.2904999999999998</v>
      </c>
    </row>
    <row r="10" spans="1:10" x14ac:dyDescent="0.3">
      <c r="A10" t="s">
        <v>368</v>
      </c>
      <c r="B10" t="s">
        <v>192</v>
      </c>
      <c r="C10" s="25">
        <v>45900</v>
      </c>
      <c r="D10">
        <v>551989</v>
      </c>
      <c r="E10" t="s">
        <v>378</v>
      </c>
      <c r="F10" t="s">
        <v>458</v>
      </c>
      <c r="G10">
        <v>107462.99</v>
      </c>
      <c r="H10">
        <v>27353</v>
      </c>
      <c r="I10">
        <v>3.93</v>
      </c>
      <c r="J10">
        <v>5.3673000000000002</v>
      </c>
    </row>
    <row r="11" spans="1:10" x14ac:dyDescent="0.3">
      <c r="A11" t="s">
        <v>368</v>
      </c>
      <c r="B11" t="s">
        <v>192</v>
      </c>
      <c r="C11" s="25">
        <v>45930</v>
      </c>
      <c r="D11">
        <v>551989</v>
      </c>
      <c r="E11" t="s">
        <v>378</v>
      </c>
      <c r="F11" t="s">
        <v>458</v>
      </c>
      <c r="G11">
        <v>119647.03999999999</v>
      </c>
      <c r="H11">
        <v>61221</v>
      </c>
      <c r="I11">
        <v>1.95</v>
      </c>
      <c r="J11">
        <v>5.5994999999999999</v>
      </c>
    </row>
    <row r="12" spans="1:10" x14ac:dyDescent="0.3">
      <c r="A12" t="s">
        <v>368</v>
      </c>
      <c r="B12" t="s">
        <v>192</v>
      </c>
      <c r="C12" s="25">
        <v>45961</v>
      </c>
      <c r="D12">
        <v>551989</v>
      </c>
      <c r="E12" t="s">
        <v>378</v>
      </c>
      <c r="F12" t="s">
        <v>458</v>
      </c>
      <c r="G12">
        <v>102337.28</v>
      </c>
      <c r="H12">
        <v>12641</v>
      </c>
      <c r="I12">
        <v>8.1</v>
      </c>
      <c r="J12">
        <v>4.9371</v>
      </c>
    </row>
    <row r="13" spans="1:10" x14ac:dyDescent="0.3">
      <c r="A13" t="s">
        <v>368</v>
      </c>
      <c r="B13" t="s">
        <v>192</v>
      </c>
      <c r="C13" s="25">
        <v>45991</v>
      </c>
      <c r="D13">
        <v>551989</v>
      </c>
      <c r="E13" t="s">
        <v>378</v>
      </c>
      <c r="F13" t="s">
        <v>458</v>
      </c>
      <c r="G13">
        <v>129117.92</v>
      </c>
      <c r="H13">
        <v>21831</v>
      </c>
      <c r="I13">
        <v>5.91</v>
      </c>
      <c r="J13">
        <v>6.0677000000000003</v>
      </c>
    </row>
    <row r="14" spans="1:10" x14ac:dyDescent="0.3">
      <c r="A14" t="s">
        <v>368</v>
      </c>
      <c r="B14" t="s">
        <v>192</v>
      </c>
      <c r="C14" s="25">
        <v>45657</v>
      </c>
      <c r="D14">
        <v>864491</v>
      </c>
      <c r="E14" t="s">
        <v>377</v>
      </c>
      <c r="F14" t="s">
        <v>457</v>
      </c>
      <c r="G14">
        <v>114683.96</v>
      </c>
      <c r="H14">
        <v>95741</v>
      </c>
      <c r="I14">
        <v>1.2</v>
      </c>
      <c r="J14">
        <v>5.4409999999999998</v>
      </c>
    </row>
    <row r="15" spans="1:10" x14ac:dyDescent="0.3">
      <c r="A15" t="s">
        <v>368</v>
      </c>
      <c r="B15" t="s">
        <v>192</v>
      </c>
      <c r="C15" s="25">
        <v>45688</v>
      </c>
      <c r="D15">
        <v>864491</v>
      </c>
      <c r="E15" t="s">
        <v>377</v>
      </c>
      <c r="F15" t="s">
        <v>457</v>
      </c>
      <c r="G15">
        <v>83541.87</v>
      </c>
      <c r="H15">
        <v>15902</v>
      </c>
      <c r="I15">
        <v>5.25</v>
      </c>
      <c r="J15">
        <v>4.1326999999999998</v>
      </c>
    </row>
    <row r="16" spans="1:10" x14ac:dyDescent="0.3">
      <c r="A16" t="s">
        <v>368</v>
      </c>
      <c r="B16" t="s">
        <v>192</v>
      </c>
      <c r="C16" s="25">
        <v>45716</v>
      </c>
      <c r="D16">
        <v>864491</v>
      </c>
      <c r="E16" t="s">
        <v>377</v>
      </c>
      <c r="F16" t="s">
        <v>457</v>
      </c>
      <c r="G16">
        <v>72834.02</v>
      </c>
      <c r="H16">
        <v>7995</v>
      </c>
      <c r="I16">
        <v>9.11</v>
      </c>
      <c r="J16">
        <v>3.4285000000000001</v>
      </c>
    </row>
    <row r="17" spans="1:10" x14ac:dyDescent="0.3">
      <c r="A17" t="s">
        <v>368</v>
      </c>
      <c r="B17" t="s">
        <v>192</v>
      </c>
      <c r="C17" s="25">
        <v>45747</v>
      </c>
      <c r="D17">
        <v>864491</v>
      </c>
      <c r="E17" t="s">
        <v>377</v>
      </c>
      <c r="F17" t="s">
        <v>457</v>
      </c>
      <c r="G17">
        <v>117981.22</v>
      </c>
      <c r="H17">
        <v>11773</v>
      </c>
      <c r="I17">
        <v>10.02</v>
      </c>
      <c r="J17">
        <v>6.3368000000000002</v>
      </c>
    </row>
    <row r="18" spans="1:10" x14ac:dyDescent="0.3">
      <c r="A18" t="s">
        <v>368</v>
      </c>
      <c r="B18" t="s">
        <v>192</v>
      </c>
      <c r="C18" s="25">
        <v>45777</v>
      </c>
      <c r="D18">
        <v>864491</v>
      </c>
      <c r="E18" t="s">
        <v>377</v>
      </c>
      <c r="F18" t="s">
        <v>457</v>
      </c>
      <c r="G18">
        <v>116060.02</v>
      </c>
      <c r="H18">
        <v>10316</v>
      </c>
      <c r="I18">
        <v>11.25</v>
      </c>
      <c r="J18">
        <v>5.2374999999999998</v>
      </c>
    </row>
    <row r="19" spans="1:10" x14ac:dyDescent="0.3">
      <c r="A19" t="s">
        <v>368</v>
      </c>
      <c r="B19" t="s">
        <v>192</v>
      </c>
      <c r="C19" s="25">
        <v>45808</v>
      </c>
      <c r="D19">
        <v>864491</v>
      </c>
      <c r="E19" t="s">
        <v>377</v>
      </c>
      <c r="F19" t="s">
        <v>457</v>
      </c>
      <c r="G19">
        <v>85642.59</v>
      </c>
      <c r="H19">
        <v>8478</v>
      </c>
      <c r="I19">
        <v>10.1</v>
      </c>
      <c r="J19">
        <v>4.0511999999999997</v>
      </c>
    </row>
    <row r="20" spans="1:10" x14ac:dyDescent="0.3">
      <c r="A20" t="s">
        <v>368</v>
      </c>
      <c r="B20" t="s">
        <v>192</v>
      </c>
      <c r="C20" s="25">
        <v>45838</v>
      </c>
      <c r="D20">
        <v>864491</v>
      </c>
      <c r="E20" t="s">
        <v>377</v>
      </c>
      <c r="F20" t="s">
        <v>457</v>
      </c>
      <c r="G20">
        <v>101005.62</v>
      </c>
      <c r="H20">
        <v>18572</v>
      </c>
      <c r="I20">
        <v>5.44</v>
      </c>
      <c r="J20">
        <v>4.7398999999999996</v>
      </c>
    </row>
    <row r="21" spans="1:10" x14ac:dyDescent="0.3">
      <c r="A21" t="s">
        <v>368</v>
      </c>
      <c r="B21" t="s">
        <v>192</v>
      </c>
      <c r="C21" s="25">
        <v>45869</v>
      </c>
      <c r="D21">
        <v>864491</v>
      </c>
      <c r="E21" t="s">
        <v>377</v>
      </c>
      <c r="F21" t="s">
        <v>457</v>
      </c>
      <c r="G21">
        <v>130551.99</v>
      </c>
      <c r="H21">
        <v>22078</v>
      </c>
      <c r="I21">
        <v>5.91</v>
      </c>
      <c r="J21">
        <v>5.7560000000000002</v>
      </c>
    </row>
    <row r="22" spans="1:10" x14ac:dyDescent="0.3">
      <c r="A22" t="s">
        <v>368</v>
      </c>
      <c r="B22" t="s">
        <v>192</v>
      </c>
      <c r="C22" s="25">
        <v>45900</v>
      </c>
      <c r="D22">
        <v>864491</v>
      </c>
      <c r="E22" t="s">
        <v>377</v>
      </c>
      <c r="F22" t="s">
        <v>457</v>
      </c>
      <c r="G22">
        <v>98838.46</v>
      </c>
      <c r="H22">
        <v>8842</v>
      </c>
      <c r="I22">
        <v>11.18</v>
      </c>
      <c r="J22">
        <v>4.9366000000000003</v>
      </c>
    </row>
    <row r="23" spans="1:10" x14ac:dyDescent="0.3">
      <c r="A23" t="s">
        <v>368</v>
      </c>
      <c r="B23" t="s">
        <v>192</v>
      </c>
      <c r="C23" s="25">
        <v>45930</v>
      </c>
      <c r="D23">
        <v>864491</v>
      </c>
      <c r="E23" t="s">
        <v>377</v>
      </c>
      <c r="F23" t="s">
        <v>457</v>
      </c>
      <c r="G23">
        <v>106879.99</v>
      </c>
      <c r="H23">
        <v>14913</v>
      </c>
      <c r="I23">
        <v>7.17</v>
      </c>
      <c r="J23">
        <v>5.0019999999999998</v>
      </c>
    </row>
    <row r="24" spans="1:10" x14ac:dyDescent="0.3">
      <c r="A24" t="s">
        <v>368</v>
      </c>
      <c r="B24" t="s">
        <v>192</v>
      </c>
      <c r="C24" s="25">
        <v>45961</v>
      </c>
      <c r="D24">
        <v>864491</v>
      </c>
      <c r="E24" t="s">
        <v>377</v>
      </c>
      <c r="F24" t="s">
        <v>457</v>
      </c>
      <c r="G24">
        <v>116067.84</v>
      </c>
      <c r="H24">
        <v>25939</v>
      </c>
      <c r="I24">
        <v>4.47</v>
      </c>
      <c r="J24">
        <v>5.5994999999999999</v>
      </c>
    </row>
    <row r="25" spans="1:10" x14ac:dyDescent="0.3">
      <c r="A25" t="s">
        <v>368</v>
      </c>
      <c r="B25" t="s">
        <v>192</v>
      </c>
      <c r="C25" s="25">
        <v>45991</v>
      </c>
      <c r="D25">
        <v>864491</v>
      </c>
      <c r="E25" t="s">
        <v>377</v>
      </c>
      <c r="F25" t="s">
        <v>457</v>
      </c>
      <c r="G25">
        <v>112973.57</v>
      </c>
      <c r="H25">
        <v>14773</v>
      </c>
      <c r="I25">
        <v>7.65</v>
      </c>
      <c r="J25">
        <v>5.3090000000000002</v>
      </c>
    </row>
    <row r="26" spans="1:10" x14ac:dyDescent="0.3">
      <c r="A26" t="s">
        <v>368</v>
      </c>
      <c r="B26" t="s">
        <v>192</v>
      </c>
      <c r="C26" s="25">
        <v>45657</v>
      </c>
      <c r="D26">
        <v>939482</v>
      </c>
      <c r="E26" t="s">
        <v>376</v>
      </c>
      <c r="F26" t="s">
        <v>403</v>
      </c>
      <c r="G26">
        <v>109942.72</v>
      </c>
      <c r="H26">
        <v>24257</v>
      </c>
      <c r="I26">
        <v>4.53</v>
      </c>
      <c r="J26">
        <v>5.2160000000000002</v>
      </c>
    </row>
    <row r="27" spans="1:10" x14ac:dyDescent="0.3">
      <c r="A27" t="s">
        <v>368</v>
      </c>
      <c r="B27" t="s">
        <v>192</v>
      </c>
      <c r="C27" s="25">
        <v>45688</v>
      </c>
      <c r="D27">
        <v>939482</v>
      </c>
      <c r="E27" t="s">
        <v>376</v>
      </c>
      <c r="F27" t="s">
        <v>403</v>
      </c>
      <c r="G27">
        <v>107233.57</v>
      </c>
      <c r="H27">
        <v>22186</v>
      </c>
      <c r="I27">
        <v>4.83</v>
      </c>
      <c r="J27">
        <v>5.3047000000000004</v>
      </c>
    </row>
    <row r="28" spans="1:10" x14ac:dyDescent="0.3">
      <c r="A28" t="s">
        <v>368</v>
      </c>
      <c r="B28" t="s">
        <v>192</v>
      </c>
      <c r="C28" s="25">
        <v>45716</v>
      </c>
      <c r="D28">
        <v>939482</v>
      </c>
      <c r="E28" t="s">
        <v>376</v>
      </c>
      <c r="F28" t="s">
        <v>403</v>
      </c>
      <c r="G28">
        <v>91486.28</v>
      </c>
      <c r="H28">
        <v>27063</v>
      </c>
      <c r="I28">
        <v>3.38</v>
      </c>
      <c r="J28">
        <v>4.3064999999999998</v>
      </c>
    </row>
    <row r="29" spans="1:10" x14ac:dyDescent="0.3">
      <c r="A29" t="s">
        <v>368</v>
      </c>
      <c r="B29" t="s">
        <v>192</v>
      </c>
      <c r="C29" s="25">
        <v>45747</v>
      </c>
      <c r="D29">
        <v>939482</v>
      </c>
      <c r="E29" t="s">
        <v>376</v>
      </c>
      <c r="F29" t="s">
        <v>403</v>
      </c>
      <c r="G29">
        <v>81322.09</v>
      </c>
      <c r="H29">
        <v>8325</v>
      </c>
      <c r="I29">
        <v>9.77</v>
      </c>
      <c r="J29">
        <v>4.3677999999999999</v>
      </c>
    </row>
    <row r="30" spans="1:10" x14ac:dyDescent="0.3">
      <c r="A30" t="s">
        <v>368</v>
      </c>
      <c r="B30" t="s">
        <v>192</v>
      </c>
      <c r="C30" s="25">
        <v>45777</v>
      </c>
      <c r="D30">
        <v>939482</v>
      </c>
      <c r="E30" t="s">
        <v>376</v>
      </c>
      <c r="F30" t="s">
        <v>403</v>
      </c>
      <c r="G30">
        <v>93649.7</v>
      </c>
      <c r="H30">
        <v>14867</v>
      </c>
      <c r="I30">
        <v>6.3</v>
      </c>
      <c r="J30">
        <v>4.2262000000000004</v>
      </c>
    </row>
    <row r="31" spans="1:10" x14ac:dyDescent="0.3">
      <c r="A31" t="s">
        <v>368</v>
      </c>
      <c r="B31" t="s">
        <v>192</v>
      </c>
      <c r="C31" s="25">
        <v>45808</v>
      </c>
      <c r="D31">
        <v>939482</v>
      </c>
      <c r="E31" t="s">
        <v>376</v>
      </c>
      <c r="F31" t="s">
        <v>403</v>
      </c>
      <c r="G31">
        <v>93103.57</v>
      </c>
      <c r="H31">
        <v>8905</v>
      </c>
      <c r="I31">
        <v>10.45</v>
      </c>
      <c r="J31">
        <v>4.4040999999999997</v>
      </c>
    </row>
    <row r="32" spans="1:10" x14ac:dyDescent="0.3">
      <c r="A32" t="s">
        <v>368</v>
      </c>
      <c r="B32" t="s">
        <v>192</v>
      </c>
      <c r="C32" s="25">
        <v>45838</v>
      </c>
      <c r="D32">
        <v>939482</v>
      </c>
      <c r="E32" t="s">
        <v>376</v>
      </c>
      <c r="F32" t="s">
        <v>403</v>
      </c>
      <c r="G32">
        <v>100552</v>
      </c>
      <c r="H32">
        <v>21866</v>
      </c>
      <c r="I32">
        <v>4.5999999999999996</v>
      </c>
      <c r="J32">
        <v>4.7186000000000003</v>
      </c>
    </row>
    <row r="33" spans="1:10" x14ac:dyDescent="0.3">
      <c r="A33" t="s">
        <v>368</v>
      </c>
      <c r="B33" t="s">
        <v>192</v>
      </c>
      <c r="C33" s="25">
        <v>45869</v>
      </c>
      <c r="D33">
        <v>939482</v>
      </c>
      <c r="E33" t="s">
        <v>376</v>
      </c>
      <c r="F33" t="s">
        <v>403</v>
      </c>
      <c r="G33">
        <v>108166.38</v>
      </c>
      <c r="H33">
        <v>11889</v>
      </c>
      <c r="I33">
        <v>9.1</v>
      </c>
      <c r="J33">
        <v>4.7690000000000001</v>
      </c>
    </row>
    <row r="34" spans="1:10" x14ac:dyDescent="0.3">
      <c r="A34" t="s">
        <v>368</v>
      </c>
      <c r="B34" t="s">
        <v>192</v>
      </c>
      <c r="C34" s="25">
        <v>45900</v>
      </c>
      <c r="D34">
        <v>939482</v>
      </c>
      <c r="E34" t="s">
        <v>376</v>
      </c>
      <c r="F34" t="s">
        <v>403</v>
      </c>
      <c r="G34">
        <v>116243.09</v>
      </c>
      <c r="H34">
        <v>10077</v>
      </c>
      <c r="I34">
        <v>11.54</v>
      </c>
      <c r="J34">
        <v>5.8059000000000003</v>
      </c>
    </row>
    <row r="35" spans="1:10" x14ac:dyDescent="0.3">
      <c r="A35" t="s">
        <v>368</v>
      </c>
      <c r="B35" t="s">
        <v>192</v>
      </c>
      <c r="C35" s="25">
        <v>45930</v>
      </c>
      <c r="D35">
        <v>939482</v>
      </c>
      <c r="E35" t="s">
        <v>376</v>
      </c>
      <c r="F35" t="s">
        <v>403</v>
      </c>
      <c r="G35">
        <v>106882.71</v>
      </c>
      <c r="H35">
        <v>11116</v>
      </c>
      <c r="I35">
        <v>9.6199999999999992</v>
      </c>
      <c r="J35">
        <v>5.0021000000000004</v>
      </c>
    </row>
    <row r="36" spans="1:10" x14ac:dyDescent="0.3">
      <c r="A36" t="s">
        <v>368</v>
      </c>
      <c r="B36" t="s">
        <v>192</v>
      </c>
      <c r="C36" s="25">
        <v>45961</v>
      </c>
      <c r="D36">
        <v>939482</v>
      </c>
      <c r="E36" t="s">
        <v>376</v>
      </c>
      <c r="F36" t="s">
        <v>403</v>
      </c>
      <c r="G36">
        <v>98093.83</v>
      </c>
      <c r="H36">
        <v>102097</v>
      </c>
      <c r="I36">
        <v>0.96</v>
      </c>
      <c r="J36">
        <v>4.7323000000000004</v>
      </c>
    </row>
    <row r="37" spans="1:10" x14ac:dyDescent="0.3">
      <c r="A37" t="s">
        <v>368</v>
      </c>
      <c r="B37" t="s">
        <v>192</v>
      </c>
      <c r="C37" s="25">
        <v>45991</v>
      </c>
      <c r="D37">
        <v>939482</v>
      </c>
      <c r="E37" t="s">
        <v>376</v>
      </c>
      <c r="F37" t="s">
        <v>403</v>
      </c>
      <c r="G37">
        <v>141892.68</v>
      </c>
      <c r="H37">
        <v>12005</v>
      </c>
      <c r="I37">
        <v>11.82</v>
      </c>
      <c r="J37">
        <v>6.6680999999999999</v>
      </c>
    </row>
    <row r="38" spans="1:10" x14ac:dyDescent="0.3">
      <c r="A38" t="s">
        <v>368</v>
      </c>
      <c r="B38" t="s">
        <v>192</v>
      </c>
      <c r="C38" s="25">
        <v>45657</v>
      </c>
      <c r="D38">
        <v>947272</v>
      </c>
      <c r="E38" t="s">
        <v>377</v>
      </c>
      <c r="F38" t="s">
        <v>456</v>
      </c>
      <c r="G38">
        <v>83067.13</v>
      </c>
      <c r="H38">
        <v>10171</v>
      </c>
      <c r="I38">
        <v>8.17</v>
      </c>
      <c r="J38">
        <v>3.9409999999999998</v>
      </c>
    </row>
    <row r="39" spans="1:10" x14ac:dyDescent="0.3">
      <c r="A39" t="s">
        <v>368</v>
      </c>
      <c r="B39" t="s">
        <v>192</v>
      </c>
      <c r="C39" s="25">
        <v>45688</v>
      </c>
      <c r="D39">
        <v>947272</v>
      </c>
      <c r="E39" t="s">
        <v>377</v>
      </c>
      <c r="F39" t="s">
        <v>456</v>
      </c>
      <c r="G39">
        <v>89631.76</v>
      </c>
      <c r="H39">
        <v>23779</v>
      </c>
      <c r="I39">
        <v>3.77</v>
      </c>
      <c r="J39">
        <v>4.4340000000000002</v>
      </c>
    </row>
    <row r="40" spans="1:10" x14ac:dyDescent="0.3">
      <c r="A40" t="s">
        <v>368</v>
      </c>
      <c r="B40" t="s">
        <v>192</v>
      </c>
      <c r="C40" s="25">
        <v>45716</v>
      </c>
      <c r="D40">
        <v>947272</v>
      </c>
      <c r="E40" t="s">
        <v>377</v>
      </c>
      <c r="F40" t="s">
        <v>456</v>
      </c>
      <c r="G40">
        <v>124677.23</v>
      </c>
      <c r="H40">
        <v>22161</v>
      </c>
      <c r="I40">
        <v>5.63</v>
      </c>
      <c r="J40">
        <v>5.8688000000000002</v>
      </c>
    </row>
    <row r="41" spans="1:10" x14ac:dyDescent="0.3">
      <c r="A41" t="s">
        <v>368</v>
      </c>
      <c r="B41" t="s">
        <v>192</v>
      </c>
      <c r="C41" s="25">
        <v>45747</v>
      </c>
      <c r="D41">
        <v>947272</v>
      </c>
      <c r="E41" t="s">
        <v>377</v>
      </c>
      <c r="F41" t="s">
        <v>456</v>
      </c>
      <c r="G41">
        <v>109015.93</v>
      </c>
      <c r="H41">
        <v>10777</v>
      </c>
      <c r="I41">
        <v>10.119999999999999</v>
      </c>
      <c r="J41">
        <v>5.8552999999999997</v>
      </c>
    </row>
    <row r="42" spans="1:10" x14ac:dyDescent="0.3">
      <c r="A42" t="s">
        <v>368</v>
      </c>
      <c r="B42" t="s">
        <v>192</v>
      </c>
      <c r="C42" s="25">
        <v>45777</v>
      </c>
      <c r="D42">
        <v>947272</v>
      </c>
      <c r="E42" t="s">
        <v>377</v>
      </c>
      <c r="F42" t="s">
        <v>456</v>
      </c>
      <c r="G42">
        <v>98075.48</v>
      </c>
      <c r="H42">
        <v>14674</v>
      </c>
      <c r="I42">
        <v>6.68</v>
      </c>
      <c r="J42">
        <v>4.4259000000000004</v>
      </c>
    </row>
    <row r="43" spans="1:10" x14ac:dyDescent="0.3">
      <c r="A43" t="s">
        <v>368</v>
      </c>
      <c r="B43" t="s">
        <v>192</v>
      </c>
      <c r="C43" s="25">
        <v>45808</v>
      </c>
      <c r="D43">
        <v>947272</v>
      </c>
      <c r="E43" t="s">
        <v>377</v>
      </c>
      <c r="F43" t="s">
        <v>456</v>
      </c>
      <c r="G43">
        <v>74172.62</v>
      </c>
      <c r="H43">
        <v>9121</v>
      </c>
      <c r="I43">
        <v>8.1300000000000008</v>
      </c>
      <c r="J43">
        <v>3.5085999999999999</v>
      </c>
    </row>
    <row r="44" spans="1:10" x14ac:dyDescent="0.3">
      <c r="A44" t="s">
        <v>368</v>
      </c>
      <c r="B44" t="s">
        <v>192</v>
      </c>
      <c r="C44" s="25">
        <v>45838</v>
      </c>
      <c r="D44">
        <v>947272</v>
      </c>
      <c r="E44" t="s">
        <v>377</v>
      </c>
      <c r="F44" t="s">
        <v>456</v>
      </c>
      <c r="G44">
        <v>92416.74</v>
      </c>
      <c r="H44">
        <v>11655</v>
      </c>
      <c r="I44">
        <v>7.93</v>
      </c>
      <c r="J44">
        <v>4.3369</v>
      </c>
    </row>
    <row r="45" spans="1:10" x14ac:dyDescent="0.3">
      <c r="A45" t="s">
        <v>368</v>
      </c>
      <c r="B45" t="s">
        <v>192</v>
      </c>
      <c r="C45" s="25">
        <v>45869</v>
      </c>
      <c r="D45">
        <v>947272</v>
      </c>
      <c r="E45" t="s">
        <v>377</v>
      </c>
      <c r="F45" t="s">
        <v>456</v>
      </c>
      <c r="G45">
        <v>127358.55</v>
      </c>
      <c r="H45">
        <v>57060</v>
      </c>
      <c r="I45">
        <v>2.23</v>
      </c>
      <c r="J45">
        <v>5.6151999999999997</v>
      </c>
    </row>
    <row r="46" spans="1:10" x14ac:dyDescent="0.3">
      <c r="A46" t="s">
        <v>368</v>
      </c>
      <c r="B46" t="s">
        <v>192</v>
      </c>
      <c r="C46" s="25">
        <v>45900</v>
      </c>
      <c r="D46">
        <v>947272</v>
      </c>
      <c r="E46" t="s">
        <v>377</v>
      </c>
      <c r="F46" t="s">
        <v>456</v>
      </c>
      <c r="G46">
        <v>91322.09</v>
      </c>
      <c r="H46">
        <v>10273</v>
      </c>
      <c r="I46">
        <v>8.89</v>
      </c>
      <c r="J46">
        <v>4.5612000000000004</v>
      </c>
    </row>
    <row r="47" spans="1:10" x14ac:dyDescent="0.3">
      <c r="A47" t="s">
        <v>368</v>
      </c>
      <c r="B47" t="s">
        <v>192</v>
      </c>
      <c r="C47" s="25">
        <v>45930</v>
      </c>
      <c r="D47">
        <v>947272</v>
      </c>
      <c r="E47" t="s">
        <v>377</v>
      </c>
      <c r="F47" t="s">
        <v>456</v>
      </c>
      <c r="G47">
        <v>109636.19</v>
      </c>
      <c r="H47">
        <v>149384</v>
      </c>
      <c r="I47">
        <v>0.73</v>
      </c>
      <c r="J47">
        <v>5.1310000000000002</v>
      </c>
    </row>
    <row r="48" spans="1:10" x14ac:dyDescent="0.3">
      <c r="A48" t="s">
        <v>368</v>
      </c>
      <c r="B48" t="s">
        <v>192</v>
      </c>
      <c r="C48" s="25">
        <v>45961</v>
      </c>
      <c r="D48">
        <v>947272</v>
      </c>
      <c r="E48" t="s">
        <v>377</v>
      </c>
      <c r="F48" t="s">
        <v>456</v>
      </c>
      <c r="G48">
        <v>96133.26</v>
      </c>
      <c r="H48">
        <v>9069</v>
      </c>
      <c r="I48">
        <v>10.6</v>
      </c>
      <c r="J48">
        <v>4.6378000000000004</v>
      </c>
    </row>
    <row r="49" spans="1:10" x14ac:dyDescent="0.3">
      <c r="A49" t="s">
        <v>368</v>
      </c>
      <c r="B49" t="s">
        <v>192</v>
      </c>
      <c r="C49" s="25">
        <v>45991</v>
      </c>
      <c r="D49">
        <v>947272</v>
      </c>
      <c r="E49" t="s">
        <v>377</v>
      </c>
      <c r="F49" t="s">
        <v>456</v>
      </c>
      <c r="G49">
        <v>77953.72</v>
      </c>
      <c r="H49">
        <v>11877</v>
      </c>
      <c r="I49">
        <v>6.56</v>
      </c>
      <c r="J49">
        <v>3.6633</v>
      </c>
    </row>
    <row r="50" spans="1:10" x14ac:dyDescent="0.3">
      <c r="A50" t="s">
        <v>368</v>
      </c>
      <c r="B50" t="s">
        <v>192</v>
      </c>
      <c r="C50" s="25">
        <v>45657</v>
      </c>
      <c r="D50">
        <v>863587</v>
      </c>
      <c r="E50" t="s">
        <v>372</v>
      </c>
      <c r="F50" t="s">
        <v>455</v>
      </c>
      <c r="G50">
        <v>97807.01</v>
      </c>
      <c r="H50">
        <v>15929</v>
      </c>
      <c r="I50">
        <v>6.14</v>
      </c>
      <c r="J50">
        <v>4.6402999999999999</v>
      </c>
    </row>
    <row r="51" spans="1:10" x14ac:dyDescent="0.3">
      <c r="A51" t="s">
        <v>368</v>
      </c>
      <c r="B51" t="s">
        <v>192</v>
      </c>
      <c r="C51" s="25">
        <v>45688</v>
      </c>
      <c r="D51">
        <v>863587</v>
      </c>
      <c r="E51" t="s">
        <v>372</v>
      </c>
      <c r="F51" t="s">
        <v>455</v>
      </c>
      <c r="G51">
        <v>105168.64</v>
      </c>
      <c r="H51">
        <v>56028</v>
      </c>
      <c r="I51">
        <v>1.88</v>
      </c>
      <c r="J51">
        <v>5.2026000000000003</v>
      </c>
    </row>
    <row r="52" spans="1:10" x14ac:dyDescent="0.3">
      <c r="A52" t="s">
        <v>368</v>
      </c>
      <c r="B52" t="s">
        <v>192</v>
      </c>
      <c r="C52" s="25">
        <v>45716</v>
      </c>
      <c r="D52">
        <v>863587</v>
      </c>
      <c r="E52" t="s">
        <v>372</v>
      </c>
      <c r="F52" t="s">
        <v>455</v>
      </c>
      <c r="G52">
        <v>89736.69</v>
      </c>
      <c r="H52">
        <v>8274</v>
      </c>
      <c r="I52">
        <v>10.85</v>
      </c>
      <c r="J52">
        <v>4.2241</v>
      </c>
    </row>
    <row r="53" spans="1:10" x14ac:dyDescent="0.3">
      <c r="A53" t="s">
        <v>368</v>
      </c>
      <c r="B53" t="s">
        <v>192</v>
      </c>
      <c r="C53" s="25">
        <v>45747</v>
      </c>
      <c r="D53">
        <v>863587</v>
      </c>
      <c r="E53" t="s">
        <v>372</v>
      </c>
      <c r="F53" t="s">
        <v>455</v>
      </c>
      <c r="G53">
        <v>96497.35</v>
      </c>
      <c r="H53">
        <v>8793</v>
      </c>
      <c r="I53">
        <v>10.97</v>
      </c>
      <c r="J53">
        <v>5.1829000000000001</v>
      </c>
    </row>
    <row r="54" spans="1:10" x14ac:dyDescent="0.3">
      <c r="A54" t="s">
        <v>368</v>
      </c>
      <c r="B54" t="s">
        <v>192</v>
      </c>
      <c r="C54" s="25">
        <v>45777</v>
      </c>
      <c r="D54">
        <v>863587</v>
      </c>
      <c r="E54" t="s">
        <v>372</v>
      </c>
      <c r="F54" t="s">
        <v>455</v>
      </c>
      <c r="G54">
        <v>103766.91</v>
      </c>
      <c r="H54">
        <v>12522</v>
      </c>
      <c r="I54">
        <v>8.2899999999999991</v>
      </c>
      <c r="J54">
        <v>4.6826999999999996</v>
      </c>
    </row>
    <row r="55" spans="1:10" x14ac:dyDescent="0.3">
      <c r="A55" t="s">
        <v>368</v>
      </c>
      <c r="B55" t="s">
        <v>192</v>
      </c>
      <c r="C55" s="25">
        <v>45808</v>
      </c>
      <c r="D55">
        <v>863587</v>
      </c>
      <c r="E55" t="s">
        <v>372</v>
      </c>
      <c r="F55" t="s">
        <v>455</v>
      </c>
      <c r="G55">
        <v>108725.71</v>
      </c>
      <c r="H55">
        <v>11502</v>
      </c>
      <c r="I55">
        <v>9.4499999999999993</v>
      </c>
      <c r="J55">
        <v>5.1430999999999996</v>
      </c>
    </row>
    <row r="56" spans="1:10" x14ac:dyDescent="0.3">
      <c r="A56" t="s">
        <v>368</v>
      </c>
      <c r="B56" t="s">
        <v>192</v>
      </c>
      <c r="C56" s="25">
        <v>45838</v>
      </c>
      <c r="D56">
        <v>863587</v>
      </c>
      <c r="E56" t="s">
        <v>372</v>
      </c>
      <c r="F56" t="s">
        <v>455</v>
      </c>
      <c r="G56">
        <v>103386.07</v>
      </c>
      <c r="H56">
        <v>115589</v>
      </c>
      <c r="I56">
        <v>0.89</v>
      </c>
      <c r="J56">
        <v>4.8516000000000004</v>
      </c>
    </row>
    <row r="57" spans="1:10" x14ac:dyDescent="0.3">
      <c r="A57" t="s">
        <v>368</v>
      </c>
      <c r="B57" t="s">
        <v>192</v>
      </c>
      <c r="C57" s="25">
        <v>45869</v>
      </c>
      <c r="D57">
        <v>863587</v>
      </c>
      <c r="E57" t="s">
        <v>372</v>
      </c>
      <c r="F57" t="s">
        <v>455</v>
      </c>
      <c r="G57">
        <v>89881.68</v>
      </c>
      <c r="H57">
        <v>14446</v>
      </c>
      <c r="I57">
        <v>6.22</v>
      </c>
      <c r="J57">
        <v>3.9628000000000001</v>
      </c>
    </row>
    <row r="58" spans="1:10" x14ac:dyDescent="0.3">
      <c r="A58" t="s">
        <v>368</v>
      </c>
      <c r="B58" t="s">
        <v>192</v>
      </c>
      <c r="C58" s="25">
        <v>45900</v>
      </c>
      <c r="D58">
        <v>863587</v>
      </c>
      <c r="E58" t="s">
        <v>372</v>
      </c>
      <c r="F58" t="s">
        <v>455</v>
      </c>
      <c r="G58">
        <v>88499.09</v>
      </c>
      <c r="H58">
        <v>18837</v>
      </c>
      <c r="I58">
        <v>4.7</v>
      </c>
      <c r="J58">
        <v>4.4202000000000004</v>
      </c>
    </row>
    <row r="59" spans="1:10" x14ac:dyDescent="0.3">
      <c r="A59" t="s">
        <v>368</v>
      </c>
      <c r="B59" t="s">
        <v>192</v>
      </c>
      <c r="C59" s="25">
        <v>45930</v>
      </c>
      <c r="D59">
        <v>863587</v>
      </c>
      <c r="E59" t="s">
        <v>372</v>
      </c>
      <c r="F59" t="s">
        <v>455</v>
      </c>
      <c r="G59">
        <v>93992.45</v>
      </c>
      <c r="H59">
        <v>17174</v>
      </c>
      <c r="I59">
        <v>5.47</v>
      </c>
      <c r="J59">
        <v>4.3989000000000003</v>
      </c>
    </row>
    <row r="60" spans="1:10" x14ac:dyDescent="0.3">
      <c r="A60" t="s">
        <v>368</v>
      </c>
      <c r="B60" t="s">
        <v>192</v>
      </c>
      <c r="C60" s="25">
        <v>45961</v>
      </c>
      <c r="D60">
        <v>863587</v>
      </c>
      <c r="E60" t="s">
        <v>372</v>
      </c>
      <c r="F60" t="s">
        <v>455</v>
      </c>
      <c r="G60">
        <v>86926.56</v>
      </c>
      <c r="H60">
        <v>13814</v>
      </c>
      <c r="I60">
        <v>6.29</v>
      </c>
      <c r="J60">
        <v>4.1936</v>
      </c>
    </row>
    <row r="61" spans="1:10" x14ac:dyDescent="0.3">
      <c r="A61" t="s">
        <v>368</v>
      </c>
      <c r="B61" t="s">
        <v>192</v>
      </c>
      <c r="C61" s="25">
        <v>45991</v>
      </c>
      <c r="D61">
        <v>863587</v>
      </c>
      <c r="E61" t="s">
        <v>372</v>
      </c>
      <c r="F61" t="s">
        <v>455</v>
      </c>
      <c r="G61">
        <v>102053.97</v>
      </c>
      <c r="H61">
        <v>39249</v>
      </c>
      <c r="I61">
        <v>2.6</v>
      </c>
      <c r="J61">
        <v>4.7958999999999996</v>
      </c>
    </row>
    <row r="62" spans="1:10" x14ac:dyDescent="0.3">
      <c r="A62" t="s">
        <v>368</v>
      </c>
      <c r="B62" t="s">
        <v>192</v>
      </c>
      <c r="C62" s="25">
        <v>45657</v>
      </c>
      <c r="D62">
        <v>201639</v>
      </c>
      <c r="E62" t="s">
        <v>377</v>
      </c>
      <c r="F62" t="s">
        <v>454</v>
      </c>
      <c r="G62">
        <v>125353.24</v>
      </c>
      <c r="H62">
        <v>18161</v>
      </c>
      <c r="I62">
        <v>6.9</v>
      </c>
      <c r="J62">
        <v>5.9471999999999996</v>
      </c>
    </row>
    <row r="63" spans="1:10" x14ac:dyDescent="0.3">
      <c r="A63" t="s">
        <v>368</v>
      </c>
      <c r="B63" t="s">
        <v>192</v>
      </c>
      <c r="C63" s="25">
        <v>45688</v>
      </c>
      <c r="D63">
        <v>201639</v>
      </c>
      <c r="E63" t="s">
        <v>377</v>
      </c>
      <c r="F63" t="s">
        <v>454</v>
      </c>
      <c r="G63">
        <v>107909.94</v>
      </c>
      <c r="H63">
        <v>12003</v>
      </c>
      <c r="I63">
        <v>8.99</v>
      </c>
      <c r="J63">
        <v>5.3381999999999996</v>
      </c>
    </row>
    <row r="64" spans="1:10" x14ac:dyDescent="0.3">
      <c r="A64" t="s">
        <v>368</v>
      </c>
      <c r="B64" t="s">
        <v>192</v>
      </c>
      <c r="C64" s="25">
        <v>45716</v>
      </c>
      <c r="D64">
        <v>201639</v>
      </c>
      <c r="E64" t="s">
        <v>377</v>
      </c>
      <c r="F64" t="s">
        <v>454</v>
      </c>
      <c r="G64">
        <v>115534.81</v>
      </c>
      <c r="H64">
        <v>21095</v>
      </c>
      <c r="I64">
        <v>5.48</v>
      </c>
      <c r="J64">
        <v>5.4385000000000003</v>
      </c>
    </row>
    <row r="65" spans="1:10" x14ac:dyDescent="0.3">
      <c r="A65" t="s">
        <v>368</v>
      </c>
      <c r="B65" t="s">
        <v>192</v>
      </c>
      <c r="C65" s="25">
        <v>45747</v>
      </c>
      <c r="D65">
        <v>201639</v>
      </c>
      <c r="E65" t="s">
        <v>377</v>
      </c>
      <c r="F65" t="s">
        <v>454</v>
      </c>
      <c r="G65">
        <v>76808.41</v>
      </c>
      <c r="H65">
        <v>12658</v>
      </c>
      <c r="I65">
        <v>6.07</v>
      </c>
      <c r="J65">
        <v>4.1254</v>
      </c>
    </row>
    <row r="66" spans="1:10" x14ac:dyDescent="0.3">
      <c r="A66" t="s">
        <v>368</v>
      </c>
      <c r="B66" t="s">
        <v>192</v>
      </c>
      <c r="C66" s="25">
        <v>45777</v>
      </c>
      <c r="D66">
        <v>201639</v>
      </c>
      <c r="E66" t="s">
        <v>377</v>
      </c>
      <c r="F66" t="s">
        <v>454</v>
      </c>
      <c r="G66">
        <v>120800.88</v>
      </c>
      <c r="H66">
        <v>29730</v>
      </c>
      <c r="I66">
        <v>4.0599999999999996</v>
      </c>
      <c r="J66">
        <v>5.4513999999999996</v>
      </c>
    </row>
    <row r="67" spans="1:10" x14ac:dyDescent="0.3">
      <c r="A67" t="s">
        <v>368</v>
      </c>
      <c r="B67" t="s">
        <v>192</v>
      </c>
      <c r="C67" s="25">
        <v>45808</v>
      </c>
      <c r="D67">
        <v>201639</v>
      </c>
      <c r="E67" t="s">
        <v>377</v>
      </c>
      <c r="F67" t="s">
        <v>454</v>
      </c>
      <c r="G67">
        <v>120440.39</v>
      </c>
      <c r="H67">
        <v>81015</v>
      </c>
      <c r="I67">
        <v>1.49</v>
      </c>
      <c r="J67">
        <v>5.6973000000000003</v>
      </c>
    </row>
    <row r="68" spans="1:10" x14ac:dyDescent="0.3">
      <c r="A68" t="s">
        <v>368</v>
      </c>
      <c r="B68" t="s">
        <v>192</v>
      </c>
      <c r="C68" s="25">
        <v>45838</v>
      </c>
      <c r="D68">
        <v>201639</v>
      </c>
      <c r="E68" t="s">
        <v>377</v>
      </c>
      <c r="F68" t="s">
        <v>454</v>
      </c>
      <c r="G68">
        <v>87468.35</v>
      </c>
      <c r="H68">
        <v>19005</v>
      </c>
      <c r="I68">
        <v>4.5999999999999996</v>
      </c>
      <c r="J68">
        <v>4.1047000000000002</v>
      </c>
    </row>
    <row r="69" spans="1:10" x14ac:dyDescent="0.3">
      <c r="A69" t="s">
        <v>368</v>
      </c>
      <c r="B69" t="s">
        <v>192</v>
      </c>
      <c r="C69" s="25">
        <v>45869</v>
      </c>
      <c r="D69">
        <v>201639</v>
      </c>
      <c r="E69" t="s">
        <v>377</v>
      </c>
      <c r="F69" t="s">
        <v>454</v>
      </c>
      <c r="G69">
        <v>110992.89</v>
      </c>
      <c r="H69">
        <v>15176</v>
      </c>
      <c r="I69">
        <v>7.31</v>
      </c>
      <c r="J69">
        <v>4.8936000000000002</v>
      </c>
    </row>
    <row r="70" spans="1:10" x14ac:dyDescent="0.3">
      <c r="A70" t="s">
        <v>368</v>
      </c>
      <c r="B70" t="s">
        <v>192</v>
      </c>
      <c r="C70" s="25">
        <v>45900</v>
      </c>
      <c r="D70">
        <v>201639</v>
      </c>
      <c r="E70" t="s">
        <v>377</v>
      </c>
      <c r="F70" t="s">
        <v>454</v>
      </c>
      <c r="G70">
        <v>98350.96</v>
      </c>
      <c r="H70">
        <v>162455</v>
      </c>
      <c r="I70">
        <v>0.61</v>
      </c>
      <c r="J70">
        <v>4.9122000000000003</v>
      </c>
    </row>
    <row r="71" spans="1:10" x14ac:dyDescent="0.3">
      <c r="A71" t="s">
        <v>368</v>
      </c>
      <c r="B71" t="s">
        <v>192</v>
      </c>
      <c r="C71" s="25">
        <v>45930</v>
      </c>
      <c r="D71">
        <v>201639</v>
      </c>
      <c r="E71" t="s">
        <v>377</v>
      </c>
      <c r="F71" t="s">
        <v>454</v>
      </c>
      <c r="G71">
        <v>94784.44</v>
      </c>
      <c r="H71">
        <v>33658</v>
      </c>
      <c r="I71">
        <v>2.82</v>
      </c>
      <c r="J71">
        <v>4.4359000000000002</v>
      </c>
    </row>
    <row r="72" spans="1:10" x14ac:dyDescent="0.3">
      <c r="A72" t="s">
        <v>368</v>
      </c>
      <c r="B72" t="s">
        <v>192</v>
      </c>
      <c r="C72" s="25">
        <v>45961</v>
      </c>
      <c r="D72">
        <v>201639</v>
      </c>
      <c r="E72" t="s">
        <v>377</v>
      </c>
      <c r="F72" t="s">
        <v>454</v>
      </c>
      <c r="G72">
        <v>97562.54</v>
      </c>
      <c r="H72">
        <v>27802</v>
      </c>
      <c r="I72">
        <v>3.51</v>
      </c>
      <c r="J72">
        <v>4.7066999999999997</v>
      </c>
    </row>
    <row r="73" spans="1:10" x14ac:dyDescent="0.3">
      <c r="A73" t="s">
        <v>368</v>
      </c>
      <c r="B73" t="s">
        <v>192</v>
      </c>
      <c r="C73" s="25">
        <v>45991</v>
      </c>
      <c r="D73">
        <v>201639</v>
      </c>
      <c r="E73" t="s">
        <v>377</v>
      </c>
      <c r="F73" t="s">
        <v>454</v>
      </c>
      <c r="G73">
        <v>105261.47</v>
      </c>
      <c r="H73">
        <v>82857</v>
      </c>
      <c r="I73">
        <v>1.27</v>
      </c>
      <c r="J73">
        <v>4.9466000000000001</v>
      </c>
    </row>
    <row r="74" spans="1:10" x14ac:dyDescent="0.3">
      <c r="A74" t="s">
        <v>368</v>
      </c>
      <c r="B74" t="s">
        <v>192</v>
      </c>
      <c r="C74" s="25">
        <v>45657</v>
      </c>
      <c r="D74">
        <v>585100</v>
      </c>
      <c r="E74" t="s">
        <v>378</v>
      </c>
      <c r="F74" t="s">
        <v>453</v>
      </c>
      <c r="G74">
        <v>89143.9</v>
      </c>
      <c r="H74">
        <v>10149</v>
      </c>
      <c r="I74">
        <v>8.7799999999999994</v>
      </c>
      <c r="J74">
        <v>4.2293000000000003</v>
      </c>
    </row>
    <row r="75" spans="1:10" x14ac:dyDescent="0.3">
      <c r="A75" t="s">
        <v>368</v>
      </c>
      <c r="B75" t="s">
        <v>192</v>
      </c>
      <c r="C75" s="25">
        <v>45688</v>
      </c>
      <c r="D75">
        <v>585100</v>
      </c>
      <c r="E75" t="s">
        <v>378</v>
      </c>
      <c r="F75" t="s">
        <v>453</v>
      </c>
      <c r="G75">
        <v>101182.74</v>
      </c>
      <c r="H75">
        <v>9148</v>
      </c>
      <c r="I75">
        <v>11.06</v>
      </c>
      <c r="J75">
        <v>5.0053999999999998</v>
      </c>
    </row>
    <row r="76" spans="1:10" x14ac:dyDescent="0.3">
      <c r="A76" t="s">
        <v>368</v>
      </c>
      <c r="B76" t="s">
        <v>192</v>
      </c>
      <c r="C76" s="25">
        <v>45716</v>
      </c>
      <c r="D76">
        <v>585100</v>
      </c>
      <c r="E76" t="s">
        <v>378</v>
      </c>
      <c r="F76" t="s">
        <v>453</v>
      </c>
      <c r="G76">
        <v>75128.100000000006</v>
      </c>
      <c r="H76">
        <v>11653</v>
      </c>
      <c r="I76">
        <v>6.45</v>
      </c>
      <c r="J76">
        <v>3.5364</v>
      </c>
    </row>
    <row r="77" spans="1:10" x14ac:dyDescent="0.3">
      <c r="A77" t="s">
        <v>368</v>
      </c>
      <c r="B77" t="s">
        <v>192</v>
      </c>
      <c r="C77" s="25">
        <v>45747</v>
      </c>
      <c r="D77">
        <v>585100</v>
      </c>
      <c r="E77" t="s">
        <v>378</v>
      </c>
      <c r="F77" t="s">
        <v>453</v>
      </c>
      <c r="G77">
        <v>76732.13</v>
      </c>
      <c r="H77">
        <v>7012</v>
      </c>
      <c r="I77">
        <v>10.94</v>
      </c>
      <c r="J77">
        <v>4.1212999999999997</v>
      </c>
    </row>
    <row r="78" spans="1:10" x14ac:dyDescent="0.3">
      <c r="A78" t="s">
        <v>368</v>
      </c>
      <c r="B78" t="s">
        <v>192</v>
      </c>
      <c r="C78" s="25">
        <v>45777</v>
      </c>
      <c r="D78">
        <v>585100</v>
      </c>
      <c r="E78" t="s">
        <v>378</v>
      </c>
      <c r="F78" t="s">
        <v>453</v>
      </c>
      <c r="G78">
        <v>106403.88</v>
      </c>
      <c r="H78">
        <v>9730</v>
      </c>
      <c r="I78">
        <v>10.94</v>
      </c>
      <c r="J78">
        <v>4.8017000000000003</v>
      </c>
    </row>
    <row r="79" spans="1:10" x14ac:dyDescent="0.3">
      <c r="A79" t="s">
        <v>368</v>
      </c>
      <c r="B79" t="s">
        <v>192</v>
      </c>
      <c r="C79" s="25">
        <v>45808</v>
      </c>
      <c r="D79">
        <v>585100</v>
      </c>
      <c r="E79" t="s">
        <v>378</v>
      </c>
      <c r="F79" t="s">
        <v>453</v>
      </c>
      <c r="G79">
        <v>116845.88</v>
      </c>
      <c r="H79">
        <v>61223</v>
      </c>
      <c r="I79">
        <v>1.91</v>
      </c>
      <c r="J79">
        <v>5.5271999999999997</v>
      </c>
    </row>
    <row r="80" spans="1:10" x14ac:dyDescent="0.3">
      <c r="A80" t="s">
        <v>368</v>
      </c>
      <c r="B80" t="s">
        <v>192</v>
      </c>
      <c r="C80" s="25">
        <v>45838</v>
      </c>
      <c r="D80">
        <v>585100</v>
      </c>
      <c r="E80" t="s">
        <v>378</v>
      </c>
      <c r="F80" t="s">
        <v>453</v>
      </c>
      <c r="G80">
        <v>107616.61</v>
      </c>
      <c r="H80">
        <v>20635</v>
      </c>
      <c r="I80">
        <v>5.22</v>
      </c>
      <c r="J80">
        <v>5.0502000000000002</v>
      </c>
    </row>
    <row r="81" spans="1:10" x14ac:dyDescent="0.3">
      <c r="A81" t="s">
        <v>368</v>
      </c>
      <c r="B81" t="s">
        <v>192</v>
      </c>
      <c r="C81" s="25">
        <v>45869</v>
      </c>
      <c r="D81">
        <v>585100</v>
      </c>
      <c r="E81" t="s">
        <v>378</v>
      </c>
      <c r="F81" t="s">
        <v>453</v>
      </c>
      <c r="G81">
        <v>100488.72</v>
      </c>
      <c r="H81">
        <v>16629</v>
      </c>
      <c r="I81">
        <v>6.04</v>
      </c>
      <c r="J81">
        <v>4.4305000000000003</v>
      </c>
    </row>
    <row r="82" spans="1:10" x14ac:dyDescent="0.3">
      <c r="A82" t="s">
        <v>368</v>
      </c>
      <c r="B82" t="s">
        <v>192</v>
      </c>
      <c r="C82" s="25">
        <v>45900</v>
      </c>
      <c r="D82">
        <v>585100</v>
      </c>
      <c r="E82" t="s">
        <v>378</v>
      </c>
      <c r="F82" t="s">
        <v>453</v>
      </c>
      <c r="G82">
        <v>85274.02</v>
      </c>
      <c r="H82">
        <v>20151</v>
      </c>
      <c r="I82">
        <v>4.2300000000000004</v>
      </c>
      <c r="J82">
        <v>4.2591000000000001</v>
      </c>
    </row>
    <row r="83" spans="1:10" x14ac:dyDescent="0.3">
      <c r="A83" t="s">
        <v>368</v>
      </c>
      <c r="B83" t="s">
        <v>192</v>
      </c>
      <c r="C83" s="25">
        <v>45930</v>
      </c>
      <c r="D83">
        <v>585100</v>
      </c>
      <c r="E83" t="s">
        <v>378</v>
      </c>
      <c r="F83" t="s">
        <v>453</v>
      </c>
      <c r="G83">
        <v>88798.27</v>
      </c>
      <c r="H83">
        <v>7811</v>
      </c>
      <c r="I83">
        <v>11.37</v>
      </c>
      <c r="J83">
        <v>4.1558000000000002</v>
      </c>
    </row>
    <row r="84" spans="1:10" x14ac:dyDescent="0.3">
      <c r="A84" t="s">
        <v>368</v>
      </c>
      <c r="B84" t="s">
        <v>192</v>
      </c>
      <c r="C84" s="25">
        <v>45961</v>
      </c>
      <c r="D84">
        <v>585100</v>
      </c>
      <c r="E84" t="s">
        <v>378</v>
      </c>
      <c r="F84" t="s">
        <v>453</v>
      </c>
      <c r="G84">
        <v>86218.96</v>
      </c>
      <c r="H84">
        <v>10489</v>
      </c>
      <c r="I84">
        <v>8.2200000000000006</v>
      </c>
      <c r="J84">
        <v>4.1595000000000004</v>
      </c>
    </row>
    <row r="85" spans="1:10" x14ac:dyDescent="0.3">
      <c r="A85" t="s">
        <v>368</v>
      </c>
      <c r="B85" t="s">
        <v>192</v>
      </c>
      <c r="C85" s="25">
        <v>45991</v>
      </c>
      <c r="D85">
        <v>585100</v>
      </c>
      <c r="E85" t="s">
        <v>378</v>
      </c>
      <c r="F85" t="s">
        <v>453</v>
      </c>
      <c r="G85">
        <v>68162.31</v>
      </c>
      <c r="H85">
        <v>28820</v>
      </c>
      <c r="I85">
        <v>2.37</v>
      </c>
      <c r="J85">
        <v>3.2031999999999998</v>
      </c>
    </row>
    <row r="86" spans="1:10" x14ac:dyDescent="0.3">
      <c r="A86" t="s">
        <v>368</v>
      </c>
      <c r="B86" t="s">
        <v>192</v>
      </c>
      <c r="C86" s="25">
        <v>45657</v>
      </c>
      <c r="D86">
        <v>163556</v>
      </c>
      <c r="E86" t="s">
        <v>377</v>
      </c>
      <c r="F86" t="s">
        <v>452</v>
      </c>
      <c r="G86">
        <v>106301.3</v>
      </c>
      <c r="H86">
        <v>10154</v>
      </c>
      <c r="I86">
        <v>10.47</v>
      </c>
      <c r="J86">
        <v>5.0433000000000003</v>
      </c>
    </row>
    <row r="87" spans="1:10" x14ac:dyDescent="0.3">
      <c r="A87" t="s">
        <v>368</v>
      </c>
      <c r="B87" t="s">
        <v>192</v>
      </c>
      <c r="C87" s="25">
        <v>45688</v>
      </c>
      <c r="D87">
        <v>163556</v>
      </c>
      <c r="E87" t="s">
        <v>377</v>
      </c>
      <c r="F87" t="s">
        <v>452</v>
      </c>
      <c r="G87">
        <v>79893.31</v>
      </c>
      <c r="H87">
        <v>10373</v>
      </c>
      <c r="I87">
        <v>7.7</v>
      </c>
      <c r="J87">
        <v>3.9521999999999999</v>
      </c>
    </row>
    <row r="88" spans="1:10" x14ac:dyDescent="0.3">
      <c r="A88" t="s">
        <v>368</v>
      </c>
      <c r="B88" t="s">
        <v>192</v>
      </c>
      <c r="C88" s="25">
        <v>45716</v>
      </c>
      <c r="D88">
        <v>163556</v>
      </c>
      <c r="E88" t="s">
        <v>377</v>
      </c>
      <c r="F88" t="s">
        <v>452</v>
      </c>
      <c r="G88">
        <v>74843.62</v>
      </c>
      <c r="H88">
        <v>6579</v>
      </c>
      <c r="I88">
        <v>11.38</v>
      </c>
      <c r="J88">
        <v>3.5230999999999999</v>
      </c>
    </row>
    <row r="89" spans="1:10" x14ac:dyDescent="0.3">
      <c r="A89" t="s">
        <v>368</v>
      </c>
      <c r="B89" t="s">
        <v>192</v>
      </c>
      <c r="C89" s="25">
        <v>45747</v>
      </c>
      <c r="D89">
        <v>163556</v>
      </c>
      <c r="E89" t="s">
        <v>377</v>
      </c>
      <c r="F89" t="s">
        <v>452</v>
      </c>
      <c r="G89">
        <v>78785.48</v>
      </c>
      <c r="H89">
        <v>38914</v>
      </c>
      <c r="I89">
        <v>2.02</v>
      </c>
      <c r="J89">
        <v>4.2316000000000003</v>
      </c>
    </row>
    <row r="90" spans="1:10" x14ac:dyDescent="0.3">
      <c r="A90" t="s">
        <v>368</v>
      </c>
      <c r="B90" t="s">
        <v>192</v>
      </c>
      <c r="C90" s="25">
        <v>45777</v>
      </c>
      <c r="D90">
        <v>163556</v>
      </c>
      <c r="E90" t="s">
        <v>377</v>
      </c>
      <c r="F90" t="s">
        <v>452</v>
      </c>
      <c r="G90">
        <v>79007.899999999994</v>
      </c>
      <c r="H90">
        <v>7031</v>
      </c>
      <c r="I90">
        <v>11.24</v>
      </c>
      <c r="J90">
        <v>3.5653999999999999</v>
      </c>
    </row>
    <row r="91" spans="1:10" x14ac:dyDescent="0.3">
      <c r="A91" t="s">
        <v>368</v>
      </c>
      <c r="B91" t="s">
        <v>192</v>
      </c>
      <c r="C91" s="25">
        <v>45808</v>
      </c>
      <c r="D91">
        <v>163556</v>
      </c>
      <c r="E91" t="s">
        <v>377</v>
      </c>
      <c r="F91" t="s">
        <v>452</v>
      </c>
      <c r="G91">
        <v>95790.02</v>
      </c>
      <c r="H91">
        <v>10911</v>
      </c>
      <c r="I91">
        <v>8.7799999999999994</v>
      </c>
      <c r="J91">
        <v>4.5312000000000001</v>
      </c>
    </row>
    <row r="92" spans="1:10" x14ac:dyDescent="0.3">
      <c r="A92" t="s">
        <v>368</v>
      </c>
      <c r="B92" t="s">
        <v>192</v>
      </c>
      <c r="C92" s="25">
        <v>45838</v>
      </c>
      <c r="D92">
        <v>163556</v>
      </c>
      <c r="E92" t="s">
        <v>377</v>
      </c>
      <c r="F92" t="s">
        <v>452</v>
      </c>
      <c r="G92">
        <v>75437.3</v>
      </c>
      <c r="H92">
        <v>13483</v>
      </c>
      <c r="I92">
        <v>5.59</v>
      </c>
      <c r="J92">
        <v>3.5400999999999998</v>
      </c>
    </row>
    <row r="93" spans="1:10" x14ac:dyDescent="0.3">
      <c r="A93" t="s">
        <v>368</v>
      </c>
      <c r="B93" t="s">
        <v>192</v>
      </c>
      <c r="C93" s="25">
        <v>45869</v>
      </c>
      <c r="D93">
        <v>163556</v>
      </c>
      <c r="E93" t="s">
        <v>377</v>
      </c>
      <c r="F93" t="s">
        <v>452</v>
      </c>
      <c r="G93">
        <v>100620.02</v>
      </c>
      <c r="H93">
        <v>13231</v>
      </c>
      <c r="I93">
        <v>7.6</v>
      </c>
      <c r="J93">
        <v>4.4363000000000001</v>
      </c>
    </row>
    <row r="94" spans="1:10" x14ac:dyDescent="0.3">
      <c r="A94" t="s">
        <v>368</v>
      </c>
      <c r="B94" t="s">
        <v>192</v>
      </c>
      <c r="C94" s="25">
        <v>45900</v>
      </c>
      <c r="D94">
        <v>163556</v>
      </c>
      <c r="E94" t="s">
        <v>377</v>
      </c>
      <c r="F94" t="s">
        <v>452</v>
      </c>
      <c r="G94">
        <v>76212.62</v>
      </c>
      <c r="H94">
        <v>6589</v>
      </c>
      <c r="I94">
        <v>11.57</v>
      </c>
      <c r="J94">
        <v>3.8065000000000002</v>
      </c>
    </row>
    <row r="95" spans="1:10" x14ac:dyDescent="0.3">
      <c r="A95" t="s">
        <v>368</v>
      </c>
      <c r="B95" t="s">
        <v>192</v>
      </c>
      <c r="C95" s="25">
        <v>45930</v>
      </c>
      <c r="D95">
        <v>163556</v>
      </c>
      <c r="E95" t="s">
        <v>377</v>
      </c>
      <c r="F95" t="s">
        <v>452</v>
      </c>
      <c r="G95">
        <v>88680.48</v>
      </c>
      <c r="H95">
        <v>8259</v>
      </c>
      <c r="I95">
        <v>10.74</v>
      </c>
      <c r="J95">
        <v>4.1502999999999997</v>
      </c>
    </row>
    <row r="96" spans="1:10" x14ac:dyDescent="0.3">
      <c r="A96" t="s">
        <v>368</v>
      </c>
      <c r="B96" t="s">
        <v>192</v>
      </c>
      <c r="C96" s="25">
        <v>45961</v>
      </c>
      <c r="D96">
        <v>163556</v>
      </c>
      <c r="E96" t="s">
        <v>377</v>
      </c>
      <c r="F96" t="s">
        <v>452</v>
      </c>
      <c r="G96">
        <v>92947.12</v>
      </c>
      <c r="H96">
        <v>14386</v>
      </c>
      <c r="I96">
        <v>6.46</v>
      </c>
      <c r="J96">
        <v>4.484</v>
      </c>
    </row>
    <row r="97" spans="1:10" x14ac:dyDescent="0.3">
      <c r="A97" t="s">
        <v>368</v>
      </c>
      <c r="B97" t="s">
        <v>192</v>
      </c>
      <c r="C97" s="25">
        <v>45991</v>
      </c>
      <c r="D97">
        <v>163556</v>
      </c>
      <c r="E97" t="s">
        <v>377</v>
      </c>
      <c r="F97" t="s">
        <v>452</v>
      </c>
      <c r="G97">
        <v>78186.509999999995</v>
      </c>
      <c r="H97">
        <v>13455</v>
      </c>
      <c r="I97">
        <v>5.81</v>
      </c>
      <c r="J97">
        <v>3.6743000000000001</v>
      </c>
    </row>
    <row r="98" spans="1:10" x14ac:dyDescent="0.3">
      <c r="A98" t="s">
        <v>368</v>
      </c>
      <c r="B98" t="s">
        <v>192</v>
      </c>
      <c r="C98" s="25">
        <v>45657</v>
      </c>
      <c r="D98">
        <v>589710</v>
      </c>
      <c r="E98" t="s">
        <v>378</v>
      </c>
      <c r="F98" t="s">
        <v>451</v>
      </c>
      <c r="G98">
        <v>87883.51</v>
      </c>
      <c r="H98">
        <v>9882</v>
      </c>
      <c r="I98">
        <v>8.89</v>
      </c>
      <c r="J98">
        <v>4.1695000000000002</v>
      </c>
    </row>
    <row r="99" spans="1:10" x14ac:dyDescent="0.3">
      <c r="A99" t="s">
        <v>368</v>
      </c>
      <c r="B99" t="s">
        <v>192</v>
      </c>
      <c r="C99" s="25">
        <v>45688</v>
      </c>
      <c r="D99">
        <v>589710</v>
      </c>
      <c r="E99" t="s">
        <v>378</v>
      </c>
      <c r="F99" t="s">
        <v>451</v>
      </c>
      <c r="G99">
        <v>55875.03</v>
      </c>
      <c r="H99">
        <v>10692</v>
      </c>
      <c r="I99">
        <v>5.23</v>
      </c>
      <c r="J99">
        <v>2.7641</v>
      </c>
    </row>
    <row r="100" spans="1:10" x14ac:dyDescent="0.3">
      <c r="A100" t="s">
        <v>368</v>
      </c>
      <c r="B100" t="s">
        <v>192</v>
      </c>
      <c r="C100" s="25">
        <v>45716</v>
      </c>
      <c r="D100">
        <v>589710</v>
      </c>
      <c r="E100" t="s">
        <v>378</v>
      </c>
      <c r="F100" t="s">
        <v>451</v>
      </c>
      <c r="G100">
        <v>96772.74</v>
      </c>
      <c r="H100">
        <v>11152</v>
      </c>
      <c r="I100">
        <v>8.68</v>
      </c>
      <c r="J100">
        <v>4.5552999999999999</v>
      </c>
    </row>
    <row r="101" spans="1:10" x14ac:dyDescent="0.3">
      <c r="A101" t="s">
        <v>368</v>
      </c>
      <c r="B101" t="s">
        <v>192</v>
      </c>
      <c r="C101" s="25">
        <v>45747</v>
      </c>
      <c r="D101">
        <v>589710</v>
      </c>
      <c r="E101" t="s">
        <v>378</v>
      </c>
      <c r="F101" t="s">
        <v>451</v>
      </c>
      <c r="G101">
        <v>79490.52</v>
      </c>
      <c r="H101">
        <v>72421</v>
      </c>
      <c r="I101">
        <v>1.1000000000000001</v>
      </c>
      <c r="J101">
        <v>4.2694999999999999</v>
      </c>
    </row>
    <row r="102" spans="1:10" x14ac:dyDescent="0.3">
      <c r="A102" t="s">
        <v>368</v>
      </c>
      <c r="B102" t="s">
        <v>192</v>
      </c>
      <c r="C102" s="25">
        <v>45777</v>
      </c>
      <c r="D102">
        <v>589710</v>
      </c>
      <c r="E102" t="s">
        <v>378</v>
      </c>
      <c r="F102" t="s">
        <v>451</v>
      </c>
      <c r="G102">
        <v>81304.289999999994</v>
      </c>
      <c r="H102">
        <v>23112</v>
      </c>
      <c r="I102">
        <v>3.52</v>
      </c>
      <c r="J102">
        <v>3.669</v>
      </c>
    </row>
    <row r="103" spans="1:10" x14ac:dyDescent="0.3">
      <c r="A103" t="s">
        <v>368</v>
      </c>
      <c r="B103" t="s">
        <v>192</v>
      </c>
      <c r="C103" s="25">
        <v>45808</v>
      </c>
      <c r="D103">
        <v>589710</v>
      </c>
      <c r="E103" t="s">
        <v>378</v>
      </c>
      <c r="F103" t="s">
        <v>451</v>
      </c>
      <c r="G103">
        <v>92506.63</v>
      </c>
      <c r="H103">
        <v>28201</v>
      </c>
      <c r="I103">
        <v>3.28</v>
      </c>
      <c r="J103">
        <v>4.3758999999999997</v>
      </c>
    </row>
    <row r="104" spans="1:10" x14ac:dyDescent="0.3">
      <c r="A104" t="s">
        <v>368</v>
      </c>
      <c r="B104" t="s">
        <v>192</v>
      </c>
      <c r="C104" s="25">
        <v>45838</v>
      </c>
      <c r="D104">
        <v>589710</v>
      </c>
      <c r="E104" t="s">
        <v>378</v>
      </c>
      <c r="F104" t="s">
        <v>451</v>
      </c>
      <c r="G104">
        <v>91837.35</v>
      </c>
      <c r="H104">
        <v>18932</v>
      </c>
      <c r="I104">
        <v>4.8499999999999996</v>
      </c>
      <c r="J104">
        <v>4.3097000000000003</v>
      </c>
    </row>
    <row r="105" spans="1:10" x14ac:dyDescent="0.3">
      <c r="A105" t="s">
        <v>368</v>
      </c>
      <c r="B105" t="s">
        <v>192</v>
      </c>
      <c r="C105" s="25">
        <v>45869</v>
      </c>
      <c r="D105">
        <v>589710</v>
      </c>
      <c r="E105" t="s">
        <v>378</v>
      </c>
      <c r="F105" t="s">
        <v>451</v>
      </c>
      <c r="G105">
        <v>84320.06</v>
      </c>
      <c r="H105">
        <v>9244</v>
      </c>
      <c r="I105">
        <v>9.1199999999999992</v>
      </c>
      <c r="J105">
        <v>3.7176</v>
      </c>
    </row>
    <row r="106" spans="1:10" x14ac:dyDescent="0.3">
      <c r="A106" t="s">
        <v>368</v>
      </c>
      <c r="B106" t="s">
        <v>192</v>
      </c>
      <c r="C106" s="25">
        <v>45900</v>
      </c>
      <c r="D106">
        <v>589710</v>
      </c>
      <c r="E106" t="s">
        <v>378</v>
      </c>
      <c r="F106" t="s">
        <v>451</v>
      </c>
      <c r="G106">
        <v>74316.210000000006</v>
      </c>
      <c r="H106">
        <v>6243</v>
      </c>
      <c r="I106">
        <v>11.9</v>
      </c>
      <c r="J106">
        <v>3.7118000000000002</v>
      </c>
    </row>
    <row r="107" spans="1:10" x14ac:dyDescent="0.3">
      <c r="A107" t="s">
        <v>368</v>
      </c>
      <c r="B107" t="s">
        <v>192</v>
      </c>
      <c r="C107" s="25">
        <v>45930</v>
      </c>
      <c r="D107">
        <v>589710</v>
      </c>
      <c r="E107" t="s">
        <v>378</v>
      </c>
      <c r="F107" t="s">
        <v>451</v>
      </c>
      <c r="G107">
        <v>68903.91</v>
      </c>
      <c r="H107">
        <v>7362</v>
      </c>
      <c r="I107">
        <v>9.36</v>
      </c>
      <c r="J107">
        <v>3.2246999999999999</v>
      </c>
    </row>
    <row r="108" spans="1:10" x14ac:dyDescent="0.3">
      <c r="A108" t="s">
        <v>368</v>
      </c>
      <c r="B108" t="s">
        <v>192</v>
      </c>
      <c r="C108" s="25">
        <v>45961</v>
      </c>
      <c r="D108">
        <v>589710</v>
      </c>
      <c r="E108" t="s">
        <v>378</v>
      </c>
      <c r="F108" t="s">
        <v>451</v>
      </c>
      <c r="G108">
        <v>77662.5</v>
      </c>
      <c r="H108">
        <v>24371</v>
      </c>
      <c r="I108">
        <v>3.19</v>
      </c>
      <c r="J108">
        <v>3.7467000000000001</v>
      </c>
    </row>
    <row r="109" spans="1:10" x14ac:dyDescent="0.3">
      <c r="A109" t="s">
        <v>368</v>
      </c>
      <c r="B109" t="s">
        <v>192</v>
      </c>
      <c r="C109" s="25">
        <v>45991</v>
      </c>
      <c r="D109">
        <v>589710</v>
      </c>
      <c r="E109" t="s">
        <v>378</v>
      </c>
      <c r="F109" t="s">
        <v>451</v>
      </c>
      <c r="G109">
        <v>61976.639999999999</v>
      </c>
      <c r="H109">
        <v>11896</v>
      </c>
      <c r="I109">
        <v>5.21</v>
      </c>
      <c r="J109">
        <v>2.9125000000000001</v>
      </c>
    </row>
    <row r="110" spans="1:10" x14ac:dyDescent="0.3">
      <c r="A110" t="s">
        <v>368</v>
      </c>
      <c r="B110" t="s">
        <v>192</v>
      </c>
      <c r="C110" s="25">
        <v>45657</v>
      </c>
      <c r="D110">
        <v>544154</v>
      </c>
      <c r="E110" t="s">
        <v>376</v>
      </c>
      <c r="F110" t="s">
        <v>450</v>
      </c>
      <c r="G110">
        <v>71771.460000000006</v>
      </c>
      <c r="H110">
        <v>22980</v>
      </c>
      <c r="I110">
        <v>3.12</v>
      </c>
      <c r="J110">
        <v>3.4051</v>
      </c>
    </row>
    <row r="111" spans="1:10" x14ac:dyDescent="0.3">
      <c r="A111" t="s">
        <v>368</v>
      </c>
      <c r="B111" t="s">
        <v>192</v>
      </c>
      <c r="C111" s="25">
        <v>45688</v>
      </c>
      <c r="D111">
        <v>544154</v>
      </c>
      <c r="E111" t="s">
        <v>376</v>
      </c>
      <c r="F111" t="s">
        <v>450</v>
      </c>
      <c r="G111">
        <v>69044.28</v>
      </c>
      <c r="H111">
        <v>6217</v>
      </c>
      <c r="I111">
        <v>11.11</v>
      </c>
      <c r="J111">
        <v>3.4156</v>
      </c>
    </row>
    <row r="112" spans="1:10" x14ac:dyDescent="0.3">
      <c r="A112" t="s">
        <v>368</v>
      </c>
      <c r="B112" t="s">
        <v>192</v>
      </c>
      <c r="C112" s="25">
        <v>45716</v>
      </c>
      <c r="D112">
        <v>544154</v>
      </c>
      <c r="E112" t="s">
        <v>376</v>
      </c>
      <c r="F112" t="s">
        <v>450</v>
      </c>
      <c r="G112">
        <v>48513.120000000003</v>
      </c>
      <c r="H112">
        <v>7735</v>
      </c>
      <c r="I112">
        <v>6.27</v>
      </c>
      <c r="J112">
        <v>2.2835999999999999</v>
      </c>
    </row>
    <row r="113" spans="1:10" x14ac:dyDescent="0.3">
      <c r="A113" t="s">
        <v>368</v>
      </c>
      <c r="B113" t="s">
        <v>192</v>
      </c>
      <c r="C113" s="25">
        <v>45747</v>
      </c>
      <c r="D113">
        <v>544154</v>
      </c>
      <c r="E113" t="s">
        <v>376</v>
      </c>
      <c r="F113" t="s">
        <v>450</v>
      </c>
      <c r="G113">
        <v>68908.67</v>
      </c>
      <c r="H113">
        <v>9239</v>
      </c>
      <c r="I113">
        <v>7.46</v>
      </c>
      <c r="J113">
        <v>3.7010999999999998</v>
      </c>
    </row>
    <row r="114" spans="1:10" x14ac:dyDescent="0.3">
      <c r="A114" t="s">
        <v>368</v>
      </c>
      <c r="B114" t="s">
        <v>192</v>
      </c>
      <c r="C114" s="25">
        <v>45777</v>
      </c>
      <c r="D114">
        <v>544154</v>
      </c>
      <c r="E114" t="s">
        <v>376</v>
      </c>
      <c r="F114" t="s">
        <v>450</v>
      </c>
      <c r="G114">
        <v>61769.04</v>
      </c>
      <c r="H114">
        <v>9794</v>
      </c>
      <c r="I114">
        <v>6.31</v>
      </c>
      <c r="J114">
        <v>2.7875000000000001</v>
      </c>
    </row>
    <row r="115" spans="1:10" x14ac:dyDescent="0.3">
      <c r="A115" t="s">
        <v>368</v>
      </c>
      <c r="B115" t="s">
        <v>192</v>
      </c>
      <c r="C115" s="25">
        <v>45808</v>
      </c>
      <c r="D115">
        <v>544154</v>
      </c>
      <c r="E115" t="s">
        <v>376</v>
      </c>
      <c r="F115" t="s">
        <v>450</v>
      </c>
      <c r="G115">
        <v>91275.47</v>
      </c>
      <c r="H115">
        <v>36095</v>
      </c>
      <c r="I115">
        <v>2.5299999999999998</v>
      </c>
      <c r="J115">
        <v>4.3177000000000003</v>
      </c>
    </row>
    <row r="116" spans="1:10" x14ac:dyDescent="0.3">
      <c r="A116" t="s">
        <v>368</v>
      </c>
      <c r="B116" t="s">
        <v>192</v>
      </c>
      <c r="C116" s="25">
        <v>45838</v>
      </c>
      <c r="D116">
        <v>544154</v>
      </c>
      <c r="E116" t="s">
        <v>376</v>
      </c>
      <c r="F116" t="s">
        <v>450</v>
      </c>
      <c r="G116">
        <v>67490.350000000006</v>
      </c>
      <c r="H116">
        <v>33620</v>
      </c>
      <c r="I116">
        <v>2.0099999999999998</v>
      </c>
      <c r="J116">
        <v>3.1671</v>
      </c>
    </row>
    <row r="117" spans="1:10" x14ac:dyDescent="0.3">
      <c r="A117" t="s">
        <v>368</v>
      </c>
      <c r="B117" t="s">
        <v>192</v>
      </c>
      <c r="C117" s="25">
        <v>45869</v>
      </c>
      <c r="D117">
        <v>544154</v>
      </c>
      <c r="E117" t="s">
        <v>376</v>
      </c>
      <c r="F117" t="s">
        <v>450</v>
      </c>
      <c r="G117">
        <v>84063.58</v>
      </c>
      <c r="H117">
        <v>9029</v>
      </c>
      <c r="I117">
        <v>9.31</v>
      </c>
      <c r="J117">
        <v>3.7063000000000001</v>
      </c>
    </row>
    <row r="118" spans="1:10" x14ac:dyDescent="0.3">
      <c r="A118" t="s">
        <v>368</v>
      </c>
      <c r="B118" t="s">
        <v>192</v>
      </c>
      <c r="C118" s="25">
        <v>45900</v>
      </c>
      <c r="D118">
        <v>544154</v>
      </c>
      <c r="E118" t="s">
        <v>376</v>
      </c>
      <c r="F118" t="s">
        <v>450</v>
      </c>
      <c r="G118">
        <v>52937.85</v>
      </c>
      <c r="H118">
        <v>8193</v>
      </c>
      <c r="I118">
        <v>6.46</v>
      </c>
      <c r="J118">
        <v>2.6440000000000001</v>
      </c>
    </row>
    <row r="119" spans="1:10" x14ac:dyDescent="0.3">
      <c r="A119" t="s">
        <v>368</v>
      </c>
      <c r="B119" t="s">
        <v>192</v>
      </c>
      <c r="C119" s="25">
        <v>45930</v>
      </c>
      <c r="D119">
        <v>544154</v>
      </c>
      <c r="E119" t="s">
        <v>376</v>
      </c>
      <c r="F119" t="s">
        <v>450</v>
      </c>
      <c r="G119">
        <v>62519.5</v>
      </c>
      <c r="H119">
        <v>34830</v>
      </c>
      <c r="I119">
        <v>1.8</v>
      </c>
      <c r="J119">
        <v>2.9258999999999999</v>
      </c>
    </row>
    <row r="120" spans="1:10" x14ac:dyDescent="0.3">
      <c r="A120" t="s">
        <v>368</v>
      </c>
      <c r="B120" t="s">
        <v>192</v>
      </c>
      <c r="C120" s="25">
        <v>45961</v>
      </c>
      <c r="D120">
        <v>544154</v>
      </c>
      <c r="E120" t="s">
        <v>376</v>
      </c>
      <c r="F120" t="s">
        <v>450</v>
      </c>
      <c r="G120">
        <v>58517.3</v>
      </c>
      <c r="H120">
        <v>11927</v>
      </c>
      <c r="I120">
        <v>4.91</v>
      </c>
      <c r="J120">
        <v>2.8231000000000002</v>
      </c>
    </row>
    <row r="121" spans="1:10" x14ac:dyDescent="0.3">
      <c r="A121" t="s">
        <v>368</v>
      </c>
      <c r="B121" t="s">
        <v>192</v>
      </c>
      <c r="C121" s="25">
        <v>45991</v>
      </c>
      <c r="D121">
        <v>544154</v>
      </c>
      <c r="E121" t="s">
        <v>376</v>
      </c>
      <c r="F121" t="s">
        <v>450</v>
      </c>
      <c r="G121">
        <v>50919.56</v>
      </c>
      <c r="H121">
        <v>5283</v>
      </c>
      <c r="I121">
        <v>9.64</v>
      </c>
      <c r="J121">
        <v>2.3929</v>
      </c>
    </row>
    <row r="122" spans="1:10" x14ac:dyDescent="0.3">
      <c r="A122" t="s">
        <v>368</v>
      </c>
      <c r="B122" t="s">
        <v>192</v>
      </c>
      <c r="C122" s="25">
        <v>45657</v>
      </c>
      <c r="D122">
        <v>299659</v>
      </c>
      <c r="E122" t="s">
        <v>372</v>
      </c>
      <c r="F122" t="s">
        <v>449</v>
      </c>
      <c r="G122">
        <v>44360.01</v>
      </c>
      <c r="H122">
        <v>12416</v>
      </c>
      <c r="I122">
        <v>3.57</v>
      </c>
      <c r="J122">
        <v>2.1046</v>
      </c>
    </row>
    <row r="123" spans="1:10" x14ac:dyDescent="0.3">
      <c r="A123" t="s">
        <v>368</v>
      </c>
      <c r="B123" t="s">
        <v>192</v>
      </c>
      <c r="C123" s="25">
        <v>45688</v>
      </c>
      <c r="D123">
        <v>299659</v>
      </c>
      <c r="E123" t="s">
        <v>372</v>
      </c>
      <c r="F123" t="s">
        <v>449</v>
      </c>
      <c r="G123">
        <v>51211.05</v>
      </c>
      <c r="H123">
        <v>8059</v>
      </c>
      <c r="I123">
        <v>6.35</v>
      </c>
      <c r="J123">
        <v>2.5333999999999999</v>
      </c>
    </row>
    <row r="124" spans="1:10" x14ac:dyDescent="0.3">
      <c r="A124" t="s">
        <v>368</v>
      </c>
      <c r="B124" t="s">
        <v>192</v>
      </c>
      <c r="C124" s="25">
        <v>45716</v>
      </c>
      <c r="D124">
        <v>299659</v>
      </c>
      <c r="E124" t="s">
        <v>372</v>
      </c>
      <c r="F124" t="s">
        <v>449</v>
      </c>
      <c r="G124">
        <v>57958.74</v>
      </c>
      <c r="H124">
        <v>8273</v>
      </c>
      <c r="I124">
        <v>7.01</v>
      </c>
      <c r="J124">
        <v>2.7282000000000002</v>
      </c>
    </row>
    <row r="125" spans="1:10" x14ac:dyDescent="0.3">
      <c r="A125" t="s">
        <v>368</v>
      </c>
      <c r="B125" t="s">
        <v>192</v>
      </c>
      <c r="C125" s="25">
        <v>45747</v>
      </c>
      <c r="D125">
        <v>299659</v>
      </c>
      <c r="E125" t="s">
        <v>372</v>
      </c>
      <c r="F125" t="s">
        <v>449</v>
      </c>
      <c r="G125">
        <v>40787.699999999997</v>
      </c>
      <c r="H125">
        <v>4678</v>
      </c>
      <c r="I125">
        <v>8.7200000000000006</v>
      </c>
      <c r="J125">
        <v>2.1907000000000001</v>
      </c>
    </row>
    <row r="126" spans="1:10" x14ac:dyDescent="0.3">
      <c r="A126" t="s">
        <v>368</v>
      </c>
      <c r="B126" t="s">
        <v>192</v>
      </c>
      <c r="C126" s="25">
        <v>45777</v>
      </c>
      <c r="D126">
        <v>299659</v>
      </c>
      <c r="E126" t="s">
        <v>372</v>
      </c>
      <c r="F126" t="s">
        <v>449</v>
      </c>
      <c r="G126">
        <v>54137.03</v>
      </c>
      <c r="H126">
        <v>5016</v>
      </c>
      <c r="I126">
        <v>10.79</v>
      </c>
      <c r="J126">
        <v>2.4430999999999998</v>
      </c>
    </row>
    <row r="127" spans="1:10" x14ac:dyDescent="0.3">
      <c r="A127" t="s">
        <v>368</v>
      </c>
      <c r="B127" t="s">
        <v>192</v>
      </c>
      <c r="C127" s="25">
        <v>45808</v>
      </c>
      <c r="D127">
        <v>299659</v>
      </c>
      <c r="E127" t="s">
        <v>372</v>
      </c>
      <c r="F127" t="s">
        <v>449</v>
      </c>
      <c r="G127">
        <v>48800.68</v>
      </c>
      <c r="H127">
        <v>4179</v>
      </c>
      <c r="I127">
        <v>11.68</v>
      </c>
      <c r="J127">
        <v>2.3085</v>
      </c>
    </row>
    <row r="128" spans="1:10" x14ac:dyDescent="0.3">
      <c r="A128" t="s">
        <v>368</v>
      </c>
      <c r="B128" t="s">
        <v>192</v>
      </c>
      <c r="C128" s="25">
        <v>45838</v>
      </c>
      <c r="D128">
        <v>299659</v>
      </c>
      <c r="E128" t="s">
        <v>372</v>
      </c>
      <c r="F128" t="s">
        <v>449</v>
      </c>
      <c r="G128">
        <v>54510.44</v>
      </c>
      <c r="H128">
        <v>89793</v>
      </c>
      <c r="I128">
        <v>0.61</v>
      </c>
      <c r="J128">
        <v>2.5579999999999998</v>
      </c>
    </row>
    <row r="129" spans="1:10" x14ac:dyDescent="0.3">
      <c r="A129" t="s">
        <v>368</v>
      </c>
      <c r="B129" t="s">
        <v>192</v>
      </c>
      <c r="C129" s="25">
        <v>45869</v>
      </c>
      <c r="D129">
        <v>299659</v>
      </c>
      <c r="E129" t="s">
        <v>372</v>
      </c>
      <c r="F129" t="s">
        <v>449</v>
      </c>
      <c r="G129">
        <v>64365.48</v>
      </c>
      <c r="H129">
        <v>11519</v>
      </c>
      <c r="I129">
        <v>5.59</v>
      </c>
      <c r="J129">
        <v>2.8378000000000001</v>
      </c>
    </row>
    <row r="130" spans="1:10" x14ac:dyDescent="0.3">
      <c r="A130" t="s">
        <v>368</v>
      </c>
      <c r="B130" t="s">
        <v>192</v>
      </c>
      <c r="C130" s="25">
        <v>45900</v>
      </c>
      <c r="D130">
        <v>299659</v>
      </c>
      <c r="E130" t="s">
        <v>372</v>
      </c>
      <c r="F130" t="s">
        <v>449</v>
      </c>
      <c r="G130">
        <v>52491.02</v>
      </c>
      <c r="H130">
        <v>11948</v>
      </c>
      <c r="I130">
        <v>4.3899999999999997</v>
      </c>
      <c r="J130">
        <v>2.6217000000000001</v>
      </c>
    </row>
    <row r="131" spans="1:10" x14ac:dyDescent="0.3">
      <c r="A131" t="s">
        <v>368</v>
      </c>
      <c r="B131" t="s">
        <v>192</v>
      </c>
      <c r="C131" s="25">
        <v>45930</v>
      </c>
      <c r="D131">
        <v>299659</v>
      </c>
      <c r="E131" t="s">
        <v>372</v>
      </c>
      <c r="F131" t="s">
        <v>449</v>
      </c>
      <c r="G131">
        <v>50502.9</v>
      </c>
      <c r="H131">
        <v>8496</v>
      </c>
      <c r="I131">
        <v>5.94</v>
      </c>
      <c r="J131">
        <v>2.3635000000000002</v>
      </c>
    </row>
    <row r="132" spans="1:10" x14ac:dyDescent="0.3">
      <c r="A132" t="s">
        <v>368</v>
      </c>
      <c r="B132" t="s">
        <v>192</v>
      </c>
      <c r="C132" s="25">
        <v>45961</v>
      </c>
      <c r="D132">
        <v>299659</v>
      </c>
      <c r="E132" t="s">
        <v>372</v>
      </c>
      <c r="F132" t="s">
        <v>449</v>
      </c>
      <c r="G132">
        <v>61740.66</v>
      </c>
      <c r="H132">
        <v>7611</v>
      </c>
      <c r="I132">
        <v>8.11</v>
      </c>
      <c r="J132">
        <v>2.9786000000000001</v>
      </c>
    </row>
    <row r="133" spans="1:10" x14ac:dyDescent="0.3">
      <c r="A133" t="s">
        <v>368</v>
      </c>
      <c r="B133" t="s">
        <v>192</v>
      </c>
      <c r="C133" s="25">
        <v>45991</v>
      </c>
      <c r="D133">
        <v>299659</v>
      </c>
      <c r="E133" t="s">
        <v>372</v>
      </c>
      <c r="F133" t="s">
        <v>449</v>
      </c>
      <c r="G133">
        <v>57783.040000000001</v>
      </c>
      <c r="H133">
        <v>10522</v>
      </c>
      <c r="I133">
        <v>5.49</v>
      </c>
      <c r="J133">
        <v>2.7153999999999998</v>
      </c>
    </row>
    <row r="134" spans="1:10" x14ac:dyDescent="0.3">
      <c r="A134" t="s">
        <v>368</v>
      </c>
      <c r="B134" t="s">
        <v>192</v>
      </c>
      <c r="C134" s="25">
        <v>45657</v>
      </c>
      <c r="D134">
        <v>662336</v>
      </c>
      <c r="E134" t="s">
        <v>377</v>
      </c>
      <c r="F134" t="s">
        <v>448</v>
      </c>
      <c r="G134">
        <v>52890.09</v>
      </c>
      <c r="H134">
        <v>14022</v>
      </c>
      <c r="I134">
        <v>3.77</v>
      </c>
      <c r="J134">
        <v>2.5093000000000001</v>
      </c>
    </row>
    <row r="135" spans="1:10" x14ac:dyDescent="0.3">
      <c r="A135" t="s">
        <v>368</v>
      </c>
      <c r="B135" t="s">
        <v>192</v>
      </c>
      <c r="C135" s="25">
        <v>45688</v>
      </c>
      <c r="D135">
        <v>662336</v>
      </c>
      <c r="E135" t="s">
        <v>377</v>
      </c>
      <c r="F135" t="s">
        <v>448</v>
      </c>
      <c r="G135">
        <v>42288.57</v>
      </c>
      <c r="H135">
        <v>40615</v>
      </c>
      <c r="I135">
        <v>1.04</v>
      </c>
      <c r="J135">
        <v>2.0920000000000001</v>
      </c>
    </row>
    <row r="136" spans="1:10" x14ac:dyDescent="0.3">
      <c r="A136" t="s">
        <v>368</v>
      </c>
      <c r="B136" t="s">
        <v>192</v>
      </c>
      <c r="C136" s="25">
        <v>45716</v>
      </c>
      <c r="D136">
        <v>662336</v>
      </c>
      <c r="E136" t="s">
        <v>377</v>
      </c>
      <c r="F136" t="s">
        <v>448</v>
      </c>
      <c r="G136">
        <v>59382.35</v>
      </c>
      <c r="H136">
        <v>25020</v>
      </c>
      <c r="I136">
        <v>2.37</v>
      </c>
      <c r="J136">
        <v>2.7953000000000001</v>
      </c>
    </row>
    <row r="137" spans="1:10" x14ac:dyDescent="0.3">
      <c r="A137" t="s">
        <v>368</v>
      </c>
      <c r="B137" t="s">
        <v>192</v>
      </c>
      <c r="C137" s="25">
        <v>45747</v>
      </c>
      <c r="D137">
        <v>662336</v>
      </c>
      <c r="E137" t="s">
        <v>377</v>
      </c>
      <c r="F137" t="s">
        <v>448</v>
      </c>
      <c r="G137">
        <v>48870.07</v>
      </c>
      <c r="H137">
        <v>4965</v>
      </c>
      <c r="I137">
        <v>9.84</v>
      </c>
      <c r="J137">
        <v>2.6248</v>
      </c>
    </row>
    <row r="138" spans="1:10" x14ac:dyDescent="0.3">
      <c r="A138" t="s">
        <v>368</v>
      </c>
      <c r="B138" t="s">
        <v>192</v>
      </c>
      <c r="C138" s="25">
        <v>45777</v>
      </c>
      <c r="D138">
        <v>662336</v>
      </c>
      <c r="E138" t="s">
        <v>377</v>
      </c>
      <c r="F138" t="s">
        <v>448</v>
      </c>
      <c r="G138">
        <v>58596.99</v>
      </c>
      <c r="H138">
        <v>13993</v>
      </c>
      <c r="I138">
        <v>4.1900000000000004</v>
      </c>
      <c r="J138">
        <v>2.6442999999999999</v>
      </c>
    </row>
    <row r="139" spans="1:10" x14ac:dyDescent="0.3">
      <c r="A139" t="s">
        <v>368</v>
      </c>
      <c r="B139" t="s">
        <v>192</v>
      </c>
      <c r="C139" s="25">
        <v>45808</v>
      </c>
      <c r="D139">
        <v>662336</v>
      </c>
      <c r="E139" t="s">
        <v>377</v>
      </c>
      <c r="F139" t="s">
        <v>448</v>
      </c>
      <c r="G139">
        <v>50306.559999999998</v>
      </c>
      <c r="H139">
        <v>7342</v>
      </c>
      <c r="I139">
        <v>6.85</v>
      </c>
      <c r="J139">
        <v>2.3797000000000001</v>
      </c>
    </row>
    <row r="140" spans="1:10" x14ac:dyDescent="0.3">
      <c r="A140" t="s">
        <v>368</v>
      </c>
      <c r="B140" t="s">
        <v>192</v>
      </c>
      <c r="C140" s="25">
        <v>45838</v>
      </c>
      <c r="D140">
        <v>662336</v>
      </c>
      <c r="E140" t="s">
        <v>377</v>
      </c>
      <c r="F140" t="s">
        <v>448</v>
      </c>
      <c r="G140">
        <v>49347.33</v>
      </c>
      <c r="H140">
        <v>14315</v>
      </c>
      <c r="I140">
        <v>3.45</v>
      </c>
      <c r="J140">
        <v>2.3157000000000001</v>
      </c>
    </row>
    <row r="141" spans="1:10" x14ac:dyDescent="0.3">
      <c r="A141" t="s">
        <v>368</v>
      </c>
      <c r="B141" t="s">
        <v>192</v>
      </c>
      <c r="C141" s="25">
        <v>45869</v>
      </c>
      <c r="D141">
        <v>662336</v>
      </c>
      <c r="E141" t="s">
        <v>377</v>
      </c>
      <c r="F141" t="s">
        <v>448</v>
      </c>
      <c r="G141">
        <v>70692.350000000006</v>
      </c>
      <c r="H141">
        <v>26282</v>
      </c>
      <c r="I141">
        <v>2.69</v>
      </c>
      <c r="J141">
        <v>3.1168</v>
      </c>
    </row>
    <row r="142" spans="1:10" x14ac:dyDescent="0.3">
      <c r="A142" t="s">
        <v>368</v>
      </c>
      <c r="B142" t="s">
        <v>192</v>
      </c>
      <c r="C142" s="25">
        <v>45900</v>
      </c>
      <c r="D142">
        <v>662336</v>
      </c>
      <c r="E142" t="s">
        <v>377</v>
      </c>
      <c r="F142" t="s">
        <v>448</v>
      </c>
      <c r="G142">
        <v>46260.23</v>
      </c>
      <c r="H142">
        <v>7614</v>
      </c>
      <c r="I142">
        <v>6.08</v>
      </c>
      <c r="J142">
        <v>2.3105000000000002</v>
      </c>
    </row>
    <row r="143" spans="1:10" x14ac:dyDescent="0.3">
      <c r="A143" t="s">
        <v>368</v>
      </c>
      <c r="B143" t="s">
        <v>192</v>
      </c>
      <c r="C143" s="25">
        <v>45930</v>
      </c>
      <c r="D143">
        <v>662336</v>
      </c>
      <c r="E143" t="s">
        <v>377</v>
      </c>
      <c r="F143" t="s">
        <v>448</v>
      </c>
      <c r="G143">
        <v>43281.75</v>
      </c>
      <c r="H143">
        <v>9445</v>
      </c>
      <c r="I143">
        <v>4.58</v>
      </c>
      <c r="J143">
        <v>2.0255999999999998</v>
      </c>
    </row>
    <row r="144" spans="1:10" x14ac:dyDescent="0.3">
      <c r="A144" t="s">
        <v>368</v>
      </c>
      <c r="B144" t="s">
        <v>192</v>
      </c>
      <c r="C144" s="25">
        <v>45961</v>
      </c>
      <c r="D144">
        <v>662336</v>
      </c>
      <c r="E144" t="s">
        <v>377</v>
      </c>
      <c r="F144" t="s">
        <v>448</v>
      </c>
      <c r="G144">
        <v>52389.38</v>
      </c>
      <c r="H144">
        <v>6650</v>
      </c>
      <c r="I144">
        <v>7.88</v>
      </c>
      <c r="J144">
        <v>2.5274000000000001</v>
      </c>
    </row>
    <row r="145" spans="1:10" x14ac:dyDescent="0.3">
      <c r="A145" t="s">
        <v>368</v>
      </c>
      <c r="B145" t="s">
        <v>192</v>
      </c>
      <c r="C145" s="25">
        <v>45991</v>
      </c>
      <c r="D145">
        <v>662336</v>
      </c>
      <c r="E145" t="s">
        <v>377</v>
      </c>
      <c r="F145" t="s">
        <v>448</v>
      </c>
      <c r="G145">
        <v>52292.88</v>
      </c>
      <c r="H145">
        <v>67959</v>
      </c>
      <c r="I145">
        <v>0.77</v>
      </c>
      <c r="J145">
        <v>2.4573999999999998</v>
      </c>
    </row>
    <row r="146" spans="1:10" x14ac:dyDescent="0.3">
      <c r="A146" t="s">
        <v>368</v>
      </c>
      <c r="B146" t="s">
        <v>192</v>
      </c>
      <c r="C146" s="25">
        <v>45657</v>
      </c>
      <c r="D146">
        <v>997546</v>
      </c>
      <c r="E146" t="s">
        <v>377</v>
      </c>
      <c r="F146" t="s">
        <v>447</v>
      </c>
      <c r="G146">
        <v>58827.79</v>
      </c>
      <c r="H146">
        <v>14830</v>
      </c>
      <c r="I146">
        <v>3.97</v>
      </c>
      <c r="J146">
        <v>2.7909999999999999</v>
      </c>
    </row>
    <row r="147" spans="1:10" x14ac:dyDescent="0.3">
      <c r="A147" t="s">
        <v>368</v>
      </c>
      <c r="B147" t="s">
        <v>192</v>
      </c>
      <c r="C147" s="25">
        <v>45688</v>
      </c>
      <c r="D147">
        <v>997546</v>
      </c>
      <c r="E147" t="s">
        <v>377</v>
      </c>
      <c r="F147" t="s">
        <v>447</v>
      </c>
      <c r="G147">
        <v>47516.7</v>
      </c>
      <c r="H147">
        <v>29934</v>
      </c>
      <c r="I147">
        <v>1.59</v>
      </c>
      <c r="J147">
        <v>2.3506</v>
      </c>
    </row>
    <row r="148" spans="1:10" x14ac:dyDescent="0.3">
      <c r="A148" t="s">
        <v>368</v>
      </c>
      <c r="B148" t="s">
        <v>192</v>
      </c>
      <c r="C148" s="25">
        <v>45716</v>
      </c>
      <c r="D148">
        <v>997546</v>
      </c>
      <c r="E148" t="s">
        <v>377</v>
      </c>
      <c r="F148" t="s">
        <v>447</v>
      </c>
      <c r="G148">
        <v>55871.78</v>
      </c>
      <c r="H148">
        <v>7915</v>
      </c>
      <c r="I148">
        <v>7.06</v>
      </c>
      <c r="J148">
        <v>2.63</v>
      </c>
    </row>
    <row r="149" spans="1:10" x14ac:dyDescent="0.3">
      <c r="A149" t="s">
        <v>368</v>
      </c>
      <c r="B149" t="s">
        <v>192</v>
      </c>
      <c r="C149" s="25">
        <v>45747</v>
      </c>
      <c r="D149">
        <v>997546</v>
      </c>
      <c r="E149" t="s">
        <v>377</v>
      </c>
      <c r="F149" t="s">
        <v>447</v>
      </c>
      <c r="G149">
        <v>54593.37</v>
      </c>
      <c r="H149">
        <v>48913</v>
      </c>
      <c r="I149">
        <v>1.1200000000000001</v>
      </c>
      <c r="J149">
        <v>2.9321999999999999</v>
      </c>
    </row>
    <row r="150" spans="1:10" x14ac:dyDescent="0.3">
      <c r="A150" t="s">
        <v>368</v>
      </c>
      <c r="B150" t="s">
        <v>192</v>
      </c>
      <c r="C150" s="25">
        <v>45777</v>
      </c>
      <c r="D150">
        <v>997546</v>
      </c>
      <c r="E150" t="s">
        <v>377</v>
      </c>
      <c r="F150" t="s">
        <v>447</v>
      </c>
      <c r="G150">
        <v>56341.5</v>
      </c>
      <c r="H150">
        <v>19496</v>
      </c>
      <c r="I150">
        <v>2.89</v>
      </c>
      <c r="J150">
        <v>2.5425</v>
      </c>
    </row>
    <row r="151" spans="1:10" x14ac:dyDescent="0.3">
      <c r="A151" t="s">
        <v>368</v>
      </c>
      <c r="B151" t="s">
        <v>192</v>
      </c>
      <c r="C151" s="25">
        <v>45808</v>
      </c>
      <c r="D151">
        <v>997546</v>
      </c>
      <c r="E151" t="s">
        <v>377</v>
      </c>
      <c r="F151" t="s">
        <v>447</v>
      </c>
      <c r="G151">
        <v>43536.97</v>
      </c>
      <c r="H151">
        <v>6914</v>
      </c>
      <c r="I151">
        <v>6.3</v>
      </c>
      <c r="J151">
        <v>2.0594999999999999</v>
      </c>
    </row>
    <row r="152" spans="1:10" x14ac:dyDescent="0.3">
      <c r="A152" t="s">
        <v>368</v>
      </c>
      <c r="B152" t="s">
        <v>192</v>
      </c>
      <c r="C152" s="25">
        <v>45838</v>
      </c>
      <c r="D152">
        <v>997546</v>
      </c>
      <c r="E152" t="s">
        <v>377</v>
      </c>
      <c r="F152" t="s">
        <v>447</v>
      </c>
      <c r="G152">
        <v>37880.53</v>
      </c>
      <c r="H152">
        <v>3321</v>
      </c>
      <c r="I152">
        <v>11.41</v>
      </c>
      <c r="J152">
        <v>1.7776000000000001</v>
      </c>
    </row>
    <row r="153" spans="1:10" x14ac:dyDescent="0.3">
      <c r="A153" t="s">
        <v>368</v>
      </c>
      <c r="B153" t="s">
        <v>192</v>
      </c>
      <c r="C153" s="25">
        <v>45869</v>
      </c>
      <c r="D153">
        <v>997546</v>
      </c>
      <c r="E153" t="s">
        <v>377</v>
      </c>
      <c r="F153" t="s">
        <v>447</v>
      </c>
      <c r="G153">
        <v>57901.26</v>
      </c>
      <c r="H153">
        <v>5683</v>
      </c>
      <c r="I153">
        <v>10.19</v>
      </c>
      <c r="J153">
        <v>2.5528</v>
      </c>
    </row>
    <row r="154" spans="1:10" x14ac:dyDescent="0.3">
      <c r="A154" t="s">
        <v>368</v>
      </c>
      <c r="B154" t="s">
        <v>192</v>
      </c>
      <c r="C154" s="25">
        <v>45900</v>
      </c>
      <c r="D154">
        <v>997546</v>
      </c>
      <c r="E154" t="s">
        <v>377</v>
      </c>
      <c r="F154" t="s">
        <v>447</v>
      </c>
      <c r="G154">
        <v>45657.37</v>
      </c>
      <c r="H154">
        <v>26537</v>
      </c>
      <c r="I154">
        <v>1.72</v>
      </c>
      <c r="J154">
        <v>2.2804000000000002</v>
      </c>
    </row>
    <row r="155" spans="1:10" x14ac:dyDescent="0.3">
      <c r="A155" t="s">
        <v>368</v>
      </c>
      <c r="B155" t="s">
        <v>192</v>
      </c>
      <c r="C155" s="25">
        <v>45930</v>
      </c>
      <c r="D155">
        <v>997546</v>
      </c>
      <c r="E155" t="s">
        <v>377</v>
      </c>
      <c r="F155" t="s">
        <v>447</v>
      </c>
      <c r="G155">
        <v>53272.2</v>
      </c>
      <c r="H155">
        <v>8638</v>
      </c>
      <c r="I155">
        <v>6.17</v>
      </c>
      <c r="J155">
        <v>2.4931000000000001</v>
      </c>
    </row>
    <row r="156" spans="1:10" x14ac:dyDescent="0.3">
      <c r="A156" t="s">
        <v>368</v>
      </c>
      <c r="B156" t="s">
        <v>192</v>
      </c>
      <c r="C156" s="25">
        <v>45961</v>
      </c>
      <c r="D156">
        <v>997546</v>
      </c>
      <c r="E156" t="s">
        <v>377</v>
      </c>
      <c r="F156" t="s">
        <v>447</v>
      </c>
      <c r="G156">
        <v>49816.6</v>
      </c>
      <c r="H156">
        <v>10628</v>
      </c>
      <c r="I156">
        <v>4.6900000000000004</v>
      </c>
      <c r="J156">
        <v>2.4033000000000002</v>
      </c>
    </row>
    <row r="157" spans="1:10" x14ac:dyDescent="0.3">
      <c r="A157" t="s">
        <v>368</v>
      </c>
      <c r="B157" t="s">
        <v>192</v>
      </c>
      <c r="C157" s="25">
        <v>45991</v>
      </c>
      <c r="D157">
        <v>997546</v>
      </c>
      <c r="E157" t="s">
        <v>377</v>
      </c>
      <c r="F157" t="s">
        <v>447</v>
      </c>
      <c r="G157">
        <v>41966.53</v>
      </c>
      <c r="H157">
        <v>5344</v>
      </c>
      <c r="I157">
        <v>7.85</v>
      </c>
      <c r="J157">
        <v>1.9722</v>
      </c>
    </row>
    <row r="158" spans="1:10" x14ac:dyDescent="0.3">
      <c r="A158" t="s">
        <v>368</v>
      </c>
      <c r="B158" t="s">
        <v>192</v>
      </c>
      <c r="C158" s="25">
        <v>45657</v>
      </c>
      <c r="D158">
        <v>214576</v>
      </c>
      <c r="E158" t="s">
        <v>372</v>
      </c>
      <c r="F158" t="s">
        <v>446</v>
      </c>
      <c r="G158">
        <v>48050.720000000001</v>
      </c>
      <c r="H158">
        <v>13132</v>
      </c>
      <c r="I158">
        <v>3.66</v>
      </c>
      <c r="J158">
        <v>2.2797000000000001</v>
      </c>
    </row>
    <row r="159" spans="1:10" x14ac:dyDescent="0.3">
      <c r="A159" t="s">
        <v>368</v>
      </c>
      <c r="B159" t="s">
        <v>192</v>
      </c>
      <c r="C159" s="25">
        <v>45688</v>
      </c>
      <c r="D159">
        <v>214576</v>
      </c>
      <c r="E159" t="s">
        <v>372</v>
      </c>
      <c r="F159" t="s">
        <v>446</v>
      </c>
      <c r="G159">
        <v>40054.65</v>
      </c>
      <c r="H159">
        <v>3740</v>
      </c>
      <c r="I159">
        <v>10.71</v>
      </c>
      <c r="J159">
        <v>1.9815</v>
      </c>
    </row>
    <row r="160" spans="1:10" x14ac:dyDescent="0.3">
      <c r="A160" t="s">
        <v>368</v>
      </c>
      <c r="B160" t="s">
        <v>192</v>
      </c>
      <c r="C160" s="25">
        <v>45716</v>
      </c>
      <c r="D160">
        <v>214576</v>
      </c>
      <c r="E160" t="s">
        <v>372</v>
      </c>
      <c r="F160" t="s">
        <v>446</v>
      </c>
      <c r="G160">
        <v>46012.91</v>
      </c>
      <c r="H160">
        <v>4805</v>
      </c>
      <c r="I160">
        <v>9.58</v>
      </c>
      <c r="J160">
        <v>2.1659000000000002</v>
      </c>
    </row>
    <row r="161" spans="1:10" x14ac:dyDescent="0.3">
      <c r="A161" t="s">
        <v>368</v>
      </c>
      <c r="B161" t="s">
        <v>192</v>
      </c>
      <c r="C161" s="25">
        <v>45747</v>
      </c>
      <c r="D161">
        <v>214576</v>
      </c>
      <c r="E161" t="s">
        <v>372</v>
      </c>
      <c r="F161" t="s">
        <v>446</v>
      </c>
      <c r="G161">
        <v>49324.36</v>
      </c>
      <c r="H161">
        <v>57424</v>
      </c>
      <c r="I161">
        <v>0.86</v>
      </c>
      <c r="J161">
        <v>2.6492</v>
      </c>
    </row>
    <row r="162" spans="1:10" x14ac:dyDescent="0.3">
      <c r="A162" t="s">
        <v>368</v>
      </c>
      <c r="B162" t="s">
        <v>192</v>
      </c>
      <c r="C162" s="25">
        <v>45777</v>
      </c>
      <c r="D162">
        <v>214576</v>
      </c>
      <c r="E162" t="s">
        <v>372</v>
      </c>
      <c r="F162" t="s">
        <v>446</v>
      </c>
      <c r="G162">
        <v>52274.879999999997</v>
      </c>
      <c r="H162">
        <v>13109</v>
      </c>
      <c r="I162">
        <v>3.99</v>
      </c>
      <c r="J162">
        <v>2.359</v>
      </c>
    </row>
    <row r="163" spans="1:10" x14ac:dyDescent="0.3">
      <c r="A163" t="s">
        <v>368</v>
      </c>
      <c r="B163" t="s">
        <v>192</v>
      </c>
      <c r="C163" s="25">
        <v>45808</v>
      </c>
      <c r="D163">
        <v>214576</v>
      </c>
      <c r="E163" t="s">
        <v>372</v>
      </c>
      <c r="F163" t="s">
        <v>446</v>
      </c>
      <c r="G163">
        <v>53498.21</v>
      </c>
      <c r="H163">
        <v>11456</v>
      </c>
      <c r="I163">
        <v>4.67</v>
      </c>
      <c r="J163">
        <v>2.5306999999999999</v>
      </c>
    </row>
    <row r="164" spans="1:10" x14ac:dyDescent="0.3">
      <c r="A164" t="s">
        <v>368</v>
      </c>
      <c r="B164" t="s">
        <v>192</v>
      </c>
      <c r="C164" s="25">
        <v>45838</v>
      </c>
      <c r="D164">
        <v>214576</v>
      </c>
      <c r="E164" t="s">
        <v>372</v>
      </c>
      <c r="F164" t="s">
        <v>446</v>
      </c>
      <c r="G164">
        <v>50853.51</v>
      </c>
      <c r="H164">
        <v>9095</v>
      </c>
      <c r="I164">
        <v>5.59</v>
      </c>
      <c r="J164">
        <v>2.3864000000000001</v>
      </c>
    </row>
    <row r="165" spans="1:10" x14ac:dyDescent="0.3">
      <c r="A165" t="s">
        <v>368</v>
      </c>
      <c r="B165" t="s">
        <v>192</v>
      </c>
      <c r="C165" s="25">
        <v>45869</v>
      </c>
      <c r="D165">
        <v>214576</v>
      </c>
      <c r="E165" t="s">
        <v>372</v>
      </c>
      <c r="F165" t="s">
        <v>446</v>
      </c>
      <c r="G165">
        <v>50722.3</v>
      </c>
      <c r="H165">
        <v>4444</v>
      </c>
      <c r="I165">
        <v>11.41</v>
      </c>
      <c r="J165">
        <v>2.2363</v>
      </c>
    </row>
    <row r="166" spans="1:10" x14ac:dyDescent="0.3">
      <c r="A166" t="s">
        <v>368</v>
      </c>
      <c r="B166" t="s">
        <v>192</v>
      </c>
      <c r="C166" s="25">
        <v>45900</v>
      </c>
      <c r="D166">
        <v>214576</v>
      </c>
      <c r="E166" t="s">
        <v>372</v>
      </c>
      <c r="F166" t="s">
        <v>446</v>
      </c>
      <c r="G166">
        <v>48470.5</v>
      </c>
      <c r="H166">
        <v>8016</v>
      </c>
      <c r="I166">
        <v>6.05</v>
      </c>
      <c r="J166">
        <v>2.4209000000000001</v>
      </c>
    </row>
    <row r="167" spans="1:10" x14ac:dyDescent="0.3">
      <c r="A167" t="s">
        <v>368</v>
      </c>
      <c r="B167" t="s">
        <v>192</v>
      </c>
      <c r="C167" s="25">
        <v>45930</v>
      </c>
      <c r="D167">
        <v>214576</v>
      </c>
      <c r="E167" t="s">
        <v>372</v>
      </c>
      <c r="F167" t="s">
        <v>446</v>
      </c>
      <c r="G167">
        <v>37964.379999999997</v>
      </c>
      <c r="H167">
        <v>4423</v>
      </c>
      <c r="I167">
        <v>8.58</v>
      </c>
      <c r="J167">
        <v>1.7766999999999999</v>
      </c>
    </row>
    <row r="168" spans="1:10" x14ac:dyDescent="0.3">
      <c r="A168" t="s">
        <v>368</v>
      </c>
      <c r="B168" t="s">
        <v>192</v>
      </c>
      <c r="C168" s="25">
        <v>45961</v>
      </c>
      <c r="D168">
        <v>214576</v>
      </c>
      <c r="E168" t="s">
        <v>372</v>
      </c>
      <c r="F168" t="s">
        <v>446</v>
      </c>
      <c r="G168">
        <v>53778</v>
      </c>
      <c r="H168">
        <v>20103</v>
      </c>
      <c r="I168">
        <v>2.68</v>
      </c>
      <c r="J168">
        <v>2.5943999999999998</v>
      </c>
    </row>
    <row r="169" spans="1:10" x14ac:dyDescent="0.3">
      <c r="A169" t="s">
        <v>368</v>
      </c>
      <c r="B169" t="s">
        <v>192</v>
      </c>
      <c r="C169" s="25">
        <v>45991</v>
      </c>
      <c r="D169">
        <v>214576</v>
      </c>
      <c r="E169" t="s">
        <v>372</v>
      </c>
      <c r="F169" t="s">
        <v>446</v>
      </c>
      <c r="G169">
        <v>43710.12</v>
      </c>
      <c r="H169">
        <v>6161</v>
      </c>
      <c r="I169">
        <v>7.1</v>
      </c>
      <c r="J169">
        <v>2.0541</v>
      </c>
    </row>
    <row r="170" spans="1:10" x14ac:dyDescent="0.3">
      <c r="A170" t="s">
        <v>368</v>
      </c>
      <c r="B170" t="s">
        <v>192</v>
      </c>
      <c r="C170" s="25">
        <v>45657</v>
      </c>
      <c r="D170">
        <v>292401</v>
      </c>
      <c r="E170" t="s">
        <v>374</v>
      </c>
      <c r="F170" t="s">
        <v>445</v>
      </c>
      <c r="G170">
        <v>37082.17</v>
      </c>
      <c r="H170">
        <v>3271</v>
      </c>
      <c r="I170">
        <v>11.34</v>
      </c>
      <c r="J170">
        <v>1.7593000000000001</v>
      </c>
    </row>
    <row r="171" spans="1:10" x14ac:dyDescent="0.3">
      <c r="A171" t="s">
        <v>368</v>
      </c>
      <c r="B171" t="s">
        <v>192</v>
      </c>
      <c r="C171" s="25">
        <v>45688</v>
      </c>
      <c r="D171">
        <v>292401</v>
      </c>
      <c r="E171" t="s">
        <v>374</v>
      </c>
      <c r="F171" t="s">
        <v>445</v>
      </c>
      <c r="G171">
        <v>31526.799999999999</v>
      </c>
      <c r="H171">
        <v>4878</v>
      </c>
      <c r="I171">
        <v>6.46</v>
      </c>
      <c r="J171">
        <v>1.5596000000000001</v>
      </c>
    </row>
    <row r="172" spans="1:10" x14ac:dyDescent="0.3">
      <c r="A172" t="s">
        <v>368</v>
      </c>
      <c r="B172" t="s">
        <v>192</v>
      </c>
      <c r="C172" s="25">
        <v>45716</v>
      </c>
      <c r="D172">
        <v>292401</v>
      </c>
      <c r="E172" t="s">
        <v>374</v>
      </c>
      <c r="F172" t="s">
        <v>445</v>
      </c>
      <c r="G172">
        <v>28529.98</v>
      </c>
      <c r="H172">
        <v>26602</v>
      </c>
      <c r="I172">
        <v>1.07</v>
      </c>
      <c r="J172">
        <v>1.343</v>
      </c>
    </row>
    <row r="173" spans="1:10" x14ac:dyDescent="0.3">
      <c r="A173" t="s">
        <v>368</v>
      </c>
      <c r="B173" t="s">
        <v>192</v>
      </c>
      <c r="C173" s="25">
        <v>45747</v>
      </c>
      <c r="D173">
        <v>292401</v>
      </c>
      <c r="E173" t="s">
        <v>374</v>
      </c>
      <c r="F173" t="s">
        <v>445</v>
      </c>
      <c r="G173">
        <v>27525.56</v>
      </c>
      <c r="H173">
        <v>7672</v>
      </c>
      <c r="I173">
        <v>3.59</v>
      </c>
      <c r="J173">
        <v>1.4783999999999999</v>
      </c>
    </row>
    <row r="174" spans="1:10" x14ac:dyDescent="0.3">
      <c r="A174" t="s">
        <v>368</v>
      </c>
      <c r="B174" t="s">
        <v>192</v>
      </c>
      <c r="C174" s="25">
        <v>45777</v>
      </c>
      <c r="D174">
        <v>292401</v>
      </c>
      <c r="E174" t="s">
        <v>374</v>
      </c>
      <c r="F174" t="s">
        <v>445</v>
      </c>
      <c r="G174">
        <v>39014</v>
      </c>
      <c r="H174">
        <v>3435</v>
      </c>
      <c r="I174">
        <v>11.36</v>
      </c>
      <c r="J174">
        <v>1.7605999999999999</v>
      </c>
    </row>
    <row r="175" spans="1:10" x14ac:dyDescent="0.3">
      <c r="A175" t="s">
        <v>368</v>
      </c>
      <c r="B175" t="s">
        <v>192</v>
      </c>
      <c r="C175" s="25">
        <v>45808</v>
      </c>
      <c r="D175">
        <v>292401</v>
      </c>
      <c r="E175" t="s">
        <v>374</v>
      </c>
      <c r="F175" t="s">
        <v>445</v>
      </c>
      <c r="G175">
        <v>45791.7</v>
      </c>
      <c r="H175">
        <v>9055</v>
      </c>
      <c r="I175">
        <v>5.0599999999999996</v>
      </c>
      <c r="J175">
        <v>2.1661000000000001</v>
      </c>
    </row>
    <row r="176" spans="1:10" x14ac:dyDescent="0.3">
      <c r="A176" t="s">
        <v>368</v>
      </c>
      <c r="B176" t="s">
        <v>192</v>
      </c>
      <c r="C176" s="25">
        <v>45838</v>
      </c>
      <c r="D176">
        <v>292401</v>
      </c>
      <c r="E176" t="s">
        <v>374</v>
      </c>
      <c r="F176" t="s">
        <v>445</v>
      </c>
      <c r="G176">
        <v>34545.64</v>
      </c>
      <c r="H176">
        <v>5402</v>
      </c>
      <c r="I176">
        <v>6.39</v>
      </c>
      <c r="J176">
        <v>1.6211</v>
      </c>
    </row>
    <row r="177" spans="1:10" x14ac:dyDescent="0.3">
      <c r="A177" t="s">
        <v>368</v>
      </c>
      <c r="B177" t="s">
        <v>192</v>
      </c>
      <c r="C177" s="25">
        <v>45869</v>
      </c>
      <c r="D177">
        <v>292401</v>
      </c>
      <c r="E177" t="s">
        <v>374</v>
      </c>
      <c r="F177" t="s">
        <v>445</v>
      </c>
      <c r="G177">
        <v>48255.68</v>
      </c>
      <c r="H177">
        <v>13481</v>
      </c>
      <c r="I177">
        <v>3.58</v>
      </c>
      <c r="J177">
        <v>2.1276000000000002</v>
      </c>
    </row>
    <row r="178" spans="1:10" x14ac:dyDescent="0.3">
      <c r="A178" t="s">
        <v>368</v>
      </c>
      <c r="B178" t="s">
        <v>192</v>
      </c>
      <c r="C178" s="25">
        <v>45900</v>
      </c>
      <c r="D178">
        <v>292401</v>
      </c>
      <c r="E178" t="s">
        <v>374</v>
      </c>
      <c r="F178" t="s">
        <v>445</v>
      </c>
      <c r="G178">
        <v>24943.87</v>
      </c>
      <c r="H178">
        <v>2892</v>
      </c>
      <c r="I178">
        <v>8.6300000000000008</v>
      </c>
      <c r="J178">
        <v>1.2458</v>
      </c>
    </row>
    <row r="179" spans="1:10" x14ac:dyDescent="0.3">
      <c r="A179" t="s">
        <v>368</v>
      </c>
      <c r="B179" t="s">
        <v>192</v>
      </c>
      <c r="C179" s="25">
        <v>45930</v>
      </c>
      <c r="D179">
        <v>292401</v>
      </c>
      <c r="E179" t="s">
        <v>374</v>
      </c>
      <c r="F179" t="s">
        <v>445</v>
      </c>
      <c r="G179">
        <v>21968.07</v>
      </c>
      <c r="H179">
        <v>1941</v>
      </c>
      <c r="I179">
        <v>11.32</v>
      </c>
      <c r="J179">
        <v>1.0281</v>
      </c>
    </row>
    <row r="180" spans="1:10" x14ac:dyDescent="0.3">
      <c r="A180" t="s">
        <v>368</v>
      </c>
      <c r="B180" t="s">
        <v>192</v>
      </c>
      <c r="C180" s="25">
        <v>45961</v>
      </c>
      <c r="D180">
        <v>292401</v>
      </c>
      <c r="E180" t="s">
        <v>374</v>
      </c>
      <c r="F180" t="s">
        <v>445</v>
      </c>
      <c r="G180">
        <v>32692.41</v>
      </c>
      <c r="H180">
        <v>5267</v>
      </c>
      <c r="I180">
        <v>6.21</v>
      </c>
      <c r="J180">
        <v>1.5771999999999999</v>
      </c>
    </row>
    <row r="181" spans="1:10" x14ac:dyDescent="0.3">
      <c r="A181" t="s">
        <v>368</v>
      </c>
      <c r="B181" t="s">
        <v>192</v>
      </c>
      <c r="C181" s="25">
        <v>45991</v>
      </c>
      <c r="D181">
        <v>292401</v>
      </c>
      <c r="E181" t="s">
        <v>374</v>
      </c>
      <c r="F181" t="s">
        <v>445</v>
      </c>
      <c r="G181">
        <v>34500.99</v>
      </c>
      <c r="H181">
        <v>5103</v>
      </c>
      <c r="I181">
        <v>6.76</v>
      </c>
      <c r="J181">
        <v>1.6213</v>
      </c>
    </row>
    <row r="182" spans="1:10" x14ac:dyDescent="0.3">
      <c r="A182" t="s">
        <v>368</v>
      </c>
      <c r="B182" t="s">
        <v>192</v>
      </c>
      <c r="C182" s="25">
        <v>45657</v>
      </c>
      <c r="D182">
        <v>777568</v>
      </c>
      <c r="E182" t="s">
        <v>377</v>
      </c>
      <c r="F182" t="s">
        <v>444</v>
      </c>
      <c r="G182">
        <v>29794.880000000001</v>
      </c>
      <c r="H182">
        <v>2519</v>
      </c>
      <c r="I182">
        <v>11.83</v>
      </c>
      <c r="J182">
        <v>1.4136</v>
      </c>
    </row>
    <row r="183" spans="1:10" x14ac:dyDescent="0.3">
      <c r="A183" t="s">
        <v>368</v>
      </c>
      <c r="B183" t="s">
        <v>192</v>
      </c>
      <c r="C183" s="25">
        <v>45688</v>
      </c>
      <c r="D183">
        <v>777568</v>
      </c>
      <c r="E183" t="s">
        <v>377</v>
      </c>
      <c r="F183" t="s">
        <v>444</v>
      </c>
      <c r="G183">
        <v>23958.18</v>
      </c>
      <c r="H183">
        <v>2106</v>
      </c>
      <c r="I183">
        <v>11.38</v>
      </c>
      <c r="J183">
        <v>1.1852</v>
      </c>
    </row>
    <row r="184" spans="1:10" x14ac:dyDescent="0.3">
      <c r="A184" t="s">
        <v>368</v>
      </c>
      <c r="B184" t="s">
        <v>192</v>
      </c>
      <c r="C184" s="25">
        <v>45716</v>
      </c>
      <c r="D184">
        <v>777568</v>
      </c>
      <c r="E184" t="s">
        <v>377</v>
      </c>
      <c r="F184" t="s">
        <v>444</v>
      </c>
      <c r="G184">
        <v>29130.53</v>
      </c>
      <c r="H184">
        <v>3387</v>
      </c>
      <c r="I184">
        <v>8.6</v>
      </c>
      <c r="J184">
        <v>1.3712</v>
      </c>
    </row>
    <row r="185" spans="1:10" x14ac:dyDescent="0.3">
      <c r="A185" t="s">
        <v>368</v>
      </c>
      <c r="B185" t="s">
        <v>192</v>
      </c>
      <c r="C185" s="25">
        <v>45747</v>
      </c>
      <c r="D185">
        <v>777568</v>
      </c>
      <c r="E185" t="s">
        <v>377</v>
      </c>
      <c r="F185" t="s">
        <v>444</v>
      </c>
      <c r="G185">
        <v>23573.88</v>
      </c>
      <c r="H185">
        <v>4122</v>
      </c>
      <c r="I185">
        <v>5.72</v>
      </c>
      <c r="J185">
        <v>1.2662</v>
      </c>
    </row>
    <row r="186" spans="1:10" x14ac:dyDescent="0.3">
      <c r="A186" t="s">
        <v>368</v>
      </c>
      <c r="B186" t="s">
        <v>192</v>
      </c>
      <c r="C186" s="25">
        <v>45777</v>
      </c>
      <c r="D186">
        <v>777568</v>
      </c>
      <c r="E186" t="s">
        <v>377</v>
      </c>
      <c r="F186" t="s">
        <v>444</v>
      </c>
      <c r="G186">
        <v>34235.4</v>
      </c>
      <c r="H186">
        <v>5685</v>
      </c>
      <c r="I186">
        <v>6.02</v>
      </c>
      <c r="J186">
        <v>1.5448999999999999</v>
      </c>
    </row>
    <row r="187" spans="1:10" x14ac:dyDescent="0.3">
      <c r="A187" t="s">
        <v>368</v>
      </c>
      <c r="B187" t="s">
        <v>192</v>
      </c>
      <c r="C187" s="25">
        <v>45808</v>
      </c>
      <c r="D187">
        <v>777568</v>
      </c>
      <c r="E187" t="s">
        <v>377</v>
      </c>
      <c r="F187" t="s">
        <v>444</v>
      </c>
      <c r="G187">
        <v>28328.02</v>
      </c>
      <c r="H187">
        <v>5912</v>
      </c>
      <c r="I187">
        <v>4.79</v>
      </c>
      <c r="J187">
        <v>1.34</v>
      </c>
    </row>
    <row r="188" spans="1:10" x14ac:dyDescent="0.3">
      <c r="A188" t="s">
        <v>368</v>
      </c>
      <c r="B188" t="s">
        <v>192</v>
      </c>
      <c r="C188" s="25">
        <v>45838</v>
      </c>
      <c r="D188">
        <v>777568</v>
      </c>
      <c r="E188" t="s">
        <v>377</v>
      </c>
      <c r="F188" t="s">
        <v>444</v>
      </c>
      <c r="G188">
        <v>39173.769999999997</v>
      </c>
      <c r="H188">
        <v>14648</v>
      </c>
      <c r="I188">
        <v>2.67</v>
      </c>
      <c r="J188">
        <v>1.8383</v>
      </c>
    </row>
    <row r="189" spans="1:10" x14ac:dyDescent="0.3">
      <c r="A189" t="s">
        <v>368</v>
      </c>
      <c r="B189" t="s">
        <v>192</v>
      </c>
      <c r="C189" s="25">
        <v>45869</v>
      </c>
      <c r="D189">
        <v>777568</v>
      </c>
      <c r="E189" t="s">
        <v>377</v>
      </c>
      <c r="F189" t="s">
        <v>444</v>
      </c>
      <c r="G189">
        <v>28751.83</v>
      </c>
      <c r="H189">
        <v>2647</v>
      </c>
      <c r="I189">
        <v>10.86</v>
      </c>
      <c r="J189">
        <v>1.2677</v>
      </c>
    </row>
    <row r="190" spans="1:10" x14ac:dyDescent="0.3">
      <c r="A190" t="s">
        <v>368</v>
      </c>
      <c r="B190" t="s">
        <v>192</v>
      </c>
      <c r="C190" s="25">
        <v>45900</v>
      </c>
      <c r="D190">
        <v>777568</v>
      </c>
      <c r="E190" t="s">
        <v>377</v>
      </c>
      <c r="F190" t="s">
        <v>444</v>
      </c>
      <c r="G190">
        <v>30640.799999999999</v>
      </c>
      <c r="H190">
        <v>18636</v>
      </c>
      <c r="I190">
        <v>1.64</v>
      </c>
      <c r="J190">
        <v>1.5304</v>
      </c>
    </row>
    <row r="191" spans="1:10" x14ac:dyDescent="0.3">
      <c r="A191" t="s">
        <v>368</v>
      </c>
      <c r="B191" t="s">
        <v>192</v>
      </c>
      <c r="C191" s="25">
        <v>45930</v>
      </c>
      <c r="D191">
        <v>777568</v>
      </c>
      <c r="E191" t="s">
        <v>377</v>
      </c>
      <c r="F191" t="s">
        <v>444</v>
      </c>
      <c r="G191">
        <v>34125.9</v>
      </c>
      <c r="H191">
        <v>4582</v>
      </c>
      <c r="I191">
        <v>7.45</v>
      </c>
      <c r="J191">
        <v>1.5971</v>
      </c>
    </row>
    <row r="192" spans="1:10" x14ac:dyDescent="0.3">
      <c r="A192" t="s">
        <v>368</v>
      </c>
      <c r="B192" t="s">
        <v>192</v>
      </c>
      <c r="C192" s="25">
        <v>45961</v>
      </c>
      <c r="D192">
        <v>777568</v>
      </c>
      <c r="E192" t="s">
        <v>377</v>
      </c>
      <c r="F192" t="s">
        <v>444</v>
      </c>
      <c r="G192">
        <v>17275.48</v>
      </c>
      <c r="H192">
        <v>2376</v>
      </c>
      <c r="I192">
        <v>7.27</v>
      </c>
      <c r="J192">
        <v>0.83340000000000003</v>
      </c>
    </row>
    <row r="193" spans="1:10" x14ac:dyDescent="0.3">
      <c r="A193" t="s">
        <v>368</v>
      </c>
      <c r="B193" t="s">
        <v>192</v>
      </c>
      <c r="C193" s="25">
        <v>45991</v>
      </c>
      <c r="D193">
        <v>777568</v>
      </c>
      <c r="E193" t="s">
        <v>377</v>
      </c>
      <c r="F193" t="s">
        <v>444</v>
      </c>
      <c r="G193">
        <v>30809.3</v>
      </c>
      <c r="H193">
        <v>20189</v>
      </c>
      <c r="I193">
        <v>1.53</v>
      </c>
      <c r="J193">
        <v>1.4478</v>
      </c>
    </row>
    <row r="194" spans="1:10" x14ac:dyDescent="0.3">
      <c r="A194" t="s">
        <v>368</v>
      </c>
      <c r="B194" t="s">
        <v>192</v>
      </c>
      <c r="C194" s="25">
        <v>45657</v>
      </c>
      <c r="D194">
        <v>246991</v>
      </c>
      <c r="E194" t="s">
        <v>377</v>
      </c>
      <c r="F194" t="s">
        <v>443</v>
      </c>
      <c r="G194">
        <v>22358.12</v>
      </c>
      <c r="H194">
        <v>1886</v>
      </c>
      <c r="I194">
        <v>11.85</v>
      </c>
      <c r="J194">
        <v>1.0607</v>
      </c>
    </row>
    <row r="195" spans="1:10" x14ac:dyDescent="0.3">
      <c r="A195" t="s">
        <v>368</v>
      </c>
      <c r="B195" t="s">
        <v>192</v>
      </c>
      <c r="C195" s="25">
        <v>45688</v>
      </c>
      <c r="D195">
        <v>246991</v>
      </c>
      <c r="E195" t="s">
        <v>377</v>
      </c>
      <c r="F195" t="s">
        <v>443</v>
      </c>
      <c r="G195">
        <v>25339.99</v>
      </c>
      <c r="H195">
        <v>3644</v>
      </c>
      <c r="I195">
        <v>6.95</v>
      </c>
      <c r="J195">
        <v>1.2535000000000001</v>
      </c>
    </row>
    <row r="196" spans="1:10" x14ac:dyDescent="0.3">
      <c r="A196" t="s">
        <v>368</v>
      </c>
      <c r="B196" t="s">
        <v>192</v>
      </c>
      <c r="C196" s="25">
        <v>45716</v>
      </c>
      <c r="D196">
        <v>246991</v>
      </c>
      <c r="E196" t="s">
        <v>377</v>
      </c>
      <c r="F196" t="s">
        <v>443</v>
      </c>
      <c r="G196">
        <v>23095.93</v>
      </c>
      <c r="H196">
        <v>14530</v>
      </c>
      <c r="I196">
        <v>1.59</v>
      </c>
      <c r="J196">
        <v>1.0871999999999999</v>
      </c>
    </row>
    <row r="197" spans="1:10" x14ac:dyDescent="0.3">
      <c r="A197" t="s">
        <v>368</v>
      </c>
      <c r="B197" t="s">
        <v>192</v>
      </c>
      <c r="C197" s="25">
        <v>45747</v>
      </c>
      <c r="D197">
        <v>246991</v>
      </c>
      <c r="E197" t="s">
        <v>377</v>
      </c>
      <c r="F197" t="s">
        <v>443</v>
      </c>
      <c r="G197">
        <v>28669.74</v>
      </c>
      <c r="H197">
        <v>2446</v>
      </c>
      <c r="I197">
        <v>11.72</v>
      </c>
      <c r="J197">
        <v>1.5399</v>
      </c>
    </row>
    <row r="198" spans="1:10" x14ac:dyDescent="0.3">
      <c r="A198" t="s">
        <v>368</v>
      </c>
      <c r="B198" t="s">
        <v>192</v>
      </c>
      <c r="C198" s="25">
        <v>45777</v>
      </c>
      <c r="D198">
        <v>246991</v>
      </c>
      <c r="E198" t="s">
        <v>377</v>
      </c>
      <c r="F198" t="s">
        <v>443</v>
      </c>
      <c r="G198">
        <v>26338.799999999999</v>
      </c>
      <c r="H198">
        <v>3303</v>
      </c>
      <c r="I198">
        <v>7.97</v>
      </c>
      <c r="J198">
        <v>1.1886000000000001</v>
      </c>
    </row>
    <row r="199" spans="1:10" x14ac:dyDescent="0.3">
      <c r="A199" t="s">
        <v>368</v>
      </c>
      <c r="B199" t="s">
        <v>192</v>
      </c>
      <c r="C199" s="25">
        <v>45808</v>
      </c>
      <c r="D199">
        <v>246991</v>
      </c>
      <c r="E199" t="s">
        <v>377</v>
      </c>
      <c r="F199" t="s">
        <v>443</v>
      </c>
      <c r="G199">
        <v>20666.11</v>
      </c>
      <c r="H199">
        <v>26359</v>
      </c>
      <c r="I199">
        <v>0.78</v>
      </c>
      <c r="J199">
        <v>0.97760000000000002</v>
      </c>
    </row>
    <row r="200" spans="1:10" x14ac:dyDescent="0.3">
      <c r="A200" t="s">
        <v>368</v>
      </c>
      <c r="B200" t="s">
        <v>192</v>
      </c>
      <c r="C200" s="25">
        <v>45838</v>
      </c>
      <c r="D200">
        <v>246991</v>
      </c>
      <c r="E200" t="s">
        <v>377</v>
      </c>
      <c r="F200" t="s">
        <v>443</v>
      </c>
      <c r="G200">
        <v>28489.34</v>
      </c>
      <c r="H200">
        <v>7701</v>
      </c>
      <c r="I200">
        <v>3.7</v>
      </c>
      <c r="J200">
        <v>1.3369</v>
      </c>
    </row>
    <row r="201" spans="1:10" x14ac:dyDescent="0.3">
      <c r="A201" t="s">
        <v>368</v>
      </c>
      <c r="B201" t="s">
        <v>192</v>
      </c>
      <c r="C201" s="25">
        <v>45869</v>
      </c>
      <c r="D201">
        <v>246991</v>
      </c>
      <c r="E201" t="s">
        <v>377</v>
      </c>
      <c r="F201" t="s">
        <v>443</v>
      </c>
      <c r="G201">
        <v>35659.67</v>
      </c>
      <c r="H201">
        <v>29508</v>
      </c>
      <c r="I201">
        <v>1.21</v>
      </c>
      <c r="J201">
        <v>1.5722</v>
      </c>
    </row>
    <row r="202" spans="1:10" x14ac:dyDescent="0.3">
      <c r="A202" t="s">
        <v>368</v>
      </c>
      <c r="B202" t="s">
        <v>192</v>
      </c>
      <c r="C202" s="25">
        <v>45900</v>
      </c>
      <c r="D202">
        <v>246991</v>
      </c>
      <c r="E202" t="s">
        <v>377</v>
      </c>
      <c r="F202" t="s">
        <v>443</v>
      </c>
      <c r="G202">
        <v>21812.720000000001</v>
      </c>
      <c r="H202">
        <v>17389</v>
      </c>
      <c r="I202">
        <v>1.25</v>
      </c>
      <c r="J202">
        <v>1.0894999999999999</v>
      </c>
    </row>
    <row r="203" spans="1:10" x14ac:dyDescent="0.3">
      <c r="A203" t="s">
        <v>368</v>
      </c>
      <c r="B203" t="s">
        <v>192</v>
      </c>
      <c r="C203" s="25">
        <v>45930</v>
      </c>
      <c r="D203">
        <v>246991</v>
      </c>
      <c r="E203" t="s">
        <v>377</v>
      </c>
      <c r="F203" t="s">
        <v>443</v>
      </c>
      <c r="G203">
        <v>31328.23</v>
      </c>
      <c r="H203">
        <v>3711</v>
      </c>
      <c r="I203">
        <v>8.44</v>
      </c>
      <c r="J203">
        <v>1.4661999999999999</v>
      </c>
    </row>
    <row r="204" spans="1:10" x14ac:dyDescent="0.3">
      <c r="A204" t="s">
        <v>368</v>
      </c>
      <c r="B204" t="s">
        <v>192</v>
      </c>
      <c r="C204" s="25">
        <v>45961</v>
      </c>
      <c r="D204">
        <v>246991</v>
      </c>
      <c r="E204" t="s">
        <v>377</v>
      </c>
      <c r="F204" t="s">
        <v>443</v>
      </c>
      <c r="G204">
        <v>19329.34</v>
      </c>
      <c r="H204">
        <v>4129</v>
      </c>
      <c r="I204">
        <v>4.68</v>
      </c>
      <c r="J204">
        <v>0.9325</v>
      </c>
    </row>
    <row r="205" spans="1:10" x14ac:dyDescent="0.3">
      <c r="A205" t="s">
        <v>368</v>
      </c>
      <c r="B205" t="s">
        <v>192</v>
      </c>
      <c r="C205" s="25">
        <v>45991</v>
      </c>
      <c r="D205">
        <v>246991</v>
      </c>
      <c r="E205" t="s">
        <v>377</v>
      </c>
      <c r="F205" t="s">
        <v>443</v>
      </c>
      <c r="G205">
        <v>33798.83</v>
      </c>
      <c r="H205">
        <v>11291</v>
      </c>
      <c r="I205">
        <v>2.99</v>
      </c>
      <c r="J205">
        <v>1.5883</v>
      </c>
    </row>
    <row r="206" spans="1:10" x14ac:dyDescent="0.3">
      <c r="A206" t="s">
        <v>368</v>
      </c>
      <c r="B206" t="s">
        <v>192</v>
      </c>
      <c r="C206" s="25">
        <v>45657</v>
      </c>
      <c r="D206">
        <v>806073</v>
      </c>
      <c r="E206" t="s">
        <v>378</v>
      </c>
      <c r="F206" t="s">
        <v>442</v>
      </c>
      <c r="G206">
        <v>12384.14</v>
      </c>
      <c r="H206">
        <v>2303</v>
      </c>
      <c r="I206">
        <v>5.38</v>
      </c>
      <c r="J206">
        <v>0.58750000000000002</v>
      </c>
    </row>
    <row r="207" spans="1:10" x14ac:dyDescent="0.3">
      <c r="A207" t="s">
        <v>368</v>
      </c>
      <c r="B207" t="s">
        <v>192</v>
      </c>
      <c r="C207" s="25">
        <v>45688</v>
      </c>
      <c r="D207">
        <v>806073</v>
      </c>
      <c r="E207" t="s">
        <v>378</v>
      </c>
      <c r="F207" t="s">
        <v>442</v>
      </c>
      <c r="G207">
        <v>9248.16</v>
      </c>
      <c r="H207">
        <v>1641</v>
      </c>
      <c r="I207">
        <v>5.64</v>
      </c>
      <c r="J207">
        <v>0.45750000000000002</v>
      </c>
    </row>
    <row r="208" spans="1:10" x14ac:dyDescent="0.3">
      <c r="A208" t="s">
        <v>368</v>
      </c>
      <c r="B208" t="s">
        <v>192</v>
      </c>
      <c r="C208" s="25">
        <v>45716</v>
      </c>
      <c r="D208">
        <v>806073</v>
      </c>
      <c r="E208" t="s">
        <v>378</v>
      </c>
      <c r="F208" t="s">
        <v>442</v>
      </c>
      <c r="G208">
        <v>13126.09</v>
      </c>
      <c r="H208">
        <v>2159</v>
      </c>
      <c r="I208">
        <v>6.08</v>
      </c>
      <c r="J208">
        <v>0.6179</v>
      </c>
    </row>
    <row r="209" spans="1:10" x14ac:dyDescent="0.3">
      <c r="A209" t="s">
        <v>368</v>
      </c>
      <c r="B209" t="s">
        <v>192</v>
      </c>
      <c r="C209" s="25">
        <v>45747</v>
      </c>
      <c r="D209">
        <v>806073</v>
      </c>
      <c r="E209" t="s">
        <v>378</v>
      </c>
      <c r="F209" t="s">
        <v>442</v>
      </c>
      <c r="G209">
        <v>9532.1299999999992</v>
      </c>
      <c r="H209">
        <v>1412</v>
      </c>
      <c r="I209">
        <v>6.75</v>
      </c>
      <c r="J209">
        <v>0.51200000000000001</v>
      </c>
    </row>
    <row r="210" spans="1:10" x14ac:dyDescent="0.3">
      <c r="A210" t="s">
        <v>368</v>
      </c>
      <c r="B210" t="s">
        <v>192</v>
      </c>
      <c r="C210" s="25">
        <v>45777</v>
      </c>
      <c r="D210">
        <v>806073</v>
      </c>
      <c r="E210" t="s">
        <v>378</v>
      </c>
      <c r="F210" t="s">
        <v>442</v>
      </c>
      <c r="G210">
        <v>10647.8</v>
      </c>
      <c r="H210">
        <v>7156</v>
      </c>
      <c r="I210">
        <v>1.49</v>
      </c>
      <c r="J210">
        <v>0.48049999999999998</v>
      </c>
    </row>
    <row r="211" spans="1:10" x14ac:dyDescent="0.3">
      <c r="A211" t="s">
        <v>368</v>
      </c>
      <c r="B211" t="s">
        <v>192</v>
      </c>
      <c r="C211" s="25">
        <v>45808</v>
      </c>
      <c r="D211">
        <v>806073</v>
      </c>
      <c r="E211" t="s">
        <v>378</v>
      </c>
      <c r="F211" t="s">
        <v>442</v>
      </c>
      <c r="G211">
        <v>10787.42</v>
      </c>
      <c r="H211">
        <v>1238</v>
      </c>
      <c r="I211">
        <v>8.7100000000000009</v>
      </c>
      <c r="J211">
        <v>0.51029999999999998</v>
      </c>
    </row>
    <row r="212" spans="1:10" x14ac:dyDescent="0.3">
      <c r="A212" t="s">
        <v>368</v>
      </c>
      <c r="B212" t="s">
        <v>192</v>
      </c>
      <c r="C212" s="25">
        <v>45838</v>
      </c>
      <c r="D212">
        <v>806073</v>
      </c>
      <c r="E212" t="s">
        <v>378</v>
      </c>
      <c r="F212" t="s">
        <v>442</v>
      </c>
      <c r="G212">
        <v>12972.92</v>
      </c>
      <c r="H212">
        <v>2600</v>
      </c>
      <c r="I212">
        <v>4.99</v>
      </c>
      <c r="J212">
        <v>0.60880000000000001</v>
      </c>
    </row>
    <row r="213" spans="1:10" x14ac:dyDescent="0.3">
      <c r="A213" t="s">
        <v>368</v>
      </c>
      <c r="B213" t="s">
        <v>192</v>
      </c>
      <c r="C213" s="25">
        <v>45869</v>
      </c>
      <c r="D213">
        <v>806073</v>
      </c>
      <c r="E213" t="s">
        <v>378</v>
      </c>
      <c r="F213" t="s">
        <v>442</v>
      </c>
      <c r="G213">
        <v>10790.02</v>
      </c>
      <c r="H213">
        <v>2043</v>
      </c>
      <c r="I213">
        <v>5.28</v>
      </c>
      <c r="J213">
        <v>0.47570000000000001</v>
      </c>
    </row>
    <row r="214" spans="1:10" x14ac:dyDescent="0.3">
      <c r="A214" t="s">
        <v>368</v>
      </c>
      <c r="B214" t="s">
        <v>192</v>
      </c>
      <c r="C214" s="25">
        <v>45900</v>
      </c>
      <c r="D214">
        <v>806073</v>
      </c>
      <c r="E214" t="s">
        <v>378</v>
      </c>
      <c r="F214" t="s">
        <v>442</v>
      </c>
      <c r="G214">
        <v>7440.1</v>
      </c>
      <c r="H214">
        <v>4490</v>
      </c>
      <c r="I214">
        <v>1.66</v>
      </c>
      <c r="J214">
        <v>0.37159999999999999</v>
      </c>
    </row>
    <row r="215" spans="1:10" x14ac:dyDescent="0.3">
      <c r="A215" t="s">
        <v>368</v>
      </c>
      <c r="B215" t="s">
        <v>192</v>
      </c>
      <c r="C215" s="25">
        <v>45930</v>
      </c>
      <c r="D215">
        <v>806073</v>
      </c>
      <c r="E215" t="s">
        <v>378</v>
      </c>
      <c r="F215" t="s">
        <v>442</v>
      </c>
      <c r="G215">
        <v>10988.07</v>
      </c>
      <c r="H215">
        <v>2706</v>
      </c>
      <c r="I215">
        <v>4.0599999999999996</v>
      </c>
      <c r="J215">
        <v>0.51419999999999999</v>
      </c>
    </row>
    <row r="216" spans="1:10" x14ac:dyDescent="0.3">
      <c r="A216" t="s">
        <v>368</v>
      </c>
      <c r="B216" t="s">
        <v>192</v>
      </c>
      <c r="C216" s="25">
        <v>45961</v>
      </c>
      <c r="D216">
        <v>806073</v>
      </c>
      <c r="E216" t="s">
        <v>378</v>
      </c>
      <c r="F216" t="s">
        <v>442</v>
      </c>
      <c r="G216">
        <v>13713.2</v>
      </c>
      <c r="H216">
        <v>3617</v>
      </c>
      <c r="I216">
        <v>3.79</v>
      </c>
      <c r="J216">
        <v>0.66159999999999997</v>
      </c>
    </row>
    <row r="217" spans="1:10" x14ac:dyDescent="0.3">
      <c r="A217" t="s">
        <v>368</v>
      </c>
      <c r="B217" t="s">
        <v>192</v>
      </c>
      <c r="C217" s="25">
        <v>45991</v>
      </c>
      <c r="D217">
        <v>806073</v>
      </c>
      <c r="E217" t="s">
        <v>378</v>
      </c>
      <c r="F217" t="s">
        <v>442</v>
      </c>
      <c r="G217">
        <v>14050.4</v>
      </c>
      <c r="H217">
        <v>2426</v>
      </c>
      <c r="I217">
        <v>5.79</v>
      </c>
      <c r="J217">
        <v>0.6603</v>
      </c>
    </row>
    <row r="218" spans="1:10" x14ac:dyDescent="0.3">
      <c r="A218" t="s">
        <v>368</v>
      </c>
      <c r="B218" t="s">
        <v>192</v>
      </c>
      <c r="C218" s="25">
        <v>45657</v>
      </c>
      <c r="D218">
        <v>300896</v>
      </c>
      <c r="E218" t="s">
        <v>378</v>
      </c>
      <c r="F218" t="s">
        <v>441</v>
      </c>
      <c r="G218">
        <v>9748.74</v>
      </c>
      <c r="H218">
        <v>12743</v>
      </c>
      <c r="I218">
        <v>0.77</v>
      </c>
      <c r="J218">
        <v>0.46250000000000002</v>
      </c>
    </row>
    <row r="219" spans="1:10" x14ac:dyDescent="0.3">
      <c r="A219" t="s">
        <v>368</v>
      </c>
      <c r="B219" t="s">
        <v>192</v>
      </c>
      <c r="C219" s="25">
        <v>45688</v>
      </c>
      <c r="D219">
        <v>300896</v>
      </c>
      <c r="E219" t="s">
        <v>378</v>
      </c>
      <c r="F219" t="s">
        <v>441</v>
      </c>
      <c r="G219">
        <v>9298.76</v>
      </c>
      <c r="H219">
        <v>860</v>
      </c>
      <c r="I219">
        <v>10.81</v>
      </c>
      <c r="J219">
        <v>0.46</v>
      </c>
    </row>
    <row r="220" spans="1:10" x14ac:dyDescent="0.3">
      <c r="A220" t="s">
        <v>368</v>
      </c>
      <c r="B220" t="s">
        <v>192</v>
      </c>
      <c r="C220" s="25">
        <v>45716</v>
      </c>
      <c r="D220">
        <v>300896</v>
      </c>
      <c r="E220" t="s">
        <v>378</v>
      </c>
      <c r="F220" t="s">
        <v>441</v>
      </c>
      <c r="G220">
        <v>9679.92</v>
      </c>
      <c r="H220">
        <v>2605</v>
      </c>
      <c r="I220">
        <v>3.72</v>
      </c>
      <c r="J220">
        <v>0.45569999999999999</v>
      </c>
    </row>
    <row r="221" spans="1:10" x14ac:dyDescent="0.3">
      <c r="A221" t="s">
        <v>368</v>
      </c>
      <c r="B221" t="s">
        <v>192</v>
      </c>
      <c r="C221" s="25">
        <v>45747</v>
      </c>
      <c r="D221">
        <v>300896</v>
      </c>
      <c r="E221" t="s">
        <v>378</v>
      </c>
      <c r="F221" t="s">
        <v>441</v>
      </c>
      <c r="G221">
        <v>8426.25</v>
      </c>
      <c r="H221">
        <v>4288</v>
      </c>
      <c r="I221">
        <v>1.97</v>
      </c>
      <c r="J221">
        <v>0.4526</v>
      </c>
    </row>
    <row r="222" spans="1:10" x14ac:dyDescent="0.3">
      <c r="A222" t="s">
        <v>368</v>
      </c>
      <c r="B222" t="s">
        <v>192</v>
      </c>
      <c r="C222" s="25">
        <v>45777</v>
      </c>
      <c r="D222">
        <v>300896</v>
      </c>
      <c r="E222" t="s">
        <v>378</v>
      </c>
      <c r="F222" t="s">
        <v>441</v>
      </c>
      <c r="G222">
        <v>10133.39</v>
      </c>
      <c r="H222">
        <v>4959</v>
      </c>
      <c r="I222">
        <v>2.04</v>
      </c>
      <c r="J222">
        <v>0.45729999999999998</v>
      </c>
    </row>
    <row r="223" spans="1:10" x14ac:dyDescent="0.3">
      <c r="A223" t="s">
        <v>368</v>
      </c>
      <c r="B223" t="s">
        <v>192</v>
      </c>
      <c r="C223" s="25">
        <v>45808</v>
      </c>
      <c r="D223">
        <v>300896</v>
      </c>
      <c r="E223" t="s">
        <v>378</v>
      </c>
      <c r="F223" t="s">
        <v>441</v>
      </c>
      <c r="G223">
        <v>11019.75</v>
      </c>
      <c r="H223">
        <v>1392</v>
      </c>
      <c r="I223">
        <v>7.91</v>
      </c>
      <c r="J223">
        <v>0.52129999999999999</v>
      </c>
    </row>
    <row r="224" spans="1:10" x14ac:dyDescent="0.3">
      <c r="A224" t="s">
        <v>368</v>
      </c>
      <c r="B224" t="s">
        <v>192</v>
      </c>
      <c r="C224" s="25">
        <v>45838</v>
      </c>
      <c r="D224">
        <v>300896</v>
      </c>
      <c r="E224" t="s">
        <v>378</v>
      </c>
      <c r="F224" t="s">
        <v>441</v>
      </c>
      <c r="G224">
        <v>12825.23</v>
      </c>
      <c r="H224">
        <v>1856</v>
      </c>
      <c r="I224">
        <v>6.91</v>
      </c>
      <c r="J224">
        <v>0.60189999999999999</v>
      </c>
    </row>
    <row r="225" spans="1:10" x14ac:dyDescent="0.3">
      <c r="A225" t="s">
        <v>368</v>
      </c>
      <c r="B225" t="s">
        <v>192</v>
      </c>
      <c r="C225" s="25">
        <v>45869</v>
      </c>
      <c r="D225">
        <v>300896</v>
      </c>
      <c r="E225" t="s">
        <v>378</v>
      </c>
      <c r="F225" t="s">
        <v>441</v>
      </c>
      <c r="G225">
        <v>9779.41</v>
      </c>
      <c r="H225">
        <v>2839</v>
      </c>
      <c r="I225">
        <v>3.44</v>
      </c>
      <c r="J225">
        <v>0.43120000000000003</v>
      </c>
    </row>
    <row r="226" spans="1:10" x14ac:dyDescent="0.3">
      <c r="A226" t="s">
        <v>368</v>
      </c>
      <c r="B226" t="s">
        <v>192</v>
      </c>
      <c r="C226" s="25">
        <v>45900</v>
      </c>
      <c r="D226">
        <v>300896</v>
      </c>
      <c r="E226" t="s">
        <v>378</v>
      </c>
      <c r="F226" t="s">
        <v>441</v>
      </c>
      <c r="G226">
        <v>8879.67</v>
      </c>
      <c r="H226">
        <v>1332</v>
      </c>
      <c r="I226">
        <v>6.67</v>
      </c>
      <c r="J226">
        <v>0.44350000000000001</v>
      </c>
    </row>
    <row r="227" spans="1:10" x14ac:dyDescent="0.3">
      <c r="A227" t="s">
        <v>368</v>
      </c>
      <c r="B227" t="s">
        <v>192</v>
      </c>
      <c r="C227" s="25">
        <v>45930</v>
      </c>
      <c r="D227">
        <v>300896</v>
      </c>
      <c r="E227" t="s">
        <v>378</v>
      </c>
      <c r="F227" t="s">
        <v>441</v>
      </c>
      <c r="G227">
        <v>11321.35</v>
      </c>
      <c r="H227">
        <v>2048</v>
      </c>
      <c r="I227">
        <v>5.53</v>
      </c>
      <c r="J227">
        <v>0.52980000000000005</v>
      </c>
    </row>
    <row r="228" spans="1:10" x14ac:dyDescent="0.3">
      <c r="A228" t="s">
        <v>368</v>
      </c>
      <c r="B228" t="s">
        <v>192</v>
      </c>
      <c r="C228" s="25">
        <v>45961</v>
      </c>
      <c r="D228">
        <v>300896</v>
      </c>
      <c r="E228" t="s">
        <v>378</v>
      </c>
      <c r="F228" t="s">
        <v>441</v>
      </c>
      <c r="G228">
        <v>11534.41</v>
      </c>
      <c r="H228">
        <v>1096</v>
      </c>
      <c r="I228">
        <v>10.52</v>
      </c>
      <c r="J228">
        <v>0.55649999999999999</v>
      </c>
    </row>
    <row r="229" spans="1:10" x14ac:dyDescent="0.3">
      <c r="A229" t="s">
        <v>368</v>
      </c>
      <c r="B229" t="s">
        <v>192</v>
      </c>
      <c r="C229" s="25">
        <v>45991</v>
      </c>
      <c r="D229">
        <v>300896</v>
      </c>
      <c r="E229" t="s">
        <v>378</v>
      </c>
      <c r="F229" t="s">
        <v>441</v>
      </c>
      <c r="G229">
        <v>8335.39</v>
      </c>
      <c r="H229">
        <v>695</v>
      </c>
      <c r="I229">
        <v>11.99</v>
      </c>
      <c r="J229">
        <v>0.39169999999999999</v>
      </c>
    </row>
    <row r="230" spans="1:10" x14ac:dyDescent="0.3">
      <c r="A230" t="s">
        <v>368</v>
      </c>
      <c r="B230" t="s">
        <v>192</v>
      </c>
      <c r="C230" s="25">
        <v>45657</v>
      </c>
      <c r="D230">
        <v>179046</v>
      </c>
      <c r="E230" t="s">
        <v>378</v>
      </c>
      <c r="F230" t="s">
        <v>440</v>
      </c>
      <c r="G230">
        <v>7009.22</v>
      </c>
      <c r="H230">
        <v>2268</v>
      </c>
      <c r="I230">
        <v>3.09</v>
      </c>
      <c r="J230">
        <v>0.33250000000000002</v>
      </c>
    </row>
    <row r="231" spans="1:10" x14ac:dyDescent="0.3">
      <c r="A231" t="s">
        <v>368</v>
      </c>
      <c r="B231" t="s">
        <v>192</v>
      </c>
      <c r="C231" s="25">
        <v>45688</v>
      </c>
      <c r="D231">
        <v>179046</v>
      </c>
      <c r="E231" t="s">
        <v>378</v>
      </c>
      <c r="F231" t="s">
        <v>440</v>
      </c>
      <c r="G231">
        <v>10805.13</v>
      </c>
      <c r="H231">
        <v>3126</v>
      </c>
      <c r="I231">
        <v>3.46</v>
      </c>
      <c r="J231">
        <v>0.53449999999999998</v>
      </c>
    </row>
    <row r="232" spans="1:10" x14ac:dyDescent="0.3">
      <c r="A232" t="s">
        <v>368</v>
      </c>
      <c r="B232" t="s">
        <v>192</v>
      </c>
      <c r="C232" s="25">
        <v>45716</v>
      </c>
      <c r="D232">
        <v>179046</v>
      </c>
      <c r="E232" t="s">
        <v>378</v>
      </c>
      <c r="F232" t="s">
        <v>440</v>
      </c>
      <c r="G232">
        <v>5992.41</v>
      </c>
      <c r="H232">
        <v>544</v>
      </c>
      <c r="I232">
        <v>11.01</v>
      </c>
      <c r="J232">
        <v>0.28210000000000002</v>
      </c>
    </row>
    <row r="233" spans="1:10" x14ac:dyDescent="0.3">
      <c r="A233" t="s">
        <v>368</v>
      </c>
      <c r="B233" t="s">
        <v>192</v>
      </c>
      <c r="C233" s="25">
        <v>45747</v>
      </c>
      <c r="D233">
        <v>179046</v>
      </c>
      <c r="E233" t="s">
        <v>378</v>
      </c>
      <c r="F233" t="s">
        <v>440</v>
      </c>
      <c r="G233">
        <v>7537.52</v>
      </c>
      <c r="H233">
        <v>1592</v>
      </c>
      <c r="I233">
        <v>4.74</v>
      </c>
      <c r="J233">
        <v>0.40479999999999999</v>
      </c>
    </row>
    <row r="234" spans="1:10" x14ac:dyDescent="0.3">
      <c r="A234" t="s">
        <v>368</v>
      </c>
      <c r="B234" t="s">
        <v>192</v>
      </c>
      <c r="C234" s="25">
        <v>45777</v>
      </c>
      <c r="D234">
        <v>179046</v>
      </c>
      <c r="E234" t="s">
        <v>378</v>
      </c>
      <c r="F234" t="s">
        <v>440</v>
      </c>
      <c r="G234">
        <v>7482.14</v>
      </c>
      <c r="H234">
        <v>739</v>
      </c>
      <c r="I234">
        <v>10.119999999999999</v>
      </c>
      <c r="J234">
        <v>0.33760000000000001</v>
      </c>
    </row>
    <row r="235" spans="1:10" x14ac:dyDescent="0.3">
      <c r="A235" t="s">
        <v>368</v>
      </c>
      <c r="B235" t="s">
        <v>192</v>
      </c>
      <c r="C235" s="25">
        <v>45808</v>
      </c>
      <c r="D235">
        <v>179046</v>
      </c>
      <c r="E235" t="s">
        <v>378</v>
      </c>
      <c r="F235" t="s">
        <v>440</v>
      </c>
      <c r="G235">
        <v>6973.63</v>
      </c>
      <c r="H235">
        <v>873</v>
      </c>
      <c r="I235">
        <v>7.98</v>
      </c>
      <c r="J235">
        <v>0.32990000000000003</v>
      </c>
    </row>
    <row r="236" spans="1:10" x14ac:dyDescent="0.3">
      <c r="A236" t="s">
        <v>368</v>
      </c>
      <c r="B236" t="s">
        <v>192</v>
      </c>
      <c r="C236" s="25">
        <v>45838</v>
      </c>
      <c r="D236">
        <v>179046</v>
      </c>
      <c r="E236" t="s">
        <v>378</v>
      </c>
      <c r="F236" t="s">
        <v>440</v>
      </c>
      <c r="G236">
        <v>6960.08</v>
      </c>
      <c r="H236">
        <v>703</v>
      </c>
      <c r="I236">
        <v>9.91</v>
      </c>
      <c r="J236">
        <v>0.3266</v>
      </c>
    </row>
    <row r="237" spans="1:10" x14ac:dyDescent="0.3">
      <c r="A237" t="s">
        <v>368</v>
      </c>
      <c r="B237" t="s">
        <v>192</v>
      </c>
      <c r="C237" s="25">
        <v>45869</v>
      </c>
      <c r="D237">
        <v>179046</v>
      </c>
      <c r="E237" t="s">
        <v>378</v>
      </c>
      <c r="F237" t="s">
        <v>440</v>
      </c>
      <c r="G237">
        <v>11264.62</v>
      </c>
      <c r="H237">
        <v>11969</v>
      </c>
      <c r="I237">
        <v>0.94</v>
      </c>
      <c r="J237">
        <v>0.49669999999999997</v>
      </c>
    </row>
    <row r="238" spans="1:10" x14ac:dyDescent="0.3">
      <c r="A238" t="s">
        <v>368</v>
      </c>
      <c r="B238" t="s">
        <v>192</v>
      </c>
      <c r="C238" s="25">
        <v>45900</v>
      </c>
      <c r="D238">
        <v>179046</v>
      </c>
      <c r="E238" t="s">
        <v>378</v>
      </c>
      <c r="F238" t="s">
        <v>440</v>
      </c>
      <c r="G238">
        <v>8604.01</v>
      </c>
      <c r="H238">
        <v>1694</v>
      </c>
      <c r="I238">
        <v>5.08</v>
      </c>
      <c r="J238">
        <v>0.42970000000000003</v>
      </c>
    </row>
    <row r="239" spans="1:10" x14ac:dyDescent="0.3">
      <c r="A239" t="s">
        <v>368</v>
      </c>
      <c r="B239" t="s">
        <v>192</v>
      </c>
      <c r="C239" s="25">
        <v>45930</v>
      </c>
      <c r="D239">
        <v>179046</v>
      </c>
      <c r="E239" t="s">
        <v>378</v>
      </c>
      <c r="F239" t="s">
        <v>440</v>
      </c>
      <c r="G239">
        <v>10626.29</v>
      </c>
      <c r="H239">
        <v>1709</v>
      </c>
      <c r="I239">
        <v>6.22</v>
      </c>
      <c r="J239">
        <v>0.49730000000000002</v>
      </c>
    </row>
    <row r="240" spans="1:10" x14ac:dyDescent="0.3">
      <c r="A240" t="s">
        <v>368</v>
      </c>
      <c r="B240" t="s">
        <v>192</v>
      </c>
      <c r="C240" s="25">
        <v>45961</v>
      </c>
      <c r="D240">
        <v>179046</v>
      </c>
      <c r="E240" t="s">
        <v>378</v>
      </c>
      <c r="F240" t="s">
        <v>440</v>
      </c>
      <c r="G240">
        <v>8655.91</v>
      </c>
      <c r="H240">
        <v>1948</v>
      </c>
      <c r="I240">
        <v>4.4400000000000004</v>
      </c>
      <c r="J240">
        <v>0.41760000000000003</v>
      </c>
    </row>
    <row r="241" spans="1:10" x14ac:dyDescent="0.3">
      <c r="A241" t="s">
        <v>368</v>
      </c>
      <c r="B241" t="s">
        <v>192</v>
      </c>
      <c r="C241" s="25">
        <v>45991</v>
      </c>
      <c r="D241">
        <v>179046</v>
      </c>
      <c r="E241" t="s">
        <v>378</v>
      </c>
      <c r="F241" t="s">
        <v>440</v>
      </c>
      <c r="G241">
        <v>10539.34</v>
      </c>
      <c r="H241">
        <v>5043</v>
      </c>
      <c r="I241">
        <v>2.09</v>
      </c>
      <c r="J241">
        <v>0.49530000000000002</v>
      </c>
    </row>
    <row r="242" spans="1:10" x14ac:dyDescent="0.3">
      <c r="A242" t="s">
        <v>368</v>
      </c>
      <c r="B242" t="s">
        <v>191</v>
      </c>
      <c r="C242" s="25">
        <v>45657</v>
      </c>
      <c r="D242">
        <v>830429</v>
      </c>
      <c r="E242" t="s">
        <v>374</v>
      </c>
      <c r="F242" t="s">
        <v>439</v>
      </c>
      <c r="G242">
        <v>53959.95</v>
      </c>
      <c r="H242">
        <v>10494</v>
      </c>
      <c r="I242">
        <v>5.14</v>
      </c>
      <c r="J242">
        <v>5.5003000000000002</v>
      </c>
    </row>
    <row r="243" spans="1:10" x14ac:dyDescent="0.3">
      <c r="A243" t="s">
        <v>368</v>
      </c>
      <c r="B243" t="s">
        <v>191</v>
      </c>
      <c r="C243" s="25">
        <v>45688</v>
      </c>
      <c r="D243">
        <v>830429</v>
      </c>
      <c r="E243" t="s">
        <v>374</v>
      </c>
      <c r="F243" t="s">
        <v>439</v>
      </c>
      <c r="G243">
        <v>35950.370000000003</v>
      </c>
      <c r="H243">
        <v>4329</v>
      </c>
      <c r="I243">
        <v>8.3000000000000007</v>
      </c>
      <c r="J243">
        <v>3.3896999999999999</v>
      </c>
    </row>
    <row r="244" spans="1:10" x14ac:dyDescent="0.3">
      <c r="A244" t="s">
        <v>368</v>
      </c>
      <c r="B244" t="s">
        <v>191</v>
      </c>
      <c r="C244" s="25">
        <v>45716</v>
      </c>
      <c r="D244">
        <v>830429</v>
      </c>
      <c r="E244" t="s">
        <v>374</v>
      </c>
      <c r="F244" t="s">
        <v>439</v>
      </c>
      <c r="G244">
        <v>61155.95</v>
      </c>
      <c r="H244">
        <v>8274</v>
      </c>
      <c r="I244">
        <v>7.39</v>
      </c>
      <c r="J244">
        <v>6.0781000000000001</v>
      </c>
    </row>
    <row r="245" spans="1:10" x14ac:dyDescent="0.3">
      <c r="A245" t="s">
        <v>368</v>
      </c>
      <c r="B245" t="s">
        <v>191</v>
      </c>
      <c r="C245" s="25">
        <v>45747</v>
      </c>
      <c r="D245">
        <v>830429</v>
      </c>
      <c r="E245" t="s">
        <v>374</v>
      </c>
      <c r="F245" t="s">
        <v>439</v>
      </c>
      <c r="G245">
        <v>56358.14</v>
      </c>
      <c r="H245">
        <v>5759</v>
      </c>
      <c r="I245">
        <v>9.7899999999999991</v>
      </c>
      <c r="J245">
        <v>5.5759999999999996</v>
      </c>
    </row>
    <row r="246" spans="1:10" x14ac:dyDescent="0.3">
      <c r="A246" t="s">
        <v>368</v>
      </c>
      <c r="B246" t="s">
        <v>191</v>
      </c>
      <c r="C246" s="25">
        <v>45777</v>
      </c>
      <c r="D246">
        <v>830429</v>
      </c>
      <c r="E246" t="s">
        <v>374</v>
      </c>
      <c r="F246" t="s">
        <v>439</v>
      </c>
      <c r="G246">
        <v>49699.57</v>
      </c>
      <c r="H246">
        <v>11363</v>
      </c>
      <c r="I246">
        <v>4.37</v>
      </c>
      <c r="J246">
        <v>5.4504000000000001</v>
      </c>
    </row>
    <row r="247" spans="1:10" x14ac:dyDescent="0.3">
      <c r="A247" t="s">
        <v>368</v>
      </c>
      <c r="B247" t="s">
        <v>191</v>
      </c>
      <c r="C247" s="25">
        <v>45808</v>
      </c>
      <c r="D247">
        <v>830429</v>
      </c>
      <c r="E247" t="s">
        <v>374</v>
      </c>
      <c r="F247" t="s">
        <v>439</v>
      </c>
      <c r="G247">
        <v>44584.39</v>
      </c>
      <c r="H247">
        <v>6325</v>
      </c>
      <c r="I247">
        <v>7.05</v>
      </c>
      <c r="J247">
        <v>4.8922999999999996</v>
      </c>
    </row>
    <row r="248" spans="1:10" x14ac:dyDescent="0.3">
      <c r="A248" t="s">
        <v>368</v>
      </c>
      <c r="B248" t="s">
        <v>191</v>
      </c>
      <c r="C248" s="25">
        <v>45838</v>
      </c>
      <c r="D248">
        <v>830429</v>
      </c>
      <c r="E248" t="s">
        <v>374</v>
      </c>
      <c r="F248" t="s">
        <v>439</v>
      </c>
      <c r="G248">
        <v>63791.41</v>
      </c>
      <c r="H248">
        <v>9460</v>
      </c>
      <c r="I248">
        <v>6.74</v>
      </c>
      <c r="J248">
        <v>6.1969000000000003</v>
      </c>
    </row>
    <row r="249" spans="1:10" x14ac:dyDescent="0.3">
      <c r="A249" t="s">
        <v>368</v>
      </c>
      <c r="B249" t="s">
        <v>191</v>
      </c>
      <c r="C249" s="25">
        <v>45869</v>
      </c>
      <c r="D249">
        <v>830429</v>
      </c>
      <c r="E249" t="s">
        <v>374</v>
      </c>
      <c r="F249" t="s">
        <v>439</v>
      </c>
      <c r="G249">
        <v>49490.35</v>
      </c>
      <c r="H249">
        <v>4911</v>
      </c>
      <c r="I249">
        <v>10.08</v>
      </c>
      <c r="J249">
        <v>4.7182000000000004</v>
      </c>
    </row>
    <row r="250" spans="1:10" x14ac:dyDescent="0.3">
      <c r="A250" t="s">
        <v>368</v>
      </c>
      <c r="B250" t="s">
        <v>191</v>
      </c>
      <c r="C250" s="25">
        <v>45900</v>
      </c>
      <c r="D250">
        <v>830429</v>
      </c>
      <c r="E250" t="s">
        <v>374</v>
      </c>
      <c r="F250" t="s">
        <v>439</v>
      </c>
      <c r="G250">
        <v>64438.62</v>
      </c>
      <c r="H250">
        <v>12222</v>
      </c>
      <c r="I250">
        <v>5.27</v>
      </c>
      <c r="J250">
        <v>6.1954000000000002</v>
      </c>
    </row>
    <row r="251" spans="1:10" x14ac:dyDescent="0.3">
      <c r="A251" t="s">
        <v>368</v>
      </c>
      <c r="B251" t="s">
        <v>191</v>
      </c>
      <c r="C251" s="25">
        <v>45930</v>
      </c>
      <c r="D251">
        <v>830429</v>
      </c>
      <c r="E251" t="s">
        <v>374</v>
      </c>
      <c r="F251" t="s">
        <v>439</v>
      </c>
      <c r="G251">
        <v>54327.37</v>
      </c>
      <c r="H251">
        <v>12753</v>
      </c>
      <c r="I251">
        <v>4.26</v>
      </c>
      <c r="J251">
        <v>5.7190000000000003</v>
      </c>
    </row>
    <row r="252" spans="1:10" x14ac:dyDescent="0.3">
      <c r="A252" t="s">
        <v>368</v>
      </c>
      <c r="B252" t="s">
        <v>191</v>
      </c>
      <c r="C252" s="25">
        <v>45961</v>
      </c>
      <c r="D252">
        <v>830429</v>
      </c>
      <c r="E252" t="s">
        <v>374</v>
      </c>
      <c r="F252" t="s">
        <v>439</v>
      </c>
      <c r="G252">
        <v>63798.7</v>
      </c>
      <c r="H252">
        <v>6301</v>
      </c>
      <c r="I252">
        <v>10.119999999999999</v>
      </c>
      <c r="J252">
        <v>6.2192999999999996</v>
      </c>
    </row>
    <row r="253" spans="1:10" x14ac:dyDescent="0.3">
      <c r="A253" t="s">
        <v>368</v>
      </c>
      <c r="B253" t="s">
        <v>191</v>
      </c>
      <c r="C253" s="25">
        <v>45991</v>
      </c>
      <c r="D253">
        <v>830429</v>
      </c>
      <c r="E253" t="s">
        <v>374</v>
      </c>
      <c r="F253" t="s">
        <v>439</v>
      </c>
      <c r="G253">
        <v>65031.78</v>
      </c>
      <c r="H253">
        <v>5443</v>
      </c>
      <c r="I253">
        <v>11.95</v>
      </c>
      <c r="J253">
        <v>5.7907000000000002</v>
      </c>
    </row>
    <row r="254" spans="1:10" x14ac:dyDescent="0.3">
      <c r="A254" t="s">
        <v>368</v>
      </c>
      <c r="B254" t="s">
        <v>191</v>
      </c>
      <c r="C254" s="25">
        <v>45657</v>
      </c>
      <c r="D254">
        <v>976638</v>
      </c>
      <c r="E254" t="s">
        <v>378</v>
      </c>
      <c r="F254" t="s">
        <v>438</v>
      </c>
      <c r="G254">
        <v>64306.57</v>
      </c>
      <c r="H254">
        <v>17011</v>
      </c>
      <c r="I254">
        <v>3.78</v>
      </c>
      <c r="J254">
        <v>6.5548999999999999</v>
      </c>
    </row>
    <row r="255" spans="1:10" x14ac:dyDescent="0.3">
      <c r="A255" t="s">
        <v>368</v>
      </c>
      <c r="B255" t="s">
        <v>191</v>
      </c>
      <c r="C255" s="25">
        <v>45688</v>
      </c>
      <c r="D255">
        <v>976638</v>
      </c>
      <c r="E255" t="s">
        <v>378</v>
      </c>
      <c r="F255" t="s">
        <v>438</v>
      </c>
      <c r="G255">
        <v>62630.15</v>
      </c>
      <c r="H255">
        <v>19265</v>
      </c>
      <c r="I255">
        <v>3.25</v>
      </c>
      <c r="J255">
        <v>5.9053000000000004</v>
      </c>
    </row>
    <row r="256" spans="1:10" x14ac:dyDescent="0.3">
      <c r="A256" t="s">
        <v>368</v>
      </c>
      <c r="B256" t="s">
        <v>191</v>
      </c>
      <c r="C256" s="25">
        <v>45716</v>
      </c>
      <c r="D256">
        <v>976638</v>
      </c>
      <c r="E256" t="s">
        <v>378</v>
      </c>
      <c r="F256" t="s">
        <v>438</v>
      </c>
      <c r="G256">
        <v>56893.2</v>
      </c>
      <c r="H256">
        <v>8193</v>
      </c>
      <c r="I256">
        <v>6.94</v>
      </c>
      <c r="J256">
        <v>5.6543999999999999</v>
      </c>
    </row>
    <row r="257" spans="1:10" x14ac:dyDescent="0.3">
      <c r="A257" t="s">
        <v>368</v>
      </c>
      <c r="B257" t="s">
        <v>191</v>
      </c>
      <c r="C257" s="25">
        <v>45747</v>
      </c>
      <c r="D257">
        <v>976638</v>
      </c>
      <c r="E257" t="s">
        <v>378</v>
      </c>
      <c r="F257" t="s">
        <v>438</v>
      </c>
      <c r="G257">
        <v>36745.85</v>
      </c>
      <c r="H257">
        <v>4138</v>
      </c>
      <c r="I257">
        <v>8.8800000000000008</v>
      </c>
      <c r="J257">
        <v>3.6356000000000002</v>
      </c>
    </row>
    <row r="258" spans="1:10" x14ac:dyDescent="0.3">
      <c r="A258" t="s">
        <v>368</v>
      </c>
      <c r="B258" t="s">
        <v>191</v>
      </c>
      <c r="C258" s="25">
        <v>45777</v>
      </c>
      <c r="D258">
        <v>976638</v>
      </c>
      <c r="E258" t="s">
        <v>378</v>
      </c>
      <c r="F258" t="s">
        <v>438</v>
      </c>
      <c r="G258">
        <v>60121.37</v>
      </c>
      <c r="H258">
        <v>8313</v>
      </c>
      <c r="I258">
        <v>7.23</v>
      </c>
      <c r="J258">
        <v>6.5933999999999999</v>
      </c>
    </row>
    <row r="259" spans="1:10" x14ac:dyDescent="0.3">
      <c r="A259" t="s">
        <v>368</v>
      </c>
      <c r="B259" t="s">
        <v>191</v>
      </c>
      <c r="C259" s="25">
        <v>45808</v>
      </c>
      <c r="D259">
        <v>976638</v>
      </c>
      <c r="E259" t="s">
        <v>378</v>
      </c>
      <c r="F259" t="s">
        <v>438</v>
      </c>
      <c r="G259">
        <v>38714.69</v>
      </c>
      <c r="H259">
        <v>5695</v>
      </c>
      <c r="I259">
        <v>6.8</v>
      </c>
      <c r="J259">
        <v>4.2481999999999998</v>
      </c>
    </row>
    <row r="260" spans="1:10" x14ac:dyDescent="0.3">
      <c r="A260" t="s">
        <v>368</v>
      </c>
      <c r="B260" t="s">
        <v>191</v>
      </c>
      <c r="C260" s="25">
        <v>45838</v>
      </c>
      <c r="D260">
        <v>976638</v>
      </c>
      <c r="E260" t="s">
        <v>378</v>
      </c>
      <c r="F260" t="s">
        <v>438</v>
      </c>
      <c r="G260">
        <v>45965.17</v>
      </c>
      <c r="H260">
        <v>31195</v>
      </c>
      <c r="I260">
        <v>1.47</v>
      </c>
      <c r="J260">
        <v>4.4652000000000003</v>
      </c>
    </row>
    <row r="261" spans="1:10" x14ac:dyDescent="0.3">
      <c r="A261" t="s">
        <v>368</v>
      </c>
      <c r="B261" t="s">
        <v>191</v>
      </c>
      <c r="C261" s="25">
        <v>45869</v>
      </c>
      <c r="D261">
        <v>976638</v>
      </c>
      <c r="E261" t="s">
        <v>378</v>
      </c>
      <c r="F261" t="s">
        <v>438</v>
      </c>
      <c r="G261">
        <v>65168.11</v>
      </c>
      <c r="H261">
        <v>34819</v>
      </c>
      <c r="I261">
        <v>1.87</v>
      </c>
      <c r="J261">
        <v>6.2127999999999997</v>
      </c>
    </row>
    <row r="262" spans="1:10" x14ac:dyDescent="0.3">
      <c r="A262" t="s">
        <v>368</v>
      </c>
      <c r="B262" t="s">
        <v>191</v>
      </c>
      <c r="C262" s="25">
        <v>45900</v>
      </c>
      <c r="D262">
        <v>976638</v>
      </c>
      <c r="E262" t="s">
        <v>378</v>
      </c>
      <c r="F262" t="s">
        <v>438</v>
      </c>
      <c r="G262">
        <v>57927.82</v>
      </c>
      <c r="H262">
        <v>5699</v>
      </c>
      <c r="I262">
        <v>10.17</v>
      </c>
      <c r="J262">
        <v>5.5693999999999999</v>
      </c>
    </row>
    <row r="263" spans="1:10" x14ac:dyDescent="0.3">
      <c r="A263" t="s">
        <v>368</v>
      </c>
      <c r="B263" t="s">
        <v>191</v>
      </c>
      <c r="C263" s="25">
        <v>45930</v>
      </c>
      <c r="D263">
        <v>976638</v>
      </c>
      <c r="E263" t="s">
        <v>378</v>
      </c>
      <c r="F263" t="s">
        <v>438</v>
      </c>
      <c r="G263">
        <v>40642.93</v>
      </c>
      <c r="H263">
        <v>4745</v>
      </c>
      <c r="I263">
        <v>8.56</v>
      </c>
      <c r="J263">
        <v>4.2784000000000004</v>
      </c>
    </row>
    <row r="264" spans="1:10" x14ac:dyDescent="0.3">
      <c r="A264" t="s">
        <v>368</v>
      </c>
      <c r="B264" t="s">
        <v>191</v>
      </c>
      <c r="C264" s="25">
        <v>45961</v>
      </c>
      <c r="D264">
        <v>976638</v>
      </c>
      <c r="E264" t="s">
        <v>378</v>
      </c>
      <c r="F264" t="s">
        <v>438</v>
      </c>
      <c r="G264">
        <v>51971.51</v>
      </c>
      <c r="H264">
        <v>10085</v>
      </c>
      <c r="I264">
        <v>5.15</v>
      </c>
      <c r="J264">
        <v>5.0663999999999998</v>
      </c>
    </row>
    <row r="265" spans="1:10" x14ac:dyDescent="0.3">
      <c r="A265" t="s">
        <v>368</v>
      </c>
      <c r="B265" t="s">
        <v>191</v>
      </c>
      <c r="C265" s="25">
        <v>45991</v>
      </c>
      <c r="D265">
        <v>976638</v>
      </c>
      <c r="E265" t="s">
        <v>378</v>
      </c>
      <c r="F265" t="s">
        <v>438</v>
      </c>
      <c r="G265">
        <v>73472.19</v>
      </c>
      <c r="H265">
        <v>14615</v>
      </c>
      <c r="I265">
        <v>5.03</v>
      </c>
      <c r="J265">
        <v>6.5423</v>
      </c>
    </row>
    <row r="266" spans="1:10" x14ac:dyDescent="0.3">
      <c r="A266" t="s">
        <v>368</v>
      </c>
      <c r="B266" t="s">
        <v>191</v>
      </c>
      <c r="C266" s="25">
        <v>45657</v>
      </c>
      <c r="D266">
        <v>783823</v>
      </c>
      <c r="E266" t="s">
        <v>378</v>
      </c>
      <c r="F266" t="s">
        <v>437</v>
      </c>
      <c r="G266">
        <v>51784.63</v>
      </c>
      <c r="H266">
        <v>21412</v>
      </c>
      <c r="I266">
        <v>2.42</v>
      </c>
      <c r="J266">
        <v>5.2785000000000002</v>
      </c>
    </row>
    <row r="267" spans="1:10" x14ac:dyDescent="0.3">
      <c r="A267" t="s">
        <v>368</v>
      </c>
      <c r="B267" t="s">
        <v>191</v>
      </c>
      <c r="C267" s="25">
        <v>45688</v>
      </c>
      <c r="D267">
        <v>783823</v>
      </c>
      <c r="E267" t="s">
        <v>378</v>
      </c>
      <c r="F267" t="s">
        <v>437</v>
      </c>
      <c r="G267">
        <v>55067.47</v>
      </c>
      <c r="H267">
        <v>53109</v>
      </c>
      <c r="I267">
        <v>1.04</v>
      </c>
      <c r="J267">
        <v>5.1921999999999997</v>
      </c>
    </row>
    <row r="268" spans="1:10" x14ac:dyDescent="0.3">
      <c r="A268" t="s">
        <v>368</v>
      </c>
      <c r="B268" t="s">
        <v>191</v>
      </c>
      <c r="C268" s="25">
        <v>45716</v>
      </c>
      <c r="D268">
        <v>783823</v>
      </c>
      <c r="E268" t="s">
        <v>378</v>
      </c>
      <c r="F268" t="s">
        <v>437</v>
      </c>
      <c r="G268">
        <v>46450.49</v>
      </c>
      <c r="H268">
        <v>4626</v>
      </c>
      <c r="I268">
        <v>10.039999999999999</v>
      </c>
      <c r="J268">
        <v>4.6166</v>
      </c>
    </row>
    <row r="269" spans="1:10" x14ac:dyDescent="0.3">
      <c r="A269" t="s">
        <v>368</v>
      </c>
      <c r="B269" t="s">
        <v>191</v>
      </c>
      <c r="C269" s="25">
        <v>45747</v>
      </c>
      <c r="D269">
        <v>783823</v>
      </c>
      <c r="E269" t="s">
        <v>378</v>
      </c>
      <c r="F269" t="s">
        <v>437</v>
      </c>
      <c r="G269">
        <v>58628.65</v>
      </c>
      <c r="H269">
        <v>6821</v>
      </c>
      <c r="I269">
        <v>8.6</v>
      </c>
      <c r="J269">
        <v>5.8007</v>
      </c>
    </row>
    <row r="270" spans="1:10" x14ac:dyDescent="0.3">
      <c r="A270" t="s">
        <v>368</v>
      </c>
      <c r="B270" t="s">
        <v>191</v>
      </c>
      <c r="C270" s="25">
        <v>45777</v>
      </c>
      <c r="D270">
        <v>783823</v>
      </c>
      <c r="E270" t="s">
        <v>378</v>
      </c>
      <c r="F270" t="s">
        <v>437</v>
      </c>
      <c r="G270">
        <v>46294.400000000001</v>
      </c>
      <c r="H270">
        <v>5706</v>
      </c>
      <c r="I270">
        <v>8.11</v>
      </c>
      <c r="J270">
        <v>5.077</v>
      </c>
    </row>
    <row r="271" spans="1:10" x14ac:dyDescent="0.3">
      <c r="A271" t="s">
        <v>368</v>
      </c>
      <c r="B271" t="s">
        <v>191</v>
      </c>
      <c r="C271" s="25">
        <v>45808</v>
      </c>
      <c r="D271">
        <v>783823</v>
      </c>
      <c r="E271" t="s">
        <v>378</v>
      </c>
      <c r="F271" t="s">
        <v>437</v>
      </c>
      <c r="G271">
        <v>51398.65</v>
      </c>
      <c r="H271">
        <v>8792</v>
      </c>
      <c r="I271">
        <v>5.85</v>
      </c>
      <c r="J271">
        <v>5.6401000000000003</v>
      </c>
    </row>
    <row r="272" spans="1:10" x14ac:dyDescent="0.3">
      <c r="A272" t="s">
        <v>368</v>
      </c>
      <c r="B272" t="s">
        <v>191</v>
      </c>
      <c r="C272" s="25">
        <v>45838</v>
      </c>
      <c r="D272">
        <v>783823</v>
      </c>
      <c r="E272" t="s">
        <v>378</v>
      </c>
      <c r="F272" t="s">
        <v>437</v>
      </c>
      <c r="G272">
        <v>46757.04</v>
      </c>
      <c r="H272">
        <v>17517</v>
      </c>
      <c r="I272">
        <v>2.67</v>
      </c>
      <c r="J272">
        <v>4.5420999999999996</v>
      </c>
    </row>
    <row r="273" spans="1:10" x14ac:dyDescent="0.3">
      <c r="A273" t="s">
        <v>368</v>
      </c>
      <c r="B273" t="s">
        <v>191</v>
      </c>
      <c r="C273" s="25">
        <v>45869</v>
      </c>
      <c r="D273">
        <v>783823</v>
      </c>
      <c r="E273" t="s">
        <v>378</v>
      </c>
      <c r="F273" t="s">
        <v>437</v>
      </c>
      <c r="G273">
        <v>71390.429999999993</v>
      </c>
      <c r="H273">
        <v>11259</v>
      </c>
      <c r="I273">
        <v>6.34</v>
      </c>
      <c r="J273">
        <v>6.806</v>
      </c>
    </row>
    <row r="274" spans="1:10" x14ac:dyDescent="0.3">
      <c r="A274" t="s">
        <v>368</v>
      </c>
      <c r="B274" t="s">
        <v>191</v>
      </c>
      <c r="C274" s="25">
        <v>45900</v>
      </c>
      <c r="D274">
        <v>783823</v>
      </c>
      <c r="E274" t="s">
        <v>378</v>
      </c>
      <c r="F274" t="s">
        <v>437</v>
      </c>
      <c r="G274">
        <v>64840.52</v>
      </c>
      <c r="H274">
        <v>7238</v>
      </c>
      <c r="I274">
        <v>8.9600000000000009</v>
      </c>
      <c r="J274">
        <v>6.234</v>
      </c>
    </row>
    <row r="275" spans="1:10" x14ac:dyDescent="0.3">
      <c r="A275" t="s">
        <v>368</v>
      </c>
      <c r="B275" t="s">
        <v>191</v>
      </c>
      <c r="C275" s="25">
        <v>45930</v>
      </c>
      <c r="D275">
        <v>783823</v>
      </c>
      <c r="E275" t="s">
        <v>378</v>
      </c>
      <c r="F275" t="s">
        <v>437</v>
      </c>
      <c r="G275">
        <v>50064.26</v>
      </c>
      <c r="H275">
        <v>6155</v>
      </c>
      <c r="I275">
        <v>8.1300000000000008</v>
      </c>
      <c r="J275">
        <v>5.2702</v>
      </c>
    </row>
    <row r="276" spans="1:10" x14ac:dyDescent="0.3">
      <c r="A276" t="s">
        <v>368</v>
      </c>
      <c r="B276" t="s">
        <v>191</v>
      </c>
      <c r="C276" s="25">
        <v>45961</v>
      </c>
      <c r="D276">
        <v>783823</v>
      </c>
      <c r="E276" t="s">
        <v>378</v>
      </c>
      <c r="F276" t="s">
        <v>437</v>
      </c>
      <c r="G276">
        <v>55750.5</v>
      </c>
      <c r="H276">
        <v>8915</v>
      </c>
      <c r="I276">
        <v>6.25</v>
      </c>
      <c r="J276">
        <v>5.4347000000000003</v>
      </c>
    </row>
    <row r="277" spans="1:10" x14ac:dyDescent="0.3">
      <c r="A277" t="s">
        <v>368</v>
      </c>
      <c r="B277" t="s">
        <v>191</v>
      </c>
      <c r="C277" s="25">
        <v>45991</v>
      </c>
      <c r="D277">
        <v>783823</v>
      </c>
      <c r="E277" t="s">
        <v>378</v>
      </c>
      <c r="F277" t="s">
        <v>437</v>
      </c>
      <c r="G277">
        <v>52928.72</v>
      </c>
      <c r="H277">
        <v>4909</v>
      </c>
      <c r="I277">
        <v>10.78</v>
      </c>
      <c r="J277">
        <v>4.7130000000000001</v>
      </c>
    </row>
    <row r="278" spans="1:10" x14ac:dyDescent="0.3">
      <c r="A278" t="s">
        <v>368</v>
      </c>
      <c r="B278" t="s">
        <v>191</v>
      </c>
      <c r="C278" s="25">
        <v>45657</v>
      </c>
      <c r="D278">
        <v>989921</v>
      </c>
      <c r="E278" t="s">
        <v>377</v>
      </c>
      <c r="F278" t="s">
        <v>436</v>
      </c>
      <c r="G278">
        <v>54454.15</v>
      </c>
      <c r="H278">
        <v>24716</v>
      </c>
      <c r="I278">
        <v>2.2000000000000002</v>
      </c>
      <c r="J278">
        <v>5.5506000000000002</v>
      </c>
    </row>
    <row r="279" spans="1:10" x14ac:dyDescent="0.3">
      <c r="A279" t="s">
        <v>368</v>
      </c>
      <c r="B279" t="s">
        <v>191</v>
      </c>
      <c r="C279" s="25">
        <v>45688</v>
      </c>
      <c r="D279">
        <v>989921</v>
      </c>
      <c r="E279" t="s">
        <v>377</v>
      </c>
      <c r="F279" t="s">
        <v>436</v>
      </c>
      <c r="G279">
        <v>36133.160000000003</v>
      </c>
      <c r="H279">
        <v>3978</v>
      </c>
      <c r="I279">
        <v>9.08</v>
      </c>
      <c r="J279">
        <v>3.4068999999999998</v>
      </c>
    </row>
    <row r="280" spans="1:10" x14ac:dyDescent="0.3">
      <c r="A280" t="s">
        <v>368</v>
      </c>
      <c r="B280" t="s">
        <v>191</v>
      </c>
      <c r="C280" s="25">
        <v>45716</v>
      </c>
      <c r="D280">
        <v>989921</v>
      </c>
      <c r="E280" t="s">
        <v>377</v>
      </c>
      <c r="F280" t="s">
        <v>436</v>
      </c>
      <c r="G280">
        <v>63197.45</v>
      </c>
      <c r="H280">
        <v>5724</v>
      </c>
      <c r="I280">
        <v>11.04</v>
      </c>
      <c r="J280">
        <v>6.2809999999999997</v>
      </c>
    </row>
    <row r="281" spans="1:10" x14ac:dyDescent="0.3">
      <c r="A281" t="s">
        <v>368</v>
      </c>
      <c r="B281" t="s">
        <v>191</v>
      </c>
      <c r="C281" s="25">
        <v>45747</v>
      </c>
      <c r="D281">
        <v>989921</v>
      </c>
      <c r="E281" t="s">
        <v>377</v>
      </c>
      <c r="F281" t="s">
        <v>436</v>
      </c>
      <c r="G281">
        <v>55622.34</v>
      </c>
      <c r="H281">
        <v>6458</v>
      </c>
      <c r="I281">
        <v>8.61</v>
      </c>
      <c r="J281">
        <v>5.5031999999999996</v>
      </c>
    </row>
    <row r="282" spans="1:10" x14ac:dyDescent="0.3">
      <c r="A282" t="s">
        <v>368</v>
      </c>
      <c r="B282" t="s">
        <v>191</v>
      </c>
      <c r="C282" s="25">
        <v>45777</v>
      </c>
      <c r="D282">
        <v>989921</v>
      </c>
      <c r="E282" t="s">
        <v>377</v>
      </c>
      <c r="F282" t="s">
        <v>436</v>
      </c>
      <c r="G282">
        <v>39018.85</v>
      </c>
      <c r="H282">
        <v>75798</v>
      </c>
      <c r="I282">
        <v>0.51</v>
      </c>
      <c r="J282">
        <v>4.2790999999999997</v>
      </c>
    </row>
    <row r="283" spans="1:10" x14ac:dyDescent="0.3">
      <c r="A283" t="s">
        <v>368</v>
      </c>
      <c r="B283" t="s">
        <v>191</v>
      </c>
      <c r="C283" s="25">
        <v>45808</v>
      </c>
      <c r="D283">
        <v>989921</v>
      </c>
      <c r="E283" t="s">
        <v>377</v>
      </c>
      <c r="F283" t="s">
        <v>436</v>
      </c>
      <c r="G283">
        <v>57032.68</v>
      </c>
      <c r="H283">
        <v>30307</v>
      </c>
      <c r="I283">
        <v>1.88</v>
      </c>
      <c r="J283">
        <v>6.2583000000000002</v>
      </c>
    </row>
    <row r="284" spans="1:10" x14ac:dyDescent="0.3">
      <c r="A284" t="s">
        <v>368</v>
      </c>
      <c r="B284" t="s">
        <v>191</v>
      </c>
      <c r="C284" s="25">
        <v>45838</v>
      </c>
      <c r="D284">
        <v>989921</v>
      </c>
      <c r="E284" t="s">
        <v>377</v>
      </c>
      <c r="F284" t="s">
        <v>436</v>
      </c>
      <c r="G284">
        <v>67284.61</v>
      </c>
      <c r="H284">
        <v>12694</v>
      </c>
      <c r="I284">
        <v>5.3</v>
      </c>
      <c r="J284">
        <v>6.5362</v>
      </c>
    </row>
    <row r="285" spans="1:10" x14ac:dyDescent="0.3">
      <c r="A285" t="s">
        <v>368</v>
      </c>
      <c r="B285" t="s">
        <v>191</v>
      </c>
      <c r="C285" s="25">
        <v>45869</v>
      </c>
      <c r="D285">
        <v>989921</v>
      </c>
      <c r="E285" t="s">
        <v>377</v>
      </c>
      <c r="F285" t="s">
        <v>436</v>
      </c>
      <c r="G285">
        <v>55902.73</v>
      </c>
      <c r="H285">
        <v>6279</v>
      </c>
      <c r="I285">
        <v>8.9</v>
      </c>
      <c r="J285">
        <v>5.3295000000000003</v>
      </c>
    </row>
    <row r="286" spans="1:10" x14ac:dyDescent="0.3">
      <c r="A286" t="s">
        <v>368</v>
      </c>
      <c r="B286" t="s">
        <v>191</v>
      </c>
      <c r="C286" s="25">
        <v>45900</v>
      </c>
      <c r="D286">
        <v>989921</v>
      </c>
      <c r="E286" t="s">
        <v>377</v>
      </c>
      <c r="F286" t="s">
        <v>436</v>
      </c>
      <c r="G286">
        <v>46088.26</v>
      </c>
      <c r="H286">
        <v>17018</v>
      </c>
      <c r="I286">
        <v>2.71</v>
      </c>
      <c r="J286">
        <v>4.4310999999999998</v>
      </c>
    </row>
    <row r="287" spans="1:10" x14ac:dyDescent="0.3">
      <c r="A287" t="s">
        <v>368</v>
      </c>
      <c r="B287" t="s">
        <v>191</v>
      </c>
      <c r="C287" s="25">
        <v>45930</v>
      </c>
      <c r="D287">
        <v>989921</v>
      </c>
      <c r="E287" t="s">
        <v>377</v>
      </c>
      <c r="F287" t="s">
        <v>436</v>
      </c>
      <c r="G287">
        <v>48102.92</v>
      </c>
      <c r="H287">
        <v>4735</v>
      </c>
      <c r="I287">
        <v>10.16</v>
      </c>
      <c r="J287">
        <v>5.0636999999999999</v>
      </c>
    </row>
    <row r="288" spans="1:10" x14ac:dyDescent="0.3">
      <c r="A288" t="s">
        <v>368</v>
      </c>
      <c r="B288" t="s">
        <v>191</v>
      </c>
      <c r="C288" s="25">
        <v>45961</v>
      </c>
      <c r="D288">
        <v>989921</v>
      </c>
      <c r="E288" t="s">
        <v>377</v>
      </c>
      <c r="F288" t="s">
        <v>436</v>
      </c>
      <c r="G288">
        <v>55792.39</v>
      </c>
      <c r="H288">
        <v>30127</v>
      </c>
      <c r="I288">
        <v>1.85</v>
      </c>
      <c r="J288">
        <v>5.4387999999999996</v>
      </c>
    </row>
    <row r="289" spans="1:10" x14ac:dyDescent="0.3">
      <c r="A289" t="s">
        <v>368</v>
      </c>
      <c r="B289" t="s">
        <v>191</v>
      </c>
      <c r="C289" s="25">
        <v>45991</v>
      </c>
      <c r="D289">
        <v>989921</v>
      </c>
      <c r="E289" t="s">
        <v>377</v>
      </c>
      <c r="F289" t="s">
        <v>436</v>
      </c>
      <c r="G289">
        <v>59118.07</v>
      </c>
      <c r="H289">
        <v>4973</v>
      </c>
      <c r="I289">
        <v>11.89</v>
      </c>
      <c r="J289">
        <v>5.2641999999999998</v>
      </c>
    </row>
    <row r="290" spans="1:10" x14ac:dyDescent="0.3">
      <c r="A290" t="s">
        <v>368</v>
      </c>
      <c r="B290" t="s">
        <v>191</v>
      </c>
      <c r="C290" s="25">
        <v>45657</v>
      </c>
      <c r="D290">
        <v>324130</v>
      </c>
      <c r="E290" t="s">
        <v>374</v>
      </c>
      <c r="F290" t="s">
        <v>435</v>
      </c>
      <c r="G290">
        <v>41443.94</v>
      </c>
      <c r="H290">
        <v>5778</v>
      </c>
      <c r="I290">
        <v>7.17</v>
      </c>
      <c r="J290">
        <v>4.2244999999999999</v>
      </c>
    </row>
    <row r="291" spans="1:10" x14ac:dyDescent="0.3">
      <c r="A291" t="s">
        <v>368</v>
      </c>
      <c r="B291" t="s">
        <v>191</v>
      </c>
      <c r="C291" s="25">
        <v>45688</v>
      </c>
      <c r="D291">
        <v>324130</v>
      </c>
      <c r="E291" t="s">
        <v>374</v>
      </c>
      <c r="F291" t="s">
        <v>435</v>
      </c>
      <c r="G291">
        <v>56795.05</v>
      </c>
      <c r="H291">
        <v>5212</v>
      </c>
      <c r="I291">
        <v>10.9</v>
      </c>
      <c r="J291">
        <v>5.3551000000000002</v>
      </c>
    </row>
    <row r="292" spans="1:10" x14ac:dyDescent="0.3">
      <c r="A292" t="s">
        <v>368</v>
      </c>
      <c r="B292" t="s">
        <v>191</v>
      </c>
      <c r="C292" s="25">
        <v>45716</v>
      </c>
      <c r="D292">
        <v>324130</v>
      </c>
      <c r="E292" t="s">
        <v>374</v>
      </c>
      <c r="F292" t="s">
        <v>435</v>
      </c>
      <c r="G292">
        <v>58634.78</v>
      </c>
      <c r="H292">
        <v>22036</v>
      </c>
      <c r="I292">
        <v>2.66</v>
      </c>
      <c r="J292">
        <v>5.8274999999999997</v>
      </c>
    </row>
    <row r="293" spans="1:10" x14ac:dyDescent="0.3">
      <c r="A293" t="s">
        <v>368</v>
      </c>
      <c r="B293" t="s">
        <v>191</v>
      </c>
      <c r="C293" s="25">
        <v>45747</v>
      </c>
      <c r="D293">
        <v>324130</v>
      </c>
      <c r="E293" t="s">
        <v>374</v>
      </c>
      <c r="F293" t="s">
        <v>435</v>
      </c>
      <c r="G293">
        <v>41047.17</v>
      </c>
      <c r="H293">
        <v>5341</v>
      </c>
      <c r="I293">
        <v>7.69</v>
      </c>
      <c r="J293">
        <v>4.0612000000000004</v>
      </c>
    </row>
    <row r="294" spans="1:10" x14ac:dyDescent="0.3">
      <c r="A294" t="s">
        <v>368</v>
      </c>
      <c r="B294" t="s">
        <v>191</v>
      </c>
      <c r="C294" s="25">
        <v>45777</v>
      </c>
      <c r="D294">
        <v>324130</v>
      </c>
      <c r="E294" t="s">
        <v>374</v>
      </c>
      <c r="F294" t="s">
        <v>435</v>
      </c>
      <c r="G294">
        <v>37733.9</v>
      </c>
      <c r="H294">
        <v>9200</v>
      </c>
      <c r="I294">
        <v>4.0999999999999996</v>
      </c>
      <c r="J294">
        <v>4.1382000000000003</v>
      </c>
    </row>
    <row r="295" spans="1:10" x14ac:dyDescent="0.3">
      <c r="A295" t="s">
        <v>368</v>
      </c>
      <c r="B295" t="s">
        <v>191</v>
      </c>
      <c r="C295" s="25">
        <v>45808</v>
      </c>
      <c r="D295">
        <v>324130</v>
      </c>
      <c r="E295" t="s">
        <v>374</v>
      </c>
      <c r="F295" t="s">
        <v>435</v>
      </c>
      <c r="G295">
        <v>40993.269999999997</v>
      </c>
      <c r="H295">
        <v>16034</v>
      </c>
      <c r="I295">
        <v>2.56</v>
      </c>
      <c r="J295">
        <v>4.4983000000000004</v>
      </c>
    </row>
    <row r="296" spans="1:10" x14ac:dyDescent="0.3">
      <c r="A296" t="s">
        <v>368</v>
      </c>
      <c r="B296" t="s">
        <v>191</v>
      </c>
      <c r="C296" s="25">
        <v>45838</v>
      </c>
      <c r="D296">
        <v>324130</v>
      </c>
      <c r="E296" t="s">
        <v>374</v>
      </c>
      <c r="F296" t="s">
        <v>435</v>
      </c>
      <c r="G296">
        <v>49503.35</v>
      </c>
      <c r="H296">
        <v>14907</v>
      </c>
      <c r="I296">
        <v>3.32</v>
      </c>
      <c r="J296">
        <v>4.8089000000000004</v>
      </c>
    </row>
    <row r="297" spans="1:10" x14ac:dyDescent="0.3">
      <c r="A297" t="s">
        <v>368</v>
      </c>
      <c r="B297" t="s">
        <v>191</v>
      </c>
      <c r="C297" s="25">
        <v>45869</v>
      </c>
      <c r="D297">
        <v>324130</v>
      </c>
      <c r="E297" t="s">
        <v>374</v>
      </c>
      <c r="F297" t="s">
        <v>435</v>
      </c>
      <c r="G297">
        <v>58660.5</v>
      </c>
      <c r="H297">
        <v>10370</v>
      </c>
      <c r="I297">
        <v>5.66</v>
      </c>
      <c r="J297">
        <v>5.5923999999999996</v>
      </c>
    </row>
    <row r="298" spans="1:10" x14ac:dyDescent="0.3">
      <c r="A298" t="s">
        <v>368</v>
      </c>
      <c r="B298" t="s">
        <v>191</v>
      </c>
      <c r="C298" s="25">
        <v>45900</v>
      </c>
      <c r="D298">
        <v>324130</v>
      </c>
      <c r="E298" t="s">
        <v>374</v>
      </c>
      <c r="F298" t="s">
        <v>435</v>
      </c>
      <c r="G298">
        <v>60515.11</v>
      </c>
      <c r="H298">
        <v>5186</v>
      </c>
      <c r="I298">
        <v>11.67</v>
      </c>
      <c r="J298">
        <v>5.8181000000000003</v>
      </c>
    </row>
    <row r="299" spans="1:10" x14ac:dyDescent="0.3">
      <c r="A299" t="s">
        <v>368</v>
      </c>
      <c r="B299" t="s">
        <v>191</v>
      </c>
      <c r="C299" s="25">
        <v>45930</v>
      </c>
      <c r="D299">
        <v>324130</v>
      </c>
      <c r="E299" t="s">
        <v>374</v>
      </c>
      <c r="F299" t="s">
        <v>435</v>
      </c>
      <c r="G299">
        <v>41271.57</v>
      </c>
      <c r="H299">
        <v>7453</v>
      </c>
      <c r="I299">
        <v>5.54</v>
      </c>
      <c r="J299">
        <v>4.3445999999999998</v>
      </c>
    </row>
    <row r="300" spans="1:10" x14ac:dyDescent="0.3">
      <c r="A300" t="s">
        <v>368</v>
      </c>
      <c r="B300" t="s">
        <v>191</v>
      </c>
      <c r="C300" s="25">
        <v>45961</v>
      </c>
      <c r="D300">
        <v>324130</v>
      </c>
      <c r="E300" t="s">
        <v>374</v>
      </c>
      <c r="F300" t="s">
        <v>435</v>
      </c>
      <c r="G300">
        <v>52493.49</v>
      </c>
      <c r="H300">
        <v>22742</v>
      </c>
      <c r="I300">
        <v>2.31</v>
      </c>
      <c r="J300">
        <v>5.1172000000000004</v>
      </c>
    </row>
    <row r="301" spans="1:10" x14ac:dyDescent="0.3">
      <c r="A301" t="s">
        <v>368</v>
      </c>
      <c r="B301" t="s">
        <v>191</v>
      </c>
      <c r="C301" s="25">
        <v>45991</v>
      </c>
      <c r="D301">
        <v>324130</v>
      </c>
      <c r="E301" t="s">
        <v>374</v>
      </c>
      <c r="F301" t="s">
        <v>435</v>
      </c>
      <c r="G301">
        <v>64955.41</v>
      </c>
      <c r="H301">
        <v>7694</v>
      </c>
      <c r="I301">
        <v>8.44</v>
      </c>
      <c r="J301">
        <v>5.7839</v>
      </c>
    </row>
    <row r="302" spans="1:10" x14ac:dyDescent="0.3">
      <c r="A302" t="s">
        <v>368</v>
      </c>
      <c r="B302" t="s">
        <v>191</v>
      </c>
      <c r="C302" s="25">
        <v>45657</v>
      </c>
      <c r="D302">
        <v>202664</v>
      </c>
      <c r="E302" t="s">
        <v>375</v>
      </c>
      <c r="F302" t="s">
        <v>434</v>
      </c>
      <c r="G302">
        <v>58934.09</v>
      </c>
      <c r="H302">
        <v>5492</v>
      </c>
      <c r="I302">
        <v>10.73</v>
      </c>
      <c r="J302">
        <v>6.0072999999999999</v>
      </c>
    </row>
    <row r="303" spans="1:10" x14ac:dyDescent="0.3">
      <c r="A303" t="s">
        <v>368</v>
      </c>
      <c r="B303" t="s">
        <v>191</v>
      </c>
      <c r="C303" s="25">
        <v>45688</v>
      </c>
      <c r="D303">
        <v>202664</v>
      </c>
      <c r="E303" t="s">
        <v>375</v>
      </c>
      <c r="F303" t="s">
        <v>434</v>
      </c>
      <c r="G303">
        <v>49419.37</v>
      </c>
      <c r="H303">
        <v>8880</v>
      </c>
      <c r="I303">
        <v>5.56</v>
      </c>
      <c r="J303">
        <v>4.6597</v>
      </c>
    </row>
    <row r="304" spans="1:10" x14ac:dyDescent="0.3">
      <c r="A304" t="s">
        <v>368</v>
      </c>
      <c r="B304" t="s">
        <v>191</v>
      </c>
      <c r="C304" s="25">
        <v>45716</v>
      </c>
      <c r="D304">
        <v>202664</v>
      </c>
      <c r="E304" t="s">
        <v>375</v>
      </c>
      <c r="F304" t="s">
        <v>434</v>
      </c>
      <c r="G304">
        <v>47260.99</v>
      </c>
      <c r="H304">
        <v>7724</v>
      </c>
      <c r="I304">
        <v>6.12</v>
      </c>
      <c r="J304">
        <v>4.6970999999999998</v>
      </c>
    </row>
    <row r="305" spans="1:10" x14ac:dyDescent="0.3">
      <c r="A305" t="s">
        <v>368</v>
      </c>
      <c r="B305" t="s">
        <v>191</v>
      </c>
      <c r="C305" s="25">
        <v>45747</v>
      </c>
      <c r="D305">
        <v>202664</v>
      </c>
      <c r="E305" t="s">
        <v>375</v>
      </c>
      <c r="F305" t="s">
        <v>434</v>
      </c>
      <c r="G305">
        <v>48502.77</v>
      </c>
      <c r="H305">
        <v>6522</v>
      </c>
      <c r="I305">
        <v>7.44</v>
      </c>
      <c r="J305">
        <v>4.7988</v>
      </c>
    </row>
    <row r="306" spans="1:10" x14ac:dyDescent="0.3">
      <c r="A306" t="s">
        <v>368</v>
      </c>
      <c r="B306" t="s">
        <v>191</v>
      </c>
      <c r="C306" s="25">
        <v>45777</v>
      </c>
      <c r="D306">
        <v>202664</v>
      </c>
      <c r="E306" t="s">
        <v>375</v>
      </c>
      <c r="F306" t="s">
        <v>434</v>
      </c>
      <c r="G306">
        <v>39317.800000000003</v>
      </c>
      <c r="H306">
        <v>9238</v>
      </c>
      <c r="I306">
        <v>4.26</v>
      </c>
      <c r="J306">
        <v>4.3118999999999996</v>
      </c>
    </row>
    <row r="307" spans="1:10" x14ac:dyDescent="0.3">
      <c r="A307" t="s">
        <v>368</v>
      </c>
      <c r="B307" t="s">
        <v>191</v>
      </c>
      <c r="C307" s="25">
        <v>45808</v>
      </c>
      <c r="D307">
        <v>202664</v>
      </c>
      <c r="E307" t="s">
        <v>375</v>
      </c>
      <c r="F307" t="s">
        <v>434</v>
      </c>
      <c r="G307">
        <v>41983.03</v>
      </c>
      <c r="H307">
        <v>5475</v>
      </c>
      <c r="I307">
        <v>7.67</v>
      </c>
      <c r="J307">
        <v>4.6069000000000004</v>
      </c>
    </row>
    <row r="308" spans="1:10" x14ac:dyDescent="0.3">
      <c r="A308" t="s">
        <v>368</v>
      </c>
      <c r="B308" t="s">
        <v>191</v>
      </c>
      <c r="C308" s="25">
        <v>45838</v>
      </c>
      <c r="D308">
        <v>202664</v>
      </c>
      <c r="E308" t="s">
        <v>375</v>
      </c>
      <c r="F308" t="s">
        <v>434</v>
      </c>
      <c r="G308">
        <v>32866.980000000003</v>
      </c>
      <c r="H308">
        <v>5932</v>
      </c>
      <c r="I308">
        <v>5.54</v>
      </c>
      <c r="J308">
        <v>3.1928000000000001</v>
      </c>
    </row>
    <row r="309" spans="1:10" x14ac:dyDescent="0.3">
      <c r="A309" t="s">
        <v>368</v>
      </c>
      <c r="B309" t="s">
        <v>191</v>
      </c>
      <c r="C309" s="25">
        <v>45869</v>
      </c>
      <c r="D309">
        <v>202664</v>
      </c>
      <c r="E309" t="s">
        <v>375</v>
      </c>
      <c r="F309" t="s">
        <v>434</v>
      </c>
      <c r="G309">
        <v>43310.05</v>
      </c>
      <c r="H309">
        <v>12301</v>
      </c>
      <c r="I309">
        <v>3.52</v>
      </c>
      <c r="J309">
        <v>4.1289999999999996</v>
      </c>
    </row>
    <row r="310" spans="1:10" x14ac:dyDescent="0.3">
      <c r="A310" t="s">
        <v>368</v>
      </c>
      <c r="B310" t="s">
        <v>191</v>
      </c>
      <c r="C310" s="25">
        <v>45900</v>
      </c>
      <c r="D310">
        <v>202664</v>
      </c>
      <c r="E310" t="s">
        <v>375</v>
      </c>
      <c r="F310" t="s">
        <v>434</v>
      </c>
      <c r="G310">
        <v>50642.71</v>
      </c>
      <c r="H310">
        <v>7891</v>
      </c>
      <c r="I310">
        <v>6.42</v>
      </c>
      <c r="J310">
        <v>4.8689999999999998</v>
      </c>
    </row>
    <row r="311" spans="1:10" x14ac:dyDescent="0.3">
      <c r="A311" t="s">
        <v>368</v>
      </c>
      <c r="B311" t="s">
        <v>191</v>
      </c>
      <c r="C311" s="25">
        <v>45930</v>
      </c>
      <c r="D311">
        <v>202664</v>
      </c>
      <c r="E311" t="s">
        <v>375</v>
      </c>
      <c r="F311" t="s">
        <v>434</v>
      </c>
      <c r="G311">
        <v>37263.94</v>
      </c>
      <c r="H311">
        <v>13300</v>
      </c>
      <c r="I311">
        <v>2.8</v>
      </c>
      <c r="J311">
        <v>3.9226999999999999</v>
      </c>
    </row>
    <row r="312" spans="1:10" x14ac:dyDescent="0.3">
      <c r="A312" t="s">
        <v>368</v>
      </c>
      <c r="B312" t="s">
        <v>191</v>
      </c>
      <c r="C312" s="25">
        <v>45961</v>
      </c>
      <c r="D312">
        <v>202664</v>
      </c>
      <c r="E312" t="s">
        <v>375</v>
      </c>
      <c r="F312" t="s">
        <v>434</v>
      </c>
      <c r="G312">
        <v>52455.07</v>
      </c>
      <c r="H312">
        <v>39421</v>
      </c>
      <c r="I312">
        <v>1.33</v>
      </c>
      <c r="J312">
        <v>5.1135000000000002</v>
      </c>
    </row>
    <row r="313" spans="1:10" x14ac:dyDescent="0.3">
      <c r="A313" t="s">
        <v>368</v>
      </c>
      <c r="B313" t="s">
        <v>191</v>
      </c>
      <c r="C313" s="25">
        <v>45991</v>
      </c>
      <c r="D313">
        <v>202664</v>
      </c>
      <c r="E313" t="s">
        <v>375</v>
      </c>
      <c r="F313" t="s">
        <v>434</v>
      </c>
      <c r="G313">
        <v>37919.660000000003</v>
      </c>
      <c r="H313">
        <v>17270</v>
      </c>
      <c r="I313">
        <v>2.2000000000000002</v>
      </c>
      <c r="J313">
        <v>3.3765000000000001</v>
      </c>
    </row>
    <row r="314" spans="1:10" x14ac:dyDescent="0.3">
      <c r="A314" t="s">
        <v>368</v>
      </c>
      <c r="B314" t="s">
        <v>191</v>
      </c>
      <c r="C314" s="25">
        <v>45657</v>
      </c>
      <c r="D314">
        <v>923267</v>
      </c>
      <c r="E314" t="s">
        <v>377</v>
      </c>
      <c r="F314" t="s">
        <v>433</v>
      </c>
      <c r="G314">
        <v>46357.53</v>
      </c>
      <c r="H314">
        <v>5305</v>
      </c>
      <c r="I314">
        <v>8.74</v>
      </c>
      <c r="J314">
        <v>4.7252999999999998</v>
      </c>
    </row>
    <row r="315" spans="1:10" x14ac:dyDescent="0.3">
      <c r="A315" t="s">
        <v>368</v>
      </c>
      <c r="B315" t="s">
        <v>191</v>
      </c>
      <c r="C315" s="25">
        <v>45688</v>
      </c>
      <c r="D315">
        <v>923267</v>
      </c>
      <c r="E315" t="s">
        <v>377</v>
      </c>
      <c r="F315" t="s">
        <v>433</v>
      </c>
      <c r="G315">
        <v>50095.97</v>
      </c>
      <c r="H315">
        <v>6111</v>
      </c>
      <c r="I315">
        <v>8.1999999999999993</v>
      </c>
      <c r="J315">
        <v>4.7234999999999996</v>
      </c>
    </row>
    <row r="316" spans="1:10" x14ac:dyDescent="0.3">
      <c r="A316" t="s">
        <v>368</v>
      </c>
      <c r="B316" t="s">
        <v>191</v>
      </c>
      <c r="C316" s="25">
        <v>45716</v>
      </c>
      <c r="D316">
        <v>923267</v>
      </c>
      <c r="E316" t="s">
        <v>377</v>
      </c>
      <c r="F316" t="s">
        <v>433</v>
      </c>
      <c r="G316">
        <v>56319.7</v>
      </c>
      <c r="H316">
        <v>59841</v>
      </c>
      <c r="I316">
        <v>0.94</v>
      </c>
      <c r="J316">
        <v>5.5974000000000004</v>
      </c>
    </row>
    <row r="317" spans="1:10" x14ac:dyDescent="0.3">
      <c r="A317" t="s">
        <v>368</v>
      </c>
      <c r="B317" t="s">
        <v>191</v>
      </c>
      <c r="C317" s="25">
        <v>45747</v>
      </c>
      <c r="D317">
        <v>923267</v>
      </c>
      <c r="E317" t="s">
        <v>377</v>
      </c>
      <c r="F317" t="s">
        <v>433</v>
      </c>
      <c r="G317">
        <v>40255.86</v>
      </c>
      <c r="H317">
        <v>5264</v>
      </c>
      <c r="I317">
        <v>7.65</v>
      </c>
      <c r="J317">
        <v>3.9828999999999999</v>
      </c>
    </row>
    <row r="318" spans="1:10" x14ac:dyDescent="0.3">
      <c r="A318" t="s">
        <v>368</v>
      </c>
      <c r="B318" t="s">
        <v>191</v>
      </c>
      <c r="C318" s="25">
        <v>45777</v>
      </c>
      <c r="D318">
        <v>923267</v>
      </c>
      <c r="E318" t="s">
        <v>377</v>
      </c>
      <c r="F318" t="s">
        <v>433</v>
      </c>
      <c r="G318">
        <v>38378.559999999998</v>
      </c>
      <c r="H318">
        <v>8323</v>
      </c>
      <c r="I318">
        <v>4.6100000000000003</v>
      </c>
      <c r="J318">
        <v>4.2088999999999999</v>
      </c>
    </row>
    <row r="319" spans="1:10" x14ac:dyDescent="0.3">
      <c r="A319" t="s">
        <v>368</v>
      </c>
      <c r="B319" t="s">
        <v>191</v>
      </c>
      <c r="C319" s="25">
        <v>45808</v>
      </c>
      <c r="D319">
        <v>923267</v>
      </c>
      <c r="E319" t="s">
        <v>377</v>
      </c>
      <c r="F319" t="s">
        <v>433</v>
      </c>
      <c r="G319">
        <v>47161.38</v>
      </c>
      <c r="H319">
        <v>12779</v>
      </c>
      <c r="I319">
        <v>3.69</v>
      </c>
      <c r="J319">
        <v>5.1750999999999996</v>
      </c>
    </row>
    <row r="320" spans="1:10" x14ac:dyDescent="0.3">
      <c r="A320" t="s">
        <v>368</v>
      </c>
      <c r="B320" t="s">
        <v>191</v>
      </c>
      <c r="C320" s="25">
        <v>45838</v>
      </c>
      <c r="D320">
        <v>923267</v>
      </c>
      <c r="E320" t="s">
        <v>377</v>
      </c>
      <c r="F320" t="s">
        <v>433</v>
      </c>
      <c r="G320">
        <v>52261.75</v>
      </c>
      <c r="H320">
        <v>4970</v>
      </c>
      <c r="I320">
        <v>10.52</v>
      </c>
      <c r="J320">
        <v>5.0768000000000004</v>
      </c>
    </row>
    <row r="321" spans="1:10" x14ac:dyDescent="0.3">
      <c r="A321" t="s">
        <v>368</v>
      </c>
      <c r="B321" t="s">
        <v>191</v>
      </c>
      <c r="C321" s="25">
        <v>45869</v>
      </c>
      <c r="D321">
        <v>923267</v>
      </c>
      <c r="E321" t="s">
        <v>377</v>
      </c>
      <c r="F321" t="s">
        <v>433</v>
      </c>
      <c r="G321">
        <v>50888.31</v>
      </c>
      <c r="H321">
        <v>11469</v>
      </c>
      <c r="I321">
        <v>4.4400000000000004</v>
      </c>
      <c r="J321">
        <v>4.8513999999999999</v>
      </c>
    </row>
    <row r="322" spans="1:10" x14ac:dyDescent="0.3">
      <c r="A322" t="s">
        <v>368</v>
      </c>
      <c r="B322" t="s">
        <v>191</v>
      </c>
      <c r="C322" s="25">
        <v>45900</v>
      </c>
      <c r="D322">
        <v>923267</v>
      </c>
      <c r="E322" t="s">
        <v>377</v>
      </c>
      <c r="F322" t="s">
        <v>433</v>
      </c>
      <c r="G322">
        <v>46004.03</v>
      </c>
      <c r="H322">
        <v>4319</v>
      </c>
      <c r="I322">
        <v>10.65</v>
      </c>
      <c r="J322">
        <v>4.423</v>
      </c>
    </row>
    <row r="323" spans="1:10" x14ac:dyDescent="0.3">
      <c r="A323" t="s">
        <v>368</v>
      </c>
      <c r="B323" t="s">
        <v>191</v>
      </c>
      <c r="C323" s="25">
        <v>45930</v>
      </c>
      <c r="D323">
        <v>923267</v>
      </c>
      <c r="E323" t="s">
        <v>377</v>
      </c>
      <c r="F323" t="s">
        <v>433</v>
      </c>
      <c r="G323">
        <v>48965.26</v>
      </c>
      <c r="H323">
        <v>7453</v>
      </c>
      <c r="I323">
        <v>6.57</v>
      </c>
      <c r="J323">
        <v>5.1544999999999996</v>
      </c>
    </row>
    <row r="324" spans="1:10" x14ac:dyDescent="0.3">
      <c r="A324" t="s">
        <v>368</v>
      </c>
      <c r="B324" t="s">
        <v>191</v>
      </c>
      <c r="C324" s="25">
        <v>45961</v>
      </c>
      <c r="D324">
        <v>923267</v>
      </c>
      <c r="E324" t="s">
        <v>377</v>
      </c>
      <c r="F324" t="s">
        <v>433</v>
      </c>
      <c r="G324">
        <v>60268.01</v>
      </c>
      <c r="H324">
        <v>6610</v>
      </c>
      <c r="I324">
        <v>9.1199999999999992</v>
      </c>
      <c r="J324">
        <v>5.8750999999999998</v>
      </c>
    </row>
    <row r="325" spans="1:10" x14ac:dyDescent="0.3">
      <c r="A325" t="s">
        <v>368</v>
      </c>
      <c r="B325" t="s">
        <v>191</v>
      </c>
      <c r="C325" s="25">
        <v>45991</v>
      </c>
      <c r="D325">
        <v>923267</v>
      </c>
      <c r="E325" t="s">
        <v>377</v>
      </c>
      <c r="F325" t="s">
        <v>433</v>
      </c>
      <c r="G325">
        <v>51492.33</v>
      </c>
      <c r="H325">
        <v>4441</v>
      </c>
      <c r="I325">
        <v>11.59</v>
      </c>
      <c r="J325">
        <v>4.5850999999999997</v>
      </c>
    </row>
    <row r="326" spans="1:10" x14ac:dyDescent="0.3">
      <c r="A326" t="s">
        <v>368</v>
      </c>
      <c r="B326" t="s">
        <v>191</v>
      </c>
      <c r="C326" s="25">
        <v>45657</v>
      </c>
      <c r="D326">
        <v>520521</v>
      </c>
      <c r="E326" t="s">
        <v>374</v>
      </c>
      <c r="F326" t="s">
        <v>432</v>
      </c>
      <c r="G326">
        <v>35901.410000000003</v>
      </c>
      <c r="H326">
        <v>4742</v>
      </c>
      <c r="I326">
        <v>7.57</v>
      </c>
      <c r="J326">
        <v>3.6595</v>
      </c>
    </row>
    <row r="327" spans="1:10" x14ac:dyDescent="0.3">
      <c r="A327" t="s">
        <v>368</v>
      </c>
      <c r="B327" t="s">
        <v>191</v>
      </c>
      <c r="C327" s="25">
        <v>45688</v>
      </c>
      <c r="D327">
        <v>520521</v>
      </c>
      <c r="E327" t="s">
        <v>374</v>
      </c>
      <c r="F327" t="s">
        <v>432</v>
      </c>
      <c r="G327">
        <v>42701.760000000002</v>
      </c>
      <c r="H327">
        <v>7061</v>
      </c>
      <c r="I327">
        <v>6.05</v>
      </c>
      <c r="J327">
        <v>4.0263</v>
      </c>
    </row>
    <row r="328" spans="1:10" x14ac:dyDescent="0.3">
      <c r="A328" t="s">
        <v>368</v>
      </c>
      <c r="B328" t="s">
        <v>191</v>
      </c>
      <c r="C328" s="25">
        <v>45716</v>
      </c>
      <c r="D328">
        <v>520521</v>
      </c>
      <c r="E328" t="s">
        <v>374</v>
      </c>
      <c r="F328" t="s">
        <v>432</v>
      </c>
      <c r="G328">
        <v>37537.71</v>
      </c>
      <c r="H328">
        <v>4128</v>
      </c>
      <c r="I328">
        <v>9.09</v>
      </c>
      <c r="J328">
        <v>3.7307000000000001</v>
      </c>
    </row>
    <row r="329" spans="1:10" x14ac:dyDescent="0.3">
      <c r="A329" t="s">
        <v>368</v>
      </c>
      <c r="B329" t="s">
        <v>191</v>
      </c>
      <c r="C329" s="25">
        <v>45747</v>
      </c>
      <c r="D329">
        <v>520521</v>
      </c>
      <c r="E329" t="s">
        <v>374</v>
      </c>
      <c r="F329" t="s">
        <v>432</v>
      </c>
      <c r="G329">
        <v>35212.550000000003</v>
      </c>
      <c r="H329">
        <v>8621</v>
      </c>
      <c r="I329">
        <v>4.08</v>
      </c>
      <c r="J329">
        <v>3.4839000000000002</v>
      </c>
    </row>
    <row r="330" spans="1:10" x14ac:dyDescent="0.3">
      <c r="A330" t="s">
        <v>368</v>
      </c>
      <c r="B330" t="s">
        <v>191</v>
      </c>
      <c r="C330" s="25">
        <v>45777</v>
      </c>
      <c r="D330">
        <v>520521</v>
      </c>
      <c r="E330" t="s">
        <v>374</v>
      </c>
      <c r="F330" t="s">
        <v>432</v>
      </c>
      <c r="G330">
        <v>37432.699999999997</v>
      </c>
      <c r="H330">
        <v>28100</v>
      </c>
      <c r="I330">
        <v>1.33</v>
      </c>
      <c r="J330">
        <v>4.1052</v>
      </c>
    </row>
    <row r="331" spans="1:10" x14ac:dyDescent="0.3">
      <c r="A331" t="s">
        <v>368</v>
      </c>
      <c r="B331" t="s">
        <v>191</v>
      </c>
      <c r="C331" s="25">
        <v>45808</v>
      </c>
      <c r="D331">
        <v>520521</v>
      </c>
      <c r="E331" t="s">
        <v>374</v>
      </c>
      <c r="F331" t="s">
        <v>432</v>
      </c>
      <c r="G331">
        <v>30634.91</v>
      </c>
      <c r="H331">
        <v>2881</v>
      </c>
      <c r="I331">
        <v>10.63</v>
      </c>
      <c r="J331">
        <v>3.3616000000000001</v>
      </c>
    </row>
    <row r="332" spans="1:10" x14ac:dyDescent="0.3">
      <c r="A332" t="s">
        <v>368</v>
      </c>
      <c r="B332" t="s">
        <v>191</v>
      </c>
      <c r="C332" s="25">
        <v>45838</v>
      </c>
      <c r="D332">
        <v>520521</v>
      </c>
      <c r="E332" t="s">
        <v>374</v>
      </c>
      <c r="F332" t="s">
        <v>432</v>
      </c>
      <c r="G332">
        <v>40628.29</v>
      </c>
      <c r="H332">
        <v>3607</v>
      </c>
      <c r="I332">
        <v>11.26</v>
      </c>
      <c r="J332">
        <v>3.9466999999999999</v>
      </c>
    </row>
    <row r="333" spans="1:10" x14ac:dyDescent="0.3">
      <c r="A333" t="s">
        <v>368</v>
      </c>
      <c r="B333" t="s">
        <v>191</v>
      </c>
      <c r="C333" s="25">
        <v>45869</v>
      </c>
      <c r="D333">
        <v>520521</v>
      </c>
      <c r="E333" t="s">
        <v>374</v>
      </c>
      <c r="F333" t="s">
        <v>432</v>
      </c>
      <c r="G333">
        <v>29481.63</v>
      </c>
      <c r="H333">
        <v>3553</v>
      </c>
      <c r="I333">
        <v>8.3000000000000007</v>
      </c>
      <c r="J333">
        <v>2.8106</v>
      </c>
    </row>
    <row r="334" spans="1:10" x14ac:dyDescent="0.3">
      <c r="A334" t="s">
        <v>368</v>
      </c>
      <c r="B334" t="s">
        <v>191</v>
      </c>
      <c r="C334" s="25">
        <v>45900</v>
      </c>
      <c r="D334">
        <v>520521</v>
      </c>
      <c r="E334" t="s">
        <v>374</v>
      </c>
      <c r="F334" t="s">
        <v>432</v>
      </c>
      <c r="G334">
        <v>47459.67</v>
      </c>
      <c r="H334">
        <v>10651</v>
      </c>
      <c r="I334">
        <v>4.46</v>
      </c>
      <c r="J334">
        <v>4.5629</v>
      </c>
    </row>
    <row r="335" spans="1:10" x14ac:dyDescent="0.3">
      <c r="A335" t="s">
        <v>368</v>
      </c>
      <c r="B335" t="s">
        <v>191</v>
      </c>
      <c r="C335" s="25">
        <v>45930</v>
      </c>
      <c r="D335">
        <v>520521</v>
      </c>
      <c r="E335" t="s">
        <v>374</v>
      </c>
      <c r="F335" t="s">
        <v>432</v>
      </c>
      <c r="G335">
        <v>30518.11</v>
      </c>
      <c r="H335">
        <v>8274</v>
      </c>
      <c r="I335">
        <v>3.69</v>
      </c>
      <c r="J335">
        <v>3.2126000000000001</v>
      </c>
    </row>
    <row r="336" spans="1:10" x14ac:dyDescent="0.3">
      <c r="A336" t="s">
        <v>368</v>
      </c>
      <c r="B336" t="s">
        <v>191</v>
      </c>
      <c r="C336" s="25">
        <v>45961</v>
      </c>
      <c r="D336">
        <v>520521</v>
      </c>
      <c r="E336" t="s">
        <v>374</v>
      </c>
      <c r="F336" t="s">
        <v>432</v>
      </c>
      <c r="G336">
        <v>29793.18</v>
      </c>
      <c r="H336">
        <v>27966</v>
      </c>
      <c r="I336">
        <v>1.07</v>
      </c>
      <c r="J336">
        <v>2.9043000000000001</v>
      </c>
    </row>
    <row r="337" spans="1:10" x14ac:dyDescent="0.3">
      <c r="A337" t="s">
        <v>368</v>
      </c>
      <c r="B337" t="s">
        <v>191</v>
      </c>
      <c r="C337" s="25">
        <v>45991</v>
      </c>
      <c r="D337">
        <v>520521</v>
      </c>
      <c r="E337" t="s">
        <v>374</v>
      </c>
      <c r="F337" t="s">
        <v>432</v>
      </c>
      <c r="G337">
        <v>48974.96</v>
      </c>
      <c r="H337">
        <v>57137</v>
      </c>
      <c r="I337">
        <v>0.86</v>
      </c>
      <c r="J337">
        <v>4.3609999999999998</v>
      </c>
    </row>
    <row r="338" spans="1:10" x14ac:dyDescent="0.3">
      <c r="A338" t="s">
        <v>368</v>
      </c>
      <c r="B338" t="s">
        <v>191</v>
      </c>
      <c r="C338" s="25">
        <v>45657</v>
      </c>
      <c r="D338">
        <v>299122</v>
      </c>
      <c r="E338" t="s">
        <v>369</v>
      </c>
      <c r="F338" t="s">
        <v>431</v>
      </c>
      <c r="G338">
        <v>34735.93</v>
      </c>
      <c r="H338">
        <v>5200</v>
      </c>
      <c r="I338">
        <v>6.68</v>
      </c>
      <c r="J338">
        <v>3.5407000000000002</v>
      </c>
    </row>
    <row r="339" spans="1:10" x14ac:dyDescent="0.3">
      <c r="A339" t="s">
        <v>368</v>
      </c>
      <c r="B339" t="s">
        <v>191</v>
      </c>
      <c r="C339" s="25">
        <v>45688</v>
      </c>
      <c r="D339">
        <v>299122</v>
      </c>
      <c r="E339" t="s">
        <v>369</v>
      </c>
      <c r="F339" t="s">
        <v>431</v>
      </c>
      <c r="G339">
        <v>31936.77</v>
      </c>
      <c r="H339">
        <v>3141</v>
      </c>
      <c r="I339">
        <v>10.17</v>
      </c>
      <c r="J339">
        <v>3.0112999999999999</v>
      </c>
    </row>
    <row r="340" spans="1:10" x14ac:dyDescent="0.3">
      <c r="A340" t="s">
        <v>368</v>
      </c>
      <c r="B340" t="s">
        <v>191</v>
      </c>
      <c r="C340" s="25">
        <v>45716</v>
      </c>
      <c r="D340">
        <v>299122</v>
      </c>
      <c r="E340" t="s">
        <v>369</v>
      </c>
      <c r="F340" t="s">
        <v>431</v>
      </c>
      <c r="G340">
        <v>28497.47</v>
      </c>
      <c r="H340">
        <v>8833</v>
      </c>
      <c r="I340">
        <v>3.23</v>
      </c>
      <c r="J340">
        <v>2.8323</v>
      </c>
    </row>
    <row r="341" spans="1:10" x14ac:dyDescent="0.3">
      <c r="A341" t="s">
        <v>368</v>
      </c>
      <c r="B341" t="s">
        <v>191</v>
      </c>
      <c r="C341" s="25">
        <v>45747</v>
      </c>
      <c r="D341">
        <v>299122</v>
      </c>
      <c r="E341" t="s">
        <v>369</v>
      </c>
      <c r="F341" t="s">
        <v>431</v>
      </c>
      <c r="G341">
        <v>27589.87</v>
      </c>
      <c r="H341">
        <v>4889</v>
      </c>
      <c r="I341">
        <v>5.64</v>
      </c>
      <c r="J341">
        <v>2.7296999999999998</v>
      </c>
    </row>
    <row r="342" spans="1:10" x14ac:dyDescent="0.3">
      <c r="A342" t="s">
        <v>368</v>
      </c>
      <c r="B342" t="s">
        <v>191</v>
      </c>
      <c r="C342" s="25">
        <v>45777</v>
      </c>
      <c r="D342">
        <v>299122</v>
      </c>
      <c r="E342" t="s">
        <v>369</v>
      </c>
      <c r="F342" t="s">
        <v>431</v>
      </c>
      <c r="G342">
        <v>27238.240000000002</v>
      </c>
      <c r="H342">
        <v>3964</v>
      </c>
      <c r="I342">
        <v>6.87</v>
      </c>
      <c r="J342">
        <v>2.9872000000000001</v>
      </c>
    </row>
    <row r="343" spans="1:10" x14ac:dyDescent="0.3">
      <c r="A343" t="s">
        <v>368</v>
      </c>
      <c r="B343" t="s">
        <v>191</v>
      </c>
      <c r="C343" s="25">
        <v>45808</v>
      </c>
      <c r="D343">
        <v>299122</v>
      </c>
      <c r="E343" t="s">
        <v>369</v>
      </c>
      <c r="F343" t="s">
        <v>431</v>
      </c>
      <c r="G343">
        <v>26025.98</v>
      </c>
      <c r="H343">
        <v>2323</v>
      </c>
      <c r="I343">
        <v>11.2</v>
      </c>
      <c r="J343">
        <v>2.8559000000000001</v>
      </c>
    </row>
    <row r="344" spans="1:10" x14ac:dyDescent="0.3">
      <c r="A344" t="s">
        <v>368</v>
      </c>
      <c r="B344" t="s">
        <v>191</v>
      </c>
      <c r="C344" s="25">
        <v>45838</v>
      </c>
      <c r="D344">
        <v>299122</v>
      </c>
      <c r="E344" t="s">
        <v>369</v>
      </c>
      <c r="F344" t="s">
        <v>431</v>
      </c>
      <c r="G344">
        <v>28855.93</v>
      </c>
      <c r="H344">
        <v>2568</v>
      </c>
      <c r="I344">
        <v>11.24</v>
      </c>
      <c r="J344">
        <v>2.8031000000000001</v>
      </c>
    </row>
    <row r="345" spans="1:10" x14ac:dyDescent="0.3">
      <c r="A345" t="s">
        <v>368</v>
      </c>
      <c r="B345" t="s">
        <v>191</v>
      </c>
      <c r="C345" s="25">
        <v>45869</v>
      </c>
      <c r="D345">
        <v>299122</v>
      </c>
      <c r="E345" t="s">
        <v>369</v>
      </c>
      <c r="F345" t="s">
        <v>431</v>
      </c>
      <c r="G345">
        <v>26200.15</v>
      </c>
      <c r="H345">
        <v>3889</v>
      </c>
      <c r="I345">
        <v>6.74</v>
      </c>
      <c r="J345">
        <v>2.4977999999999998</v>
      </c>
    </row>
    <row r="346" spans="1:10" x14ac:dyDescent="0.3">
      <c r="A346" t="s">
        <v>368</v>
      </c>
      <c r="B346" t="s">
        <v>191</v>
      </c>
      <c r="C346" s="25">
        <v>45900</v>
      </c>
      <c r="D346">
        <v>299122</v>
      </c>
      <c r="E346" t="s">
        <v>369</v>
      </c>
      <c r="F346" t="s">
        <v>431</v>
      </c>
      <c r="G346">
        <v>24759.78</v>
      </c>
      <c r="H346">
        <v>48636</v>
      </c>
      <c r="I346">
        <v>0.51</v>
      </c>
      <c r="J346">
        <v>2.3805000000000001</v>
      </c>
    </row>
    <row r="347" spans="1:10" x14ac:dyDescent="0.3">
      <c r="A347" t="s">
        <v>368</v>
      </c>
      <c r="B347" t="s">
        <v>191</v>
      </c>
      <c r="C347" s="25">
        <v>45930</v>
      </c>
      <c r="D347">
        <v>299122</v>
      </c>
      <c r="E347" t="s">
        <v>369</v>
      </c>
      <c r="F347" t="s">
        <v>431</v>
      </c>
      <c r="G347">
        <v>27652.57</v>
      </c>
      <c r="H347">
        <v>2817</v>
      </c>
      <c r="I347">
        <v>9.82</v>
      </c>
      <c r="J347">
        <v>2.911</v>
      </c>
    </row>
    <row r="348" spans="1:10" x14ac:dyDescent="0.3">
      <c r="A348" t="s">
        <v>368</v>
      </c>
      <c r="B348" t="s">
        <v>191</v>
      </c>
      <c r="C348" s="25">
        <v>45961</v>
      </c>
      <c r="D348">
        <v>299122</v>
      </c>
      <c r="E348" t="s">
        <v>369</v>
      </c>
      <c r="F348" t="s">
        <v>431</v>
      </c>
      <c r="G348">
        <v>30504.68</v>
      </c>
      <c r="H348">
        <v>2769</v>
      </c>
      <c r="I348">
        <v>11.02</v>
      </c>
      <c r="J348">
        <v>2.9737</v>
      </c>
    </row>
    <row r="349" spans="1:10" x14ac:dyDescent="0.3">
      <c r="A349" t="s">
        <v>368</v>
      </c>
      <c r="B349" t="s">
        <v>191</v>
      </c>
      <c r="C349" s="25">
        <v>45991</v>
      </c>
      <c r="D349">
        <v>299122</v>
      </c>
      <c r="E349" t="s">
        <v>369</v>
      </c>
      <c r="F349" t="s">
        <v>431</v>
      </c>
      <c r="G349">
        <v>28792.06</v>
      </c>
      <c r="H349">
        <v>9930</v>
      </c>
      <c r="I349">
        <v>2.9</v>
      </c>
      <c r="J349">
        <v>2.5638000000000001</v>
      </c>
    </row>
    <row r="350" spans="1:10" x14ac:dyDescent="0.3">
      <c r="A350" t="s">
        <v>368</v>
      </c>
      <c r="B350" t="s">
        <v>191</v>
      </c>
      <c r="C350" s="25">
        <v>45657</v>
      </c>
      <c r="D350">
        <v>610311</v>
      </c>
      <c r="E350" t="s">
        <v>378</v>
      </c>
      <c r="F350" t="s">
        <v>430</v>
      </c>
      <c r="G350">
        <v>24617.7</v>
      </c>
      <c r="H350">
        <v>3307</v>
      </c>
      <c r="I350">
        <v>7.44</v>
      </c>
      <c r="J350">
        <v>2.5093000000000001</v>
      </c>
    </row>
    <row r="351" spans="1:10" x14ac:dyDescent="0.3">
      <c r="A351" t="s">
        <v>368</v>
      </c>
      <c r="B351" t="s">
        <v>191</v>
      </c>
      <c r="C351" s="25">
        <v>45688</v>
      </c>
      <c r="D351">
        <v>610311</v>
      </c>
      <c r="E351" t="s">
        <v>378</v>
      </c>
      <c r="F351" t="s">
        <v>430</v>
      </c>
      <c r="G351">
        <v>30196.66</v>
      </c>
      <c r="H351">
        <v>12660</v>
      </c>
      <c r="I351">
        <v>2.39</v>
      </c>
      <c r="J351">
        <v>2.8472</v>
      </c>
    </row>
    <row r="352" spans="1:10" x14ac:dyDescent="0.3">
      <c r="A352" t="s">
        <v>368</v>
      </c>
      <c r="B352" t="s">
        <v>191</v>
      </c>
      <c r="C352" s="25">
        <v>45716</v>
      </c>
      <c r="D352">
        <v>610311</v>
      </c>
      <c r="E352" t="s">
        <v>378</v>
      </c>
      <c r="F352" t="s">
        <v>430</v>
      </c>
      <c r="G352">
        <v>23971.02</v>
      </c>
      <c r="H352">
        <v>4112</v>
      </c>
      <c r="I352">
        <v>5.83</v>
      </c>
      <c r="J352">
        <v>2.3824000000000001</v>
      </c>
    </row>
    <row r="353" spans="1:10" x14ac:dyDescent="0.3">
      <c r="A353" t="s">
        <v>368</v>
      </c>
      <c r="B353" t="s">
        <v>191</v>
      </c>
      <c r="C353" s="25">
        <v>45747</v>
      </c>
      <c r="D353">
        <v>610311</v>
      </c>
      <c r="E353" t="s">
        <v>378</v>
      </c>
      <c r="F353" t="s">
        <v>430</v>
      </c>
      <c r="G353">
        <v>32249.53</v>
      </c>
      <c r="H353">
        <v>4362</v>
      </c>
      <c r="I353">
        <v>7.39</v>
      </c>
      <c r="J353">
        <v>3.1907000000000001</v>
      </c>
    </row>
    <row r="354" spans="1:10" x14ac:dyDescent="0.3">
      <c r="A354" t="s">
        <v>368</v>
      </c>
      <c r="B354" t="s">
        <v>191</v>
      </c>
      <c r="C354" s="25">
        <v>45777</v>
      </c>
      <c r="D354">
        <v>610311</v>
      </c>
      <c r="E354" t="s">
        <v>378</v>
      </c>
      <c r="F354" t="s">
        <v>430</v>
      </c>
      <c r="G354">
        <v>27104.85</v>
      </c>
      <c r="H354">
        <v>6810</v>
      </c>
      <c r="I354">
        <v>3.98</v>
      </c>
      <c r="J354">
        <v>2.9725000000000001</v>
      </c>
    </row>
    <row r="355" spans="1:10" x14ac:dyDescent="0.3">
      <c r="A355" t="s">
        <v>368</v>
      </c>
      <c r="B355" t="s">
        <v>191</v>
      </c>
      <c r="C355" s="25">
        <v>45808</v>
      </c>
      <c r="D355">
        <v>610311</v>
      </c>
      <c r="E355" t="s">
        <v>378</v>
      </c>
      <c r="F355" t="s">
        <v>430</v>
      </c>
      <c r="G355">
        <v>22345.42</v>
      </c>
      <c r="H355">
        <v>2753</v>
      </c>
      <c r="I355">
        <v>8.1199999999999992</v>
      </c>
      <c r="J355">
        <v>2.452</v>
      </c>
    </row>
    <row r="356" spans="1:10" x14ac:dyDescent="0.3">
      <c r="A356" t="s">
        <v>368</v>
      </c>
      <c r="B356" t="s">
        <v>191</v>
      </c>
      <c r="C356" s="25">
        <v>45838</v>
      </c>
      <c r="D356">
        <v>610311</v>
      </c>
      <c r="E356" t="s">
        <v>378</v>
      </c>
      <c r="F356" t="s">
        <v>430</v>
      </c>
      <c r="G356">
        <v>30371.759999999998</v>
      </c>
      <c r="H356">
        <v>15385</v>
      </c>
      <c r="I356">
        <v>1.97</v>
      </c>
      <c r="J356">
        <v>2.9504000000000001</v>
      </c>
    </row>
    <row r="357" spans="1:10" x14ac:dyDescent="0.3">
      <c r="A357" t="s">
        <v>368</v>
      </c>
      <c r="B357" t="s">
        <v>191</v>
      </c>
      <c r="C357" s="25">
        <v>45869</v>
      </c>
      <c r="D357">
        <v>610311</v>
      </c>
      <c r="E357" t="s">
        <v>378</v>
      </c>
      <c r="F357" t="s">
        <v>430</v>
      </c>
      <c r="G357">
        <v>25086.66</v>
      </c>
      <c r="H357">
        <v>4653</v>
      </c>
      <c r="I357">
        <v>5.39</v>
      </c>
      <c r="J357">
        <v>2.3915999999999999</v>
      </c>
    </row>
    <row r="358" spans="1:10" x14ac:dyDescent="0.3">
      <c r="A358" t="s">
        <v>368</v>
      </c>
      <c r="B358" t="s">
        <v>191</v>
      </c>
      <c r="C358" s="25">
        <v>45900</v>
      </c>
      <c r="D358">
        <v>610311</v>
      </c>
      <c r="E358" t="s">
        <v>378</v>
      </c>
      <c r="F358" t="s">
        <v>430</v>
      </c>
      <c r="G358">
        <v>32154.71</v>
      </c>
      <c r="H358">
        <v>9152</v>
      </c>
      <c r="I358">
        <v>3.51</v>
      </c>
      <c r="J358">
        <v>3.0914999999999999</v>
      </c>
    </row>
    <row r="359" spans="1:10" x14ac:dyDescent="0.3">
      <c r="A359" t="s">
        <v>368</v>
      </c>
      <c r="B359" t="s">
        <v>191</v>
      </c>
      <c r="C359" s="25">
        <v>45930</v>
      </c>
      <c r="D359">
        <v>610311</v>
      </c>
      <c r="E359" t="s">
        <v>378</v>
      </c>
      <c r="F359" t="s">
        <v>430</v>
      </c>
      <c r="G359">
        <v>22860.43</v>
      </c>
      <c r="H359">
        <v>2149</v>
      </c>
      <c r="I359">
        <v>10.64</v>
      </c>
      <c r="J359">
        <v>2.4064999999999999</v>
      </c>
    </row>
    <row r="360" spans="1:10" x14ac:dyDescent="0.3">
      <c r="A360" t="s">
        <v>368</v>
      </c>
      <c r="B360" t="s">
        <v>191</v>
      </c>
      <c r="C360" s="25">
        <v>45961</v>
      </c>
      <c r="D360">
        <v>610311</v>
      </c>
      <c r="E360" t="s">
        <v>378</v>
      </c>
      <c r="F360" t="s">
        <v>430</v>
      </c>
      <c r="G360">
        <v>27745.73</v>
      </c>
      <c r="H360">
        <v>3670</v>
      </c>
      <c r="I360">
        <v>7.56</v>
      </c>
      <c r="J360">
        <v>2.7046999999999999</v>
      </c>
    </row>
    <row r="361" spans="1:10" x14ac:dyDescent="0.3">
      <c r="A361" t="s">
        <v>368</v>
      </c>
      <c r="B361" t="s">
        <v>191</v>
      </c>
      <c r="C361" s="25">
        <v>45991</v>
      </c>
      <c r="D361">
        <v>610311</v>
      </c>
      <c r="E361" t="s">
        <v>378</v>
      </c>
      <c r="F361" t="s">
        <v>430</v>
      </c>
      <c r="G361">
        <v>31590.799999999999</v>
      </c>
      <c r="H361">
        <v>20938</v>
      </c>
      <c r="I361">
        <v>1.51</v>
      </c>
      <c r="J361">
        <v>2.8130000000000002</v>
      </c>
    </row>
    <row r="362" spans="1:10" x14ac:dyDescent="0.3">
      <c r="A362" t="s">
        <v>368</v>
      </c>
      <c r="B362" t="s">
        <v>191</v>
      </c>
      <c r="C362" s="25">
        <v>45657</v>
      </c>
      <c r="D362">
        <v>399105</v>
      </c>
      <c r="E362" t="s">
        <v>375</v>
      </c>
      <c r="F362" t="s">
        <v>429</v>
      </c>
      <c r="G362">
        <v>31233.74</v>
      </c>
      <c r="H362">
        <v>3864</v>
      </c>
      <c r="I362">
        <v>8.08</v>
      </c>
      <c r="J362">
        <v>3.1837</v>
      </c>
    </row>
    <row r="363" spans="1:10" x14ac:dyDescent="0.3">
      <c r="A363" t="s">
        <v>368</v>
      </c>
      <c r="B363" t="s">
        <v>191</v>
      </c>
      <c r="C363" s="25">
        <v>45688</v>
      </c>
      <c r="D363">
        <v>399105</v>
      </c>
      <c r="E363" t="s">
        <v>375</v>
      </c>
      <c r="F363" t="s">
        <v>429</v>
      </c>
      <c r="G363">
        <v>24256.68</v>
      </c>
      <c r="H363">
        <v>3157</v>
      </c>
      <c r="I363">
        <v>7.68</v>
      </c>
      <c r="J363">
        <v>2.2871000000000001</v>
      </c>
    </row>
    <row r="364" spans="1:10" x14ac:dyDescent="0.3">
      <c r="A364" t="s">
        <v>368</v>
      </c>
      <c r="B364" t="s">
        <v>191</v>
      </c>
      <c r="C364" s="25">
        <v>45716</v>
      </c>
      <c r="D364">
        <v>399105</v>
      </c>
      <c r="E364" t="s">
        <v>375</v>
      </c>
      <c r="F364" t="s">
        <v>429</v>
      </c>
      <c r="G364">
        <v>22863.67</v>
      </c>
      <c r="H364">
        <v>13578</v>
      </c>
      <c r="I364">
        <v>1.68</v>
      </c>
      <c r="J364">
        <v>2.2723</v>
      </c>
    </row>
    <row r="365" spans="1:10" x14ac:dyDescent="0.3">
      <c r="A365" t="s">
        <v>368</v>
      </c>
      <c r="B365" t="s">
        <v>191</v>
      </c>
      <c r="C365" s="25">
        <v>45747</v>
      </c>
      <c r="D365">
        <v>399105</v>
      </c>
      <c r="E365" t="s">
        <v>375</v>
      </c>
      <c r="F365" t="s">
        <v>429</v>
      </c>
      <c r="G365">
        <v>20458.93</v>
      </c>
      <c r="H365">
        <v>2333</v>
      </c>
      <c r="I365">
        <v>8.77</v>
      </c>
      <c r="J365">
        <v>2.0242</v>
      </c>
    </row>
    <row r="366" spans="1:10" x14ac:dyDescent="0.3">
      <c r="A366" t="s">
        <v>368</v>
      </c>
      <c r="B366" t="s">
        <v>191</v>
      </c>
      <c r="C366" s="25">
        <v>45777</v>
      </c>
      <c r="D366">
        <v>399105</v>
      </c>
      <c r="E366" t="s">
        <v>375</v>
      </c>
      <c r="F366" t="s">
        <v>429</v>
      </c>
      <c r="G366">
        <v>30228.68</v>
      </c>
      <c r="H366">
        <v>8989</v>
      </c>
      <c r="I366">
        <v>3.36</v>
      </c>
      <c r="J366">
        <v>3.3151000000000002</v>
      </c>
    </row>
    <row r="367" spans="1:10" x14ac:dyDescent="0.3">
      <c r="A367" t="s">
        <v>368</v>
      </c>
      <c r="B367" t="s">
        <v>191</v>
      </c>
      <c r="C367" s="25">
        <v>45808</v>
      </c>
      <c r="D367">
        <v>399105</v>
      </c>
      <c r="E367" t="s">
        <v>375</v>
      </c>
      <c r="F367" t="s">
        <v>429</v>
      </c>
      <c r="G367">
        <v>23720.19</v>
      </c>
      <c r="H367">
        <v>5606</v>
      </c>
      <c r="I367">
        <v>4.2300000000000004</v>
      </c>
      <c r="J367">
        <v>2.6029</v>
      </c>
    </row>
    <row r="368" spans="1:10" x14ac:dyDescent="0.3">
      <c r="A368" t="s">
        <v>368</v>
      </c>
      <c r="B368" t="s">
        <v>191</v>
      </c>
      <c r="C368" s="25">
        <v>45838</v>
      </c>
      <c r="D368">
        <v>399105</v>
      </c>
      <c r="E368" t="s">
        <v>375</v>
      </c>
      <c r="F368" t="s">
        <v>429</v>
      </c>
      <c r="G368">
        <v>31012.78</v>
      </c>
      <c r="H368">
        <v>2867</v>
      </c>
      <c r="I368">
        <v>10.82</v>
      </c>
      <c r="J368">
        <v>3.0127000000000002</v>
      </c>
    </row>
    <row r="369" spans="1:10" x14ac:dyDescent="0.3">
      <c r="A369" t="s">
        <v>368</v>
      </c>
      <c r="B369" t="s">
        <v>191</v>
      </c>
      <c r="C369" s="25">
        <v>45869</v>
      </c>
      <c r="D369">
        <v>399105</v>
      </c>
      <c r="E369" t="s">
        <v>375</v>
      </c>
      <c r="F369" t="s">
        <v>429</v>
      </c>
      <c r="G369">
        <v>24833.43</v>
      </c>
      <c r="H369">
        <v>3844</v>
      </c>
      <c r="I369">
        <v>6.46</v>
      </c>
      <c r="J369">
        <v>2.3675000000000002</v>
      </c>
    </row>
    <row r="370" spans="1:10" x14ac:dyDescent="0.3">
      <c r="A370" t="s">
        <v>368</v>
      </c>
      <c r="B370" t="s">
        <v>191</v>
      </c>
      <c r="C370" s="25">
        <v>45900</v>
      </c>
      <c r="D370">
        <v>399105</v>
      </c>
      <c r="E370" t="s">
        <v>375</v>
      </c>
      <c r="F370" t="s">
        <v>429</v>
      </c>
      <c r="G370">
        <v>24975.69</v>
      </c>
      <c r="H370">
        <v>2354</v>
      </c>
      <c r="I370">
        <v>10.61</v>
      </c>
      <c r="J370">
        <v>2.4013</v>
      </c>
    </row>
    <row r="371" spans="1:10" x14ac:dyDescent="0.3">
      <c r="A371" t="s">
        <v>368</v>
      </c>
      <c r="B371" t="s">
        <v>191</v>
      </c>
      <c r="C371" s="25">
        <v>45930</v>
      </c>
      <c r="D371">
        <v>399105</v>
      </c>
      <c r="E371" t="s">
        <v>375</v>
      </c>
      <c r="F371" t="s">
        <v>429</v>
      </c>
      <c r="G371">
        <v>24427.88</v>
      </c>
      <c r="H371">
        <v>37603</v>
      </c>
      <c r="I371">
        <v>0.65</v>
      </c>
      <c r="J371">
        <v>2.5714999999999999</v>
      </c>
    </row>
    <row r="372" spans="1:10" x14ac:dyDescent="0.3">
      <c r="A372" t="s">
        <v>368</v>
      </c>
      <c r="B372" t="s">
        <v>191</v>
      </c>
      <c r="C372" s="25">
        <v>45961</v>
      </c>
      <c r="D372">
        <v>399105</v>
      </c>
      <c r="E372" t="s">
        <v>375</v>
      </c>
      <c r="F372" t="s">
        <v>429</v>
      </c>
      <c r="G372">
        <v>26495.83</v>
      </c>
      <c r="H372">
        <v>5978</v>
      </c>
      <c r="I372">
        <v>4.43</v>
      </c>
      <c r="J372">
        <v>2.5829</v>
      </c>
    </row>
    <row r="373" spans="1:10" x14ac:dyDescent="0.3">
      <c r="A373" t="s">
        <v>368</v>
      </c>
      <c r="B373" t="s">
        <v>191</v>
      </c>
      <c r="C373" s="25">
        <v>45991</v>
      </c>
      <c r="D373">
        <v>399105</v>
      </c>
      <c r="E373" t="s">
        <v>375</v>
      </c>
      <c r="F373" t="s">
        <v>429</v>
      </c>
      <c r="G373">
        <v>32059.63</v>
      </c>
      <c r="H373">
        <v>2881</v>
      </c>
      <c r="I373">
        <v>11.13</v>
      </c>
      <c r="J373">
        <v>2.8546999999999998</v>
      </c>
    </row>
    <row r="374" spans="1:10" x14ac:dyDescent="0.3">
      <c r="A374" t="s">
        <v>368</v>
      </c>
      <c r="B374" t="s">
        <v>191</v>
      </c>
      <c r="C374" s="25">
        <v>45657</v>
      </c>
      <c r="D374">
        <v>102260</v>
      </c>
      <c r="E374" t="s">
        <v>373</v>
      </c>
      <c r="F374" t="s">
        <v>428</v>
      </c>
      <c r="G374">
        <v>24311.15</v>
      </c>
      <c r="H374">
        <v>3568</v>
      </c>
      <c r="I374">
        <v>6.81</v>
      </c>
      <c r="J374">
        <v>2.4781</v>
      </c>
    </row>
    <row r="375" spans="1:10" x14ac:dyDescent="0.3">
      <c r="A375" t="s">
        <v>368</v>
      </c>
      <c r="B375" t="s">
        <v>191</v>
      </c>
      <c r="C375" s="25">
        <v>45688</v>
      </c>
      <c r="D375">
        <v>102260</v>
      </c>
      <c r="E375" t="s">
        <v>373</v>
      </c>
      <c r="F375" t="s">
        <v>428</v>
      </c>
      <c r="G375">
        <v>24581.61</v>
      </c>
      <c r="H375">
        <v>8134</v>
      </c>
      <c r="I375">
        <v>3.02</v>
      </c>
      <c r="J375">
        <v>2.3178000000000001</v>
      </c>
    </row>
    <row r="376" spans="1:10" x14ac:dyDescent="0.3">
      <c r="A376" t="s">
        <v>368</v>
      </c>
      <c r="B376" t="s">
        <v>191</v>
      </c>
      <c r="C376" s="25">
        <v>45716</v>
      </c>
      <c r="D376">
        <v>102260</v>
      </c>
      <c r="E376" t="s">
        <v>373</v>
      </c>
      <c r="F376" t="s">
        <v>428</v>
      </c>
      <c r="G376">
        <v>31708</v>
      </c>
      <c r="H376">
        <v>3578</v>
      </c>
      <c r="I376">
        <v>8.86</v>
      </c>
      <c r="J376">
        <v>3.1514000000000002</v>
      </c>
    </row>
    <row r="377" spans="1:10" x14ac:dyDescent="0.3">
      <c r="A377" t="s">
        <v>368</v>
      </c>
      <c r="B377" t="s">
        <v>191</v>
      </c>
      <c r="C377" s="25">
        <v>45747</v>
      </c>
      <c r="D377">
        <v>102260</v>
      </c>
      <c r="E377" t="s">
        <v>373</v>
      </c>
      <c r="F377" t="s">
        <v>428</v>
      </c>
      <c r="G377">
        <v>21520.93</v>
      </c>
      <c r="H377">
        <v>42344</v>
      </c>
      <c r="I377">
        <v>0.51</v>
      </c>
      <c r="J377">
        <v>2.1293000000000002</v>
      </c>
    </row>
    <row r="378" spans="1:10" x14ac:dyDescent="0.3">
      <c r="A378" t="s">
        <v>368</v>
      </c>
      <c r="B378" t="s">
        <v>191</v>
      </c>
      <c r="C378" s="25">
        <v>45777</v>
      </c>
      <c r="D378">
        <v>102260</v>
      </c>
      <c r="E378" t="s">
        <v>373</v>
      </c>
      <c r="F378" t="s">
        <v>428</v>
      </c>
      <c r="G378">
        <v>19787.29</v>
      </c>
      <c r="H378">
        <v>21164</v>
      </c>
      <c r="I378">
        <v>0.93</v>
      </c>
      <c r="J378">
        <v>2.17</v>
      </c>
    </row>
    <row r="379" spans="1:10" x14ac:dyDescent="0.3">
      <c r="A379" t="s">
        <v>368</v>
      </c>
      <c r="B379" t="s">
        <v>191</v>
      </c>
      <c r="C379" s="25">
        <v>45808</v>
      </c>
      <c r="D379">
        <v>102260</v>
      </c>
      <c r="E379" t="s">
        <v>373</v>
      </c>
      <c r="F379" t="s">
        <v>428</v>
      </c>
      <c r="G379">
        <v>19447.89</v>
      </c>
      <c r="H379">
        <v>10155</v>
      </c>
      <c r="I379">
        <v>1.92</v>
      </c>
      <c r="J379">
        <v>2.1341000000000001</v>
      </c>
    </row>
    <row r="380" spans="1:10" x14ac:dyDescent="0.3">
      <c r="A380" t="s">
        <v>368</v>
      </c>
      <c r="B380" t="s">
        <v>191</v>
      </c>
      <c r="C380" s="25">
        <v>45838</v>
      </c>
      <c r="D380">
        <v>102260</v>
      </c>
      <c r="E380" t="s">
        <v>373</v>
      </c>
      <c r="F380" t="s">
        <v>428</v>
      </c>
      <c r="G380">
        <v>28014.97</v>
      </c>
      <c r="H380">
        <v>8109</v>
      </c>
      <c r="I380">
        <v>3.45</v>
      </c>
      <c r="J380">
        <v>2.7214</v>
      </c>
    </row>
    <row r="381" spans="1:10" x14ac:dyDescent="0.3">
      <c r="A381" t="s">
        <v>368</v>
      </c>
      <c r="B381" t="s">
        <v>191</v>
      </c>
      <c r="C381" s="25">
        <v>45869</v>
      </c>
      <c r="D381">
        <v>102260</v>
      </c>
      <c r="E381" t="s">
        <v>373</v>
      </c>
      <c r="F381" t="s">
        <v>428</v>
      </c>
      <c r="G381">
        <v>27479.81</v>
      </c>
      <c r="H381">
        <v>37112</v>
      </c>
      <c r="I381">
        <v>0.74</v>
      </c>
      <c r="J381">
        <v>2.6198000000000001</v>
      </c>
    </row>
    <row r="382" spans="1:10" x14ac:dyDescent="0.3">
      <c r="A382" t="s">
        <v>368</v>
      </c>
      <c r="B382" t="s">
        <v>191</v>
      </c>
      <c r="C382" s="25">
        <v>45900</v>
      </c>
      <c r="D382">
        <v>102260</v>
      </c>
      <c r="E382" t="s">
        <v>373</v>
      </c>
      <c r="F382" t="s">
        <v>428</v>
      </c>
      <c r="G382">
        <v>24923.95</v>
      </c>
      <c r="H382">
        <v>7927</v>
      </c>
      <c r="I382">
        <v>3.14</v>
      </c>
      <c r="J382">
        <v>2.3963000000000001</v>
      </c>
    </row>
    <row r="383" spans="1:10" x14ac:dyDescent="0.3">
      <c r="A383" t="s">
        <v>368</v>
      </c>
      <c r="B383" t="s">
        <v>191</v>
      </c>
      <c r="C383" s="25">
        <v>45930</v>
      </c>
      <c r="D383">
        <v>102260</v>
      </c>
      <c r="E383" t="s">
        <v>373</v>
      </c>
      <c r="F383" t="s">
        <v>428</v>
      </c>
      <c r="G383">
        <v>20106.939999999999</v>
      </c>
      <c r="H383">
        <v>3125</v>
      </c>
      <c r="I383">
        <v>6.43</v>
      </c>
      <c r="J383">
        <v>2.1166</v>
      </c>
    </row>
    <row r="384" spans="1:10" x14ac:dyDescent="0.3">
      <c r="A384" t="s">
        <v>368</v>
      </c>
      <c r="B384" t="s">
        <v>191</v>
      </c>
      <c r="C384" s="25">
        <v>45961</v>
      </c>
      <c r="D384">
        <v>102260</v>
      </c>
      <c r="E384" t="s">
        <v>373</v>
      </c>
      <c r="F384" t="s">
        <v>428</v>
      </c>
      <c r="G384">
        <v>25721.93</v>
      </c>
      <c r="H384">
        <v>5621</v>
      </c>
      <c r="I384">
        <v>4.58</v>
      </c>
      <c r="J384">
        <v>2.5074999999999998</v>
      </c>
    </row>
    <row r="385" spans="1:10" x14ac:dyDescent="0.3">
      <c r="A385" t="s">
        <v>368</v>
      </c>
      <c r="B385" t="s">
        <v>191</v>
      </c>
      <c r="C385" s="25">
        <v>45991</v>
      </c>
      <c r="D385">
        <v>102260</v>
      </c>
      <c r="E385" t="s">
        <v>373</v>
      </c>
      <c r="F385" t="s">
        <v>428</v>
      </c>
      <c r="G385">
        <v>31170.21</v>
      </c>
      <c r="H385">
        <v>6383</v>
      </c>
      <c r="I385">
        <v>4.88</v>
      </c>
      <c r="J385">
        <v>2.7755000000000001</v>
      </c>
    </row>
    <row r="386" spans="1:10" x14ac:dyDescent="0.3">
      <c r="A386" t="s">
        <v>368</v>
      </c>
      <c r="B386" t="s">
        <v>191</v>
      </c>
      <c r="C386" s="25">
        <v>45657</v>
      </c>
      <c r="D386">
        <v>794022</v>
      </c>
      <c r="E386" t="s">
        <v>377</v>
      </c>
      <c r="F386" t="s">
        <v>427</v>
      </c>
      <c r="G386">
        <v>24601.85</v>
      </c>
      <c r="H386">
        <v>4321</v>
      </c>
      <c r="I386">
        <v>5.69</v>
      </c>
      <c r="J386">
        <v>2.5076999999999998</v>
      </c>
    </row>
    <row r="387" spans="1:10" x14ac:dyDescent="0.3">
      <c r="A387" t="s">
        <v>368</v>
      </c>
      <c r="B387" t="s">
        <v>191</v>
      </c>
      <c r="C387" s="25">
        <v>45688</v>
      </c>
      <c r="D387">
        <v>794022</v>
      </c>
      <c r="E387" t="s">
        <v>377</v>
      </c>
      <c r="F387" t="s">
        <v>427</v>
      </c>
      <c r="G387">
        <v>19528.939999999999</v>
      </c>
      <c r="H387">
        <v>1886</v>
      </c>
      <c r="I387">
        <v>10.35</v>
      </c>
      <c r="J387">
        <v>1.8413999999999999</v>
      </c>
    </row>
    <row r="388" spans="1:10" x14ac:dyDescent="0.3">
      <c r="A388" t="s">
        <v>368</v>
      </c>
      <c r="B388" t="s">
        <v>191</v>
      </c>
      <c r="C388" s="25">
        <v>45716</v>
      </c>
      <c r="D388">
        <v>794022</v>
      </c>
      <c r="E388" t="s">
        <v>377</v>
      </c>
      <c r="F388" t="s">
        <v>427</v>
      </c>
      <c r="G388">
        <v>19903.52</v>
      </c>
      <c r="H388">
        <v>2865</v>
      </c>
      <c r="I388">
        <v>6.95</v>
      </c>
      <c r="J388">
        <v>1.9781</v>
      </c>
    </row>
    <row r="389" spans="1:10" x14ac:dyDescent="0.3">
      <c r="A389" t="s">
        <v>368</v>
      </c>
      <c r="B389" t="s">
        <v>191</v>
      </c>
      <c r="C389" s="25">
        <v>45747</v>
      </c>
      <c r="D389">
        <v>794022</v>
      </c>
      <c r="E389" t="s">
        <v>377</v>
      </c>
      <c r="F389" t="s">
        <v>427</v>
      </c>
      <c r="G389">
        <v>21838.85</v>
      </c>
      <c r="H389">
        <v>13708</v>
      </c>
      <c r="I389">
        <v>1.59</v>
      </c>
      <c r="J389">
        <v>2.1606999999999998</v>
      </c>
    </row>
    <row r="390" spans="1:10" x14ac:dyDescent="0.3">
      <c r="A390" t="s">
        <v>368</v>
      </c>
      <c r="B390" t="s">
        <v>191</v>
      </c>
      <c r="C390" s="25">
        <v>45777</v>
      </c>
      <c r="D390">
        <v>794022</v>
      </c>
      <c r="E390" t="s">
        <v>377</v>
      </c>
      <c r="F390" t="s">
        <v>427</v>
      </c>
      <c r="G390">
        <v>17428.87</v>
      </c>
      <c r="H390">
        <v>6070</v>
      </c>
      <c r="I390">
        <v>2.87</v>
      </c>
      <c r="J390">
        <v>1.9114</v>
      </c>
    </row>
    <row r="391" spans="1:10" x14ac:dyDescent="0.3">
      <c r="A391" t="s">
        <v>368</v>
      </c>
      <c r="B391" t="s">
        <v>191</v>
      </c>
      <c r="C391" s="25">
        <v>45808</v>
      </c>
      <c r="D391">
        <v>794022</v>
      </c>
      <c r="E391" t="s">
        <v>377</v>
      </c>
      <c r="F391" t="s">
        <v>427</v>
      </c>
      <c r="G391">
        <v>14816.33</v>
      </c>
      <c r="H391">
        <v>1400</v>
      </c>
      <c r="I391">
        <v>10.58</v>
      </c>
      <c r="J391">
        <v>1.6257999999999999</v>
      </c>
    </row>
    <row r="392" spans="1:10" x14ac:dyDescent="0.3">
      <c r="A392" t="s">
        <v>368</v>
      </c>
      <c r="B392" t="s">
        <v>191</v>
      </c>
      <c r="C392" s="25">
        <v>45838</v>
      </c>
      <c r="D392">
        <v>794022</v>
      </c>
      <c r="E392" t="s">
        <v>377</v>
      </c>
      <c r="F392" t="s">
        <v>427</v>
      </c>
      <c r="G392">
        <v>20378.759999999998</v>
      </c>
      <c r="H392">
        <v>2730</v>
      </c>
      <c r="I392">
        <v>7.47</v>
      </c>
      <c r="J392">
        <v>1.9796</v>
      </c>
    </row>
    <row r="393" spans="1:10" x14ac:dyDescent="0.3">
      <c r="A393" t="s">
        <v>368</v>
      </c>
      <c r="B393" t="s">
        <v>191</v>
      </c>
      <c r="C393" s="25">
        <v>45869</v>
      </c>
      <c r="D393">
        <v>794022</v>
      </c>
      <c r="E393" t="s">
        <v>377</v>
      </c>
      <c r="F393" t="s">
        <v>427</v>
      </c>
      <c r="G393">
        <v>17405.77</v>
      </c>
      <c r="H393">
        <v>2058</v>
      </c>
      <c r="I393">
        <v>8.4600000000000009</v>
      </c>
      <c r="J393">
        <v>1.6594</v>
      </c>
    </row>
    <row r="394" spans="1:10" x14ac:dyDescent="0.3">
      <c r="A394" t="s">
        <v>368</v>
      </c>
      <c r="B394" t="s">
        <v>191</v>
      </c>
      <c r="C394" s="25">
        <v>45900</v>
      </c>
      <c r="D394">
        <v>794022</v>
      </c>
      <c r="E394" t="s">
        <v>377</v>
      </c>
      <c r="F394" t="s">
        <v>427</v>
      </c>
      <c r="G394">
        <v>24136.87</v>
      </c>
      <c r="H394">
        <v>3431</v>
      </c>
      <c r="I394">
        <v>7.04</v>
      </c>
      <c r="J394">
        <v>2.3206000000000002</v>
      </c>
    </row>
    <row r="395" spans="1:10" x14ac:dyDescent="0.3">
      <c r="A395" t="s">
        <v>368</v>
      </c>
      <c r="B395" t="s">
        <v>191</v>
      </c>
      <c r="C395" s="25">
        <v>45930</v>
      </c>
      <c r="D395">
        <v>794022</v>
      </c>
      <c r="E395" t="s">
        <v>377</v>
      </c>
      <c r="F395" t="s">
        <v>427</v>
      </c>
      <c r="G395">
        <v>18376.79</v>
      </c>
      <c r="H395">
        <v>3309</v>
      </c>
      <c r="I395">
        <v>5.55</v>
      </c>
      <c r="J395">
        <v>1.9345000000000001</v>
      </c>
    </row>
    <row r="396" spans="1:10" x14ac:dyDescent="0.3">
      <c r="A396" t="s">
        <v>368</v>
      </c>
      <c r="B396" t="s">
        <v>191</v>
      </c>
      <c r="C396" s="25">
        <v>45961</v>
      </c>
      <c r="D396">
        <v>794022</v>
      </c>
      <c r="E396" t="s">
        <v>377</v>
      </c>
      <c r="F396" t="s">
        <v>427</v>
      </c>
      <c r="G396">
        <v>20606.759999999998</v>
      </c>
      <c r="H396">
        <v>2073</v>
      </c>
      <c r="I396">
        <v>9.94</v>
      </c>
      <c r="J396">
        <v>2.0087999999999999</v>
      </c>
    </row>
    <row r="397" spans="1:10" x14ac:dyDescent="0.3">
      <c r="A397" t="s">
        <v>368</v>
      </c>
      <c r="B397" t="s">
        <v>191</v>
      </c>
      <c r="C397" s="25">
        <v>45991</v>
      </c>
      <c r="D397">
        <v>794022</v>
      </c>
      <c r="E397" t="s">
        <v>377</v>
      </c>
      <c r="F397" t="s">
        <v>427</v>
      </c>
      <c r="G397">
        <v>20210.95</v>
      </c>
      <c r="H397">
        <v>2671</v>
      </c>
      <c r="I397">
        <v>7.57</v>
      </c>
      <c r="J397">
        <v>1.7997000000000001</v>
      </c>
    </row>
    <row r="398" spans="1:10" x14ac:dyDescent="0.3">
      <c r="A398" t="s">
        <v>368</v>
      </c>
      <c r="B398" t="s">
        <v>191</v>
      </c>
      <c r="C398" s="25">
        <v>45657</v>
      </c>
      <c r="D398">
        <v>274389</v>
      </c>
      <c r="E398" t="s">
        <v>376</v>
      </c>
      <c r="F398" t="s">
        <v>426</v>
      </c>
      <c r="G398">
        <v>18326.86</v>
      </c>
      <c r="H398">
        <v>9841</v>
      </c>
      <c r="I398">
        <v>1.86</v>
      </c>
      <c r="J398">
        <v>1.8681000000000001</v>
      </c>
    </row>
    <row r="399" spans="1:10" x14ac:dyDescent="0.3">
      <c r="A399" t="s">
        <v>368</v>
      </c>
      <c r="B399" t="s">
        <v>191</v>
      </c>
      <c r="C399" s="25">
        <v>45688</v>
      </c>
      <c r="D399">
        <v>274389</v>
      </c>
      <c r="E399" t="s">
        <v>376</v>
      </c>
      <c r="F399" t="s">
        <v>426</v>
      </c>
      <c r="G399">
        <v>23694.240000000002</v>
      </c>
      <c r="H399">
        <v>36072</v>
      </c>
      <c r="I399">
        <v>0.66</v>
      </c>
      <c r="J399">
        <v>2.2341000000000002</v>
      </c>
    </row>
    <row r="400" spans="1:10" x14ac:dyDescent="0.3">
      <c r="A400" t="s">
        <v>368</v>
      </c>
      <c r="B400" t="s">
        <v>191</v>
      </c>
      <c r="C400" s="25">
        <v>45716</v>
      </c>
      <c r="D400">
        <v>274389</v>
      </c>
      <c r="E400" t="s">
        <v>376</v>
      </c>
      <c r="F400" t="s">
        <v>426</v>
      </c>
      <c r="G400">
        <v>21925.5</v>
      </c>
      <c r="H400">
        <v>2287</v>
      </c>
      <c r="I400">
        <v>9.59</v>
      </c>
      <c r="J400">
        <v>2.1791</v>
      </c>
    </row>
    <row r="401" spans="1:10" x14ac:dyDescent="0.3">
      <c r="A401" t="s">
        <v>368</v>
      </c>
      <c r="B401" t="s">
        <v>191</v>
      </c>
      <c r="C401" s="25">
        <v>45747</v>
      </c>
      <c r="D401">
        <v>274389</v>
      </c>
      <c r="E401" t="s">
        <v>376</v>
      </c>
      <c r="F401" t="s">
        <v>426</v>
      </c>
      <c r="G401">
        <v>15887.64</v>
      </c>
      <c r="H401">
        <v>4073</v>
      </c>
      <c r="I401">
        <v>3.9</v>
      </c>
      <c r="J401">
        <v>1.5719000000000001</v>
      </c>
    </row>
    <row r="402" spans="1:10" x14ac:dyDescent="0.3">
      <c r="A402" t="s">
        <v>368</v>
      </c>
      <c r="B402" t="s">
        <v>191</v>
      </c>
      <c r="C402" s="25">
        <v>45777</v>
      </c>
      <c r="D402">
        <v>274389</v>
      </c>
      <c r="E402" t="s">
        <v>376</v>
      </c>
      <c r="F402" t="s">
        <v>426</v>
      </c>
      <c r="G402">
        <v>10255.959999999999</v>
      </c>
      <c r="H402">
        <v>1964</v>
      </c>
      <c r="I402">
        <v>5.22</v>
      </c>
      <c r="J402">
        <v>1.1247</v>
      </c>
    </row>
    <row r="403" spans="1:10" x14ac:dyDescent="0.3">
      <c r="A403" t="s">
        <v>368</v>
      </c>
      <c r="B403" t="s">
        <v>191</v>
      </c>
      <c r="C403" s="25">
        <v>45808</v>
      </c>
      <c r="D403">
        <v>274389</v>
      </c>
      <c r="E403" t="s">
        <v>376</v>
      </c>
      <c r="F403" t="s">
        <v>426</v>
      </c>
      <c r="G403">
        <v>16700.29</v>
      </c>
      <c r="H403">
        <v>5284</v>
      </c>
      <c r="I403">
        <v>3.16</v>
      </c>
      <c r="J403">
        <v>1.8326</v>
      </c>
    </row>
    <row r="404" spans="1:10" x14ac:dyDescent="0.3">
      <c r="A404" t="s">
        <v>368</v>
      </c>
      <c r="B404" t="s">
        <v>191</v>
      </c>
      <c r="C404" s="25">
        <v>45838</v>
      </c>
      <c r="D404">
        <v>274389</v>
      </c>
      <c r="E404" t="s">
        <v>376</v>
      </c>
      <c r="F404" t="s">
        <v>426</v>
      </c>
      <c r="G404">
        <v>18432.23</v>
      </c>
      <c r="H404">
        <v>16221</v>
      </c>
      <c r="I404">
        <v>1.1399999999999999</v>
      </c>
      <c r="J404">
        <v>1.7906</v>
      </c>
    </row>
    <row r="405" spans="1:10" x14ac:dyDescent="0.3">
      <c r="A405" t="s">
        <v>368</v>
      </c>
      <c r="B405" t="s">
        <v>191</v>
      </c>
      <c r="C405" s="25">
        <v>45869</v>
      </c>
      <c r="D405">
        <v>274389</v>
      </c>
      <c r="E405" t="s">
        <v>376</v>
      </c>
      <c r="F405" t="s">
        <v>426</v>
      </c>
      <c r="G405">
        <v>18606.46</v>
      </c>
      <c r="H405">
        <v>6697</v>
      </c>
      <c r="I405">
        <v>2.78</v>
      </c>
      <c r="J405">
        <v>1.7738</v>
      </c>
    </row>
    <row r="406" spans="1:10" x14ac:dyDescent="0.3">
      <c r="A406" t="s">
        <v>368</v>
      </c>
      <c r="B406" t="s">
        <v>191</v>
      </c>
      <c r="C406" s="25">
        <v>45900</v>
      </c>
      <c r="D406">
        <v>274389</v>
      </c>
      <c r="E406" t="s">
        <v>376</v>
      </c>
      <c r="F406" t="s">
        <v>426</v>
      </c>
      <c r="G406">
        <v>17882.509999999998</v>
      </c>
      <c r="H406">
        <v>3875</v>
      </c>
      <c r="I406">
        <v>4.62</v>
      </c>
      <c r="J406">
        <v>1.7193000000000001</v>
      </c>
    </row>
    <row r="407" spans="1:10" x14ac:dyDescent="0.3">
      <c r="A407" t="s">
        <v>368</v>
      </c>
      <c r="B407" t="s">
        <v>191</v>
      </c>
      <c r="C407" s="25">
        <v>45930</v>
      </c>
      <c r="D407">
        <v>274389</v>
      </c>
      <c r="E407" t="s">
        <v>376</v>
      </c>
      <c r="F407" t="s">
        <v>426</v>
      </c>
      <c r="G407">
        <v>14876.88</v>
      </c>
      <c r="H407">
        <v>24911</v>
      </c>
      <c r="I407">
        <v>0.6</v>
      </c>
      <c r="J407">
        <v>1.5661</v>
      </c>
    </row>
    <row r="408" spans="1:10" x14ac:dyDescent="0.3">
      <c r="A408" t="s">
        <v>368</v>
      </c>
      <c r="B408" t="s">
        <v>191</v>
      </c>
      <c r="C408" s="25">
        <v>45961</v>
      </c>
      <c r="D408">
        <v>274389</v>
      </c>
      <c r="E408" t="s">
        <v>376</v>
      </c>
      <c r="F408" t="s">
        <v>426</v>
      </c>
      <c r="G408">
        <v>25840.63</v>
      </c>
      <c r="H408">
        <v>3223</v>
      </c>
      <c r="I408">
        <v>8.02</v>
      </c>
      <c r="J408">
        <v>2.5190000000000001</v>
      </c>
    </row>
    <row r="409" spans="1:10" x14ac:dyDescent="0.3">
      <c r="A409" t="s">
        <v>368</v>
      </c>
      <c r="B409" t="s">
        <v>191</v>
      </c>
      <c r="C409" s="25">
        <v>45991</v>
      </c>
      <c r="D409">
        <v>274389</v>
      </c>
      <c r="E409" t="s">
        <v>376</v>
      </c>
      <c r="F409" t="s">
        <v>426</v>
      </c>
      <c r="G409">
        <v>26949.16</v>
      </c>
      <c r="H409">
        <v>5443</v>
      </c>
      <c r="I409">
        <v>4.95</v>
      </c>
      <c r="J409">
        <v>2.3997000000000002</v>
      </c>
    </row>
    <row r="410" spans="1:10" x14ac:dyDescent="0.3">
      <c r="A410" t="s">
        <v>368</v>
      </c>
      <c r="B410" t="s">
        <v>191</v>
      </c>
      <c r="C410" s="25">
        <v>45657</v>
      </c>
      <c r="D410">
        <v>328275</v>
      </c>
      <c r="E410" t="s">
        <v>378</v>
      </c>
      <c r="F410" t="s">
        <v>425</v>
      </c>
      <c r="G410">
        <v>16639.66</v>
      </c>
      <c r="H410">
        <v>14836</v>
      </c>
      <c r="I410">
        <v>1.1200000000000001</v>
      </c>
      <c r="J410">
        <v>1.6960999999999999</v>
      </c>
    </row>
    <row r="411" spans="1:10" x14ac:dyDescent="0.3">
      <c r="A411" t="s">
        <v>368</v>
      </c>
      <c r="B411" t="s">
        <v>191</v>
      </c>
      <c r="C411" s="25">
        <v>45688</v>
      </c>
      <c r="D411">
        <v>328275</v>
      </c>
      <c r="E411" t="s">
        <v>378</v>
      </c>
      <c r="F411" t="s">
        <v>425</v>
      </c>
      <c r="G411">
        <v>19505.95</v>
      </c>
      <c r="H411">
        <v>3388</v>
      </c>
      <c r="I411">
        <v>5.76</v>
      </c>
      <c r="J411">
        <v>1.8391999999999999</v>
      </c>
    </row>
    <row r="412" spans="1:10" x14ac:dyDescent="0.3">
      <c r="A412" t="s">
        <v>368</v>
      </c>
      <c r="B412" t="s">
        <v>191</v>
      </c>
      <c r="C412" s="25">
        <v>45716</v>
      </c>
      <c r="D412">
        <v>328275</v>
      </c>
      <c r="E412" t="s">
        <v>378</v>
      </c>
      <c r="F412" t="s">
        <v>425</v>
      </c>
      <c r="G412">
        <v>20832.66</v>
      </c>
      <c r="H412">
        <v>12229</v>
      </c>
      <c r="I412">
        <v>1.7</v>
      </c>
      <c r="J412">
        <v>2.0705</v>
      </c>
    </row>
    <row r="413" spans="1:10" x14ac:dyDescent="0.3">
      <c r="A413" t="s">
        <v>368</v>
      </c>
      <c r="B413" t="s">
        <v>191</v>
      </c>
      <c r="C413" s="25">
        <v>45747</v>
      </c>
      <c r="D413">
        <v>328275</v>
      </c>
      <c r="E413" t="s">
        <v>378</v>
      </c>
      <c r="F413" t="s">
        <v>425</v>
      </c>
      <c r="G413">
        <v>18580</v>
      </c>
      <c r="H413">
        <v>1865</v>
      </c>
      <c r="I413">
        <v>9.9600000000000009</v>
      </c>
      <c r="J413">
        <v>1.8383</v>
      </c>
    </row>
    <row r="414" spans="1:10" x14ac:dyDescent="0.3">
      <c r="A414" t="s">
        <v>368</v>
      </c>
      <c r="B414" t="s">
        <v>191</v>
      </c>
      <c r="C414" s="25">
        <v>45777</v>
      </c>
      <c r="D414">
        <v>328275</v>
      </c>
      <c r="E414" t="s">
        <v>378</v>
      </c>
      <c r="F414" t="s">
        <v>425</v>
      </c>
      <c r="G414">
        <v>15275.74</v>
      </c>
      <c r="H414">
        <v>3689</v>
      </c>
      <c r="I414">
        <v>4.1399999999999997</v>
      </c>
      <c r="J414">
        <v>1.6753</v>
      </c>
    </row>
    <row r="415" spans="1:10" x14ac:dyDescent="0.3">
      <c r="A415" t="s">
        <v>368</v>
      </c>
      <c r="B415" t="s">
        <v>191</v>
      </c>
      <c r="C415" s="25">
        <v>45808</v>
      </c>
      <c r="D415">
        <v>328275</v>
      </c>
      <c r="E415" t="s">
        <v>378</v>
      </c>
      <c r="F415" t="s">
        <v>425</v>
      </c>
      <c r="G415">
        <v>13224.6</v>
      </c>
      <c r="H415">
        <v>2592</v>
      </c>
      <c r="I415">
        <v>5.0999999999999996</v>
      </c>
      <c r="J415">
        <v>1.4512</v>
      </c>
    </row>
    <row r="416" spans="1:10" x14ac:dyDescent="0.3">
      <c r="A416" t="s">
        <v>368</v>
      </c>
      <c r="B416" t="s">
        <v>191</v>
      </c>
      <c r="C416" s="25">
        <v>45838</v>
      </c>
      <c r="D416">
        <v>328275</v>
      </c>
      <c r="E416" t="s">
        <v>378</v>
      </c>
      <c r="F416" t="s">
        <v>425</v>
      </c>
      <c r="G416">
        <v>18607.02</v>
      </c>
      <c r="H416">
        <v>1915</v>
      </c>
      <c r="I416">
        <v>9.7200000000000006</v>
      </c>
      <c r="J416">
        <v>1.8075000000000001</v>
      </c>
    </row>
    <row r="417" spans="1:10" x14ac:dyDescent="0.3">
      <c r="A417" t="s">
        <v>368</v>
      </c>
      <c r="B417" t="s">
        <v>191</v>
      </c>
      <c r="C417" s="25">
        <v>45869</v>
      </c>
      <c r="D417">
        <v>328275</v>
      </c>
      <c r="E417" t="s">
        <v>378</v>
      </c>
      <c r="F417" t="s">
        <v>425</v>
      </c>
      <c r="G417">
        <v>15528.08</v>
      </c>
      <c r="H417">
        <v>2784</v>
      </c>
      <c r="I417">
        <v>5.58</v>
      </c>
      <c r="J417">
        <v>1.4803999999999999</v>
      </c>
    </row>
    <row r="418" spans="1:10" x14ac:dyDescent="0.3">
      <c r="A418" t="s">
        <v>368</v>
      </c>
      <c r="B418" t="s">
        <v>191</v>
      </c>
      <c r="C418" s="25">
        <v>45900</v>
      </c>
      <c r="D418">
        <v>328275</v>
      </c>
      <c r="E418" t="s">
        <v>378</v>
      </c>
      <c r="F418" t="s">
        <v>425</v>
      </c>
      <c r="G418">
        <v>22141.84</v>
      </c>
      <c r="H418">
        <v>2569</v>
      </c>
      <c r="I418">
        <v>8.6199999999999992</v>
      </c>
      <c r="J418">
        <v>2.1288</v>
      </c>
    </row>
    <row r="419" spans="1:10" x14ac:dyDescent="0.3">
      <c r="A419" t="s">
        <v>368</v>
      </c>
      <c r="B419" t="s">
        <v>191</v>
      </c>
      <c r="C419" s="25">
        <v>45930</v>
      </c>
      <c r="D419">
        <v>328275</v>
      </c>
      <c r="E419" t="s">
        <v>378</v>
      </c>
      <c r="F419" t="s">
        <v>425</v>
      </c>
      <c r="G419">
        <v>17056.189999999999</v>
      </c>
      <c r="H419">
        <v>2778</v>
      </c>
      <c r="I419">
        <v>6.14</v>
      </c>
      <c r="J419">
        <v>1.7955000000000001</v>
      </c>
    </row>
    <row r="420" spans="1:10" x14ac:dyDescent="0.3">
      <c r="A420" t="s">
        <v>368</v>
      </c>
      <c r="B420" t="s">
        <v>191</v>
      </c>
      <c r="C420" s="25">
        <v>45961</v>
      </c>
      <c r="D420">
        <v>328275</v>
      </c>
      <c r="E420" t="s">
        <v>378</v>
      </c>
      <c r="F420" t="s">
        <v>425</v>
      </c>
      <c r="G420">
        <v>19953.75</v>
      </c>
      <c r="H420">
        <v>2796</v>
      </c>
      <c r="I420">
        <v>7.14</v>
      </c>
      <c r="J420">
        <v>1.9452</v>
      </c>
    </row>
    <row r="421" spans="1:10" x14ac:dyDescent="0.3">
      <c r="A421" t="s">
        <v>368</v>
      </c>
      <c r="B421" t="s">
        <v>191</v>
      </c>
      <c r="C421" s="25">
        <v>45991</v>
      </c>
      <c r="D421">
        <v>328275</v>
      </c>
      <c r="E421" t="s">
        <v>378</v>
      </c>
      <c r="F421" t="s">
        <v>425</v>
      </c>
      <c r="G421">
        <v>19265.689999999999</v>
      </c>
      <c r="H421">
        <v>6331</v>
      </c>
      <c r="I421">
        <v>3.04</v>
      </c>
      <c r="J421">
        <v>1.7155</v>
      </c>
    </row>
    <row r="422" spans="1:10" x14ac:dyDescent="0.3">
      <c r="A422" t="s">
        <v>368</v>
      </c>
      <c r="B422" t="s">
        <v>191</v>
      </c>
      <c r="C422" s="25">
        <v>45657</v>
      </c>
      <c r="D422">
        <v>378085</v>
      </c>
      <c r="E422" t="s">
        <v>375</v>
      </c>
      <c r="F422" t="s">
        <v>424</v>
      </c>
      <c r="G422">
        <v>18095.59</v>
      </c>
      <c r="H422">
        <v>17958</v>
      </c>
      <c r="I422">
        <v>1.01</v>
      </c>
      <c r="J422">
        <v>1.8445</v>
      </c>
    </row>
    <row r="423" spans="1:10" x14ac:dyDescent="0.3">
      <c r="A423" t="s">
        <v>368</v>
      </c>
      <c r="B423" t="s">
        <v>191</v>
      </c>
      <c r="C423" s="25">
        <v>45688</v>
      </c>
      <c r="D423">
        <v>378085</v>
      </c>
      <c r="E423" t="s">
        <v>375</v>
      </c>
      <c r="F423" t="s">
        <v>424</v>
      </c>
      <c r="G423">
        <v>15749.77</v>
      </c>
      <c r="H423">
        <v>1323</v>
      </c>
      <c r="I423">
        <v>11.91</v>
      </c>
      <c r="J423">
        <v>1.4850000000000001</v>
      </c>
    </row>
    <row r="424" spans="1:10" x14ac:dyDescent="0.3">
      <c r="A424" t="s">
        <v>368</v>
      </c>
      <c r="B424" t="s">
        <v>191</v>
      </c>
      <c r="C424" s="25">
        <v>45716</v>
      </c>
      <c r="D424">
        <v>378085</v>
      </c>
      <c r="E424" t="s">
        <v>375</v>
      </c>
      <c r="F424" t="s">
        <v>424</v>
      </c>
      <c r="G424">
        <v>17226.73</v>
      </c>
      <c r="H424">
        <v>3418</v>
      </c>
      <c r="I424">
        <v>5.04</v>
      </c>
      <c r="J424">
        <v>1.7121</v>
      </c>
    </row>
    <row r="425" spans="1:10" x14ac:dyDescent="0.3">
      <c r="A425" t="s">
        <v>368</v>
      </c>
      <c r="B425" t="s">
        <v>191</v>
      </c>
      <c r="C425" s="25">
        <v>45747</v>
      </c>
      <c r="D425">
        <v>378085</v>
      </c>
      <c r="E425" t="s">
        <v>375</v>
      </c>
      <c r="F425" t="s">
        <v>424</v>
      </c>
      <c r="G425">
        <v>15676.14</v>
      </c>
      <c r="H425">
        <v>2545</v>
      </c>
      <c r="I425">
        <v>6.16</v>
      </c>
      <c r="J425">
        <v>1.5509999999999999</v>
      </c>
    </row>
    <row r="426" spans="1:10" x14ac:dyDescent="0.3">
      <c r="A426" t="s">
        <v>368</v>
      </c>
      <c r="B426" t="s">
        <v>191</v>
      </c>
      <c r="C426" s="25">
        <v>45777</v>
      </c>
      <c r="D426">
        <v>378085</v>
      </c>
      <c r="E426" t="s">
        <v>375</v>
      </c>
      <c r="F426" t="s">
        <v>424</v>
      </c>
      <c r="G426">
        <v>14460.78</v>
      </c>
      <c r="H426">
        <v>2164</v>
      </c>
      <c r="I426">
        <v>6.68</v>
      </c>
      <c r="J426">
        <v>1.5859000000000001</v>
      </c>
    </row>
    <row r="427" spans="1:10" x14ac:dyDescent="0.3">
      <c r="A427" t="s">
        <v>368</v>
      </c>
      <c r="B427" t="s">
        <v>191</v>
      </c>
      <c r="C427" s="25">
        <v>45808</v>
      </c>
      <c r="D427">
        <v>378085</v>
      </c>
      <c r="E427" t="s">
        <v>375</v>
      </c>
      <c r="F427" t="s">
        <v>424</v>
      </c>
      <c r="G427">
        <v>17123.41</v>
      </c>
      <c r="H427">
        <v>16049</v>
      </c>
      <c r="I427">
        <v>1.07</v>
      </c>
      <c r="J427">
        <v>1.879</v>
      </c>
    </row>
    <row r="428" spans="1:10" x14ac:dyDescent="0.3">
      <c r="A428" t="s">
        <v>368</v>
      </c>
      <c r="B428" t="s">
        <v>191</v>
      </c>
      <c r="C428" s="25">
        <v>45838</v>
      </c>
      <c r="D428">
        <v>378085</v>
      </c>
      <c r="E428" t="s">
        <v>375</v>
      </c>
      <c r="F428" t="s">
        <v>424</v>
      </c>
      <c r="G428">
        <v>14972.2</v>
      </c>
      <c r="H428">
        <v>8280</v>
      </c>
      <c r="I428">
        <v>1.81</v>
      </c>
      <c r="J428">
        <v>1.4543999999999999</v>
      </c>
    </row>
    <row r="429" spans="1:10" x14ac:dyDescent="0.3">
      <c r="A429" t="s">
        <v>368</v>
      </c>
      <c r="B429" t="s">
        <v>191</v>
      </c>
      <c r="C429" s="25">
        <v>45869</v>
      </c>
      <c r="D429">
        <v>378085</v>
      </c>
      <c r="E429" t="s">
        <v>375</v>
      </c>
      <c r="F429" t="s">
        <v>424</v>
      </c>
      <c r="G429">
        <v>18137.599999999999</v>
      </c>
      <c r="H429">
        <v>3471</v>
      </c>
      <c r="I429">
        <v>5.23</v>
      </c>
      <c r="J429">
        <v>1.7291000000000001</v>
      </c>
    </row>
    <row r="430" spans="1:10" x14ac:dyDescent="0.3">
      <c r="A430" t="s">
        <v>368</v>
      </c>
      <c r="B430" t="s">
        <v>191</v>
      </c>
      <c r="C430" s="25">
        <v>45900</v>
      </c>
      <c r="D430">
        <v>378085</v>
      </c>
      <c r="E430" t="s">
        <v>375</v>
      </c>
      <c r="F430" t="s">
        <v>424</v>
      </c>
      <c r="G430">
        <v>20473.02</v>
      </c>
      <c r="H430">
        <v>8022</v>
      </c>
      <c r="I430">
        <v>2.5499999999999998</v>
      </c>
      <c r="J430">
        <v>1.9682999999999999</v>
      </c>
    </row>
    <row r="431" spans="1:10" x14ac:dyDescent="0.3">
      <c r="A431" t="s">
        <v>368</v>
      </c>
      <c r="B431" t="s">
        <v>191</v>
      </c>
      <c r="C431" s="25">
        <v>45930</v>
      </c>
      <c r="D431">
        <v>378085</v>
      </c>
      <c r="E431" t="s">
        <v>375</v>
      </c>
      <c r="F431" t="s">
        <v>424</v>
      </c>
      <c r="G431">
        <v>17754.8</v>
      </c>
      <c r="H431">
        <v>12545</v>
      </c>
      <c r="I431">
        <v>1.42</v>
      </c>
      <c r="J431">
        <v>1.869</v>
      </c>
    </row>
    <row r="432" spans="1:10" x14ac:dyDescent="0.3">
      <c r="A432" t="s">
        <v>368</v>
      </c>
      <c r="B432" t="s">
        <v>191</v>
      </c>
      <c r="C432" s="25">
        <v>45961</v>
      </c>
      <c r="D432">
        <v>378085</v>
      </c>
      <c r="E432" t="s">
        <v>375</v>
      </c>
      <c r="F432" t="s">
        <v>424</v>
      </c>
      <c r="G432">
        <v>15301.11</v>
      </c>
      <c r="H432">
        <v>1538</v>
      </c>
      <c r="I432">
        <v>9.9499999999999993</v>
      </c>
      <c r="J432">
        <v>1.4916</v>
      </c>
    </row>
    <row r="433" spans="1:10" x14ac:dyDescent="0.3">
      <c r="A433" t="s">
        <v>368</v>
      </c>
      <c r="B433" t="s">
        <v>191</v>
      </c>
      <c r="C433" s="25">
        <v>45991</v>
      </c>
      <c r="D433">
        <v>378085</v>
      </c>
      <c r="E433" t="s">
        <v>375</v>
      </c>
      <c r="F433" t="s">
        <v>424</v>
      </c>
      <c r="G433">
        <v>19798.37</v>
      </c>
      <c r="H433">
        <v>2118</v>
      </c>
      <c r="I433">
        <v>9.35</v>
      </c>
      <c r="J433">
        <v>1.7628999999999999</v>
      </c>
    </row>
    <row r="434" spans="1:10" x14ac:dyDescent="0.3">
      <c r="A434" t="s">
        <v>368</v>
      </c>
      <c r="B434" t="s">
        <v>191</v>
      </c>
      <c r="C434" s="25">
        <v>45657</v>
      </c>
      <c r="D434">
        <v>197793</v>
      </c>
      <c r="E434" t="s">
        <v>378</v>
      </c>
      <c r="F434" t="s">
        <v>423</v>
      </c>
      <c r="G434">
        <v>9706.64</v>
      </c>
      <c r="H434">
        <v>2758</v>
      </c>
      <c r="I434">
        <v>3.52</v>
      </c>
      <c r="J434">
        <v>0.98939999999999995</v>
      </c>
    </row>
    <row r="435" spans="1:10" x14ac:dyDescent="0.3">
      <c r="A435" t="s">
        <v>368</v>
      </c>
      <c r="B435" t="s">
        <v>191</v>
      </c>
      <c r="C435" s="25">
        <v>45688</v>
      </c>
      <c r="D435">
        <v>197793</v>
      </c>
      <c r="E435" t="s">
        <v>378</v>
      </c>
      <c r="F435" t="s">
        <v>423</v>
      </c>
      <c r="G435">
        <v>16193.28</v>
      </c>
      <c r="H435">
        <v>8515</v>
      </c>
      <c r="I435">
        <v>1.9</v>
      </c>
      <c r="J435">
        <v>1.5267999999999999</v>
      </c>
    </row>
    <row r="436" spans="1:10" x14ac:dyDescent="0.3">
      <c r="A436" t="s">
        <v>368</v>
      </c>
      <c r="B436" t="s">
        <v>191</v>
      </c>
      <c r="C436" s="25">
        <v>45716</v>
      </c>
      <c r="D436">
        <v>197793</v>
      </c>
      <c r="E436" t="s">
        <v>378</v>
      </c>
      <c r="F436" t="s">
        <v>423</v>
      </c>
      <c r="G436">
        <v>18628.59</v>
      </c>
      <c r="H436">
        <v>4021</v>
      </c>
      <c r="I436">
        <v>4.63</v>
      </c>
      <c r="J436">
        <v>1.8513999999999999</v>
      </c>
    </row>
    <row r="437" spans="1:10" x14ac:dyDescent="0.3">
      <c r="A437" t="s">
        <v>368</v>
      </c>
      <c r="B437" t="s">
        <v>191</v>
      </c>
      <c r="C437" s="25">
        <v>45747</v>
      </c>
      <c r="D437">
        <v>197793</v>
      </c>
      <c r="E437" t="s">
        <v>378</v>
      </c>
      <c r="F437" t="s">
        <v>423</v>
      </c>
      <c r="G437">
        <v>14014.75</v>
      </c>
      <c r="H437">
        <v>2349</v>
      </c>
      <c r="I437">
        <v>5.97</v>
      </c>
      <c r="J437">
        <v>1.3866000000000001</v>
      </c>
    </row>
    <row r="438" spans="1:10" x14ac:dyDescent="0.3">
      <c r="A438" t="s">
        <v>368</v>
      </c>
      <c r="B438" t="s">
        <v>191</v>
      </c>
      <c r="C438" s="25">
        <v>45777</v>
      </c>
      <c r="D438">
        <v>197793</v>
      </c>
      <c r="E438" t="s">
        <v>378</v>
      </c>
      <c r="F438" t="s">
        <v>423</v>
      </c>
      <c r="G438">
        <v>14617.64</v>
      </c>
      <c r="H438">
        <v>1345</v>
      </c>
      <c r="I438">
        <v>10.86</v>
      </c>
      <c r="J438">
        <v>1.6031</v>
      </c>
    </row>
    <row r="439" spans="1:10" x14ac:dyDescent="0.3">
      <c r="A439" t="s">
        <v>368</v>
      </c>
      <c r="B439" t="s">
        <v>191</v>
      </c>
      <c r="C439" s="25">
        <v>45808</v>
      </c>
      <c r="D439">
        <v>197793</v>
      </c>
      <c r="E439" t="s">
        <v>378</v>
      </c>
      <c r="F439" t="s">
        <v>423</v>
      </c>
      <c r="G439">
        <v>9649.64</v>
      </c>
      <c r="H439">
        <v>4046</v>
      </c>
      <c r="I439">
        <v>2.39</v>
      </c>
      <c r="J439">
        <v>1.0589</v>
      </c>
    </row>
    <row r="440" spans="1:10" x14ac:dyDescent="0.3">
      <c r="A440" t="s">
        <v>368</v>
      </c>
      <c r="B440" t="s">
        <v>191</v>
      </c>
      <c r="C440" s="25">
        <v>45838</v>
      </c>
      <c r="D440">
        <v>197793</v>
      </c>
      <c r="E440" t="s">
        <v>378</v>
      </c>
      <c r="F440" t="s">
        <v>423</v>
      </c>
      <c r="G440">
        <v>11600.26</v>
      </c>
      <c r="H440">
        <v>1509</v>
      </c>
      <c r="I440">
        <v>7.69</v>
      </c>
      <c r="J440">
        <v>1.1269</v>
      </c>
    </row>
    <row r="441" spans="1:10" x14ac:dyDescent="0.3">
      <c r="A441" t="s">
        <v>368</v>
      </c>
      <c r="B441" t="s">
        <v>191</v>
      </c>
      <c r="C441" s="25">
        <v>45869</v>
      </c>
      <c r="D441">
        <v>197793</v>
      </c>
      <c r="E441" t="s">
        <v>378</v>
      </c>
      <c r="F441" t="s">
        <v>423</v>
      </c>
      <c r="G441">
        <v>13222.99</v>
      </c>
      <c r="H441">
        <v>1489</v>
      </c>
      <c r="I441">
        <v>8.8800000000000008</v>
      </c>
      <c r="J441">
        <v>1.2605999999999999</v>
      </c>
    </row>
    <row r="442" spans="1:10" x14ac:dyDescent="0.3">
      <c r="A442" t="s">
        <v>368</v>
      </c>
      <c r="B442" t="s">
        <v>191</v>
      </c>
      <c r="C442" s="25">
        <v>45900</v>
      </c>
      <c r="D442">
        <v>197793</v>
      </c>
      <c r="E442" t="s">
        <v>378</v>
      </c>
      <c r="F442" t="s">
        <v>423</v>
      </c>
      <c r="G442">
        <v>13470.86</v>
      </c>
      <c r="H442">
        <v>1179</v>
      </c>
      <c r="I442">
        <v>11.43</v>
      </c>
      <c r="J442">
        <v>1.2950999999999999</v>
      </c>
    </row>
    <row r="443" spans="1:10" x14ac:dyDescent="0.3">
      <c r="A443" t="s">
        <v>368</v>
      </c>
      <c r="B443" t="s">
        <v>191</v>
      </c>
      <c r="C443" s="25">
        <v>45930</v>
      </c>
      <c r="D443">
        <v>197793</v>
      </c>
      <c r="E443" t="s">
        <v>378</v>
      </c>
      <c r="F443" t="s">
        <v>423</v>
      </c>
      <c r="G443">
        <v>13184.2</v>
      </c>
      <c r="H443">
        <v>10741</v>
      </c>
      <c r="I443">
        <v>1.23</v>
      </c>
      <c r="J443">
        <v>1.3878999999999999</v>
      </c>
    </row>
    <row r="444" spans="1:10" x14ac:dyDescent="0.3">
      <c r="A444" t="s">
        <v>368</v>
      </c>
      <c r="B444" t="s">
        <v>191</v>
      </c>
      <c r="C444" s="25">
        <v>45961</v>
      </c>
      <c r="D444">
        <v>197793</v>
      </c>
      <c r="E444" t="s">
        <v>378</v>
      </c>
      <c r="F444" t="s">
        <v>423</v>
      </c>
      <c r="G444">
        <v>12382.4</v>
      </c>
      <c r="H444">
        <v>1149</v>
      </c>
      <c r="I444">
        <v>10.78</v>
      </c>
      <c r="J444">
        <v>1.2071000000000001</v>
      </c>
    </row>
    <row r="445" spans="1:10" x14ac:dyDescent="0.3">
      <c r="A445" t="s">
        <v>368</v>
      </c>
      <c r="B445" t="s">
        <v>191</v>
      </c>
      <c r="C445" s="25">
        <v>45991</v>
      </c>
      <c r="D445">
        <v>197793</v>
      </c>
      <c r="E445" t="s">
        <v>378</v>
      </c>
      <c r="F445" t="s">
        <v>423</v>
      </c>
      <c r="G445">
        <v>15209.56</v>
      </c>
      <c r="H445">
        <v>2307</v>
      </c>
      <c r="I445">
        <v>6.59</v>
      </c>
      <c r="J445">
        <v>1.3543000000000001</v>
      </c>
    </row>
    <row r="446" spans="1:10" x14ac:dyDescent="0.3">
      <c r="A446" t="s">
        <v>368</v>
      </c>
      <c r="B446" t="s">
        <v>191</v>
      </c>
      <c r="C446" s="25">
        <v>45657</v>
      </c>
      <c r="D446">
        <v>272634</v>
      </c>
      <c r="E446" t="s">
        <v>377</v>
      </c>
      <c r="F446" t="s">
        <v>422</v>
      </c>
      <c r="G446">
        <v>10567.94</v>
      </c>
      <c r="H446">
        <v>4742</v>
      </c>
      <c r="I446">
        <v>2.23</v>
      </c>
      <c r="J446">
        <v>1.0771999999999999</v>
      </c>
    </row>
    <row r="447" spans="1:10" x14ac:dyDescent="0.3">
      <c r="A447" t="s">
        <v>368</v>
      </c>
      <c r="B447" t="s">
        <v>191</v>
      </c>
      <c r="C447" s="25">
        <v>45688</v>
      </c>
      <c r="D447">
        <v>272634</v>
      </c>
      <c r="E447" t="s">
        <v>377</v>
      </c>
      <c r="F447" t="s">
        <v>422</v>
      </c>
      <c r="G447">
        <v>10716.46</v>
      </c>
      <c r="H447">
        <v>11355</v>
      </c>
      <c r="I447">
        <v>0.94</v>
      </c>
      <c r="J447">
        <v>1.0104</v>
      </c>
    </row>
    <row r="448" spans="1:10" x14ac:dyDescent="0.3">
      <c r="A448" t="s">
        <v>368</v>
      </c>
      <c r="B448" t="s">
        <v>191</v>
      </c>
      <c r="C448" s="25">
        <v>45716</v>
      </c>
      <c r="D448">
        <v>272634</v>
      </c>
      <c r="E448" t="s">
        <v>377</v>
      </c>
      <c r="F448" t="s">
        <v>422</v>
      </c>
      <c r="G448">
        <v>8950.93</v>
      </c>
      <c r="H448">
        <v>4513</v>
      </c>
      <c r="I448">
        <v>1.98</v>
      </c>
      <c r="J448">
        <v>0.88959999999999995</v>
      </c>
    </row>
    <row r="449" spans="1:10" x14ac:dyDescent="0.3">
      <c r="A449" t="s">
        <v>368</v>
      </c>
      <c r="B449" t="s">
        <v>191</v>
      </c>
      <c r="C449" s="25">
        <v>45747</v>
      </c>
      <c r="D449">
        <v>272634</v>
      </c>
      <c r="E449" t="s">
        <v>377</v>
      </c>
      <c r="F449" t="s">
        <v>422</v>
      </c>
      <c r="G449">
        <v>10566.19</v>
      </c>
      <c r="H449">
        <v>1795</v>
      </c>
      <c r="I449">
        <v>5.89</v>
      </c>
      <c r="J449">
        <v>1.0454000000000001</v>
      </c>
    </row>
    <row r="450" spans="1:10" x14ac:dyDescent="0.3">
      <c r="A450" t="s">
        <v>368</v>
      </c>
      <c r="B450" t="s">
        <v>191</v>
      </c>
      <c r="C450" s="25">
        <v>45777</v>
      </c>
      <c r="D450">
        <v>272634</v>
      </c>
      <c r="E450" t="s">
        <v>377</v>
      </c>
      <c r="F450" t="s">
        <v>422</v>
      </c>
      <c r="G450">
        <v>8059.14</v>
      </c>
      <c r="H450">
        <v>2201</v>
      </c>
      <c r="I450">
        <v>3.66</v>
      </c>
      <c r="J450">
        <v>0.88380000000000003</v>
      </c>
    </row>
    <row r="451" spans="1:10" x14ac:dyDescent="0.3">
      <c r="A451" t="s">
        <v>368</v>
      </c>
      <c r="B451" t="s">
        <v>191</v>
      </c>
      <c r="C451" s="25">
        <v>45808</v>
      </c>
      <c r="D451">
        <v>272634</v>
      </c>
      <c r="E451" t="s">
        <v>377</v>
      </c>
      <c r="F451" t="s">
        <v>422</v>
      </c>
      <c r="G451">
        <v>8681.73</v>
      </c>
      <c r="H451">
        <v>9897</v>
      </c>
      <c r="I451">
        <v>0.88</v>
      </c>
      <c r="J451">
        <v>0.95269999999999999</v>
      </c>
    </row>
    <row r="452" spans="1:10" x14ac:dyDescent="0.3">
      <c r="A452" t="s">
        <v>368</v>
      </c>
      <c r="B452" t="s">
        <v>191</v>
      </c>
      <c r="C452" s="25">
        <v>45838</v>
      </c>
      <c r="D452">
        <v>272634</v>
      </c>
      <c r="E452" t="s">
        <v>377</v>
      </c>
      <c r="F452" t="s">
        <v>422</v>
      </c>
      <c r="G452">
        <v>11006.25</v>
      </c>
      <c r="H452">
        <v>933</v>
      </c>
      <c r="I452">
        <v>11.8</v>
      </c>
      <c r="J452">
        <v>1.0691999999999999</v>
      </c>
    </row>
    <row r="453" spans="1:10" x14ac:dyDescent="0.3">
      <c r="A453" t="s">
        <v>368</v>
      </c>
      <c r="B453" t="s">
        <v>191</v>
      </c>
      <c r="C453" s="25">
        <v>45869</v>
      </c>
      <c r="D453">
        <v>272634</v>
      </c>
      <c r="E453" t="s">
        <v>377</v>
      </c>
      <c r="F453" t="s">
        <v>422</v>
      </c>
      <c r="G453">
        <v>9596.0400000000009</v>
      </c>
      <c r="H453">
        <v>1226</v>
      </c>
      <c r="I453">
        <v>7.83</v>
      </c>
      <c r="J453">
        <v>0.91479999999999995</v>
      </c>
    </row>
    <row r="454" spans="1:10" x14ac:dyDescent="0.3">
      <c r="A454" t="s">
        <v>368</v>
      </c>
      <c r="B454" t="s">
        <v>191</v>
      </c>
      <c r="C454" s="25">
        <v>45900</v>
      </c>
      <c r="D454">
        <v>272634</v>
      </c>
      <c r="E454" t="s">
        <v>377</v>
      </c>
      <c r="F454" t="s">
        <v>422</v>
      </c>
      <c r="G454">
        <v>8009.94</v>
      </c>
      <c r="H454">
        <v>722</v>
      </c>
      <c r="I454">
        <v>11.1</v>
      </c>
      <c r="J454">
        <v>0.77010000000000001</v>
      </c>
    </row>
    <row r="455" spans="1:10" x14ac:dyDescent="0.3">
      <c r="A455" t="s">
        <v>368</v>
      </c>
      <c r="B455" t="s">
        <v>191</v>
      </c>
      <c r="C455" s="25">
        <v>45930</v>
      </c>
      <c r="D455">
        <v>272634</v>
      </c>
      <c r="E455" t="s">
        <v>377</v>
      </c>
      <c r="F455" t="s">
        <v>422</v>
      </c>
      <c r="G455">
        <v>9012.5300000000007</v>
      </c>
      <c r="H455">
        <v>978</v>
      </c>
      <c r="I455">
        <v>9.2100000000000009</v>
      </c>
      <c r="J455">
        <v>0.94869999999999999</v>
      </c>
    </row>
    <row r="456" spans="1:10" x14ac:dyDescent="0.3">
      <c r="A456" t="s">
        <v>368</v>
      </c>
      <c r="B456" t="s">
        <v>191</v>
      </c>
      <c r="C456" s="25">
        <v>45961</v>
      </c>
      <c r="D456">
        <v>272634</v>
      </c>
      <c r="E456" t="s">
        <v>377</v>
      </c>
      <c r="F456" t="s">
        <v>422</v>
      </c>
      <c r="G456">
        <v>10981.74</v>
      </c>
      <c r="H456">
        <v>3917</v>
      </c>
      <c r="I456">
        <v>2.8</v>
      </c>
      <c r="J456">
        <v>1.0705</v>
      </c>
    </row>
    <row r="457" spans="1:10" x14ac:dyDescent="0.3">
      <c r="A457" t="s">
        <v>368</v>
      </c>
      <c r="B457" t="s">
        <v>191</v>
      </c>
      <c r="C457" s="25">
        <v>45991</v>
      </c>
      <c r="D457">
        <v>272634</v>
      </c>
      <c r="E457" t="s">
        <v>377</v>
      </c>
      <c r="F457" t="s">
        <v>422</v>
      </c>
      <c r="G457">
        <v>12179.43</v>
      </c>
      <c r="H457">
        <v>4162</v>
      </c>
      <c r="I457">
        <v>2.93</v>
      </c>
      <c r="J457">
        <v>1.0845</v>
      </c>
    </row>
    <row r="458" spans="1:10" x14ac:dyDescent="0.3">
      <c r="A458" t="s">
        <v>368</v>
      </c>
      <c r="B458" t="s">
        <v>191</v>
      </c>
      <c r="C458" s="25">
        <v>45657</v>
      </c>
      <c r="D458">
        <v>609231</v>
      </c>
      <c r="E458" t="s">
        <v>378</v>
      </c>
      <c r="F458" t="s">
        <v>421</v>
      </c>
      <c r="G458">
        <v>5335.47</v>
      </c>
      <c r="H458">
        <v>962</v>
      </c>
      <c r="I458">
        <v>5.54</v>
      </c>
      <c r="J458">
        <v>0.54390000000000005</v>
      </c>
    </row>
    <row r="459" spans="1:10" x14ac:dyDescent="0.3">
      <c r="A459" t="s">
        <v>368</v>
      </c>
      <c r="B459" t="s">
        <v>191</v>
      </c>
      <c r="C459" s="25">
        <v>45688</v>
      </c>
      <c r="D459">
        <v>609231</v>
      </c>
      <c r="E459" t="s">
        <v>378</v>
      </c>
      <c r="F459" t="s">
        <v>421</v>
      </c>
      <c r="G459">
        <v>7550.76</v>
      </c>
      <c r="H459">
        <v>795</v>
      </c>
      <c r="I459">
        <v>9.49</v>
      </c>
      <c r="J459">
        <v>0.71189999999999998</v>
      </c>
    </row>
    <row r="460" spans="1:10" x14ac:dyDescent="0.3">
      <c r="A460" t="s">
        <v>368</v>
      </c>
      <c r="B460" t="s">
        <v>191</v>
      </c>
      <c r="C460" s="25">
        <v>45716</v>
      </c>
      <c r="D460">
        <v>609231</v>
      </c>
      <c r="E460" t="s">
        <v>378</v>
      </c>
      <c r="F460" t="s">
        <v>421</v>
      </c>
      <c r="G460">
        <v>6248.98</v>
      </c>
      <c r="H460">
        <v>650</v>
      </c>
      <c r="I460">
        <v>9.61</v>
      </c>
      <c r="J460">
        <v>0.62109999999999999</v>
      </c>
    </row>
    <row r="461" spans="1:10" x14ac:dyDescent="0.3">
      <c r="A461" t="s">
        <v>368</v>
      </c>
      <c r="B461" t="s">
        <v>191</v>
      </c>
      <c r="C461" s="25">
        <v>45747</v>
      </c>
      <c r="D461">
        <v>609231</v>
      </c>
      <c r="E461" t="s">
        <v>378</v>
      </c>
      <c r="F461" t="s">
        <v>421</v>
      </c>
      <c r="G461">
        <v>7946.09</v>
      </c>
      <c r="H461">
        <v>783</v>
      </c>
      <c r="I461">
        <v>10.14</v>
      </c>
      <c r="J461">
        <v>0.78620000000000001</v>
      </c>
    </row>
    <row r="462" spans="1:10" x14ac:dyDescent="0.3">
      <c r="A462" t="s">
        <v>368</v>
      </c>
      <c r="B462" t="s">
        <v>191</v>
      </c>
      <c r="C462" s="25">
        <v>45777</v>
      </c>
      <c r="D462">
        <v>609231</v>
      </c>
      <c r="E462" t="s">
        <v>378</v>
      </c>
      <c r="F462" t="s">
        <v>421</v>
      </c>
      <c r="G462">
        <v>4826.29</v>
      </c>
      <c r="H462">
        <v>1322</v>
      </c>
      <c r="I462">
        <v>3.65</v>
      </c>
      <c r="J462">
        <v>0.52929999999999999</v>
      </c>
    </row>
    <row r="463" spans="1:10" x14ac:dyDescent="0.3">
      <c r="A463" t="s">
        <v>368</v>
      </c>
      <c r="B463" t="s">
        <v>191</v>
      </c>
      <c r="C463" s="25">
        <v>45808</v>
      </c>
      <c r="D463">
        <v>609231</v>
      </c>
      <c r="E463" t="s">
        <v>378</v>
      </c>
      <c r="F463" t="s">
        <v>421</v>
      </c>
      <c r="G463">
        <v>6470.4</v>
      </c>
      <c r="H463">
        <v>1570</v>
      </c>
      <c r="I463">
        <v>4.12</v>
      </c>
      <c r="J463">
        <v>0.71</v>
      </c>
    </row>
    <row r="464" spans="1:10" x14ac:dyDescent="0.3">
      <c r="A464" t="s">
        <v>368</v>
      </c>
      <c r="B464" t="s">
        <v>191</v>
      </c>
      <c r="C464" s="25">
        <v>45838</v>
      </c>
      <c r="D464">
        <v>609231</v>
      </c>
      <c r="E464" t="s">
        <v>378</v>
      </c>
      <c r="F464" t="s">
        <v>421</v>
      </c>
      <c r="G464">
        <v>6288.52</v>
      </c>
      <c r="H464">
        <v>2161</v>
      </c>
      <c r="I464">
        <v>2.91</v>
      </c>
      <c r="J464">
        <v>0.6109</v>
      </c>
    </row>
    <row r="465" spans="1:10" x14ac:dyDescent="0.3">
      <c r="A465" t="s">
        <v>368</v>
      </c>
      <c r="B465" t="s">
        <v>191</v>
      </c>
      <c r="C465" s="25">
        <v>45869</v>
      </c>
      <c r="D465">
        <v>609231</v>
      </c>
      <c r="E465" t="s">
        <v>378</v>
      </c>
      <c r="F465" t="s">
        <v>421</v>
      </c>
      <c r="G465">
        <v>6165.42</v>
      </c>
      <c r="H465">
        <v>1075</v>
      </c>
      <c r="I465">
        <v>5.74</v>
      </c>
      <c r="J465">
        <v>0.58779999999999999</v>
      </c>
    </row>
    <row r="466" spans="1:10" x14ac:dyDescent="0.3">
      <c r="A466" t="s">
        <v>368</v>
      </c>
      <c r="B466" t="s">
        <v>191</v>
      </c>
      <c r="C466" s="25">
        <v>45900</v>
      </c>
      <c r="D466">
        <v>609231</v>
      </c>
      <c r="E466" t="s">
        <v>378</v>
      </c>
      <c r="F466" t="s">
        <v>421</v>
      </c>
      <c r="G466">
        <v>7666.47</v>
      </c>
      <c r="H466">
        <v>4788</v>
      </c>
      <c r="I466">
        <v>1.6</v>
      </c>
      <c r="J466">
        <v>0.73709999999999998</v>
      </c>
    </row>
    <row r="467" spans="1:10" x14ac:dyDescent="0.3">
      <c r="A467" t="s">
        <v>368</v>
      </c>
      <c r="B467" t="s">
        <v>191</v>
      </c>
      <c r="C467" s="25">
        <v>45930</v>
      </c>
      <c r="D467">
        <v>609231</v>
      </c>
      <c r="E467" t="s">
        <v>378</v>
      </c>
      <c r="F467" t="s">
        <v>421</v>
      </c>
      <c r="G467">
        <v>7156.94</v>
      </c>
      <c r="H467">
        <v>644</v>
      </c>
      <c r="I467">
        <v>11.11</v>
      </c>
      <c r="J467">
        <v>0.75339999999999996</v>
      </c>
    </row>
    <row r="468" spans="1:10" x14ac:dyDescent="0.3">
      <c r="A468" t="s">
        <v>368</v>
      </c>
      <c r="B468" t="s">
        <v>191</v>
      </c>
      <c r="C468" s="25">
        <v>45961</v>
      </c>
      <c r="D468">
        <v>609231</v>
      </c>
      <c r="E468" t="s">
        <v>378</v>
      </c>
      <c r="F468" t="s">
        <v>421</v>
      </c>
      <c r="G468">
        <v>4679.4799999999996</v>
      </c>
      <c r="H468">
        <v>509</v>
      </c>
      <c r="I468">
        <v>9.1999999999999993</v>
      </c>
      <c r="J468">
        <v>0.45619999999999999</v>
      </c>
    </row>
    <row r="469" spans="1:10" x14ac:dyDescent="0.3">
      <c r="A469" t="s">
        <v>368</v>
      </c>
      <c r="B469" t="s">
        <v>191</v>
      </c>
      <c r="C469" s="25">
        <v>45991</v>
      </c>
      <c r="D469">
        <v>609231</v>
      </c>
      <c r="E469" t="s">
        <v>378</v>
      </c>
      <c r="F469" t="s">
        <v>421</v>
      </c>
      <c r="G469">
        <v>8298.9699999999993</v>
      </c>
      <c r="H469">
        <v>2399</v>
      </c>
      <c r="I469">
        <v>3.46</v>
      </c>
      <c r="J469">
        <v>0.73899999999999999</v>
      </c>
    </row>
    <row r="470" spans="1:10" x14ac:dyDescent="0.3">
      <c r="A470" t="s">
        <v>368</v>
      </c>
      <c r="B470" t="s">
        <v>191</v>
      </c>
      <c r="C470" s="25">
        <v>45657</v>
      </c>
      <c r="D470">
        <v>921414</v>
      </c>
      <c r="E470" t="s">
        <v>369</v>
      </c>
      <c r="F470" t="s">
        <v>420</v>
      </c>
      <c r="G470">
        <v>3035.59</v>
      </c>
      <c r="H470">
        <v>299</v>
      </c>
      <c r="I470">
        <v>10.15</v>
      </c>
      <c r="J470">
        <v>0.30940000000000001</v>
      </c>
    </row>
    <row r="471" spans="1:10" x14ac:dyDescent="0.3">
      <c r="A471" t="s">
        <v>368</v>
      </c>
      <c r="B471" t="s">
        <v>191</v>
      </c>
      <c r="C471" s="25">
        <v>45688</v>
      </c>
      <c r="D471">
        <v>921414</v>
      </c>
      <c r="E471" t="s">
        <v>369</v>
      </c>
      <c r="F471" t="s">
        <v>420</v>
      </c>
      <c r="G471">
        <v>3330.02</v>
      </c>
      <c r="H471">
        <v>589</v>
      </c>
      <c r="I471">
        <v>5.65</v>
      </c>
      <c r="J471">
        <v>0.314</v>
      </c>
    </row>
    <row r="472" spans="1:10" x14ac:dyDescent="0.3">
      <c r="A472" t="s">
        <v>368</v>
      </c>
      <c r="B472" t="s">
        <v>191</v>
      </c>
      <c r="C472" s="25">
        <v>45716</v>
      </c>
      <c r="D472">
        <v>921414</v>
      </c>
      <c r="E472" t="s">
        <v>369</v>
      </c>
      <c r="F472" t="s">
        <v>420</v>
      </c>
      <c r="G472">
        <v>2560.7399999999998</v>
      </c>
      <c r="H472">
        <v>309</v>
      </c>
      <c r="I472">
        <v>8.2899999999999991</v>
      </c>
      <c r="J472">
        <v>0.2545</v>
      </c>
    </row>
    <row r="473" spans="1:10" x14ac:dyDescent="0.3">
      <c r="A473" t="s">
        <v>368</v>
      </c>
      <c r="B473" t="s">
        <v>191</v>
      </c>
      <c r="C473" s="25">
        <v>45747</v>
      </c>
      <c r="D473">
        <v>921414</v>
      </c>
      <c r="E473" t="s">
        <v>369</v>
      </c>
      <c r="F473" t="s">
        <v>420</v>
      </c>
      <c r="G473">
        <v>3447.95</v>
      </c>
      <c r="H473">
        <v>368</v>
      </c>
      <c r="I473">
        <v>9.3800000000000008</v>
      </c>
      <c r="J473">
        <v>0.34110000000000001</v>
      </c>
    </row>
    <row r="474" spans="1:10" x14ac:dyDescent="0.3">
      <c r="A474" t="s">
        <v>368</v>
      </c>
      <c r="B474" t="s">
        <v>191</v>
      </c>
      <c r="C474" s="25">
        <v>45777</v>
      </c>
      <c r="D474">
        <v>921414</v>
      </c>
      <c r="E474" t="s">
        <v>369</v>
      </c>
      <c r="F474" t="s">
        <v>420</v>
      </c>
      <c r="G474">
        <v>3844.8</v>
      </c>
      <c r="H474">
        <v>669</v>
      </c>
      <c r="I474">
        <v>5.75</v>
      </c>
      <c r="J474">
        <v>0.42170000000000002</v>
      </c>
    </row>
    <row r="475" spans="1:10" x14ac:dyDescent="0.3">
      <c r="A475" t="s">
        <v>368</v>
      </c>
      <c r="B475" t="s">
        <v>191</v>
      </c>
      <c r="C475" s="25">
        <v>45808</v>
      </c>
      <c r="D475">
        <v>921414</v>
      </c>
      <c r="E475" t="s">
        <v>369</v>
      </c>
      <c r="F475" t="s">
        <v>420</v>
      </c>
      <c r="G475">
        <v>2623.02</v>
      </c>
      <c r="H475">
        <v>243</v>
      </c>
      <c r="I475">
        <v>10.78</v>
      </c>
      <c r="J475">
        <v>0.2878</v>
      </c>
    </row>
    <row r="476" spans="1:10" x14ac:dyDescent="0.3">
      <c r="A476" t="s">
        <v>368</v>
      </c>
      <c r="B476" t="s">
        <v>191</v>
      </c>
      <c r="C476" s="25">
        <v>45838</v>
      </c>
      <c r="D476">
        <v>921414</v>
      </c>
      <c r="E476" t="s">
        <v>369</v>
      </c>
      <c r="F476" t="s">
        <v>420</v>
      </c>
      <c r="G476">
        <v>3813.72</v>
      </c>
      <c r="H476">
        <v>393</v>
      </c>
      <c r="I476">
        <v>9.7200000000000006</v>
      </c>
      <c r="J476">
        <v>0.3705</v>
      </c>
    </row>
    <row r="477" spans="1:10" x14ac:dyDescent="0.3">
      <c r="A477" t="s">
        <v>368</v>
      </c>
      <c r="B477" t="s">
        <v>191</v>
      </c>
      <c r="C477" s="25">
        <v>45869</v>
      </c>
      <c r="D477">
        <v>921414</v>
      </c>
      <c r="E477" t="s">
        <v>369</v>
      </c>
      <c r="F477" t="s">
        <v>420</v>
      </c>
      <c r="G477">
        <v>3275.54</v>
      </c>
      <c r="H477">
        <v>627</v>
      </c>
      <c r="I477">
        <v>5.22</v>
      </c>
      <c r="J477">
        <v>0.31230000000000002</v>
      </c>
    </row>
    <row r="478" spans="1:10" x14ac:dyDescent="0.3">
      <c r="A478" t="s">
        <v>368</v>
      </c>
      <c r="B478" t="s">
        <v>191</v>
      </c>
      <c r="C478" s="25">
        <v>45900</v>
      </c>
      <c r="D478">
        <v>921414</v>
      </c>
      <c r="E478" t="s">
        <v>369</v>
      </c>
      <c r="F478" t="s">
        <v>420</v>
      </c>
      <c r="G478">
        <v>3011.97</v>
      </c>
      <c r="H478">
        <v>301</v>
      </c>
      <c r="I478">
        <v>10</v>
      </c>
      <c r="J478">
        <v>0.28960000000000002</v>
      </c>
    </row>
    <row r="479" spans="1:10" x14ac:dyDescent="0.3">
      <c r="A479" t="s">
        <v>368</v>
      </c>
      <c r="B479" t="s">
        <v>191</v>
      </c>
      <c r="C479" s="25">
        <v>45930</v>
      </c>
      <c r="D479">
        <v>921414</v>
      </c>
      <c r="E479" t="s">
        <v>369</v>
      </c>
      <c r="F479" t="s">
        <v>420</v>
      </c>
      <c r="G479">
        <v>2340.5100000000002</v>
      </c>
      <c r="H479">
        <v>751</v>
      </c>
      <c r="I479">
        <v>3.12</v>
      </c>
      <c r="J479">
        <v>0.24640000000000001</v>
      </c>
    </row>
    <row r="480" spans="1:10" x14ac:dyDescent="0.3">
      <c r="A480" t="s">
        <v>368</v>
      </c>
      <c r="B480" t="s">
        <v>191</v>
      </c>
      <c r="C480" s="25">
        <v>45961</v>
      </c>
      <c r="D480">
        <v>921414</v>
      </c>
      <c r="E480" t="s">
        <v>369</v>
      </c>
      <c r="F480" t="s">
        <v>420</v>
      </c>
      <c r="G480">
        <v>3876.69</v>
      </c>
      <c r="H480">
        <v>849</v>
      </c>
      <c r="I480">
        <v>4.5599999999999996</v>
      </c>
      <c r="J480">
        <v>0.37790000000000001</v>
      </c>
    </row>
    <row r="481" spans="1:10" x14ac:dyDescent="0.3">
      <c r="A481" t="s">
        <v>368</v>
      </c>
      <c r="B481" t="s">
        <v>191</v>
      </c>
      <c r="C481" s="25">
        <v>45991</v>
      </c>
      <c r="D481">
        <v>921414</v>
      </c>
      <c r="E481" t="s">
        <v>369</v>
      </c>
      <c r="F481" t="s">
        <v>420</v>
      </c>
      <c r="G481">
        <v>3569.5</v>
      </c>
      <c r="H481">
        <v>453</v>
      </c>
      <c r="I481">
        <v>7.89</v>
      </c>
      <c r="J481">
        <v>0.31780000000000003</v>
      </c>
    </row>
    <row r="482" spans="1:10" x14ac:dyDescent="0.3">
      <c r="A482" t="s">
        <v>368</v>
      </c>
      <c r="B482" t="s">
        <v>193</v>
      </c>
      <c r="C482" s="25">
        <v>45657</v>
      </c>
      <c r="D482">
        <v>723398</v>
      </c>
      <c r="E482" t="s">
        <v>378</v>
      </c>
      <c r="F482" t="s">
        <v>419</v>
      </c>
      <c r="G482">
        <v>220727.16</v>
      </c>
      <c r="H482">
        <v>22908</v>
      </c>
      <c r="I482">
        <v>9.64</v>
      </c>
      <c r="J482">
        <v>5.7491000000000003</v>
      </c>
    </row>
    <row r="483" spans="1:10" x14ac:dyDescent="0.3">
      <c r="A483" t="s">
        <v>368</v>
      </c>
      <c r="B483" t="s">
        <v>193</v>
      </c>
      <c r="C483" s="25">
        <v>45688</v>
      </c>
      <c r="D483">
        <v>723398</v>
      </c>
      <c r="E483" t="s">
        <v>378</v>
      </c>
      <c r="F483" t="s">
        <v>419</v>
      </c>
      <c r="G483">
        <v>219187.55</v>
      </c>
      <c r="H483">
        <v>133803</v>
      </c>
      <c r="I483">
        <v>1.64</v>
      </c>
      <c r="J483">
        <v>5.8920000000000003</v>
      </c>
    </row>
    <row r="484" spans="1:10" x14ac:dyDescent="0.3">
      <c r="A484" t="s">
        <v>368</v>
      </c>
      <c r="B484" t="s">
        <v>193</v>
      </c>
      <c r="C484" s="25">
        <v>45716</v>
      </c>
      <c r="D484">
        <v>723398</v>
      </c>
      <c r="E484" t="s">
        <v>378</v>
      </c>
      <c r="F484" t="s">
        <v>419</v>
      </c>
      <c r="G484">
        <v>254472.25</v>
      </c>
      <c r="H484">
        <v>56746</v>
      </c>
      <c r="I484">
        <v>4.4800000000000004</v>
      </c>
      <c r="J484">
        <v>6.7968999999999999</v>
      </c>
    </row>
    <row r="485" spans="1:10" x14ac:dyDescent="0.3">
      <c r="A485" t="s">
        <v>368</v>
      </c>
      <c r="B485" t="s">
        <v>193</v>
      </c>
      <c r="C485" s="25">
        <v>45747</v>
      </c>
      <c r="D485">
        <v>723398</v>
      </c>
      <c r="E485" t="s">
        <v>378</v>
      </c>
      <c r="F485" t="s">
        <v>419</v>
      </c>
      <c r="G485">
        <v>238164.54</v>
      </c>
      <c r="H485">
        <v>20373</v>
      </c>
      <c r="I485">
        <v>11.69</v>
      </c>
      <c r="J485">
        <v>5.7477</v>
      </c>
    </row>
    <row r="486" spans="1:10" x14ac:dyDescent="0.3">
      <c r="A486" t="s">
        <v>368</v>
      </c>
      <c r="B486" t="s">
        <v>193</v>
      </c>
      <c r="C486" s="25">
        <v>45777</v>
      </c>
      <c r="D486">
        <v>723398</v>
      </c>
      <c r="E486" t="s">
        <v>378</v>
      </c>
      <c r="F486" t="s">
        <v>419</v>
      </c>
      <c r="G486">
        <v>176228.1</v>
      </c>
      <c r="H486">
        <v>20405</v>
      </c>
      <c r="I486">
        <v>8.64</v>
      </c>
      <c r="J486">
        <v>5.3033000000000001</v>
      </c>
    </row>
    <row r="487" spans="1:10" x14ac:dyDescent="0.3">
      <c r="A487" t="s">
        <v>368</v>
      </c>
      <c r="B487" t="s">
        <v>193</v>
      </c>
      <c r="C487" s="25">
        <v>45808</v>
      </c>
      <c r="D487">
        <v>723398</v>
      </c>
      <c r="E487" t="s">
        <v>378</v>
      </c>
      <c r="F487" t="s">
        <v>419</v>
      </c>
      <c r="G487">
        <v>227237.64</v>
      </c>
      <c r="H487">
        <v>264688</v>
      </c>
      <c r="I487">
        <v>0.86</v>
      </c>
      <c r="J487">
        <v>6.0536000000000003</v>
      </c>
    </row>
    <row r="488" spans="1:10" x14ac:dyDescent="0.3">
      <c r="A488" t="s">
        <v>368</v>
      </c>
      <c r="B488" t="s">
        <v>193</v>
      </c>
      <c r="C488" s="25">
        <v>45838</v>
      </c>
      <c r="D488">
        <v>723398</v>
      </c>
      <c r="E488" t="s">
        <v>378</v>
      </c>
      <c r="F488" t="s">
        <v>419</v>
      </c>
      <c r="G488">
        <v>219982.75</v>
      </c>
      <c r="H488">
        <v>19058</v>
      </c>
      <c r="I488">
        <v>11.54</v>
      </c>
      <c r="J488">
        <v>6.0259</v>
      </c>
    </row>
    <row r="489" spans="1:10" x14ac:dyDescent="0.3">
      <c r="A489" t="s">
        <v>368</v>
      </c>
      <c r="B489" t="s">
        <v>193</v>
      </c>
      <c r="C489" s="25">
        <v>45869</v>
      </c>
      <c r="D489">
        <v>723398</v>
      </c>
      <c r="E489" t="s">
        <v>378</v>
      </c>
      <c r="F489" t="s">
        <v>419</v>
      </c>
      <c r="G489">
        <v>209237.23</v>
      </c>
      <c r="H489">
        <v>24699</v>
      </c>
      <c r="I489">
        <v>8.4700000000000006</v>
      </c>
      <c r="J489">
        <v>6.0061</v>
      </c>
    </row>
    <row r="490" spans="1:10" x14ac:dyDescent="0.3">
      <c r="A490" t="s">
        <v>368</v>
      </c>
      <c r="B490" t="s">
        <v>193</v>
      </c>
      <c r="C490" s="25">
        <v>45900</v>
      </c>
      <c r="D490">
        <v>723398</v>
      </c>
      <c r="E490" t="s">
        <v>378</v>
      </c>
      <c r="F490" t="s">
        <v>419</v>
      </c>
      <c r="G490">
        <v>235634.29</v>
      </c>
      <c r="H490">
        <v>53951</v>
      </c>
      <c r="I490">
        <v>4.37</v>
      </c>
      <c r="J490">
        <v>5.7591999999999999</v>
      </c>
    </row>
    <row r="491" spans="1:10" x14ac:dyDescent="0.3">
      <c r="A491" t="s">
        <v>368</v>
      </c>
      <c r="B491" t="s">
        <v>193</v>
      </c>
      <c r="C491" s="25">
        <v>45930</v>
      </c>
      <c r="D491">
        <v>723398</v>
      </c>
      <c r="E491" t="s">
        <v>378</v>
      </c>
      <c r="F491" t="s">
        <v>419</v>
      </c>
      <c r="G491">
        <v>280175.46000000002</v>
      </c>
      <c r="H491">
        <v>87649</v>
      </c>
      <c r="I491">
        <v>3.2</v>
      </c>
      <c r="J491">
        <v>7.3342999999999998</v>
      </c>
    </row>
    <row r="492" spans="1:10" x14ac:dyDescent="0.3">
      <c r="A492" t="s">
        <v>368</v>
      </c>
      <c r="B492" t="s">
        <v>193</v>
      </c>
      <c r="C492" s="25">
        <v>45961</v>
      </c>
      <c r="D492">
        <v>723398</v>
      </c>
      <c r="E492" t="s">
        <v>378</v>
      </c>
      <c r="F492" t="s">
        <v>419</v>
      </c>
      <c r="G492">
        <v>319558.99</v>
      </c>
      <c r="H492">
        <v>41152</v>
      </c>
      <c r="I492">
        <v>7.77</v>
      </c>
      <c r="J492">
        <v>8.6219999999999999</v>
      </c>
    </row>
    <row r="493" spans="1:10" x14ac:dyDescent="0.3">
      <c r="A493" t="s">
        <v>368</v>
      </c>
      <c r="B493" t="s">
        <v>193</v>
      </c>
      <c r="C493" s="25">
        <v>45991</v>
      </c>
      <c r="D493">
        <v>723398</v>
      </c>
      <c r="E493" t="s">
        <v>378</v>
      </c>
      <c r="F493" t="s">
        <v>419</v>
      </c>
      <c r="G493">
        <v>189543.72</v>
      </c>
      <c r="H493">
        <v>54831</v>
      </c>
      <c r="I493">
        <v>3.46</v>
      </c>
      <c r="J493">
        <v>5.1997</v>
      </c>
    </row>
    <row r="494" spans="1:10" x14ac:dyDescent="0.3">
      <c r="A494" t="s">
        <v>368</v>
      </c>
      <c r="B494" t="s">
        <v>193</v>
      </c>
      <c r="C494" s="25">
        <v>45657</v>
      </c>
      <c r="D494">
        <v>656926</v>
      </c>
      <c r="E494" t="s">
        <v>371</v>
      </c>
      <c r="F494" t="s">
        <v>418</v>
      </c>
      <c r="G494">
        <v>156644.76999999999</v>
      </c>
      <c r="H494">
        <v>27652</v>
      </c>
      <c r="I494">
        <v>5.66</v>
      </c>
      <c r="J494">
        <v>4.08</v>
      </c>
    </row>
    <row r="495" spans="1:10" x14ac:dyDescent="0.3">
      <c r="A495" t="s">
        <v>368</v>
      </c>
      <c r="B495" t="s">
        <v>193</v>
      </c>
      <c r="C495" s="25">
        <v>45688</v>
      </c>
      <c r="D495">
        <v>656926</v>
      </c>
      <c r="E495" t="s">
        <v>371</v>
      </c>
      <c r="F495" t="s">
        <v>418</v>
      </c>
      <c r="G495">
        <v>212690.66</v>
      </c>
      <c r="H495">
        <v>30115</v>
      </c>
      <c r="I495">
        <v>7.06</v>
      </c>
      <c r="J495">
        <v>5.7173999999999996</v>
      </c>
    </row>
    <row r="496" spans="1:10" x14ac:dyDescent="0.3">
      <c r="A496" t="s">
        <v>368</v>
      </c>
      <c r="B496" t="s">
        <v>193</v>
      </c>
      <c r="C496" s="25">
        <v>45716</v>
      </c>
      <c r="D496">
        <v>656926</v>
      </c>
      <c r="E496" t="s">
        <v>371</v>
      </c>
      <c r="F496" t="s">
        <v>418</v>
      </c>
      <c r="G496">
        <v>155921.43</v>
      </c>
      <c r="H496">
        <v>17468</v>
      </c>
      <c r="I496">
        <v>8.93</v>
      </c>
      <c r="J496">
        <v>4.1646000000000001</v>
      </c>
    </row>
    <row r="497" spans="1:10" x14ac:dyDescent="0.3">
      <c r="A497" t="s">
        <v>368</v>
      </c>
      <c r="B497" t="s">
        <v>193</v>
      </c>
      <c r="C497" s="25">
        <v>45747</v>
      </c>
      <c r="D497">
        <v>656926</v>
      </c>
      <c r="E497" t="s">
        <v>371</v>
      </c>
      <c r="F497" t="s">
        <v>418</v>
      </c>
      <c r="G497">
        <v>190350.66</v>
      </c>
      <c r="H497">
        <v>22694</v>
      </c>
      <c r="I497">
        <v>8.39</v>
      </c>
      <c r="J497">
        <v>4.5937999999999999</v>
      </c>
    </row>
    <row r="498" spans="1:10" x14ac:dyDescent="0.3">
      <c r="A498" t="s">
        <v>368</v>
      </c>
      <c r="B498" t="s">
        <v>193</v>
      </c>
      <c r="C498" s="25">
        <v>45777</v>
      </c>
      <c r="D498">
        <v>656926</v>
      </c>
      <c r="E498" t="s">
        <v>371</v>
      </c>
      <c r="F498" t="s">
        <v>418</v>
      </c>
      <c r="G498">
        <v>181796.6</v>
      </c>
      <c r="H498">
        <v>24209</v>
      </c>
      <c r="I498">
        <v>7.51</v>
      </c>
      <c r="J498">
        <v>5.4707999999999997</v>
      </c>
    </row>
    <row r="499" spans="1:10" x14ac:dyDescent="0.3">
      <c r="A499" t="s">
        <v>368</v>
      </c>
      <c r="B499" t="s">
        <v>193</v>
      </c>
      <c r="C499" s="25">
        <v>45808</v>
      </c>
      <c r="D499">
        <v>656926</v>
      </c>
      <c r="E499" t="s">
        <v>371</v>
      </c>
      <c r="F499" t="s">
        <v>418</v>
      </c>
      <c r="G499">
        <v>245266.67</v>
      </c>
      <c r="H499">
        <v>33925</v>
      </c>
      <c r="I499">
        <v>7.23</v>
      </c>
      <c r="J499">
        <v>6.5339</v>
      </c>
    </row>
    <row r="500" spans="1:10" x14ac:dyDescent="0.3">
      <c r="A500" t="s">
        <v>368</v>
      </c>
      <c r="B500" t="s">
        <v>193</v>
      </c>
      <c r="C500" s="25">
        <v>45838</v>
      </c>
      <c r="D500">
        <v>656926</v>
      </c>
      <c r="E500" t="s">
        <v>371</v>
      </c>
      <c r="F500" t="s">
        <v>418</v>
      </c>
      <c r="G500">
        <v>208361.02</v>
      </c>
      <c r="H500">
        <v>50715</v>
      </c>
      <c r="I500">
        <v>4.1100000000000003</v>
      </c>
      <c r="J500">
        <v>5.7074999999999996</v>
      </c>
    </row>
    <row r="501" spans="1:10" x14ac:dyDescent="0.3">
      <c r="A501" t="s">
        <v>368</v>
      </c>
      <c r="B501" t="s">
        <v>193</v>
      </c>
      <c r="C501" s="25">
        <v>45869</v>
      </c>
      <c r="D501">
        <v>656926</v>
      </c>
      <c r="E501" t="s">
        <v>371</v>
      </c>
      <c r="F501" t="s">
        <v>418</v>
      </c>
      <c r="G501">
        <v>135189.04999999999</v>
      </c>
      <c r="H501">
        <v>63433</v>
      </c>
      <c r="I501">
        <v>2.13</v>
      </c>
      <c r="J501">
        <v>3.8805999999999998</v>
      </c>
    </row>
    <row r="502" spans="1:10" x14ac:dyDescent="0.3">
      <c r="A502" t="s">
        <v>368</v>
      </c>
      <c r="B502" t="s">
        <v>193</v>
      </c>
      <c r="C502" s="25">
        <v>45900</v>
      </c>
      <c r="D502">
        <v>656926</v>
      </c>
      <c r="E502" t="s">
        <v>371</v>
      </c>
      <c r="F502" t="s">
        <v>418</v>
      </c>
      <c r="G502">
        <v>233060.2</v>
      </c>
      <c r="H502">
        <v>27894</v>
      </c>
      <c r="I502">
        <v>8.36</v>
      </c>
      <c r="J502">
        <v>5.6962999999999999</v>
      </c>
    </row>
    <row r="503" spans="1:10" x14ac:dyDescent="0.3">
      <c r="A503" t="s">
        <v>368</v>
      </c>
      <c r="B503" t="s">
        <v>193</v>
      </c>
      <c r="C503" s="25">
        <v>45930</v>
      </c>
      <c r="D503">
        <v>656926</v>
      </c>
      <c r="E503" t="s">
        <v>371</v>
      </c>
      <c r="F503" t="s">
        <v>418</v>
      </c>
      <c r="G503">
        <v>220017.26</v>
      </c>
      <c r="H503">
        <v>27168</v>
      </c>
      <c r="I503">
        <v>8.1</v>
      </c>
      <c r="J503">
        <v>5.7595000000000001</v>
      </c>
    </row>
    <row r="504" spans="1:10" x14ac:dyDescent="0.3">
      <c r="A504" t="s">
        <v>368</v>
      </c>
      <c r="B504" t="s">
        <v>193</v>
      </c>
      <c r="C504" s="25">
        <v>45961</v>
      </c>
      <c r="D504">
        <v>656926</v>
      </c>
      <c r="E504" t="s">
        <v>371</v>
      </c>
      <c r="F504" t="s">
        <v>418</v>
      </c>
      <c r="G504">
        <v>213998.73</v>
      </c>
      <c r="H504">
        <v>29568</v>
      </c>
      <c r="I504">
        <v>7.24</v>
      </c>
      <c r="J504">
        <v>5.7739000000000003</v>
      </c>
    </row>
    <row r="505" spans="1:10" x14ac:dyDescent="0.3">
      <c r="A505" t="s">
        <v>368</v>
      </c>
      <c r="B505" t="s">
        <v>193</v>
      </c>
      <c r="C505" s="25">
        <v>45991</v>
      </c>
      <c r="D505">
        <v>656926</v>
      </c>
      <c r="E505" t="s">
        <v>371</v>
      </c>
      <c r="F505" t="s">
        <v>418</v>
      </c>
      <c r="G505">
        <v>251635.19</v>
      </c>
      <c r="H505">
        <v>21462</v>
      </c>
      <c r="I505">
        <v>11.72</v>
      </c>
      <c r="J505">
        <v>6.9031000000000002</v>
      </c>
    </row>
    <row r="506" spans="1:10" x14ac:dyDescent="0.3">
      <c r="A506" t="s">
        <v>368</v>
      </c>
      <c r="B506" t="s">
        <v>193</v>
      </c>
      <c r="C506" s="25">
        <v>45657</v>
      </c>
      <c r="D506">
        <v>294851</v>
      </c>
      <c r="E506" t="s">
        <v>378</v>
      </c>
      <c r="F506" t="s">
        <v>417</v>
      </c>
      <c r="G506">
        <v>254866</v>
      </c>
      <c r="H506">
        <v>175172</v>
      </c>
      <c r="I506">
        <v>1.45</v>
      </c>
      <c r="J506">
        <v>6.6383000000000001</v>
      </c>
    </row>
    <row r="507" spans="1:10" x14ac:dyDescent="0.3">
      <c r="A507" t="s">
        <v>368</v>
      </c>
      <c r="B507" t="s">
        <v>193</v>
      </c>
      <c r="C507" s="25">
        <v>45688</v>
      </c>
      <c r="D507">
        <v>294851</v>
      </c>
      <c r="E507" t="s">
        <v>378</v>
      </c>
      <c r="F507" t="s">
        <v>417</v>
      </c>
      <c r="G507">
        <v>219745.19</v>
      </c>
      <c r="H507">
        <v>81475</v>
      </c>
      <c r="I507">
        <v>2.7</v>
      </c>
      <c r="J507">
        <v>5.907</v>
      </c>
    </row>
    <row r="508" spans="1:10" x14ac:dyDescent="0.3">
      <c r="A508" t="s">
        <v>368</v>
      </c>
      <c r="B508" t="s">
        <v>193</v>
      </c>
      <c r="C508" s="25">
        <v>45716</v>
      </c>
      <c r="D508">
        <v>294851</v>
      </c>
      <c r="E508" t="s">
        <v>378</v>
      </c>
      <c r="F508" t="s">
        <v>417</v>
      </c>
      <c r="G508">
        <v>286318.26</v>
      </c>
      <c r="H508">
        <v>28960</v>
      </c>
      <c r="I508">
        <v>9.89</v>
      </c>
      <c r="J508">
        <v>7.6475</v>
      </c>
    </row>
    <row r="509" spans="1:10" x14ac:dyDescent="0.3">
      <c r="A509" t="s">
        <v>368</v>
      </c>
      <c r="B509" t="s">
        <v>193</v>
      </c>
      <c r="C509" s="25">
        <v>45747</v>
      </c>
      <c r="D509">
        <v>294851</v>
      </c>
      <c r="E509" t="s">
        <v>378</v>
      </c>
      <c r="F509" t="s">
        <v>417</v>
      </c>
      <c r="G509">
        <v>189896.82</v>
      </c>
      <c r="H509">
        <v>16005</v>
      </c>
      <c r="I509">
        <v>11.87</v>
      </c>
      <c r="J509">
        <v>4.5827999999999998</v>
      </c>
    </row>
    <row r="510" spans="1:10" x14ac:dyDescent="0.3">
      <c r="A510" t="s">
        <v>368</v>
      </c>
      <c r="B510" t="s">
        <v>193</v>
      </c>
      <c r="C510" s="25">
        <v>45777</v>
      </c>
      <c r="D510">
        <v>294851</v>
      </c>
      <c r="E510" t="s">
        <v>378</v>
      </c>
      <c r="F510" t="s">
        <v>417</v>
      </c>
      <c r="G510">
        <v>179179.89</v>
      </c>
      <c r="H510">
        <v>18447</v>
      </c>
      <c r="I510">
        <v>9.7100000000000009</v>
      </c>
      <c r="J510">
        <v>5.3921000000000001</v>
      </c>
    </row>
    <row r="511" spans="1:10" x14ac:dyDescent="0.3">
      <c r="A511" t="s">
        <v>368</v>
      </c>
      <c r="B511" t="s">
        <v>193</v>
      </c>
      <c r="C511" s="25">
        <v>45808</v>
      </c>
      <c r="D511">
        <v>294851</v>
      </c>
      <c r="E511" t="s">
        <v>378</v>
      </c>
      <c r="F511" t="s">
        <v>417</v>
      </c>
      <c r="G511">
        <v>215194.75</v>
      </c>
      <c r="H511">
        <v>28884</v>
      </c>
      <c r="I511">
        <v>7.45</v>
      </c>
      <c r="J511">
        <v>5.7328000000000001</v>
      </c>
    </row>
    <row r="512" spans="1:10" x14ac:dyDescent="0.3">
      <c r="A512" t="s">
        <v>368</v>
      </c>
      <c r="B512" t="s">
        <v>193</v>
      </c>
      <c r="C512" s="25">
        <v>45838</v>
      </c>
      <c r="D512">
        <v>294851</v>
      </c>
      <c r="E512" t="s">
        <v>378</v>
      </c>
      <c r="F512" t="s">
        <v>417</v>
      </c>
      <c r="G512">
        <v>212550.04</v>
      </c>
      <c r="H512">
        <v>23521</v>
      </c>
      <c r="I512">
        <v>9.0399999999999991</v>
      </c>
      <c r="J512">
        <v>5.8223000000000003</v>
      </c>
    </row>
    <row r="513" spans="1:10" x14ac:dyDescent="0.3">
      <c r="A513" t="s">
        <v>368</v>
      </c>
      <c r="B513" t="s">
        <v>193</v>
      </c>
      <c r="C513" s="25">
        <v>45869</v>
      </c>
      <c r="D513">
        <v>294851</v>
      </c>
      <c r="E513" t="s">
        <v>378</v>
      </c>
      <c r="F513" t="s">
        <v>417</v>
      </c>
      <c r="G513">
        <v>160148.37</v>
      </c>
      <c r="H513">
        <v>17110</v>
      </c>
      <c r="I513">
        <v>9.36</v>
      </c>
      <c r="J513">
        <v>4.5970000000000004</v>
      </c>
    </row>
    <row r="514" spans="1:10" x14ac:dyDescent="0.3">
      <c r="A514" t="s">
        <v>368</v>
      </c>
      <c r="B514" t="s">
        <v>193</v>
      </c>
      <c r="C514" s="25">
        <v>45900</v>
      </c>
      <c r="D514">
        <v>294851</v>
      </c>
      <c r="E514" t="s">
        <v>378</v>
      </c>
      <c r="F514" t="s">
        <v>417</v>
      </c>
      <c r="G514">
        <v>169447.04000000001</v>
      </c>
      <c r="H514">
        <v>14485</v>
      </c>
      <c r="I514">
        <v>11.7</v>
      </c>
      <c r="J514">
        <v>4.1414999999999997</v>
      </c>
    </row>
    <row r="515" spans="1:10" x14ac:dyDescent="0.3">
      <c r="A515" t="s">
        <v>368</v>
      </c>
      <c r="B515" t="s">
        <v>193</v>
      </c>
      <c r="C515" s="25">
        <v>45930</v>
      </c>
      <c r="D515">
        <v>294851</v>
      </c>
      <c r="E515" t="s">
        <v>378</v>
      </c>
      <c r="F515" t="s">
        <v>417</v>
      </c>
      <c r="G515">
        <v>223104.49</v>
      </c>
      <c r="H515">
        <v>27447</v>
      </c>
      <c r="I515">
        <v>8.1300000000000008</v>
      </c>
      <c r="J515">
        <v>5.8403</v>
      </c>
    </row>
    <row r="516" spans="1:10" x14ac:dyDescent="0.3">
      <c r="A516" t="s">
        <v>368</v>
      </c>
      <c r="B516" t="s">
        <v>193</v>
      </c>
      <c r="C516" s="25">
        <v>45961</v>
      </c>
      <c r="D516">
        <v>294851</v>
      </c>
      <c r="E516" t="s">
        <v>378</v>
      </c>
      <c r="F516" t="s">
        <v>417</v>
      </c>
      <c r="G516">
        <v>164924.35999999999</v>
      </c>
      <c r="H516">
        <v>18515</v>
      </c>
      <c r="I516">
        <v>8.91</v>
      </c>
      <c r="J516">
        <v>4.4497999999999998</v>
      </c>
    </row>
    <row r="517" spans="1:10" x14ac:dyDescent="0.3">
      <c r="A517" t="s">
        <v>368</v>
      </c>
      <c r="B517" t="s">
        <v>193</v>
      </c>
      <c r="C517" s="25">
        <v>45991</v>
      </c>
      <c r="D517">
        <v>294851</v>
      </c>
      <c r="E517" t="s">
        <v>378</v>
      </c>
      <c r="F517" t="s">
        <v>417</v>
      </c>
      <c r="G517">
        <v>191780.45</v>
      </c>
      <c r="H517">
        <v>58379</v>
      </c>
      <c r="I517">
        <v>3.29</v>
      </c>
      <c r="J517">
        <v>5.2610999999999999</v>
      </c>
    </row>
    <row r="518" spans="1:10" x14ac:dyDescent="0.3">
      <c r="A518" t="s">
        <v>368</v>
      </c>
      <c r="B518" t="s">
        <v>193</v>
      </c>
      <c r="C518" s="25">
        <v>45657</v>
      </c>
      <c r="D518">
        <v>749468</v>
      </c>
      <c r="E518" t="s">
        <v>377</v>
      </c>
      <c r="F518" t="s">
        <v>416</v>
      </c>
      <c r="G518">
        <v>227351.73</v>
      </c>
      <c r="H518">
        <v>59286</v>
      </c>
      <c r="I518">
        <v>3.83</v>
      </c>
      <c r="J518">
        <v>5.9217000000000004</v>
      </c>
    </row>
    <row r="519" spans="1:10" x14ac:dyDescent="0.3">
      <c r="A519" t="s">
        <v>368</v>
      </c>
      <c r="B519" t="s">
        <v>193</v>
      </c>
      <c r="C519" s="25">
        <v>45688</v>
      </c>
      <c r="D519">
        <v>749468</v>
      </c>
      <c r="E519" t="s">
        <v>377</v>
      </c>
      <c r="F519" t="s">
        <v>416</v>
      </c>
      <c r="G519">
        <v>174747.51999999999</v>
      </c>
      <c r="H519">
        <v>22599</v>
      </c>
      <c r="I519">
        <v>7.73</v>
      </c>
      <c r="J519">
        <v>4.6974</v>
      </c>
    </row>
    <row r="520" spans="1:10" x14ac:dyDescent="0.3">
      <c r="A520" t="s">
        <v>368</v>
      </c>
      <c r="B520" t="s">
        <v>193</v>
      </c>
      <c r="C520" s="25">
        <v>45716</v>
      </c>
      <c r="D520">
        <v>749468</v>
      </c>
      <c r="E520" t="s">
        <v>377</v>
      </c>
      <c r="F520" t="s">
        <v>416</v>
      </c>
      <c r="G520">
        <v>228676.02</v>
      </c>
      <c r="H520">
        <v>60852</v>
      </c>
      <c r="I520">
        <v>3.76</v>
      </c>
      <c r="J520">
        <v>6.1078000000000001</v>
      </c>
    </row>
    <row r="521" spans="1:10" x14ac:dyDescent="0.3">
      <c r="A521" t="s">
        <v>368</v>
      </c>
      <c r="B521" t="s">
        <v>193</v>
      </c>
      <c r="C521" s="25">
        <v>45747</v>
      </c>
      <c r="D521">
        <v>749468</v>
      </c>
      <c r="E521" t="s">
        <v>377</v>
      </c>
      <c r="F521" t="s">
        <v>416</v>
      </c>
      <c r="G521">
        <v>211702.83</v>
      </c>
      <c r="H521">
        <v>421053</v>
      </c>
      <c r="I521">
        <v>0.5</v>
      </c>
      <c r="J521">
        <v>5.1090999999999998</v>
      </c>
    </row>
    <row r="522" spans="1:10" x14ac:dyDescent="0.3">
      <c r="A522" t="s">
        <v>368</v>
      </c>
      <c r="B522" t="s">
        <v>193</v>
      </c>
      <c r="C522" s="25">
        <v>45777</v>
      </c>
      <c r="D522">
        <v>749468</v>
      </c>
      <c r="E522" t="s">
        <v>377</v>
      </c>
      <c r="F522" t="s">
        <v>416</v>
      </c>
      <c r="G522">
        <v>182780.59</v>
      </c>
      <c r="H522">
        <v>19339</v>
      </c>
      <c r="I522">
        <v>9.4499999999999993</v>
      </c>
      <c r="J522">
        <v>5.5004999999999997</v>
      </c>
    </row>
    <row r="523" spans="1:10" x14ac:dyDescent="0.3">
      <c r="A523" t="s">
        <v>368</v>
      </c>
      <c r="B523" t="s">
        <v>193</v>
      </c>
      <c r="C523" s="25">
        <v>45808</v>
      </c>
      <c r="D523">
        <v>749468</v>
      </c>
      <c r="E523" t="s">
        <v>377</v>
      </c>
      <c r="F523" t="s">
        <v>416</v>
      </c>
      <c r="G523">
        <v>234981.04</v>
      </c>
      <c r="H523">
        <v>31337</v>
      </c>
      <c r="I523">
        <v>7.5</v>
      </c>
      <c r="J523">
        <v>6.2599</v>
      </c>
    </row>
    <row r="524" spans="1:10" x14ac:dyDescent="0.3">
      <c r="A524" t="s">
        <v>368</v>
      </c>
      <c r="B524" t="s">
        <v>193</v>
      </c>
      <c r="C524" s="25">
        <v>45838</v>
      </c>
      <c r="D524">
        <v>749468</v>
      </c>
      <c r="E524" t="s">
        <v>377</v>
      </c>
      <c r="F524" t="s">
        <v>416</v>
      </c>
      <c r="G524">
        <v>209833.4</v>
      </c>
      <c r="H524">
        <v>25170</v>
      </c>
      <c r="I524">
        <v>8.34</v>
      </c>
      <c r="J524">
        <v>5.7478999999999996</v>
      </c>
    </row>
    <row r="525" spans="1:10" x14ac:dyDescent="0.3">
      <c r="A525" t="s">
        <v>368</v>
      </c>
      <c r="B525" t="s">
        <v>193</v>
      </c>
      <c r="C525" s="25">
        <v>45869</v>
      </c>
      <c r="D525">
        <v>749468</v>
      </c>
      <c r="E525" t="s">
        <v>377</v>
      </c>
      <c r="F525" t="s">
        <v>416</v>
      </c>
      <c r="G525">
        <v>212062.27</v>
      </c>
      <c r="H525">
        <v>172316</v>
      </c>
      <c r="I525">
        <v>1.23</v>
      </c>
      <c r="J525">
        <v>6.0872000000000002</v>
      </c>
    </row>
    <row r="526" spans="1:10" x14ac:dyDescent="0.3">
      <c r="A526" t="s">
        <v>368</v>
      </c>
      <c r="B526" t="s">
        <v>193</v>
      </c>
      <c r="C526" s="25">
        <v>45900</v>
      </c>
      <c r="D526">
        <v>749468</v>
      </c>
      <c r="E526" t="s">
        <v>377</v>
      </c>
      <c r="F526" t="s">
        <v>416</v>
      </c>
      <c r="G526">
        <v>253803.22</v>
      </c>
      <c r="H526">
        <v>37891</v>
      </c>
      <c r="I526">
        <v>6.7</v>
      </c>
      <c r="J526">
        <v>6.2032999999999996</v>
      </c>
    </row>
    <row r="527" spans="1:10" x14ac:dyDescent="0.3">
      <c r="A527" t="s">
        <v>368</v>
      </c>
      <c r="B527" t="s">
        <v>193</v>
      </c>
      <c r="C527" s="25">
        <v>45930</v>
      </c>
      <c r="D527">
        <v>749468</v>
      </c>
      <c r="E527" t="s">
        <v>377</v>
      </c>
      <c r="F527" t="s">
        <v>416</v>
      </c>
      <c r="G527">
        <v>219036.74</v>
      </c>
      <c r="H527">
        <v>57481</v>
      </c>
      <c r="I527">
        <v>3.81</v>
      </c>
      <c r="J527">
        <v>5.7339000000000002</v>
      </c>
    </row>
    <row r="528" spans="1:10" x14ac:dyDescent="0.3">
      <c r="A528" t="s">
        <v>368</v>
      </c>
      <c r="B528" t="s">
        <v>193</v>
      </c>
      <c r="C528" s="25">
        <v>45961</v>
      </c>
      <c r="D528">
        <v>749468</v>
      </c>
      <c r="E528" t="s">
        <v>377</v>
      </c>
      <c r="F528" t="s">
        <v>416</v>
      </c>
      <c r="G528">
        <v>227489.96</v>
      </c>
      <c r="H528">
        <v>28739</v>
      </c>
      <c r="I528">
        <v>7.92</v>
      </c>
      <c r="J528">
        <v>6.1379000000000001</v>
      </c>
    </row>
    <row r="529" spans="1:10" x14ac:dyDescent="0.3">
      <c r="A529" t="s">
        <v>368</v>
      </c>
      <c r="B529" t="s">
        <v>193</v>
      </c>
      <c r="C529" s="25">
        <v>45991</v>
      </c>
      <c r="D529">
        <v>749468</v>
      </c>
      <c r="E529" t="s">
        <v>377</v>
      </c>
      <c r="F529" t="s">
        <v>416</v>
      </c>
      <c r="G529">
        <v>190498.9</v>
      </c>
      <c r="H529">
        <v>39685</v>
      </c>
      <c r="I529">
        <v>4.8</v>
      </c>
      <c r="J529">
        <v>5.2259000000000002</v>
      </c>
    </row>
    <row r="530" spans="1:10" x14ac:dyDescent="0.3">
      <c r="A530" t="s">
        <v>368</v>
      </c>
      <c r="B530" t="s">
        <v>193</v>
      </c>
      <c r="C530" s="25">
        <v>45657</v>
      </c>
      <c r="D530">
        <v>723939</v>
      </c>
      <c r="E530" t="s">
        <v>372</v>
      </c>
      <c r="F530" t="s">
        <v>415</v>
      </c>
      <c r="G530">
        <v>237117.74</v>
      </c>
      <c r="H530">
        <v>56581</v>
      </c>
      <c r="I530">
        <v>4.1900000000000004</v>
      </c>
      <c r="J530">
        <v>6.1760000000000002</v>
      </c>
    </row>
    <row r="531" spans="1:10" x14ac:dyDescent="0.3">
      <c r="A531" t="s">
        <v>368</v>
      </c>
      <c r="B531" t="s">
        <v>193</v>
      </c>
      <c r="C531" s="25">
        <v>45688</v>
      </c>
      <c r="D531">
        <v>723939</v>
      </c>
      <c r="E531" t="s">
        <v>372</v>
      </c>
      <c r="F531" t="s">
        <v>415</v>
      </c>
      <c r="G531">
        <v>206626.43</v>
      </c>
      <c r="H531">
        <v>60756</v>
      </c>
      <c r="I531">
        <v>3.4</v>
      </c>
      <c r="J531">
        <v>5.5544000000000002</v>
      </c>
    </row>
    <row r="532" spans="1:10" x14ac:dyDescent="0.3">
      <c r="A532" t="s">
        <v>368</v>
      </c>
      <c r="B532" t="s">
        <v>193</v>
      </c>
      <c r="C532" s="25">
        <v>45716</v>
      </c>
      <c r="D532">
        <v>723939</v>
      </c>
      <c r="E532" t="s">
        <v>372</v>
      </c>
      <c r="F532" t="s">
        <v>415</v>
      </c>
      <c r="G532">
        <v>257431.17</v>
      </c>
      <c r="H532">
        <v>152671</v>
      </c>
      <c r="I532">
        <v>1.69</v>
      </c>
      <c r="J532">
        <v>6.8758999999999997</v>
      </c>
    </row>
    <row r="533" spans="1:10" x14ac:dyDescent="0.3">
      <c r="A533" t="s">
        <v>368</v>
      </c>
      <c r="B533" t="s">
        <v>193</v>
      </c>
      <c r="C533" s="25">
        <v>45747</v>
      </c>
      <c r="D533">
        <v>723939</v>
      </c>
      <c r="E533" t="s">
        <v>372</v>
      </c>
      <c r="F533" t="s">
        <v>415</v>
      </c>
      <c r="G533">
        <v>243265.14</v>
      </c>
      <c r="H533">
        <v>21443</v>
      </c>
      <c r="I533">
        <v>11.34</v>
      </c>
      <c r="J533">
        <v>5.8708</v>
      </c>
    </row>
    <row r="534" spans="1:10" x14ac:dyDescent="0.3">
      <c r="A534" t="s">
        <v>368</v>
      </c>
      <c r="B534" t="s">
        <v>193</v>
      </c>
      <c r="C534" s="25">
        <v>45777</v>
      </c>
      <c r="D534">
        <v>723939</v>
      </c>
      <c r="E534" t="s">
        <v>372</v>
      </c>
      <c r="F534" t="s">
        <v>415</v>
      </c>
      <c r="G534">
        <v>175353.87</v>
      </c>
      <c r="H534">
        <v>20183</v>
      </c>
      <c r="I534">
        <v>8.69</v>
      </c>
      <c r="J534">
        <v>5.2770000000000001</v>
      </c>
    </row>
    <row r="535" spans="1:10" x14ac:dyDescent="0.3">
      <c r="A535" t="s">
        <v>368</v>
      </c>
      <c r="B535" t="s">
        <v>193</v>
      </c>
      <c r="C535" s="25">
        <v>45808</v>
      </c>
      <c r="D535">
        <v>723939</v>
      </c>
      <c r="E535" t="s">
        <v>372</v>
      </c>
      <c r="F535" t="s">
        <v>415</v>
      </c>
      <c r="G535">
        <v>232424.43</v>
      </c>
      <c r="H535">
        <v>47173</v>
      </c>
      <c r="I535">
        <v>4.93</v>
      </c>
      <c r="J535">
        <v>6.1917999999999997</v>
      </c>
    </row>
    <row r="536" spans="1:10" x14ac:dyDescent="0.3">
      <c r="A536" t="s">
        <v>368</v>
      </c>
      <c r="B536" t="s">
        <v>193</v>
      </c>
      <c r="C536" s="25">
        <v>45838</v>
      </c>
      <c r="D536">
        <v>723939</v>
      </c>
      <c r="E536" t="s">
        <v>372</v>
      </c>
      <c r="F536" t="s">
        <v>415</v>
      </c>
      <c r="G536">
        <v>252594.57</v>
      </c>
      <c r="H536">
        <v>21828</v>
      </c>
      <c r="I536">
        <v>11.57</v>
      </c>
      <c r="J536">
        <v>6.9192</v>
      </c>
    </row>
    <row r="537" spans="1:10" x14ac:dyDescent="0.3">
      <c r="A537" t="s">
        <v>368</v>
      </c>
      <c r="B537" t="s">
        <v>193</v>
      </c>
      <c r="C537" s="25">
        <v>45869</v>
      </c>
      <c r="D537">
        <v>723939</v>
      </c>
      <c r="E537" t="s">
        <v>372</v>
      </c>
      <c r="F537" t="s">
        <v>415</v>
      </c>
      <c r="G537">
        <v>186361.21</v>
      </c>
      <c r="H537">
        <v>95250</v>
      </c>
      <c r="I537">
        <v>1.96</v>
      </c>
      <c r="J537">
        <v>5.3494000000000002</v>
      </c>
    </row>
    <row r="538" spans="1:10" x14ac:dyDescent="0.3">
      <c r="A538" t="s">
        <v>368</v>
      </c>
      <c r="B538" t="s">
        <v>193</v>
      </c>
      <c r="C538" s="25">
        <v>45900</v>
      </c>
      <c r="D538">
        <v>723939</v>
      </c>
      <c r="E538" t="s">
        <v>372</v>
      </c>
      <c r="F538" t="s">
        <v>415</v>
      </c>
      <c r="G538">
        <v>213145.60000000001</v>
      </c>
      <c r="H538">
        <v>44152</v>
      </c>
      <c r="I538">
        <v>4.83</v>
      </c>
      <c r="J538">
        <v>5.2096</v>
      </c>
    </row>
    <row r="539" spans="1:10" x14ac:dyDescent="0.3">
      <c r="A539" t="s">
        <v>368</v>
      </c>
      <c r="B539" t="s">
        <v>193</v>
      </c>
      <c r="C539" s="25">
        <v>45930</v>
      </c>
      <c r="D539">
        <v>723939</v>
      </c>
      <c r="E539" t="s">
        <v>372</v>
      </c>
      <c r="F539" t="s">
        <v>415</v>
      </c>
      <c r="G539">
        <v>133437.79999999999</v>
      </c>
      <c r="H539">
        <v>28533</v>
      </c>
      <c r="I539">
        <v>4.68</v>
      </c>
      <c r="J539">
        <v>3.4931000000000001</v>
      </c>
    </row>
    <row r="540" spans="1:10" x14ac:dyDescent="0.3">
      <c r="A540" t="s">
        <v>368</v>
      </c>
      <c r="B540" t="s">
        <v>193</v>
      </c>
      <c r="C540" s="25">
        <v>45961</v>
      </c>
      <c r="D540">
        <v>723939</v>
      </c>
      <c r="E540" t="s">
        <v>372</v>
      </c>
      <c r="F540" t="s">
        <v>415</v>
      </c>
      <c r="G540">
        <v>217510.13</v>
      </c>
      <c r="H540">
        <v>39429</v>
      </c>
      <c r="I540">
        <v>5.52</v>
      </c>
      <c r="J540">
        <v>5.8686999999999996</v>
      </c>
    </row>
    <row r="541" spans="1:10" x14ac:dyDescent="0.3">
      <c r="A541" t="s">
        <v>368</v>
      </c>
      <c r="B541" t="s">
        <v>193</v>
      </c>
      <c r="C541" s="25">
        <v>45991</v>
      </c>
      <c r="D541">
        <v>723939</v>
      </c>
      <c r="E541" t="s">
        <v>372</v>
      </c>
      <c r="F541" t="s">
        <v>415</v>
      </c>
      <c r="G541">
        <v>199415.92</v>
      </c>
      <c r="H541">
        <v>72776</v>
      </c>
      <c r="I541">
        <v>2.74</v>
      </c>
      <c r="J541">
        <v>5.4705000000000004</v>
      </c>
    </row>
    <row r="542" spans="1:10" x14ac:dyDescent="0.3">
      <c r="A542" t="s">
        <v>368</v>
      </c>
      <c r="B542" t="s">
        <v>193</v>
      </c>
      <c r="C542" s="25">
        <v>45657</v>
      </c>
      <c r="D542">
        <v>668532</v>
      </c>
      <c r="E542" t="s">
        <v>376</v>
      </c>
      <c r="F542" t="s">
        <v>414</v>
      </c>
      <c r="G542">
        <v>213137.5</v>
      </c>
      <c r="H542">
        <v>34978</v>
      </c>
      <c r="I542">
        <v>6.09</v>
      </c>
      <c r="J542">
        <v>5.5514000000000001</v>
      </c>
    </row>
    <row r="543" spans="1:10" x14ac:dyDescent="0.3">
      <c r="A543" t="s">
        <v>368</v>
      </c>
      <c r="B543" t="s">
        <v>193</v>
      </c>
      <c r="C543" s="25">
        <v>45688</v>
      </c>
      <c r="D543">
        <v>668532</v>
      </c>
      <c r="E543" t="s">
        <v>376</v>
      </c>
      <c r="F543" t="s">
        <v>414</v>
      </c>
      <c r="G543">
        <v>207165.6</v>
      </c>
      <c r="H543">
        <v>52685</v>
      </c>
      <c r="I543">
        <v>3.93</v>
      </c>
      <c r="J543">
        <v>5.5689000000000002</v>
      </c>
    </row>
    <row r="544" spans="1:10" x14ac:dyDescent="0.3">
      <c r="A544" t="s">
        <v>368</v>
      </c>
      <c r="B544" t="s">
        <v>193</v>
      </c>
      <c r="C544" s="25">
        <v>45716</v>
      </c>
      <c r="D544">
        <v>668532</v>
      </c>
      <c r="E544" t="s">
        <v>376</v>
      </c>
      <c r="F544" t="s">
        <v>414</v>
      </c>
      <c r="G544">
        <v>153110.32999999999</v>
      </c>
      <c r="H544">
        <v>47637</v>
      </c>
      <c r="I544">
        <v>3.21</v>
      </c>
      <c r="J544">
        <v>4.0895000000000001</v>
      </c>
    </row>
    <row r="545" spans="1:10" x14ac:dyDescent="0.3">
      <c r="A545" t="s">
        <v>368</v>
      </c>
      <c r="B545" t="s">
        <v>193</v>
      </c>
      <c r="C545" s="25">
        <v>45747</v>
      </c>
      <c r="D545">
        <v>668532</v>
      </c>
      <c r="E545" t="s">
        <v>376</v>
      </c>
      <c r="F545" t="s">
        <v>414</v>
      </c>
      <c r="G545">
        <v>242746.07</v>
      </c>
      <c r="H545">
        <v>27272</v>
      </c>
      <c r="I545">
        <v>8.9</v>
      </c>
      <c r="J545">
        <v>5.8582999999999998</v>
      </c>
    </row>
    <row r="546" spans="1:10" x14ac:dyDescent="0.3">
      <c r="A546" t="s">
        <v>368</v>
      </c>
      <c r="B546" t="s">
        <v>193</v>
      </c>
      <c r="C546" s="25">
        <v>45777</v>
      </c>
      <c r="D546">
        <v>668532</v>
      </c>
      <c r="E546" t="s">
        <v>376</v>
      </c>
      <c r="F546" t="s">
        <v>414</v>
      </c>
      <c r="G546">
        <v>151772.74</v>
      </c>
      <c r="H546">
        <v>46393</v>
      </c>
      <c r="I546">
        <v>3.27</v>
      </c>
      <c r="J546">
        <v>4.5673000000000004</v>
      </c>
    </row>
    <row r="547" spans="1:10" x14ac:dyDescent="0.3">
      <c r="A547" t="s">
        <v>368</v>
      </c>
      <c r="B547" t="s">
        <v>193</v>
      </c>
      <c r="C547" s="25">
        <v>45808</v>
      </c>
      <c r="D547">
        <v>668532</v>
      </c>
      <c r="E547" t="s">
        <v>376</v>
      </c>
      <c r="F547" t="s">
        <v>414</v>
      </c>
      <c r="G547">
        <v>180302.34</v>
      </c>
      <c r="H547">
        <v>16005</v>
      </c>
      <c r="I547">
        <v>11.27</v>
      </c>
      <c r="J547">
        <v>4.8032000000000004</v>
      </c>
    </row>
    <row r="548" spans="1:10" x14ac:dyDescent="0.3">
      <c r="A548" t="s">
        <v>368</v>
      </c>
      <c r="B548" t="s">
        <v>193</v>
      </c>
      <c r="C548" s="25">
        <v>45838</v>
      </c>
      <c r="D548">
        <v>668532</v>
      </c>
      <c r="E548" t="s">
        <v>376</v>
      </c>
      <c r="F548" t="s">
        <v>414</v>
      </c>
      <c r="G548">
        <v>124724.61</v>
      </c>
      <c r="H548">
        <v>11829</v>
      </c>
      <c r="I548">
        <v>10.54</v>
      </c>
      <c r="J548">
        <v>3.4165000000000001</v>
      </c>
    </row>
    <row r="549" spans="1:10" x14ac:dyDescent="0.3">
      <c r="A549" t="s">
        <v>368</v>
      </c>
      <c r="B549" t="s">
        <v>193</v>
      </c>
      <c r="C549" s="25">
        <v>45869</v>
      </c>
      <c r="D549">
        <v>668532</v>
      </c>
      <c r="E549" t="s">
        <v>376</v>
      </c>
      <c r="F549" t="s">
        <v>414</v>
      </c>
      <c r="G549">
        <v>188830.71</v>
      </c>
      <c r="H549">
        <v>37449</v>
      </c>
      <c r="I549">
        <v>5.04</v>
      </c>
      <c r="J549">
        <v>5.4203000000000001</v>
      </c>
    </row>
    <row r="550" spans="1:10" x14ac:dyDescent="0.3">
      <c r="A550" t="s">
        <v>368</v>
      </c>
      <c r="B550" t="s">
        <v>193</v>
      </c>
      <c r="C550" s="25">
        <v>45900</v>
      </c>
      <c r="D550">
        <v>668532</v>
      </c>
      <c r="E550" t="s">
        <v>376</v>
      </c>
      <c r="F550" t="s">
        <v>414</v>
      </c>
      <c r="G550">
        <v>176342.35</v>
      </c>
      <c r="H550">
        <v>36399</v>
      </c>
      <c r="I550">
        <v>4.84</v>
      </c>
      <c r="J550">
        <v>4.3101000000000003</v>
      </c>
    </row>
    <row r="551" spans="1:10" x14ac:dyDescent="0.3">
      <c r="A551" t="s">
        <v>368</v>
      </c>
      <c r="B551" t="s">
        <v>193</v>
      </c>
      <c r="C551" s="25">
        <v>45930</v>
      </c>
      <c r="D551">
        <v>668532</v>
      </c>
      <c r="E551" t="s">
        <v>376</v>
      </c>
      <c r="F551" t="s">
        <v>414</v>
      </c>
      <c r="G551">
        <v>178819.13</v>
      </c>
      <c r="H551">
        <v>43174</v>
      </c>
      <c r="I551">
        <v>4.1399999999999997</v>
      </c>
      <c r="J551">
        <v>4.6810999999999998</v>
      </c>
    </row>
    <row r="552" spans="1:10" x14ac:dyDescent="0.3">
      <c r="A552" t="s">
        <v>368</v>
      </c>
      <c r="B552" t="s">
        <v>193</v>
      </c>
      <c r="C552" s="25">
        <v>45961</v>
      </c>
      <c r="D552">
        <v>668532</v>
      </c>
      <c r="E552" t="s">
        <v>376</v>
      </c>
      <c r="F552" t="s">
        <v>414</v>
      </c>
      <c r="G552">
        <v>157346.63</v>
      </c>
      <c r="H552">
        <v>22044</v>
      </c>
      <c r="I552">
        <v>7.14</v>
      </c>
      <c r="J552">
        <v>4.2454000000000001</v>
      </c>
    </row>
    <row r="553" spans="1:10" x14ac:dyDescent="0.3">
      <c r="A553" t="s">
        <v>368</v>
      </c>
      <c r="B553" t="s">
        <v>193</v>
      </c>
      <c r="C553" s="25">
        <v>45991</v>
      </c>
      <c r="D553">
        <v>668532</v>
      </c>
      <c r="E553" t="s">
        <v>376</v>
      </c>
      <c r="F553" t="s">
        <v>414</v>
      </c>
      <c r="G553">
        <v>216208.7</v>
      </c>
      <c r="H553">
        <v>171900</v>
      </c>
      <c r="I553">
        <v>1.26</v>
      </c>
      <c r="J553">
        <v>5.9311999999999996</v>
      </c>
    </row>
    <row r="554" spans="1:10" x14ac:dyDescent="0.3">
      <c r="A554" t="s">
        <v>368</v>
      </c>
      <c r="B554" t="s">
        <v>193</v>
      </c>
      <c r="C554" s="25">
        <v>45657</v>
      </c>
      <c r="D554">
        <v>712554</v>
      </c>
      <c r="E554" t="s">
        <v>378</v>
      </c>
      <c r="F554" t="s">
        <v>413</v>
      </c>
      <c r="G554">
        <v>155710.07</v>
      </c>
      <c r="H554">
        <v>13810</v>
      </c>
      <c r="I554">
        <v>11.27</v>
      </c>
      <c r="J554">
        <v>4.0556999999999999</v>
      </c>
    </row>
    <row r="555" spans="1:10" x14ac:dyDescent="0.3">
      <c r="A555" t="s">
        <v>368</v>
      </c>
      <c r="B555" t="s">
        <v>193</v>
      </c>
      <c r="C555" s="25">
        <v>45688</v>
      </c>
      <c r="D555">
        <v>712554</v>
      </c>
      <c r="E555" t="s">
        <v>378</v>
      </c>
      <c r="F555" t="s">
        <v>413</v>
      </c>
      <c r="G555">
        <v>129543.29</v>
      </c>
      <c r="H555">
        <v>26774</v>
      </c>
      <c r="I555">
        <v>4.84</v>
      </c>
      <c r="J555">
        <v>3.4823</v>
      </c>
    </row>
    <row r="556" spans="1:10" x14ac:dyDescent="0.3">
      <c r="A556" t="s">
        <v>368</v>
      </c>
      <c r="B556" t="s">
        <v>193</v>
      </c>
      <c r="C556" s="25">
        <v>45716</v>
      </c>
      <c r="D556">
        <v>712554</v>
      </c>
      <c r="E556" t="s">
        <v>378</v>
      </c>
      <c r="F556" t="s">
        <v>413</v>
      </c>
      <c r="G556">
        <v>131865.89000000001</v>
      </c>
      <c r="H556">
        <v>67248</v>
      </c>
      <c r="I556">
        <v>1.96</v>
      </c>
      <c r="J556">
        <v>3.5221</v>
      </c>
    </row>
    <row r="557" spans="1:10" x14ac:dyDescent="0.3">
      <c r="A557" t="s">
        <v>368</v>
      </c>
      <c r="B557" t="s">
        <v>193</v>
      </c>
      <c r="C557" s="25">
        <v>45747</v>
      </c>
      <c r="D557">
        <v>712554</v>
      </c>
      <c r="E557" t="s">
        <v>378</v>
      </c>
      <c r="F557" t="s">
        <v>413</v>
      </c>
      <c r="G557">
        <v>199863.97</v>
      </c>
      <c r="H557">
        <v>170362</v>
      </c>
      <c r="I557">
        <v>1.17</v>
      </c>
      <c r="J557">
        <v>4.8234000000000004</v>
      </c>
    </row>
    <row r="558" spans="1:10" x14ac:dyDescent="0.3">
      <c r="A558" t="s">
        <v>368</v>
      </c>
      <c r="B558" t="s">
        <v>193</v>
      </c>
      <c r="C558" s="25">
        <v>45777</v>
      </c>
      <c r="D558">
        <v>712554</v>
      </c>
      <c r="E558" t="s">
        <v>378</v>
      </c>
      <c r="F558" t="s">
        <v>413</v>
      </c>
      <c r="G558">
        <v>124715.57</v>
      </c>
      <c r="H558">
        <v>49864</v>
      </c>
      <c r="I558">
        <v>2.5</v>
      </c>
      <c r="J558">
        <v>3.7530999999999999</v>
      </c>
    </row>
    <row r="559" spans="1:10" x14ac:dyDescent="0.3">
      <c r="A559" t="s">
        <v>368</v>
      </c>
      <c r="B559" t="s">
        <v>193</v>
      </c>
      <c r="C559" s="25">
        <v>45808</v>
      </c>
      <c r="D559">
        <v>712554</v>
      </c>
      <c r="E559" t="s">
        <v>378</v>
      </c>
      <c r="F559" t="s">
        <v>413</v>
      </c>
      <c r="G559">
        <v>149764.35</v>
      </c>
      <c r="H559">
        <v>16193</v>
      </c>
      <c r="I559">
        <v>9.25</v>
      </c>
      <c r="J559">
        <v>3.9897</v>
      </c>
    </row>
    <row r="560" spans="1:10" x14ac:dyDescent="0.3">
      <c r="A560" t="s">
        <v>368</v>
      </c>
      <c r="B560" t="s">
        <v>193</v>
      </c>
      <c r="C560" s="25">
        <v>45838</v>
      </c>
      <c r="D560">
        <v>712554</v>
      </c>
      <c r="E560" t="s">
        <v>378</v>
      </c>
      <c r="F560" t="s">
        <v>413</v>
      </c>
      <c r="G560">
        <v>157910.71</v>
      </c>
      <c r="H560">
        <v>32466</v>
      </c>
      <c r="I560">
        <v>4.8600000000000003</v>
      </c>
      <c r="J560">
        <v>4.3255999999999997</v>
      </c>
    </row>
    <row r="561" spans="1:10" x14ac:dyDescent="0.3">
      <c r="A561" t="s">
        <v>368</v>
      </c>
      <c r="B561" t="s">
        <v>193</v>
      </c>
      <c r="C561" s="25">
        <v>45869</v>
      </c>
      <c r="D561">
        <v>712554</v>
      </c>
      <c r="E561" t="s">
        <v>378</v>
      </c>
      <c r="F561" t="s">
        <v>413</v>
      </c>
      <c r="G561">
        <v>142774.17000000001</v>
      </c>
      <c r="H561">
        <v>22572</v>
      </c>
      <c r="I561">
        <v>6.33</v>
      </c>
      <c r="J561">
        <v>4.0983000000000001</v>
      </c>
    </row>
    <row r="562" spans="1:10" x14ac:dyDescent="0.3">
      <c r="A562" t="s">
        <v>368</v>
      </c>
      <c r="B562" t="s">
        <v>193</v>
      </c>
      <c r="C562" s="25">
        <v>45900</v>
      </c>
      <c r="D562">
        <v>712554</v>
      </c>
      <c r="E562" t="s">
        <v>378</v>
      </c>
      <c r="F562" t="s">
        <v>413</v>
      </c>
      <c r="G562">
        <v>127685.53</v>
      </c>
      <c r="H562">
        <v>32792</v>
      </c>
      <c r="I562">
        <v>3.89</v>
      </c>
      <c r="J562">
        <v>3.1208</v>
      </c>
    </row>
    <row r="563" spans="1:10" x14ac:dyDescent="0.3">
      <c r="A563" t="s">
        <v>368</v>
      </c>
      <c r="B563" t="s">
        <v>193</v>
      </c>
      <c r="C563" s="25">
        <v>45930</v>
      </c>
      <c r="D563">
        <v>712554</v>
      </c>
      <c r="E563" t="s">
        <v>378</v>
      </c>
      <c r="F563" t="s">
        <v>413</v>
      </c>
      <c r="G563">
        <v>179495.29</v>
      </c>
      <c r="H563">
        <v>20091</v>
      </c>
      <c r="I563">
        <v>8.93</v>
      </c>
      <c r="J563">
        <v>4.6988000000000003</v>
      </c>
    </row>
    <row r="564" spans="1:10" x14ac:dyDescent="0.3">
      <c r="A564" t="s">
        <v>368</v>
      </c>
      <c r="B564" t="s">
        <v>193</v>
      </c>
      <c r="C564" s="25">
        <v>45961</v>
      </c>
      <c r="D564">
        <v>712554</v>
      </c>
      <c r="E564" t="s">
        <v>378</v>
      </c>
      <c r="F564" t="s">
        <v>413</v>
      </c>
      <c r="G564">
        <v>153585.03</v>
      </c>
      <c r="H564">
        <v>94653</v>
      </c>
      <c r="I564">
        <v>1.62</v>
      </c>
      <c r="J564">
        <v>4.1439000000000004</v>
      </c>
    </row>
    <row r="565" spans="1:10" x14ac:dyDescent="0.3">
      <c r="A565" t="s">
        <v>368</v>
      </c>
      <c r="B565" t="s">
        <v>193</v>
      </c>
      <c r="C565" s="25">
        <v>45991</v>
      </c>
      <c r="D565">
        <v>712554</v>
      </c>
      <c r="E565" t="s">
        <v>378</v>
      </c>
      <c r="F565" t="s">
        <v>413</v>
      </c>
      <c r="G565">
        <v>163726.91</v>
      </c>
      <c r="H565">
        <v>15125</v>
      </c>
      <c r="I565">
        <v>10.82</v>
      </c>
      <c r="J565">
        <v>4.4915000000000003</v>
      </c>
    </row>
    <row r="566" spans="1:10" x14ac:dyDescent="0.3">
      <c r="A566" t="s">
        <v>368</v>
      </c>
      <c r="B566" t="s">
        <v>193</v>
      </c>
      <c r="C566" s="25">
        <v>45657</v>
      </c>
      <c r="D566">
        <v>225710</v>
      </c>
      <c r="E566" t="s">
        <v>372</v>
      </c>
      <c r="F566" t="s">
        <v>412</v>
      </c>
      <c r="G566">
        <v>166951.12</v>
      </c>
      <c r="H566">
        <v>36022</v>
      </c>
      <c r="I566">
        <v>4.63</v>
      </c>
      <c r="J566">
        <v>4.3484999999999996</v>
      </c>
    </row>
    <row r="567" spans="1:10" x14ac:dyDescent="0.3">
      <c r="A567" t="s">
        <v>368</v>
      </c>
      <c r="B567" t="s">
        <v>193</v>
      </c>
      <c r="C567" s="25">
        <v>45688</v>
      </c>
      <c r="D567">
        <v>225710</v>
      </c>
      <c r="E567" t="s">
        <v>372</v>
      </c>
      <c r="F567" t="s">
        <v>412</v>
      </c>
      <c r="G567">
        <v>101962.16</v>
      </c>
      <c r="H567">
        <v>52376</v>
      </c>
      <c r="I567">
        <v>1.95</v>
      </c>
      <c r="J567">
        <v>2.7408999999999999</v>
      </c>
    </row>
    <row r="568" spans="1:10" x14ac:dyDescent="0.3">
      <c r="A568" t="s">
        <v>368</v>
      </c>
      <c r="B568" t="s">
        <v>193</v>
      </c>
      <c r="C568" s="25">
        <v>45716</v>
      </c>
      <c r="D568">
        <v>225710</v>
      </c>
      <c r="E568" t="s">
        <v>372</v>
      </c>
      <c r="F568" t="s">
        <v>412</v>
      </c>
      <c r="G568">
        <v>163024.25</v>
      </c>
      <c r="H568">
        <v>57516</v>
      </c>
      <c r="I568">
        <v>2.83</v>
      </c>
      <c r="J568">
        <v>4.3543000000000003</v>
      </c>
    </row>
    <row r="569" spans="1:10" x14ac:dyDescent="0.3">
      <c r="A569" t="s">
        <v>368</v>
      </c>
      <c r="B569" t="s">
        <v>193</v>
      </c>
      <c r="C569" s="25">
        <v>45747</v>
      </c>
      <c r="D569">
        <v>225710</v>
      </c>
      <c r="E569" t="s">
        <v>372</v>
      </c>
      <c r="F569" t="s">
        <v>412</v>
      </c>
      <c r="G569">
        <v>224380.17</v>
      </c>
      <c r="H569">
        <v>39389</v>
      </c>
      <c r="I569">
        <v>5.7</v>
      </c>
      <c r="J569">
        <v>5.415</v>
      </c>
    </row>
    <row r="570" spans="1:10" x14ac:dyDescent="0.3">
      <c r="A570" t="s">
        <v>368</v>
      </c>
      <c r="B570" t="s">
        <v>193</v>
      </c>
      <c r="C570" s="25">
        <v>45777</v>
      </c>
      <c r="D570">
        <v>225710</v>
      </c>
      <c r="E570" t="s">
        <v>372</v>
      </c>
      <c r="F570" t="s">
        <v>412</v>
      </c>
      <c r="G570">
        <v>138787.07</v>
      </c>
      <c r="H570">
        <v>85960</v>
      </c>
      <c r="I570">
        <v>1.61</v>
      </c>
      <c r="J570">
        <v>4.1765999999999996</v>
      </c>
    </row>
    <row r="571" spans="1:10" x14ac:dyDescent="0.3">
      <c r="A571" t="s">
        <v>368</v>
      </c>
      <c r="B571" t="s">
        <v>193</v>
      </c>
      <c r="C571" s="25">
        <v>45808</v>
      </c>
      <c r="D571">
        <v>225710</v>
      </c>
      <c r="E571" t="s">
        <v>372</v>
      </c>
      <c r="F571" t="s">
        <v>412</v>
      </c>
      <c r="G571">
        <v>177153.73</v>
      </c>
      <c r="H571">
        <v>26043</v>
      </c>
      <c r="I571">
        <v>6.8</v>
      </c>
      <c r="J571">
        <v>4.7194000000000003</v>
      </c>
    </row>
    <row r="572" spans="1:10" x14ac:dyDescent="0.3">
      <c r="A572" t="s">
        <v>368</v>
      </c>
      <c r="B572" t="s">
        <v>193</v>
      </c>
      <c r="C572" s="25">
        <v>45838</v>
      </c>
      <c r="D572">
        <v>225710</v>
      </c>
      <c r="E572" t="s">
        <v>372</v>
      </c>
      <c r="F572" t="s">
        <v>412</v>
      </c>
      <c r="G572">
        <v>164456.79</v>
      </c>
      <c r="H572">
        <v>21262</v>
      </c>
      <c r="I572">
        <v>7.73</v>
      </c>
      <c r="J572">
        <v>4.5049000000000001</v>
      </c>
    </row>
    <row r="573" spans="1:10" x14ac:dyDescent="0.3">
      <c r="A573" t="s">
        <v>368</v>
      </c>
      <c r="B573" t="s">
        <v>193</v>
      </c>
      <c r="C573" s="25">
        <v>45869</v>
      </c>
      <c r="D573">
        <v>225710</v>
      </c>
      <c r="E573" t="s">
        <v>372</v>
      </c>
      <c r="F573" t="s">
        <v>412</v>
      </c>
      <c r="G573">
        <v>150878.26999999999</v>
      </c>
      <c r="H573">
        <v>66891</v>
      </c>
      <c r="I573">
        <v>2.2599999999999998</v>
      </c>
      <c r="J573">
        <v>4.3308999999999997</v>
      </c>
    </row>
    <row r="574" spans="1:10" x14ac:dyDescent="0.3">
      <c r="A574" t="s">
        <v>368</v>
      </c>
      <c r="B574" t="s">
        <v>193</v>
      </c>
      <c r="C574" s="25">
        <v>45900</v>
      </c>
      <c r="D574">
        <v>225710</v>
      </c>
      <c r="E574" t="s">
        <v>372</v>
      </c>
      <c r="F574" t="s">
        <v>412</v>
      </c>
      <c r="G574">
        <v>185262.69</v>
      </c>
      <c r="H574">
        <v>237240</v>
      </c>
      <c r="I574">
        <v>0.78</v>
      </c>
      <c r="J574">
        <v>4.5281000000000002</v>
      </c>
    </row>
    <row r="575" spans="1:10" x14ac:dyDescent="0.3">
      <c r="A575" t="s">
        <v>368</v>
      </c>
      <c r="B575" t="s">
        <v>193</v>
      </c>
      <c r="C575" s="25">
        <v>45930</v>
      </c>
      <c r="D575">
        <v>225710</v>
      </c>
      <c r="E575" t="s">
        <v>372</v>
      </c>
      <c r="F575" t="s">
        <v>412</v>
      </c>
      <c r="G575">
        <v>177142.9</v>
      </c>
      <c r="H575">
        <v>33838</v>
      </c>
      <c r="I575">
        <v>5.24</v>
      </c>
      <c r="J575">
        <v>4.6372</v>
      </c>
    </row>
    <row r="576" spans="1:10" x14ac:dyDescent="0.3">
      <c r="A576" t="s">
        <v>368</v>
      </c>
      <c r="B576" t="s">
        <v>193</v>
      </c>
      <c r="C576" s="25">
        <v>45961</v>
      </c>
      <c r="D576">
        <v>225710</v>
      </c>
      <c r="E576" t="s">
        <v>372</v>
      </c>
      <c r="F576" t="s">
        <v>412</v>
      </c>
      <c r="G576">
        <v>172861.64</v>
      </c>
      <c r="H576">
        <v>57899</v>
      </c>
      <c r="I576">
        <v>2.99</v>
      </c>
      <c r="J576">
        <v>4.6639999999999997</v>
      </c>
    </row>
    <row r="577" spans="1:10" x14ac:dyDescent="0.3">
      <c r="A577" t="s">
        <v>368</v>
      </c>
      <c r="B577" t="s">
        <v>193</v>
      </c>
      <c r="C577" s="25">
        <v>45991</v>
      </c>
      <c r="D577">
        <v>225710</v>
      </c>
      <c r="E577" t="s">
        <v>372</v>
      </c>
      <c r="F577" t="s">
        <v>412</v>
      </c>
      <c r="G577">
        <v>117519.07</v>
      </c>
      <c r="H577">
        <v>16109</v>
      </c>
      <c r="I577">
        <v>7.3</v>
      </c>
      <c r="J577">
        <v>3.2239</v>
      </c>
    </row>
    <row r="578" spans="1:10" x14ac:dyDescent="0.3">
      <c r="A578" t="s">
        <v>368</v>
      </c>
      <c r="B578" t="s">
        <v>193</v>
      </c>
      <c r="C578" s="25">
        <v>45657</v>
      </c>
      <c r="D578">
        <v>184002</v>
      </c>
      <c r="E578" t="s">
        <v>370</v>
      </c>
      <c r="F578" t="s">
        <v>411</v>
      </c>
      <c r="G578">
        <v>144911.94</v>
      </c>
      <c r="H578">
        <v>42673</v>
      </c>
      <c r="I578">
        <v>3.4</v>
      </c>
      <c r="J578">
        <v>3.7744</v>
      </c>
    </row>
    <row r="579" spans="1:10" x14ac:dyDescent="0.3">
      <c r="A579" t="s">
        <v>368</v>
      </c>
      <c r="B579" t="s">
        <v>193</v>
      </c>
      <c r="C579" s="25">
        <v>45688</v>
      </c>
      <c r="D579">
        <v>184002</v>
      </c>
      <c r="E579" t="s">
        <v>370</v>
      </c>
      <c r="F579" t="s">
        <v>411</v>
      </c>
      <c r="G579">
        <v>116378.25</v>
      </c>
      <c r="H579">
        <v>9878</v>
      </c>
      <c r="I579">
        <v>11.78</v>
      </c>
      <c r="J579">
        <v>3.1284000000000001</v>
      </c>
    </row>
    <row r="580" spans="1:10" x14ac:dyDescent="0.3">
      <c r="A580" t="s">
        <v>368</v>
      </c>
      <c r="B580" t="s">
        <v>193</v>
      </c>
      <c r="C580" s="25">
        <v>45716</v>
      </c>
      <c r="D580">
        <v>184002</v>
      </c>
      <c r="E580" t="s">
        <v>370</v>
      </c>
      <c r="F580" t="s">
        <v>411</v>
      </c>
      <c r="G580">
        <v>145026.79999999999</v>
      </c>
      <c r="H580">
        <v>97701</v>
      </c>
      <c r="I580">
        <v>1.48</v>
      </c>
      <c r="J580">
        <v>3.8736000000000002</v>
      </c>
    </row>
    <row r="581" spans="1:10" x14ac:dyDescent="0.3">
      <c r="A581" t="s">
        <v>368</v>
      </c>
      <c r="B581" t="s">
        <v>193</v>
      </c>
      <c r="C581" s="25">
        <v>45747</v>
      </c>
      <c r="D581">
        <v>184002</v>
      </c>
      <c r="E581" t="s">
        <v>370</v>
      </c>
      <c r="F581" t="s">
        <v>411</v>
      </c>
      <c r="G581">
        <v>144788.97</v>
      </c>
      <c r="H581">
        <v>55480</v>
      </c>
      <c r="I581">
        <v>2.61</v>
      </c>
      <c r="J581">
        <v>3.4942000000000002</v>
      </c>
    </row>
    <row r="582" spans="1:10" x14ac:dyDescent="0.3">
      <c r="A582" t="s">
        <v>368</v>
      </c>
      <c r="B582" t="s">
        <v>193</v>
      </c>
      <c r="C582" s="25">
        <v>45777</v>
      </c>
      <c r="D582">
        <v>184002</v>
      </c>
      <c r="E582" t="s">
        <v>370</v>
      </c>
      <c r="F582" t="s">
        <v>411</v>
      </c>
      <c r="G582">
        <v>88299.97</v>
      </c>
      <c r="H582">
        <v>11723</v>
      </c>
      <c r="I582">
        <v>7.53</v>
      </c>
      <c r="J582">
        <v>2.6572</v>
      </c>
    </row>
    <row r="583" spans="1:10" x14ac:dyDescent="0.3">
      <c r="A583" t="s">
        <v>368</v>
      </c>
      <c r="B583" t="s">
        <v>193</v>
      </c>
      <c r="C583" s="25">
        <v>45808</v>
      </c>
      <c r="D583">
        <v>184002</v>
      </c>
      <c r="E583" t="s">
        <v>370</v>
      </c>
      <c r="F583" t="s">
        <v>411</v>
      </c>
      <c r="G583">
        <v>148265.53</v>
      </c>
      <c r="H583">
        <v>17434</v>
      </c>
      <c r="I583">
        <v>8.5</v>
      </c>
      <c r="J583">
        <v>3.9498000000000002</v>
      </c>
    </row>
    <row r="584" spans="1:10" x14ac:dyDescent="0.3">
      <c r="A584" t="s">
        <v>368</v>
      </c>
      <c r="B584" t="s">
        <v>193</v>
      </c>
      <c r="C584" s="25">
        <v>45838</v>
      </c>
      <c r="D584">
        <v>184002</v>
      </c>
      <c r="E584" t="s">
        <v>370</v>
      </c>
      <c r="F584" t="s">
        <v>411</v>
      </c>
      <c r="G584">
        <v>105232.18</v>
      </c>
      <c r="H584">
        <v>80890</v>
      </c>
      <c r="I584">
        <v>1.3</v>
      </c>
      <c r="J584">
        <v>2.8826000000000001</v>
      </c>
    </row>
    <row r="585" spans="1:10" x14ac:dyDescent="0.3">
      <c r="A585" t="s">
        <v>368</v>
      </c>
      <c r="B585" t="s">
        <v>193</v>
      </c>
      <c r="C585" s="25">
        <v>45869</v>
      </c>
      <c r="D585">
        <v>184002</v>
      </c>
      <c r="E585" t="s">
        <v>370</v>
      </c>
      <c r="F585" t="s">
        <v>411</v>
      </c>
      <c r="G585">
        <v>108169.15</v>
      </c>
      <c r="H585">
        <v>14873</v>
      </c>
      <c r="I585">
        <v>7.27</v>
      </c>
      <c r="J585">
        <v>3.105</v>
      </c>
    </row>
    <row r="586" spans="1:10" x14ac:dyDescent="0.3">
      <c r="A586" t="s">
        <v>368</v>
      </c>
      <c r="B586" t="s">
        <v>193</v>
      </c>
      <c r="C586" s="25">
        <v>45900</v>
      </c>
      <c r="D586">
        <v>184002</v>
      </c>
      <c r="E586" t="s">
        <v>370</v>
      </c>
      <c r="F586" t="s">
        <v>411</v>
      </c>
      <c r="G586">
        <v>166948.65</v>
      </c>
      <c r="H586">
        <v>26242</v>
      </c>
      <c r="I586">
        <v>6.36</v>
      </c>
      <c r="J586">
        <v>4.0804999999999998</v>
      </c>
    </row>
    <row r="587" spans="1:10" x14ac:dyDescent="0.3">
      <c r="A587" t="s">
        <v>368</v>
      </c>
      <c r="B587" t="s">
        <v>193</v>
      </c>
      <c r="C587" s="25">
        <v>45930</v>
      </c>
      <c r="D587">
        <v>184002</v>
      </c>
      <c r="E587" t="s">
        <v>370</v>
      </c>
      <c r="F587" t="s">
        <v>411</v>
      </c>
      <c r="G587">
        <v>127009.43</v>
      </c>
      <c r="H587">
        <v>23704</v>
      </c>
      <c r="I587">
        <v>5.36</v>
      </c>
      <c r="J587">
        <v>3.3248000000000002</v>
      </c>
    </row>
    <row r="588" spans="1:10" x14ac:dyDescent="0.3">
      <c r="A588" t="s">
        <v>368</v>
      </c>
      <c r="B588" t="s">
        <v>193</v>
      </c>
      <c r="C588" s="25">
        <v>45961</v>
      </c>
      <c r="D588">
        <v>184002</v>
      </c>
      <c r="E588" t="s">
        <v>370</v>
      </c>
      <c r="F588" t="s">
        <v>411</v>
      </c>
      <c r="G588">
        <v>114317.04</v>
      </c>
      <c r="H588">
        <v>26226</v>
      </c>
      <c r="I588">
        <v>4.3600000000000003</v>
      </c>
      <c r="J588">
        <v>3.0844</v>
      </c>
    </row>
    <row r="589" spans="1:10" x14ac:dyDescent="0.3">
      <c r="A589" t="s">
        <v>368</v>
      </c>
      <c r="B589" t="s">
        <v>193</v>
      </c>
      <c r="C589" s="25">
        <v>45991</v>
      </c>
      <c r="D589">
        <v>184002</v>
      </c>
      <c r="E589" t="s">
        <v>370</v>
      </c>
      <c r="F589" t="s">
        <v>411</v>
      </c>
      <c r="G589">
        <v>117296.58</v>
      </c>
      <c r="H589">
        <v>10005</v>
      </c>
      <c r="I589">
        <v>11.72</v>
      </c>
      <c r="J589">
        <v>3.2178</v>
      </c>
    </row>
    <row r="590" spans="1:10" x14ac:dyDescent="0.3">
      <c r="A590" t="s">
        <v>368</v>
      </c>
      <c r="B590" t="s">
        <v>193</v>
      </c>
      <c r="C590" s="25">
        <v>45657</v>
      </c>
      <c r="D590">
        <v>627276</v>
      </c>
      <c r="E590" t="s">
        <v>374</v>
      </c>
      <c r="F590" t="s">
        <v>410</v>
      </c>
      <c r="G590">
        <v>93455.45</v>
      </c>
      <c r="H590">
        <v>12873</v>
      </c>
      <c r="I590">
        <v>7.26</v>
      </c>
      <c r="J590">
        <v>2.4342000000000001</v>
      </c>
    </row>
    <row r="591" spans="1:10" x14ac:dyDescent="0.3">
      <c r="A591" t="s">
        <v>368</v>
      </c>
      <c r="B591" t="s">
        <v>193</v>
      </c>
      <c r="C591" s="25">
        <v>45688</v>
      </c>
      <c r="D591">
        <v>627276</v>
      </c>
      <c r="E591" t="s">
        <v>374</v>
      </c>
      <c r="F591" t="s">
        <v>410</v>
      </c>
      <c r="G591">
        <v>107456.44</v>
      </c>
      <c r="H591">
        <v>10490</v>
      </c>
      <c r="I591">
        <v>10.24</v>
      </c>
      <c r="J591">
        <v>2.8885999999999998</v>
      </c>
    </row>
    <row r="592" spans="1:10" x14ac:dyDescent="0.3">
      <c r="A592" t="s">
        <v>368</v>
      </c>
      <c r="B592" t="s">
        <v>193</v>
      </c>
      <c r="C592" s="25">
        <v>45716</v>
      </c>
      <c r="D592">
        <v>627276</v>
      </c>
      <c r="E592" t="s">
        <v>374</v>
      </c>
      <c r="F592" t="s">
        <v>410</v>
      </c>
      <c r="G592">
        <v>91558.51</v>
      </c>
      <c r="H592">
        <v>67478</v>
      </c>
      <c r="I592">
        <v>1.36</v>
      </c>
      <c r="J592">
        <v>2.4455</v>
      </c>
    </row>
    <row r="593" spans="1:10" x14ac:dyDescent="0.3">
      <c r="A593" t="s">
        <v>368</v>
      </c>
      <c r="B593" t="s">
        <v>193</v>
      </c>
      <c r="C593" s="25">
        <v>45747</v>
      </c>
      <c r="D593">
        <v>627276</v>
      </c>
      <c r="E593" t="s">
        <v>374</v>
      </c>
      <c r="F593" t="s">
        <v>410</v>
      </c>
      <c r="G593">
        <v>106104.85</v>
      </c>
      <c r="H593">
        <v>16658</v>
      </c>
      <c r="I593">
        <v>6.37</v>
      </c>
      <c r="J593">
        <v>2.5607000000000002</v>
      </c>
    </row>
    <row r="594" spans="1:10" x14ac:dyDescent="0.3">
      <c r="A594" t="s">
        <v>368</v>
      </c>
      <c r="B594" t="s">
        <v>193</v>
      </c>
      <c r="C594" s="25">
        <v>45777</v>
      </c>
      <c r="D594">
        <v>627276</v>
      </c>
      <c r="E594" t="s">
        <v>374</v>
      </c>
      <c r="F594" t="s">
        <v>410</v>
      </c>
      <c r="G594">
        <v>93057.09</v>
      </c>
      <c r="H594">
        <v>12239</v>
      </c>
      <c r="I594">
        <v>7.6</v>
      </c>
      <c r="J594">
        <v>2.8003999999999998</v>
      </c>
    </row>
    <row r="595" spans="1:10" x14ac:dyDescent="0.3">
      <c r="A595" t="s">
        <v>368</v>
      </c>
      <c r="B595" t="s">
        <v>193</v>
      </c>
      <c r="C595" s="25">
        <v>45808</v>
      </c>
      <c r="D595">
        <v>627276</v>
      </c>
      <c r="E595" t="s">
        <v>374</v>
      </c>
      <c r="F595" t="s">
        <v>410</v>
      </c>
      <c r="G595">
        <v>103395.11</v>
      </c>
      <c r="H595">
        <v>13070</v>
      </c>
      <c r="I595">
        <v>7.91</v>
      </c>
      <c r="J595">
        <v>2.7544</v>
      </c>
    </row>
    <row r="596" spans="1:10" x14ac:dyDescent="0.3">
      <c r="A596" t="s">
        <v>368</v>
      </c>
      <c r="B596" t="s">
        <v>193</v>
      </c>
      <c r="C596" s="25">
        <v>45838</v>
      </c>
      <c r="D596">
        <v>627276</v>
      </c>
      <c r="E596" t="s">
        <v>374</v>
      </c>
      <c r="F596" t="s">
        <v>410</v>
      </c>
      <c r="G596">
        <v>84388.81</v>
      </c>
      <c r="H596">
        <v>9756</v>
      </c>
      <c r="I596">
        <v>8.65</v>
      </c>
      <c r="J596">
        <v>2.3115999999999999</v>
      </c>
    </row>
    <row r="597" spans="1:10" x14ac:dyDescent="0.3">
      <c r="A597" t="s">
        <v>368</v>
      </c>
      <c r="B597" t="s">
        <v>193</v>
      </c>
      <c r="C597" s="25">
        <v>45869</v>
      </c>
      <c r="D597">
        <v>627276</v>
      </c>
      <c r="E597" t="s">
        <v>374</v>
      </c>
      <c r="F597" t="s">
        <v>410</v>
      </c>
      <c r="G597">
        <v>100808.31</v>
      </c>
      <c r="H597">
        <v>33933</v>
      </c>
      <c r="I597">
        <v>2.97</v>
      </c>
      <c r="J597">
        <v>2.8936999999999999</v>
      </c>
    </row>
    <row r="598" spans="1:10" x14ac:dyDescent="0.3">
      <c r="A598" t="s">
        <v>368</v>
      </c>
      <c r="B598" t="s">
        <v>193</v>
      </c>
      <c r="C598" s="25">
        <v>45900</v>
      </c>
      <c r="D598">
        <v>627276</v>
      </c>
      <c r="E598" t="s">
        <v>374</v>
      </c>
      <c r="F598" t="s">
        <v>410</v>
      </c>
      <c r="G598">
        <v>97251.32</v>
      </c>
      <c r="H598">
        <v>18307</v>
      </c>
      <c r="I598">
        <v>5.31</v>
      </c>
      <c r="J598">
        <v>2.3769999999999998</v>
      </c>
    </row>
    <row r="599" spans="1:10" x14ac:dyDescent="0.3">
      <c r="A599" t="s">
        <v>368</v>
      </c>
      <c r="B599" t="s">
        <v>193</v>
      </c>
      <c r="C599" s="25">
        <v>45930</v>
      </c>
      <c r="D599">
        <v>627276</v>
      </c>
      <c r="E599" t="s">
        <v>374</v>
      </c>
      <c r="F599" t="s">
        <v>410</v>
      </c>
      <c r="G599">
        <v>83321.33</v>
      </c>
      <c r="H599">
        <v>13125</v>
      </c>
      <c r="I599">
        <v>6.35</v>
      </c>
      <c r="J599">
        <v>2.1812</v>
      </c>
    </row>
    <row r="600" spans="1:10" x14ac:dyDescent="0.3">
      <c r="A600" t="s">
        <v>368</v>
      </c>
      <c r="B600" t="s">
        <v>193</v>
      </c>
      <c r="C600" s="25">
        <v>45961</v>
      </c>
      <c r="D600">
        <v>627276</v>
      </c>
      <c r="E600" t="s">
        <v>374</v>
      </c>
      <c r="F600" t="s">
        <v>410</v>
      </c>
      <c r="G600">
        <v>70415.740000000005</v>
      </c>
      <c r="H600">
        <v>84284</v>
      </c>
      <c r="I600">
        <v>0.84</v>
      </c>
      <c r="J600">
        <v>1.8998999999999999</v>
      </c>
    </row>
    <row r="601" spans="1:10" x14ac:dyDescent="0.3">
      <c r="A601" t="s">
        <v>368</v>
      </c>
      <c r="B601" t="s">
        <v>193</v>
      </c>
      <c r="C601" s="25">
        <v>45991</v>
      </c>
      <c r="D601">
        <v>627276</v>
      </c>
      <c r="E601" t="s">
        <v>374</v>
      </c>
      <c r="F601" t="s">
        <v>410</v>
      </c>
      <c r="G601">
        <v>91424.7</v>
      </c>
      <c r="H601">
        <v>12258</v>
      </c>
      <c r="I601">
        <v>7.46</v>
      </c>
      <c r="J601">
        <v>2.508</v>
      </c>
    </row>
    <row r="602" spans="1:10" x14ac:dyDescent="0.3">
      <c r="A602" t="s">
        <v>368</v>
      </c>
      <c r="B602" t="s">
        <v>193</v>
      </c>
      <c r="C602" s="25">
        <v>45657</v>
      </c>
      <c r="D602">
        <v>346629</v>
      </c>
      <c r="E602" t="s">
        <v>372</v>
      </c>
      <c r="F602" t="s">
        <v>409</v>
      </c>
      <c r="G602">
        <v>68337.81</v>
      </c>
      <c r="H602">
        <v>6527</v>
      </c>
      <c r="I602">
        <v>10.47</v>
      </c>
      <c r="J602">
        <v>1.7799</v>
      </c>
    </row>
    <row r="603" spans="1:10" x14ac:dyDescent="0.3">
      <c r="A603" t="s">
        <v>368</v>
      </c>
      <c r="B603" t="s">
        <v>193</v>
      </c>
      <c r="C603" s="25">
        <v>45688</v>
      </c>
      <c r="D603">
        <v>346629</v>
      </c>
      <c r="E603" t="s">
        <v>372</v>
      </c>
      <c r="F603" t="s">
        <v>409</v>
      </c>
      <c r="G603">
        <v>76127.55</v>
      </c>
      <c r="H603">
        <v>8377</v>
      </c>
      <c r="I603">
        <v>9.09</v>
      </c>
      <c r="J603">
        <v>2.0464000000000002</v>
      </c>
    </row>
    <row r="604" spans="1:10" x14ac:dyDescent="0.3">
      <c r="A604" t="s">
        <v>368</v>
      </c>
      <c r="B604" t="s">
        <v>193</v>
      </c>
      <c r="C604" s="25">
        <v>45716</v>
      </c>
      <c r="D604">
        <v>346629</v>
      </c>
      <c r="E604" t="s">
        <v>372</v>
      </c>
      <c r="F604" t="s">
        <v>409</v>
      </c>
      <c r="G604">
        <v>87118.02</v>
      </c>
      <c r="H604">
        <v>43435</v>
      </c>
      <c r="I604">
        <v>2.0099999999999998</v>
      </c>
      <c r="J604">
        <v>2.3269000000000002</v>
      </c>
    </row>
    <row r="605" spans="1:10" x14ac:dyDescent="0.3">
      <c r="A605" t="s">
        <v>368</v>
      </c>
      <c r="B605" t="s">
        <v>193</v>
      </c>
      <c r="C605" s="25">
        <v>45747</v>
      </c>
      <c r="D605">
        <v>346629</v>
      </c>
      <c r="E605" t="s">
        <v>372</v>
      </c>
      <c r="F605" t="s">
        <v>409</v>
      </c>
      <c r="G605">
        <v>113425.27</v>
      </c>
      <c r="H605">
        <v>13334</v>
      </c>
      <c r="I605">
        <v>8.51</v>
      </c>
      <c r="J605">
        <v>2.7372999999999998</v>
      </c>
    </row>
    <row r="606" spans="1:10" x14ac:dyDescent="0.3">
      <c r="A606" t="s">
        <v>368</v>
      </c>
      <c r="B606" t="s">
        <v>193</v>
      </c>
      <c r="C606" s="25">
        <v>45777</v>
      </c>
      <c r="D606">
        <v>346629</v>
      </c>
      <c r="E606" t="s">
        <v>372</v>
      </c>
      <c r="F606" t="s">
        <v>409</v>
      </c>
      <c r="G606">
        <v>74250</v>
      </c>
      <c r="H606">
        <v>59519</v>
      </c>
      <c r="I606">
        <v>1.25</v>
      </c>
      <c r="J606">
        <v>2.2343999999999999</v>
      </c>
    </row>
    <row r="607" spans="1:10" x14ac:dyDescent="0.3">
      <c r="A607" t="s">
        <v>368</v>
      </c>
      <c r="B607" t="s">
        <v>193</v>
      </c>
      <c r="C607" s="25">
        <v>45808</v>
      </c>
      <c r="D607">
        <v>346629</v>
      </c>
      <c r="E607" t="s">
        <v>372</v>
      </c>
      <c r="F607" t="s">
        <v>409</v>
      </c>
      <c r="G607">
        <v>69133.94</v>
      </c>
      <c r="H607">
        <v>6920</v>
      </c>
      <c r="I607">
        <v>9.99</v>
      </c>
      <c r="J607">
        <v>1.8416999999999999</v>
      </c>
    </row>
    <row r="608" spans="1:10" x14ac:dyDescent="0.3">
      <c r="A608" t="s">
        <v>368</v>
      </c>
      <c r="B608" t="s">
        <v>193</v>
      </c>
      <c r="C608" s="25">
        <v>45838</v>
      </c>
      <c r="D608">
        <v>346629</v>
      </c>
      <c r="E608" t="s">
        <v>372</v>
      </c>
      <c r="F608" t="s">
        <v>409</v>
      </c>
      <c r="G608">
        <v>83772.009999999995</v>
      </c>
      <c r="H608">
        <v>9246</v>
      </c>
      <c r="I608">
        <v>9.06</v>
      </c>
      <c r="J608">
        <v>2.2947000000000002</v>
      </c>
    </row>
    <row r="609" spans="1:10" x14ac:dyDescent="0.3">
      <c r="A609" t="s">
        <v>368</v>
      </c>
      <c r="B609" t="s">
        <v>193</v>
      </c>
      <c r="C609" s="25">
        <v>45869</v>
      </c>
      <c r="D609">
        <v>346629</v>
      </c>
      <c r="E609" t="s">
        <v>372</v>
      </c>
      <c r="F609" t="s">
        <v>409</v>
      </c>
      <c r="G609">
        <v>94816.13</v>
      </c>
      <c r="H609">
        <v>12437</v>
      </c>
      <c r="I609">
        <v>7.62</v>
      </c>
      <c r="J609">
        <v>2.7216999999999998</v>
      </c>
    </row>
    <row r="610" spans="1:10" x14ac:dyDescent="0.3">
      <c r="A610" t="s">
        <v>368</v>
      </c>
      <c r="B610" t="s">
        <v>193</v>
      </c>
      <c r="C610" s="25">
        <v>45900</v>
      </c>
      <c r="D610">
        <v>346629</v>
      </c>
      <c r="E610" t="s">
        <v>372</v>
      </c>
      <c r="F610" t="s">
        <v>409</v>
      </c>
      <c r="G610">
        <v>91098.85</v>
      </c>
      <c r="H610">
        <v>9552</v>
      </c>
      <c r="I610">
        <v>9.5399999999999991</v>
      </c>
      <c r="J610">
        <v>2.2265999999999999</v>
      </c>
    </row>
    <row r="611" spans="1:10" x14ac:dyDescent="0.3">
      <c r="A611" t="s">
        <v>368</v>
      </c>
      <c r="B611" t="s">
        <v>193</v>
      </c>
      <c r="C611" s="25">
        <v>45930</v>
      </c>
      <c r="D611">
        <v>346629</v>
      </c>
      <c r="E611" t="s">
        <v>372</v>
      </c>
      <c r="F611" t="s">
        <v>409</v>
      </c>
      <c r="G611">
        <v>107097.11</v>
      </c>
      <c r="H611">
        <v>18407</v>
      </c>
      <c r="I611">
        <v>5.82</v>
      </c>
      <c r="J611">
        <v>2.8035000000000001</v>
      </c>
    </row>
    <row r="612" spans="1:10" x14ac:dyDescent="0.3">
      <c r="A612" t="s">
        <v>368</v>
      </c>
      <c r="B612" t="s">
        <v>193</v>
      </c>
      <c r="C612" s="25">
        <v>45961</v>
      </c>
      <c r="D612">
        <v>346629</v>
      </c>
      <c r="E612" t="s">
        <v>372</v>
      </c>
      <c r="F612" t="s">
        <v>409</v>
      </c>
      <c r="G612">
        <v>86168.52</v>
      </c>
      <c r="H612">
        <v>14805</v>
      </c>
      <c r="I612">
        <v>5.82</v>
      </c>
      <c r="J612">
        <v>2.3249</v>
      </c>
    </row>
    <row r="613" spans="1:10" x14ac:dyDescent="0.3">
      <c r="A613" t="s">
        <v>368</v>
      </c>
      <c r="B613" t="s">
        <v>193</v>
      </c>
      <c r="C613" s="25">
        <v>45991</v>
      </c>
      <c r="D613">
        <v>346629</v>
      </c>
      <c r="E613" t="s">
        <v>372</v>
      </c>
      <c r="F613" t="s">
        <v>409</v>
      </c>
      <c r="G613">
        <v>94048.56</v>
      </c>
      <c r="H613">
        <v>9870</v>
      </c>
      <c r="I613">
        <v>9.5299999999999994</v>
      </c>
      <c r="J613">
        <v>2.58</v>
      </c>
    </row>
    <row r="614" spans="1:10" x14ac:dyDescent="0.3">
      <c r="A614" t="s">
        <v>368</v>
      </c>
      <c r="B614" t="s">
        <v>193</v>
      </c>
      <c r="C614" s="25">
        <v>45657</v>
      </c>
      <c r="D614">
        <v>707314</v>
      </c>
      <c r="E614" t="s">
        <v>378</v>
      </c>
      <c r="F614" t="s">
        <v>408</v>
      </c>
      <c r="G614">
        <v>54303.97</v>
      </c>
      <c r="H614">
        <v>21149</v>
      </c>
      <c r="I614">
        <v>2.57</v>
      </c>
      <c r="J614">
        <v>1.4144000000000001</v>
      </c>
    </row>
    <row r="615" spans="1:10" x14ac:dyDescent="0.3">
      <c r="A615" t="s">
        <v>368</v>
      </c>
      <c r="B615" t="s">
        <v>193</v>
      </c>
      <c r="C615" s="25">
        <v>45688</v>
      </c>
      <c r="D615">
        <v>707314</v>
      </c>
      <c r="E615" t="s">
        <v>378</v>
      </c>
      <c r="F615" t="s">
        <v>408</v>
      </c>
      <c r="G615">
        <v>60798.18</v>
      </c>
      <c r="H615">
        <v>10341</v>
      </c>
      <c r="I615">
        <v>5.88</v>
      </c>
      <c r="J615">
        <v>1.6343000000000001</v>
      </c>
    </row>
    <row r="616" spans="1:10" x14ac:dyDescent="0.3">
      <c r="A616" t="s">
        <v>368</v>
      </c>
      <c r="B616" t="s">
        <v>193</v>
      </c>
      <c r="C616" s="25">
        <v>45716</v>
      </c>
      <c r="D616">
        <v>707314</v>
      </c>
      <c r="E616" t="s">
        <v>378</v>
      </c>
      <c r="F616" t="s">
        <v>408</v>
      </c>
      <c r="G616">
        <v>67758.179999999993</v>
      </c>
      <c r="H616">
        <v>6745</v>
      </c>
      <c r="I616">
        <v>10.050000000000001</v>
      </c>
      <c r="J616">
        <v>1.8098000000000001</v>
      </c>
    </row>
    <row r="617" spans="1:10" x14ac:dyDescent="0.3">
      <c r="A617" t="s">
        <v>368</v>
      </c>
      <c r="B617" t="s">
        <v>193</v>
      </c>
      <c r="C617" s="25">
        <v>45747</v>
      </c>
      <c r="D617">
        <v>707314</v>
      </c>
      <c r="E617" t="s">
        <v>378</v>
      </c>
      <c r="F617" t="s">
        <v>408</v>
      </c>
      <c r="G617">
        <v>52750.65</v>
      </c>
      <c r="H617">
        <v>49455</v>
      </c>
      <c r="I617">
        <v>1.07</v>
      </c>
      <c r="J617">
        <v>1.2729999999999999</v>
      </c>
    </row>
    <row r="618" spans="1:10" x14ac:dyDescent="0.3">
      <c r="A618" t="s">
        <v>368</v>
      </c>
      <c r="B618" t="s">
        <v>193</v>
      </c>
      <c r="C618" s="25">
        <v>45777</v>
      </c>
      <c r="D618">
        <v>707314</v>
      </c>
      <c r="E618" t="s">
        <v>378</v>
      </c>
      <c r="F618" t="s">
        <v>408</v>
      </c>
      <c r="G618">
        <v>46594.04</v>
      </c>
      <c r="H618">
        <v>16826</v>
      </c>
      <c r="I618">
        <v>2.77</v>
      </c>
      <c r="J618">
        <v>1.4021999999999999</v>
      </c>
    </row>
    <row r="619" spans="1:10" x14ac:dyDescent="0.3">
      <c r="A619" t="s">
        <v>368</v>
      </c>
      <c r="B619" t="s">
        <v>193</v>
      </c>
      <c r="C619" s="25">
        <v>45808</v>
      </c>
      <c r="D619">
        <v>707314</v>
      </c>
      <c r="E619" t="s">
        <v>378</v>
      </c>
      <c r="F619" t="s">
        <v>408</v>
      </c>
      <c r="G619">
        <v>60324.2</v>
      </c>
      <c r="H619">
        <v>14541</v>
      </c>
      <c r="I619">
        <v>4.1500000000000004</v>
      </c>
      <c r="J619">
        <v>1.607</v>
      </c>
    </row>
    <row r="620" spans="1:10" x14ac:dyDescent="0.3">
      <c r="A620" t="s">
        <v>368</v>
      </c>
      <c r="B620" t="s">
        <v>193</v>
      </c>
      <c r="C620" s="25">
        <v>45838</v>
      </c>
      <c r="D620">
        <v>707314</v>
      </c>
      <c r="E620" t="s">
        <v>378</v>
      </c>
      <c r="F620" t="s">
        <v>408</v>
      </c>
      <c r="G620">
        <v>51900.14</v>
      </c>
      <c r="H620">
        <v>47424</v>
      </c>
      <c r="I620">
        <v>1.0900000000000001</v>
      </c>
      <c r="J620">
        <v>1.4217</v>
      </c>
    </row>
    <row r="621" spans="1:10" x14ac:dyDescent="0.3">
      <c r="A621" t="s">
        <v>368</v>
      </c>
      <c r="B621" t="s">
        <v>193</v>
      </c>
      <c r="C621" s="25">
        <v>45869</v>
      </c>
      <c r="D621">
        <v>707314</v>
      </c>
      <c r="E621" t="s">
        <v>378</v>
      </c>
      <c r="F621" t="s">
        <v>408</v>
      </c>
      <c r="G621">
        <v>34879.07</v>
      </c>
      <c r="H621">
        <v>15014</v>
      </c>
      <c r="I621">
        <v>2.3199999999999998</v>
      </c>
      <c r="J621">
        <v>1.0012000000000001</v>
      </c>
    </row>
    <row r="622" spans="1:10" x14ac:dyDescent="0.3">
      <c r="A622" t="s">
        <v>368</v>
      </c>
      <c r="B622" t="s">
        <v>193</v>
      </c>
      <c r="C622" s="25">
        <v>45900</v>
      </c>
      <c r="D622">
        <v>707314</v>
      </c>
      <c r="E622" t="s">
        <v>378</v>
      </c>
      <c r="F622" t="s">
        <v>408</v>
      </c>
      <c r="G622">
        <v>53614.03</v>
      </c>
      <c r="H622">
        <v>16838</v>
      </c>
      <c r="I622">
        <v>3.18</v>
      </c>
      <c r="J622">
        <v>1.3104</v>
      </c>
    </row>
    <row r="623" spans="1:10" x14ac:dyDescent="0.3">
      <c r="A623" t="s">
        <v>368</v>
      </c>
      <c r="B623" t="s">
        <v>193</v>
      </c>
      <c r="C623" s="25">
        <v>45930</v>
      </c>
      <c r="D623">
        <v>707314</v>
      </c>
      <c r="E623" t="s">
        <v>378</v>
      </c>
      <c r="F623" t="s">
        <v>408</v>
      </c>
      <c r="G623">
        <v>54240.66</v>
      </c>
      <c r="H623">
        <v>9493</v>
      </c>
      <c r="I623">
        <v>5.71</v>
      </c>
      <c r="J623">
        <v>1.4198999999999999</v>
      </c>
    </row>
    <row r="624" spans="1:10" x14ac:dyDescent="0.3">
      <c r="A624" t="s">
        <v>368</v>
      </c>
      <c r="B624" t="s">
        <v>193</v>
      </c>
      <c r="C624" s="25">
        <v>45961</v>
      </c>
      <c r="D624">
        <v>707314</v>
      </c>
      <c r="E624" t="s">
        <v>378</v>
      </c>
      <c r="F624" t="s">
        <v>408</v>
      </c>
      <c r="G624">
        <v>62897.74</v>
      </c>
      <c r="H624">
        <v>11144</v>
      </c>
      <c r="I624">
        <v>5.64</v>
      </c>
      <c r="J624">
        <v>1.6970000000000001</v>
      </c>
    </row>
    <row r="625" spans="1:10" x14ac:dyDescent="0.3">
      <c r="A625" t="s">
        <v>368</v>
      </c>
      <c r="B625" t="s">
        <v>193</v>
      </c>
      <c r="C625" s="25">
        <v>45991</v>
      </c>
      <c r="D625">
        <v>707314</v>
      </c>
      <c r="E625" t="s">
        <v>378</v>
      </c>
      <c r="F625" t="s">
        <v>408</v>
      </c>
      <c r="G625">
        <v>50699.22</v>
      </c>
      <c r="H625">
        <v>5290</v>
      </c>
      <c r="I625">
        <v>9.58</v>
      </c>
      <c r="J625">
        <v>1.3908</v>
      </c>
    </row>
    <row r="626" spans="1:10" x14ac:dyDescent="0.3">
      <c r="A626" t="s">
        <v>368</v>
      </c>
      <c r="B626" t="s">
        <v>193</v>
      </c>
      <c r="C626" s="25">
        <v>45657</v>
      </c>
      <c r="D626">
        <v>159942</v>
      </c>
      <c r="E626" t="s">
        <v>377</v>
      </c>
      <c r="F626" t="s">
        <v>407</v>
      </c>
      <c r="G626">
        <v>45273.51</v>
      </c>
      <c r="H626">
        <v>19703</v>
      </c>
      <c r="I626">
        <v>2.2999999999999998</v>
      </c>
      <c r="J626">
        <v>1.1792</v>
      </c>
    </row>
    <row r="627" spans="1:10" x14ac:dyDescent="0.3">
      <c r="A627" t="s">
        <v>368</v>
      </c>
      <c r="B627" t="s">
        <v>193</v>
      </c>
      <c r="C627" s="25">
        <v>45688</v>
      </c>
      <c r="D627">
        <v>159942</v>
      </c>
      <c r="E627" t="s">
        <v>377</v>
      </c>
      <c r="F627" t="s">
        <v>407</v>
      </c>
      <c r="G627">
        <v>52579.14</v>
      </c>
      <c r="H627">
        <v>9515</v>
      </c>
      <c r="I627">
        <v>5.53</v>
      </c>
      <c r="J627">
        <v>1.4134</v>
      </c>
    </row>
    <row r="628" spans="1:10" x14ac:dyDescent="0.3">
      <c r="A628" t="s">
        <v>368</v>
      </c>
      <c r="B628" t="s">
        <v>193</v>
      </c>
      <c r="C628" s="25">
        <v>45716</v>
      </c>
      <c r="D628">
        <v>159942</v>
      </c>
      <c r="E628" t="s">
        <v>377</v>
      </c>
      <c r="F628" t="s">
        <v>407</v>
      </c>
      <c r="G628">
        <v>62076.81</v>
      </c>
      <c r="H628">
        <v>8648</v>
      </c>
      <c r="I628">
        <v>7.18</v>
      </c>
      <c r="J628">
        <v>1.6579999999999999</v>
      </c>
    </row>
    <row r="629" spans="1:10" x14ac:dyDescent="0.3">
      <c r="A629" t="s">
        <v>368</v>
      </c>
      <c r="B629" t="s">
        <v>193</v>
      </c>
      <c r="C629" s="25">
        <v>45747</v>
      </c>
      <c r="D629">
        <v>159942</v>
      </c>
      <c r="E629" t="s">
        <v>377</v>
      </c>
      <c r="F629" t="s">
        <v>407</v>
      </c>
      <c r="G629">
        <v>51038.58</v>
      </c>
      <c r="H629">
        <v>10283</v>
      </c>
      <c r="I629">
        <v>4.96</v>
      </c>
      <c r="J629">
        <v>1.2317</v>
      </c>
    </row>
    <row r="630" spans="1:10" x14ac:dyDescent="0.3">
      <c r="A630" t="s">
        <v>368</v>
      </c>
      <c r="B630" t="s">
        <v>193</v>
      </c>
      <c r="C630" s="25">
        <v>45777</v>
      </c>
      <c r="D630">
        <v>159942</v>
      </c>
      <c r="E630" t="s">
        <v>377</v>
      </c>
      <c r="F630" t="s">
        <v>407</v>
      </c>
      <c r="G630">
        <v>41729.29</v>
      </c>
      <c r="H630">
        <v>5862</v>
      </c>
      <c r="I630">
        <v>7.12</v>
      </c>
      <c r="J630">
        <v>1.2558</v>
      </c>
    </row>
    <row r="631" spans="1:10" x14ac:dyDescent="0.3">
      <c r="A631" t="s">
        <v>368</v>
      </c>
      <c r="B631" t="s">
        <v>193</v>
      </c>
      <c r="C631" s="25">
        <v>45808</v>
      </c>
      <c r="D631">
        <v>159942</v>
      </c>
      <c r="E631" t="s">
        <v>377</v>
      </c>
      <c r="F631" t="s">
        <v>407</v>
      </c>
      <c r="G631">
        <v>46346.67</v>
      </c>
      <c r="H631">
        <v>8631</v>
      </c>
      <c r="I631">
        <v>5.37</v>
      </c>
      <c r="J631">
        <v>1.2346999999999999</v>
      </c>
    </row>
    <row r="632" spans="1:10" x14ac:dyDescent="0.3">
      <c r="A632" t="s">
        <v>368</v>
      </c>
      <c r="B632" t="s">
        <v>193</v>
      </c>
      <c r="C632" s="25">
        <v>45838</v>
      </c>
      <c r="D632">
        <v>159942</v>
      </c>
      <c r="E632" t="s">
        <v>377</v>
      </c>
      <c r="F632" t="s">
        <v>407</v>
      </c>
      <c r="G632">
        <v>40002.269999999997</v>
      </c>
      <c r="H632">
        <v>4924</v>
      </c>
      <c r="I632">
        <v>8.1199999999999992</v>
      </c>
      <c r="J632">
        <v>1.0958000000000001</v>
      </c>
    </row>
    <row r="633" spans="1:10" x14ac:dyDescent="0.3">
      <c r="A633" t="s">
        <v>368</v>
      </c>
      <c r="B633" t="s">
        <v>193</v>
      </c>
      <c r="C633" s="25">
        <v>45869</v>
      </c>
      <c r="D633">
        <v>159942</v>
      </c>
      <c r="E633" t="s">
        <v>377</v>
      </c>
      <c r="F633" t="s">
        <v>407</v>
      </c>
      <c r="G633">
        <v>47742.84</v>
      </c>
      <c r="H633">
        <v>4633</v>
      </c>
      <c r="I633">
        <v>10.3</v>
      </c>
      <c r="J633">
        <v>1.3704000000000001</v>
      </c>
    </row>
    <row r="634" spans="1:10" x14ac:dyDescent="0.3">
      <c r="A634" t="s">
        <v>368</v>
      </c>
      <c r="B634" t="s">
        <v>193</v>
      </c>
      <c r="C634" s="25">
        <v>45900</v>
      </c>
      <c r="D634">
        <v>159942</v>
      </c>
      <c r="E634" t="s">
        <v>377</v>
      </c>
      <c r="F634" t="s">
        <v>407</v>
      </c>
      <c r="G634">
        <v>55085.81</v>
      </c>
      <c r="H634">
        <v>4701</v>
      </c>
      <c r="I634">
        <v>11.72</v>
      </c>
      <c r="J634">
        <v>1.3464</v>
      </c>
    </row>
    <row r="635" spans="1:10" x14ac:dyDescent="0.3">
      <c r="A635" t="s">
        <v>368</v>
      </c>
      <c r="B635" t="s">
        <v>193</v>
      </c>
      <c r="C635" s="25">
        <v>45930</v>
      </c>
      <c r="D635">
        <v>159942</v>
      </c>
      <c r="E635" t="s">
        <v>377</v>
      </c>
      <c r="F635" t="s">
        <v>407</v>
      </c>
      <c r="G635">
        <v>38650.18</v>
      </c>
      <c r="H635">
        <v>8921</v>
      </c>
      <c r="I635">
        <v>4.33</v>
      </c>
      <c r="J635">
        <v>1.0118</v>
      </c>
    </row>
    <row r="636" spans="1:10" x14ac:dyDescent="0.3">
      <c r="A636" t="s">
        <v>368</v>
      </c>
      <c r="B636" t="s">
        <v>193</v>
      </c>
      <c r="C636" s="25">
        <v>45961</v>
      </c>
      <c r="D636">
        <v>159942</v>
      </c>
      <c r="E636" t="s">
        <v>377</v>
      </c>
      <c r="F636" t="s">
        <v>407</v>
      </c>
      <c r="G636">
        <v>44235.81</v>
      </c>
      <c r="H636">
        <v>5922</v>
      </c>
      <c r="I636">
        <v>7.47</v>
      </c>
      <c r="J636">
        <v>1.1935</v>
      </c>
    </row>
    <row r="637" spans="1:10" x14ac:dyDescent="0.3">
      <c r="A637" t="s">
        <v>368</v>
      </c>
      <c r="B637" t="s">
        <v>193</v>
      </c>
      <c r="C637" s="25">
        <v>45991</v>
      </c>
      <c r="D637">
        <v>159942</v>
      </c>
      <c r="E637" t="s">
        <v>377</v>
      </c>
      <c r="F637" t="s">
        <v>407</v>
      </c>
      <c r="G637">
        <v>50917.34</v>
      </c>
      <c r="H637">
        <v>33263</v>
      </c>
      <c r="I637">
        <v>1.53</v>
      </c>
      <c r="J637">
        <v>1.3968</v>
      </c>
    </row>
    <row r="638" spans="1:10" x14ac:dyDescent="0.3">
      <c r="A638" t="s">
        <v>368</v>
      </c>
      <c r="B638" t="s">
        <v>193</v>
      </c>
      <c r="C638" s="25">
        <v>45657</v>
      </c>
      <c r="D638">
        <v>884309</v>
      </c>
      <c r="E638" t="s">
        <v>372</v>
      </c>
      <c r="F638" t="s">
        <v>406</v>
      </c>
      <c r="G638">
        <v>53105.17</v>
      </c>
      <c r="H638">
        <v>7293</v>
      </c>
      <c r="I638">
        <v>7.28</v>
      </c>
      <c r="J638">
        <v>1.3832</v>
      </c>
    </row>
    <row r="639" spans="1:10" x14ac:dyDescent="0.3">
      <c r="A639" t="s">
        <v>368</v>
      </c>
      <c r="B639" t="s">
        <v>193</v>
      </c>
      <c r="C639" s="25">
        <v>45688</v>
      </c>
      <c r="D639">
        <v>884309</v>
      </c>
      <c r="E639" t="s">
        <v>372</v>
      </c>
      <c r="F639" t="s">
        <v>406</v>
      </c>
      <c r="G639">
        <v>53421.73</v>
      </c>
      <c r="H639">
        <v>9415</v>
      </c>
      <c r="I639">
        <v>5.67</v>
      </c>
      <c r="J639">
        <v>1.4359999999999999</v>
      </c>
    </row>
    <row r="640" spans="1:10" x14ac:dyDescent="0.3">
      <c r="A640" t="s">
        <v>368</v>
      </c>
      <c r="B640" t="s">
        <v>193</v>
      </c>
      <c r="C640" s="25">
        <v>45716</v>
      </c>
      <c r="D640">
        <v>884309</v>
      </c>
      <c r="E640" t="s">
        <v>372</v>
      </c>
      <c r="F640" t="s">
        <v>406</v>
      </c>
      <c r="G640">
        <v>52390.46</v>
      </c>
      <c r="H640">
        <v>7268</v>
      </c>
      <c r="I640">
        <v>7.21</v>
      </c>
      <c r="J640">
        <v>1.3993</v>
      </c>
    </row>
    <row r="641" spans="1:10" x14ac:dyDescent="0.3">
      <c r="A641" t="s">
        <v>368</v>
      </c>
      <c r="B641" t="s">
        <v>193</v>
      </c>
      <c r="C641" s="25">
        <v>45747</v>
      </c>
      <c r="D641">
        <v>884309</v>
      </c>
      <c r="E641" t="s">
        <v>372</v>
      </c>
      <c r="F641" t="s">
        <v>406</v>
      </c>
      <c r="G641">
        <v>51983.98</v>
      </c>
      <c r="H641">
        <v>7769</v>
      </c>
      <c r="I641">
        <v>6.69</v>
      </c>
      <c r="J641">
        <v>1.2544999999999999</v>
      </c>
    </row>
    <row r="642" spans="1:10" x14ac:dyDescent="0.3">
      <c r="A642" t="s">
        <v>368</v>
      </c>
      <c r="B642" t="s">
        <v>193</v>
      </c>
      <c r="C642" s="25">
        <v>45777</v>
      </c>
      <c r="D642">
        <v>884309</v>
      </c>
      <c r="E642" t="s">
        <v>372</v>
      </c>
      <c r="F642" t="s">
        <v>406</v>
      </c>
      <c r="G642">
        <v>32700.26</v>
      </c>
      <c r="H642">
        <v>60246</v>
      </c>
      <c r="I642">
        <v>0.54</v>
      </c>
      <c r="J642">
        <v>0.98409999999999997</v>
      </c>
    </row>
    <row r="643" spans="1:10" x14ac:dyDescent="0.3">
      <c r="A643" t="s">
        <v>368</v>
      </c>
      <c r="B643" t="s">
        <v>193</v>
      </c>
      <c r="C643" s="25">
        <v>45808</v>
      </c>
      <c r="D643">
        <v>884309</v>
      </c>
      <c r="E643" t="s">
        <v>372</v>
      </c>
      <c r="F643" t="s">
        <v>406</v>
      </c>
      <c r="G643">
        <v>45513.08</v>
      </c>
      <c r="H643">
        <v>13887</v>
      </c>
      <c r="I643">
        <v>3.28</v>
      </c>
      <c r="J643">
        <v>1.2124999999999999</v>
      </c>
    </row>
    <row r="644" spans="1:10" x14ac:dyDescent="0.3">
      <c r="A644" t="s">
        <v>368</v>
      </c>
      <c r="B644" t="s">
        <v>193</v>
      </c>
      <c r="C644" s="25">
        <v>45838</v>
      </c>
      <c r="D644">
        <v>884309</v>
      </c>
      <c r="E644" t="s">
        <v>372</v>
      </c>
      <c r="F644" t="s">
        <v>406</v>
      </c>
      <c r="G644">
        <v>29466.93</v>
      </c>
      <c r="H644">
        <v>5208</v>
      </c>
      <c r="I644">
        <v>5.66</v>
      </c>
      <c r="J644">
        <v>0.80720000000000003</v>
      </c>
    </row>
    <row r="645" spans="1:10" x14ac:dyDescent="0.3">
      <c r="A645" t="s">
        <v>368</v>
      </c>
      <c r="B645" t="s">
        <v>193</v>
      </c>
      <c r="C645" s="25">
        <v>45869</v>
      </c>
      <c r="D645">
        <v>884309</v>
      </c>
      <c r="E645" t="s">
        <v>372</v>
      </c>
      <c r="F645" t="s">
        <v>406</v>
      </c>
      <c r="G645">
        <v>44979.66</v>
      </c>
      <c r="H645">
        <v>3819</v>
      </c>
      <c r="I645">
        <v>11.78</v>
      </c>
      <c r="J645">
        <v>1.2910999999999999</v>
      </c>
    </row>
    <row r="646" spans="1:10" x14ac:dyDescent="0.3">
      <c r="A646" t="s">
        <v>368</v>
      </c>
      <c r="B646" t="s">
        <v>193</v>
      </c>
      <c r="C646" s="25">
        <v>45900</v>
      </c>
      <c r="D646">
        <v>884309</v>
      </c>
      <c r="E646" t="s">
        <v>372</v>
      </c>
      <c r="F646" t="s">
        <v>406</v>
      </c>
      <c r="G646">
        <v>46300.959999999999</v>
      </c>
      <c r="H646">
        <v>22748</v>
      </c>
      <c r="I646">
        <v>2.04</v>
      </c>
      <c r="J646">
        <v>1.1316999999999999</v>
      </c>
    </row>
    <row r="647" spans="1:10" x14ac:dyDescent="0.3">
      <c r="A647" t="s">
        <v>368</v>
      </c>
      <c r="B647" t="s">
        <v>193</v>
      </c>
      <c r="C647" s="25">
        <v>45930</v>
      </c>
      <c r="D647">
        <v>884309</v>
      </c>
      <c r="E647" t="s">
        <v>372</v>
      </c>
      <c r="F647" t="s">
        <v>406</v>
      </c>
      <c r="G647">
        <v>33199.620000000003</v>
      </c>
      <c r="H647">
        <v>31573</v>
      </c>
      <c r="I647">
        <v>1.05</v>
      </c>
      <c r="J647">
        <v>0.86909999999999998</v>
      </c>
    </row>
    <row r="648" spans="1:10" x14ac:dyDescent="0.3">
      <c r="A648" t="s">
        <v>368</v>
      </c>
      <c r="B648" t="s">
        <v>193</v>
      </c>
      <c r="C648" s="25">
        <v>45961</v>
      </c>
      <c r="D648">
        <v>884309</v>
      </c>
      <c r="E648" t="s">
        <v>372</v>
      </c>
      <c r="F648" t="s">
        <v>406</v>
      </c>
      <c r="G648">
        <v>49115.08</v>
      </c>
      <c r="H648">
        <v>5311</v>
      </c>
      <c r="I648">
        <v>9.25</v>
      </c>
      <c r="J648">
        <v>1.3251999999999999</v>
      </c>
    </row>
    <row r="649" spans="1:10" x14ac:dyDescent="0.3">
      <c r="A649" t="s">
        <v>368</v>
      </c>
      <c r="B649" t="s">
        <v>193</v>
      </c>
      <c r="C649" s="25">
        <v>45991</v>
      </c>
      <c r="D649">
        <v>884309</v>
      </c>
      <c r="E649" t="s">
        <v>372</v>
      </c>
      <c r="F649" t="s">
        <v>406</v>
      </c>
      <c r="G649">
        <v>55729.760000000002</v>
      </c>
      <c r="H649">
        <v>25065</v>
      </c>
      <c r="I649">
        <v>2.2200000000000002</v>
      </c>
      <c r="J649">
        <v>1.5287999999999999</v>
      </c>
    </row>
    <row r="650" spans="1:10" x14ac:dyDescent="0.3">
      <c r="A650" t="s">
        <v>368</v>
      </c>
      <c r="B650" t="s">
        <v>193</v>
      </c>
      <c r="C650" s="25">
        <v>45657</v>
      </c>
      <c r="D650">
        <v>539589</v>
      </c>
      <c r="E650" t="s">
        <v>378</v>
      </c>
      <c r="F650" t="s">
        <v>405</v>
      </c>
      <c r="G650">
        <v>31187.01</v>
      </c>
      <c r="H650">
        <v>9987</v>
      </c>
      <c r="I650">
        <v>3.12</v>
      </c>
      <c r="J650">
        <v>0.81230000000000002</v>
      </c>
    </row>
    <row r="651" spans="1:10" x14ac:dyDescent="0.3">
      <c r="A651" t="s">
        <v>368</v>
      </c>
      <c r="B651" t="s">
        <v>193</v>
      </c>
      <c r="C651" s="25">
        <v>45688</v>
      </c>
      <c r="D651">
        <v>539589</v>
      </c>
      <c r="E651" t="s">
        <v>378</v>
      </c>
      <c r="F651" t="s">
        <v>405</v>
      </c>
      <c r="G651">
        <v>42222.43</v>
      </c>
      <c r="H651">
        <v>66750</v>
      </c>
      <c r="I651">
        <v>0.63</v>
      </c>
      <c r="J651">
        <v>1.135</v>
      </c>
    </row>
    <row r="652" spans="1:10" x14ac:dyDescent="0.3">
      <c r="A652" t="s">
        <v>368</v>
      </c>
      <c r="B652" t="s">
        <v>193</v>
      </c>
      <c r="C652" s="25">
        <v>45716</v>
      </c>
      <c r="D652">
        <v>539589</v>
      </c>
      <c r="E652" t="s">
        <v>378</v>
      </c>
      <c r="F652" t="s">
        <v>405</v>
      </c>
      <c r="G652">
        <v>37419.85</v>
      </c>
      <c r="H652">
        <v>20292</v>
      </c>
      <c r="I652">
        <v>1.84</v>
      </c>
      <c r="J652">
        <v>0.99950000000000006</v>
      </c>
    </row>
    <row r="653" spans="1:10" x14ac:dyDescent="0.3">
      <c r="A653" t="s">
        <v>368</v>
      </c>
      <c r="B653" t="s">
        <v>193</v>
      </c>
      <c r="C653" s="25">
        <v>45747</v>
      </c>
      <c r="D653">
        <v>539589</v>
      </c>
      <c r="E653" t="s">
        <v>378</v>
      </c>
      <c r="F653" t="s">
        <v>405</v>
      </c>
      <c r="G653">
        <v>38978.32</v>
      </c>
      <c r="H653">
        <v>3293</v>
      </c>
      <c r="I653">
        <v>11.84</v>
      </c>
      <c r="J653">
        <v>0.94069999999999998</v>
      </c>
    </row>
    <row r="654" spans="1:10" x14ac:dyDescent="0.3">
      <c r="A654" t="s">
        <v>368</v>
      </c>
      <c r="B654" t="s">
        <v>193</v>
      </c>
      <c r="C654" s="25">
        <v>45777</v>
      </c>
      <c r="D654">
        <v>539589</v>
      </c>
      <c r="E654" t="s">
        <v>378</v>
      </c>
      <c r="F654" t="s">
        <v>405</v>
      </c>
      <c r="G654">
        <v>31269.56</v>
      </c>
      <c r="H654">
        <v>11210</v>
      </c>
      <c r="I654">
        <v>2.79</v>
      </c>
      <c r="J654">
        <v>0.94099999999999995</v>
      </c>
    </row>
    <row r="655" spans="1:10" x14ac:dyDescent="0.3">
      <c r="A655" t="s">
        <v>368</v>
      </c>
      <c r="B655" t="s">
        <v>193</v>
      </c>
      <c r="C655" s="25">
        <v>45808</v>
      </c>
      <c r="D655">
        <v>539589</v>
      </c>
      <c r="E655" t="s">
        <v>378</v>
      </c>
      <c r="F655" t="s">
        <v>405</v>
      </c>
      <c r="G655">
        <v>37516.36</v>
      </c>
      <c r="H655">
        <v>5169</v>
      </c>
      <c r="I655">
        <v>7.26</v>
      </c>
      <c r="J655">
        <v>0.99939999999999996</v>
      </c>
    </row>
    <row r="656" spans="1:10" x14ac:dyDescent="0.3">
      <c r="A656" t="s">
        <v>368</v>
      </c>
      <c r="B656" t="s">
        <v>193</v>
      </c>
      <c r="C656" s="25">
        <v>45838</v>
      </c>
      <c r="D656">
        <v>539589</v>
      </c>
      <c r="E656" t="s">
        <v>378</v>
      </c>
      <c r="F656" t="s">
        <v>405</v>
      </c>
      <c r="G656">
        <v>36465.21</v>
      </c>
      <c r="H656">
        <v>4635</v>
      </c>
      <c r="I656">
        <v>7.87</v>
      </c>
      <c r="J656">
        <v>0.99890000000000001</v>
      </c>
    </row>
    <row r="657" spans="1:10" x14ac:dyDescent="0.3">
      <c r="A657" t="s">
        <v>368</v>
      </c>
      <c r="B657" t="s">
        <v>193</v>
      </c>
      <c r="C657" s="25">
        <v>45869</v>
      </c>
      <c r="D657">
        <v>539589</v>
      </c>
      <c r="E657" t="s">
        <v>378</v>
      </c>
      <c r="F657" t="s">
        <v>405</v>
      </c>
      <c r="G657">
        <v>36772.22</v>
      </c>
      <c r="H657">
        <v>6991</v>
      </c>
      <c r="I657">
        <v>5.26</v>
      </c>
      <c r="J657">
        <v>1.0555000000000001</v>
      </c>
    </row>
    <row r="658" spans="1:10" x14ac:dyDescent="0.3">
      <c r="A658" t="s">
        <v>368</v>
      </c>
      <c r="B658" t="s">
        <v>193</v>
      </c>
      <c r="C658" s="25">
        <v>45900</v>
      </c>
      <c r="D658">
        <v>539589</v>
      </c>
      <c r="E658" t="s">
        <v>378</v>
      </c>
      <c r="F658" t="s">
        <v>405</v>
      </c>
      <c r="G658">
        <v>37893.129999999997</v>
      </c>
      <c r="H658">
        <v>4724</v>
      </c>
      <c r="I658">
        <v>8.02</v>
      </c>
      <c r="J658">
        <v>0.92620000000000002</v>
      </c>
    </row>
    <row r="659" spans="1:10" x14ac:dyDescent="0.3">
      <c r="A659" t="s">
        <v>368</v>
      </c>
      <c r="B659" t="s">
        <v>193</v>
      </c>
      <c r="C659" s="25">
        <v>45930</v>
      </c>
      <c r="D659">
        <v>539589</v>
      </c>
      <c r="E659" t="s">
        <v>378</v>
      </c>
      <c r="F659" t="s">
        <v>405</v>
      </c>
      <c r="G659">
        <v>36500.230000000003</v>
      </c>
      <c r="H659">
        <v>6904</v>
      </c>
      <c r="I659">
        <v>5.29</v>
      </c>
      <c r="J659">
        <v>0.95550000000000002</v>
      </c>
    </row>
    <row r="660" spans="1:10" x14ac:dyDescent="0.3">
      <c r="A660" t="s">
        <v>368</v>
      </c>
      <c r="B660" t="s">
        <v>193</v>
      </c>
      <c r="C660" s="25">
        <v>45961</v>
      </c>
      <c r="D660">
        <v>539589</v>
      </c>
      <c r="E660" t="s">
        <v>378</v>
      </c>
      <c r="F660" t="s">
        <v>405</v>
      </c>
      <c r="G660">
        <v>42631.17</v>
      </c>
      <c r="H660">
        <v>6092</v>
      </c>
      <c r="I660">
        <v>7</v>
      </c>
      <c r="J660">
        <v>1.1501999999999999</v>
      </c>
    </row>
    <row r="661" spans="1:10" x14ac:dyDescent="0.3">
      <c r="A661" t="s">
        <v>368</v>
      </c>
      <c r="B661" t="s">
        <v>193</v>
      </c>
      <c r="C661" s="25">
        <v>45991</v>
      </c>
      <c r="D661">
        <v>539589</v>
      </c>
      <c r="E661" t="s">
        <v>378</v>
      </c>
      <c r="F661" t="s">
        <v>405</v>
      </c>
      <c r="G661">
        <v>33278.6</v>
      </c>
      <c r="H661">
        <v>3208</v>
      </c>
      <c r="I661">
        <v>10.37</v>
      </c>
      <c r="J661">
        <v>0.91290000000000004</v>
      </c>
    </row>
    <row r="662" spans="1:10" x14ac:dyDescent="0.3">
      <c r="A662" t="s">
        <v>368</v>
      </c>
      <c r="B662" t="s">
        <v>193</v>
      </c>
      <c r="C662" s="25">
        <v>45657</v>
      </c>
      <c r="D662">
        <v>358175</v>
      </c>
      <c r="E662" t="s">
        <v>371</v>
      </c>
      <c r="F662" t="s">
        <v>404</v>
      </c>
      <c r="G662">
        <v>40436.080000000002</v>
      </c>
      <c r="H662">
        <v>4904</v>
      </c>
      <c r="I662">
        <v>8.25</v>
      </c>
      <c r="J662">
        <v>1.0531999999999999</v>
      </c>
    </row>
    <row r="663" spans="1:10" x14ac:dyDescent="0.3">
      <c r="A663" t="s">
        <v>368</v>
      </c>
      <c r="B663" t="s">
        <v>193</v>
      </c>
      <c r="C663" s="25">
        <v>45688</v>
      </c>
      <c r="D663">
        <v>358175</v>
      </c>
      <c r="E663" t="s">
        <v>371</v>
      </c>
      <c r="F663" t="s">
        <v>404</v>
      </c>
      <c r="G663">
        <v>35775.17</v>
      </c>
      <c r="H663">
        <v>19628</v>
      </c>
      <c r="I663">
        <v>1.82</v>
      </c>
      <c r="J663">
        <v>0.9617</v>
      </c>
    </row>
    <row r="664" spans="1:10" x14ac:dyDescent="0.3">
      <c r="A664" t="s">
        <v>368</v>
      </c>
      <c r="B664" t="s">
        <v>193</v>
      </c>
      <c r="C664" s="25">
        <v>45716</v>
      </c>
      <c r="D664">
        <v>358175</v>
      </c>
      <c r="E664" t="s">
        <v>371</v>
      </c>
      <c r="F664" t="s">
        <v>404</v>
      </c>
      <c r="G664">
        <v>34862.47</v>
      </c>
      <c r="H664">
        <v>3067</v>
      </c>
      <c r="I664">
        <v>11.37</v>
      </c>
      <c r="J664">
        <v>0.93120000000000003</v>
      </c>
    </row>
    <row r="665" spans="1:10" x14ac:dyDescent="0.3">
      <c r="A665" t="s">
        <v>368</v>
      </c>
      <c r="B665" t="s">
        <v>193</v>
      </c>
      <c r="C665" s="25">
        <v>45747</v>
      </c>
      <c r="D665">
        <v>358175</v>
      </c>
      <c r="E665" t="s">
        <v>371</v>
      </c>
      <c r="F665" t="s">
        <v>404</v>
      </c>
      <c r="G665">
        <v>53470.85</v>
      </c>
      <c r="H665">
        <v>25121</v>
      </c>
      <c r="I665">
        <v>2.13</v>
      </c>
      <c r="J665">
        <v>1.2904</v>
      </c>
    </row>
    <row r="666" spans="1:10" x14ac:dyDescent="0.3">
      <c r="A666" t="s">
        <v>368</v>
      </c>
      <c r="B666" t="s">
        <v>193</v>
      </c>
      <c r="C666" s="25">
        <v>45777</v>
      </c>
      <c r="D666">
        <v>358175</v>
      </c>
      <c r="E666" t="s">
        <v>371</v>
      </c>
      <c r="F666" t="s">
        <v>404</v>
      </c>
      <c r="G666">
        <v>27282</v>
      </c>
      <c r="H666">
        <v>2372</v>
      </c>
      <c r="I666">
        <v>11.5</v>
      </c>
      <c r="J666">
        <v>0.82099999999999995</v>
      </c>
    </row>
    <row r="667" spans="1:10" x14ac:dyDescent="0.3">
      <c r="A667" t="s">
        <v>368</v>
      </c>
      <c r="B667" t="s">
        <v>193</v>
      </c>
      <c r="C667" s="25">
        <v>45808</v>
      </c>
      <c r="D667">
        <v>358175</v>
      </c>
      <c r="E667" t="s">
        <v>371</v>
      </c>
      <c r="F667" t="s">
        <v>404</v>
      </c>
      <c r="G667">
        <v>46837.38</v>
      </c>
      <c r="H667">
        <v>10906</v>
      </c>
      <c r="I667">
        <v>4.29</v>
      </c>
      <c r="J667">
        <v>1.2477</v>
      </c>
    </row>
    <row r="668" spans="1:10" x14ac:dyDescent="0.3">
      <c r="A668" t="s">
        <v>368</v>
      </c>
      <c r="B668" t="s">
        <v>193</v>
      </c>
      <c r="C668" s="25">
        <v>45838</v>
      </c>
      <c r="D668">
        <v>358175</v>
      </c>
      <c r="E668" t="s">
        <v>371</v>
      </c>
      <c r="F668" t="s">
        <v>404</v>
      </c>
      <c r="G668">
        <v>41646.74</v>
      </c>
      <c r="H668">
        <v>3485</v>
      </c>
      <c r="I668">
        <v>11.95</v>
      </c>
      <c r="J668">
        <v>1.1408</v>
      </c>
    </row>
    <row r="669" spans="1:10" x14ac:dyDescent="0.3">
      <c r="A669" t="s">
        <v>368</v>
      </c>
      <c r="B669" t="s">
        <v>193</v>
      </c>
      <c r="C669" s="25">
        <v>45869</v>
      </c>
      <c r="D669">
        <v>358175</v>
      </c>
      <c r="E669" t="s">
        <v>371</v>
      </c>
      <c r="F669" t="s">
        <v>404</v>
      </c>
      <c r="G669">
        <v>31988.07</v>
      </c>
      <c r="H669">
        <v>9393</v>
      </c>
      <c r="I669">
        <v>3.41</v>
      </c>
      <c r="J669">
        <v>0.91820000000000002</v>
      </c>
    </row>
    <row r="670" spans="1:10" x14ac:dyDescent="0.3">
      <c r="A670" t="s">
        <v>368</v>
      </c>
      <c r="B670" t="s">
        <v>193</v>
      </c>
      <c r="C670" s="25">
        <v>45900</v>
      </c>
      <c r="D670">
        <v>358175</v>
      </c>
      <c r="E670" t="s">
        <v>371</v>
      </c>
      <c r="F670" t="s">
        <v>404</v>
      </c>
      <c r="G670">
        <v>46868.67</v>
      </c>
      <c r="H670">
        <v>12043</v>
      </c>
      <c r="I670">
        <v>3.89</v>
      </c>
      <c r="J670">
        <v>1.1455</v>
      </c>
    </row>
    <row r="671" spans="1:10" x14ac:dyDescent="0.3">
      <c r="A671" t="s">
        <v>368</v>
      </c>
      <c r="B671" t="s">
        <v>193</v>
      </c>
      <c r="C671" s="25">
        <v>45930</v>
      </c>
      <c r="D671">
        <v>358175</v>
      </c>
      <c r="E671" t="s">
        <v>371</v>
      </c>
      <c r="F671" t="s">
        <v>404</v>
      </c>
      <c r="G671">
        <v>23243.02</v>
      </c>
      <c r="H671">
        <v>34406</v>
      </c>
      <c r="I671">
        <v>0.68</v>
      </c>
      <c r="J671">
        <v>0.60840000000000005</v>
      </c>
    </row>
    <row r="672" spans="1:10" x14ac:dyDescent="0.3">
      <c r="A672" t="s">
        <v>368</v>
      </c>
      <c r="B672" t="s">
        <v>193</v>
      </c>
      <c r="C672" s="25">
        <v>45961</v>
      </c>
      <c r="D672">
        <v>358175</v>
      </c>
      <c r="E672" t="s">
        <v>371</v>
      </c>
      <c r="F672" t="s">
        <v>404</v>
      </c>
      <c r="G672">
        <v>33525.69</v>
      </c>
      <c r="H672">
        <v>5985</v>
      </c>
      <c r="I672">
        <v>5.6</v>
      </c>
      <c r="J672">
        <v>0.90459999999999996</v>
      </c>
    </row>
    <row r="673" spans="1:10" x14ac:dyDescent="0.3">
      <c r="A673" t="s">
        <v>368</v>
      </c>
      <c r="B673" t="s">
        <v>193</v>
      </c>
      <c r="C673" s="25">
        <v>45991</v>
      </c>
      <c r="D673">
        <v>358175</v>
      </c>
      <c r="E673" t="s">
        <v>371</v>
      </c>
      <c r="F673" t="s">
        <v>404</v>
      </c>
      <c r="G673">
        <v>31842.06</v>
      </c>
      <c r="H673">
        <v>12904</v>
      </c>
      <c r="I673">
        <v>2.4700000000000002</v>
      </c>
      <c r="J673">
        <v>0.87350000000000005</v>
      </c>
    </row>
    <row r="674" spans="1:10" x14ac:dyDescent="0.3">
      <c r="A674" t="s">
        <v>368</v>
      </c>
      <c r="B674" t="s">
        <v>193</v>
      </c>
      <c r="C674" s="25">
        <v>45657</v>
      </c>
      <c r="D674">
        <v>808011</v>
      </c>
      <c r="E674" t="s">
        <v>376</v>
      </c>
      <c r="F674" t="s">
        <v>403</v>
      </c>
      <c r="G674">
        <v>40446.03</v>
      </c>
      <c r="H674">
        <v>27332</v>
      </c>
      <c r="I674">
        <v>1.48</v>
      </c>
      <c r="J674">
        <v>1.0535000000000001</v>
      </c>
    </row>
    <row r="675" spans="1:10" x14ac:dyDescent="0.3">
      <c r="A675" t="s">
        <v>368</v>
      </c>
      <c r="B675" t="s">
        <v>193</v>
      </c>
      <c r="C675" s="25">
        <v>45688</v>
      </c>
      <c r="D675">
        <v>808011</v>
      </c>
      <c r="E675" t="s">
        <v>376</v>
      </c>
      <c r="F675" t="s">
        <v>403</v>
      </c>
      <c r="G675">
        <v>40950.86</v>
      </c>
      <c r="H675">
        <v>5134</v>
      </c>
      <c r="I675">
        <v>7.98</v>
      </c>
      <c r="J675">
        <v>1.1008</v>
      </c>
    </row>
    <row r="676" spans="1:10" x14ac:dyDescent="0.3">
      <c r="A676" t="s">
        <v>368</v>
      </c>
      <c r="B676" t="s">
        <v>193</v>
      </c>
      <c r="C676" s="25">
        <v>45716</v>
      </c>
      <c r="D676">
        <v>808011</v>
      </c>
      <c r="E676" t="s">
        <v>376</v>
      </c>
      <c r="F676" t="s">
        <v>403</v>
      </c>
      <c r="G676">
        <v>39347.94</v>
      </c>
      <c r="H676">
        <v>73583</v>
      </c>
      <c r="I676">
        <v>0.53</v>
      </c>
      <c r="J676">
        <v>1.0509999999999999</v>
      </c>
    </row>
    <row r="677" spans="1:10" x14ac:dyDescent="0.3">
      <c r="A677" t="s">
        <v>368</v>
      </c>
      <c r="B677" t="s">
        <v>193</v>
      </c>
      <c r="C677" s="25">
        <v>45747</v>
      </c>
      <c r="D677">
        <v>808011</v>
      </c>
      <c r="E677" t="s">
        <v>376</v>
      </c>
      <c r="F677" t="s">
        <v>403</v>
      </c>
      <c r="G677">
        <v>42033.71</v>
      </c>
      <c r="H677">
        <v>12543</v>
      </c>
      <c r="I677">
        <v>3.35</v>
      </c>
      <c r="J677">
        <v>1.0144</v>
      </c>
    </row>
    <row r="678" spans="1:10" x14ac:dyDescent="0.3">
      <c r="A678" t="s">
        <v>368</v>
      </c>
      <c r="B678" t="s">
        <v>193</v>
      </c>
      <c r="C678" s="25">
        <v>45777</v>
      </c>
      <c r="D678">
        <v>808011</v>
      </c>
      <c r="E678" t="s">
        <v>376</v>
      </c>
      <c r="F678" t="s">
        <v>403</v>
      </c>
      <c r="G678">
        <v>37738.43</v>
      </c>
      <c r="H678">
        <v>24315</v>
      </c>
      <c r="I678">
        <v>1.55</v>
      </c>
      <c r="J678">
        <v>1.1356999999999999</v>
      </c>
    </row>
    <row r="679" spans="1:10" x14ac:dyDescent="0.3">
      <c r="A679" t="s">
        <v>368</v>
      </c>
      <c r="B679" t="s">
        <v>193</v>
      </c>
      <c r="C679" s="25">
        <v>45808</v>
      </c>
      <c r="D679">
        <v>808011</v>
      </c>
      <c r="E679" t="s">
        <v>376</v>
      </c>
      <c r="F679" t="s">
        <v>403</v>
      </c>
      <c r="G679">
        <v>41738.17</v>
      </c>
      <c r="H679">
        <v>6512</v>
      </c>
      <c r="I679">
        <v>6.41</v>
      </c>
      <c r="J679">
        <v>1.1119000000000001</v>
      </c>
    </row>
    <row r="680" spans="1:10" x14ac:dyDescent="0.3">
      <c r="A680" t="s">
        <v>368</v>
      </c>
      <c r="B680" t="s">
        <v>193</v>
      </c>
      <c r="C680" s="25">
        <v>45838</v>
      </c>
      <c r="D680">
        <v>808011</v>
      </c>
      <c r="E680" t="s">
        <v>376</v>
      </c>
      <c r="F680" t="s">
        <v>403</v>
      </c>
      <c r="G680">
        <v>32793.96</v>
      </c>
      <c r="H680">
        <v>3340</v>
      </c>
      <c r="I680">
        <v>9.82</v>
      </c>
      <c r="J680">
        <v>0.89829999999999999</v>
      </c>
    </row>
    <row r="681" spans="1:10" x14ac:dyDescent="0.3">
      <c r="A681" t="s">
        <v>368</v>
      </c>
      <c r="B681" t="s">
        <v>193</v>
      </c>
      <c r="C681" s="25">
        <v>45869</v>
      </c>
      <c r="D681">
        <v>808011</v>
      </c>
      <c r="E681" t="s">
        <v>376</v>
      </c>
      <c r="F681" t="s">
        <v>403</v>
      </c>
      <c r="G681">
        <v>31831.68</v>
      </c>
      <c r="H681">
        <v>15505</v>
      </c>
      <c r="I681">
        <v>2.0499999999999998</v>
      </c>
      <c r="J681">
        <v>0.91369999999999996</v>
      </c>
    </row>
    <row r="682" spans="1:10" x14ac:dyDescent="0.3">
      <c r="A682" t="s">
        <v>368</v>
      </c>
      <c r="B682" t="s">
        <v>193</v>
      </c>
      <c r="C682" s="25">
        <v>45900</v>
      </c>
      <c r="D682">
        <v>808011</v>
      </c>
      <c r="E682" t="s">
        <v>376</v>
      </c>
      <c r="F682" t="s">
        <v>403</v>
      </c>
      <c r="G682">
        <v>45114.96</v>
      </c>
      <c r="H682">
        <v>17108</v>
      </c>
      <c r="I682">
        <v>2.64</v>
      </c>
      <c r="J682">
        <v>1.1027</v>
      </c>
    </row>
    <row r="683" spans="1:10" x14ac:dyDescent="0.3">
      <c r="A683" t="s">
        <v>368</v>
      </c>
      <c r="B683" t="s">
        <v>193</v>
      </c>
      <c r="C683" s="25">
        <v>45930</v>
      </c>
      <c r="D683">
        <v>808011</v>
      </c>
      <c r="E683" t="s">
        <v>376</v>
      </c>
      <c r="F683" t="s">
        <v>403</v>
      </c>
      <c r="G683">
        <v>37750.21</v>
      </c>
      <c r="H683">
        <v>3214</v>
      </c>
      <c r="I683">
        <v>11.75</v>
      </c>
      <c r="J683">
        <v>0.98819999999999997</v>
      </c>
    </row>
    <row r="684" spans="1:10" x14ac:dyDescent="0.3">
      <c r="A684" t="s">
        <v>368</v>
      </c>
      <c r="B684" t="s">
        <v>193</v>
      </c>
      <c r="C684" s="25">
        <v>45961</v>
      </c>
      <c r="D684">
        <v>808011</v>
      </c>
      <c r="E684" t="s">
        <v>376</v>
      </c>
      <c r="F684" t="s">
        <v>403</v>
      </c>
      <c r="G684">
        <v>36998.339999999997</v>
      </c>
      <c r="H684">
        <v>15061</v>
      </c>
      <c r="I684">
        <v>2.46</v>
      </c>
      <c r="J684">
        <v>0.99829999999999997</v>
      </c>
    </row>
    <row r="685" spans="1:10" x14ac:dyDescent="0.3">
      <c r="A685" t="s">
        <v>368</v>
      </c>
      <c r="B685" t="s">
        <v>193</v>
      </c>
      <c r="C685" s="25">
        <v>45991</v>
      </c>
      <c r="D685">
        <v>808011</v>
      </c>
      <c r="E685" t="s">
        <v>376</v>
      </c>
      <c r="F685" t="s">
        <v>403</v>
      </c>
      <c r="G685">
        <v>37081.620000000003</v>
      </c>
      <c r="H685">
        <v>8967</v>
      </c>
      <c r="I685">
        <v>4.1399999999999997</v>
      </c>
      <c r="J685">
        <v>1.0173000000000001</v>
      </c>
    </row>
    <row r="686" spans="1:10" x14ac:dyDescent="0.3">
      <c r="A686" t="s">
        <v>368</v>
      </c>
      <c r="B686" t="s">
        <v>193</v>
      </c>
      <c r="C686" s="25">
        <v>45657</v>
      </c>
      <c r="D686">
        <v>712024</v>
      </c>
      <c r="E686" t="s">
        <v>378</v>
      </c>
      <c r="F686" t="s">
        <v>402</v>
      </c>
      <c r="G686">
        <v>21800.97</v>
      </c>
      <c r="H686">
        <v>5849</v>
      </c>
      <c r="I686">
        <v>3.73</v>
      </c>
      <c r="J686">
        <v>0.56779999999999997</v>
      </c>
    </row>
    <row r="687" spans="1:10" x14ac:dyDescent="0.3">
      <c r="A687" t="s">
        <v>368</v>
      </c>
      <c r="B687" t="s">
        <v>193</v>
      </c>
      <c r="C687" s="25">
        <v>45688</v>
      </c>
      <c r="D687">
        <v>712024</v>
      </c>
      <c r="E687" t="s">
        <v>378</v>
      </c>
      <c r="F687" t="s">
        <v>402</v>
      </c>
      <c r="G687">
        <v>25684.29</v>
      </c>
      <c r="H687">
        <v>2199</v>
      </c>
      <c r="I687">
        <v>11.68</v>
      </c>
      <c r="J687">
        <v>0.69040000000000001</v>
      </c>
    </row>
    <row r="688" spans="1:10" x14ac:dyDescent="0.3">
      <c r="A688" t="s">
        <v>368</v>
      </c>
      <c r="B688" t="s">
        <v>193</v>
      </c>
      <c r="C688" s="25">
        <v>45716</v>
      </c>
      <c r="D688">
        <v>712024</v>
      </c>
      <c r="E688" t="s">
        <v>378</v>
      </c>
      <c r="F688" t="s">
        <v>402</v>
      </c>
      <c r="G688">
        <v>30906.52</v>
      </c>
      <c r="H688">
        <v>61235</v>
      </c>
      <c r="I688">
        <v>0.5</v>
      </c>
      <c r="J688">
        <v>0.82550000000000001</v>
      </c>
    </row>
    <row r="689" spans="1:10" x14ac:dyDescent="0.3">
      <c r="A689" t="s">
        <v>368</v>
      </c>
      <c r="B689" t="s">
        <v>193</v>
      </c>
      <c r="C689" s="25">
        <v>45747</v>
      </c>
      <c r="D689">
        <v>712024</v>
      </c>
      <c r="E689" t="s">
        <v>378</v>
      </c>
      <c r="F689" t="s">
        <v>402</v>
      </c>
      <c r="G689">
        <v>28571.59</v>
      </c>
      <c r="H689">
        <v>3884</v>
      </c>
      <c r="I689">
        <v>7.36</v>
      </c>
      <c r="J689">
        <v>0.6895</v>
      </c>
    </row>
    <row r="690" spans="1:10" x14ac:dyDescent="0.3">
      <c r="A690" t="s">
        <v>368</v>
      </c>
      <c r="B690" t="s">
        <v>193</v>
      </c>
      <c r="C690" s="25">
        <v>45777</v>
      </c>
      <c r="D690">
        <v>712024</v>
      </c>
      <c r="E690" t="s">
        <v>378</v>
      </c>
      <c r="F690" t="s">
        <v>402</v>
      </c>
      <c r="G690">
        <v>24699.96</v>
      </c>
      <c r="H690">
        <v>9379</v>
      </c>
      <c r="I690">
        <v>2.63</v>
      </c>
      <c r="J690">
        <v>0.74329999999999996</v>
      </c>
    </row>
    <row r="691" spans="1:10" x14ac:dyDescent="0.3">
      <c r="A691" t="s">
        <v>368</v>
      </c>
      <c r="B691" t="s">
        <v>193</v>
      </c>
      <c r="C691" s="25">
        <v>45808</v>
      </c>
      <c r="D691">
        <v>712024</v>
      </c>
      <c r="E691" t="s">
        <v>378</v>
      </c>
      <c r="F691" t="s">
        <v>402</v>
      </c>
      <c r="G691">
        <v>30958.22</v>
      </c>
      <c r="H691">
        <v>3873</v>
      </c>
      <c r="I691">
        <v>7.99</v>
      </c>
      <c r="J691">
        <v>0.82469999999999999</v>
      </c>
    </row>
    <row r="692" spans="1:10" x14ac:dyDescent="0.3">
      <c r="A692" t="s">
        <v>368</v>
      </c>
      <c r="B692" t="s">
        <v>193</v>
      </c>
      <c r="C692" s="25">
        <v>45838</v>
      </c>
      <c r="D692">
        <v>712024</v>
      </c>
      <c r="E692" t="s">
        <v>378</v>
      </c>
      <c r="F692" t="s">
        <v>402</v>
      </c>
      <c r="G692">
        <v>32347.33</v>
      </c>
      <c r="H692">
        <v>7753</v>
      </c>
      <c r="I692">
        <v>4.17</v>
      </c>
      <c r="J692">
        <v>0.8861</v>
      </c>
    </row>
    <row r="693" spans="1:10" x14ac:dyDescent="0.3">
      <c r="A693" t="s">
        <v>368</v>
      </c>
      <c r="B693" t="s">
        <v>193</v>
      </c>
      <c r="C693" s="25">
        <v>45869</v>
      </c>
      <c r="D693">
        <v>712024</v>
      </c>
      <c r="E693" t="s">
        <v>378</v>
      </c>
      <c r="F693" t="s">
        <v>402</v>
      </c>
      <c r="G693">
        <v>31393.43</v>
      </c>
      <c r="H693">
        <v>9232</v>
      </c>
      <c r="I693">
        <v>3.4</v>
      </c>
      <c r="J693">
        <v>0.90110000000000001</v>
      </c>
    </row>
    <row r="694" spans="1:10" x14ac:dyDescent="0.3">
      <c r="A694" t="s">
        <v>368</v>
      </c>
      <c r="B694" t="s">
        <v>193</v>
      </c>
      <c r="C694" s="25">
        <v>45900</v>
      </c>
      <c r="D694">
        <v>712024</v>
      </c>
      <c r="E694" t="s">
        <v>378</v>
      </c>
      <c r="F694" t="s">
        <v>402</v>
      </c>
      <c r="G694">
        <v>37170.82</v>
      </c>
      <c r="H694">
        <v>6519</v>
      </c>
      <c r="I694">
        <v>5.7</v>
      </c>
      <c r="J694">
        <v>0.90849999999999997</v>
      </c>
    </row>
    <row r="695" spans="1:10" x14ac:dyDescent="0.3">
      <c r="A695" t="s">
        <v>368</v>
      </c>
      <c r="B695" t="s">
        <v>193</v>
      </c>
      <c r="C695" s="25">
        <v>45930</v>
      </c>
      <c r="D695">
        <v>712024</v>
      </c>
      <c r="E695" t="s">
        <v>378</v>
      </c>
      <c r="F695" t="s">
        <v>402</v>
      </c>
      <c r="G695">
        <v>28796.28</v>
      </c>
      <c r="H695">
        <v>5352</v>
      </c>
      <c r="I695">
        <v>5.38</v>
      </c>
      <c r="J695">
        <v>0.75380000000000003</v>
      </c>
    </row>
    <row r="696" spans="1:10" x14ac:dyDescent="0.3">
      <c r="A696" t="s">
        <v>368</v>
      </c>
      <c r="B696" t="s">
        <v>193</v>
      </c>
      <c r="C696" s="25">
        <v>45961</v>
      </c>
      <c r="D696">
        <v>712024</v>
      </c>
      <c r="E696" t="s">
        <v>378</v>
      </c>
      <c r="F696" t="s">
        <v>402</v>
      </c>
      <c r="G696">
        <v>27499.46</v>
      </c>
      <c r="H696">
        <v>4117</v>
      </c>
      <c r="I696">
        <v>6.68</v>
      </c>
      <c r="J696">
        <v>0.74199999999999999</v>
      </c>
    </row>
    <row r="697" spans="1:10" x14ac:dyDescent="0.3">
      <c r="A697" t="s">
        <v>368</v>
      </c>
      <c r="B697" t="s">
        <v>193</v>
      </c>
      <c r="C697" s="25">
        <v>45991</v>
      </c>
      <c r="D697">
        <v>712024</v>
      </c>
      <c r="E697" t="s">
        <v>378</v>
      </c>
      <c r="F697" t="s">
        <v>402</v>
      </c>
      <c r="G697">
        <v>23195.82</v>
      </c>
      <c r="H697">
        <v>30569</v>
      </c>
      <c r="I697">
        <v>0.76</v>
      </c>
      <c r="J697">
        <v>0.63629999999999998</v>
      </c>
    </row>
    <row r="698" spans="1:10" x14ac:dyDescent="0.3">
      <c r="A698" t="s">
        <v>368</v>
      </c>
      <c r="B698" t="s">
        <v>193</v>
      </c>
      <c r="C698" s="25">
        <v>45657</v>
      </c>
      <c r="D698">
        <v>159642</v>
      </c>
      <c r="E698" t="s">
        <v>378</v>
      </c>
      <c r="F698" t="s">
        <v>401</v>
      </c>
      <c r="G698">
        <v>26510.2</v>
      </c>
      <c r="H698">
        <v>3186</v>
      </c>
      <c r="I698">
        <v>8.32</v>
      </c>
      <c r="J698">
        <v>0.6905</v>
      </c>
    </row>
    <row r="699" spans="1:10" x14ac:dyDescent="0.3">
      <c r="A699" t="s">
        <v>368</v>
      </c>
      <c r="B699" t="s">
        <v>193</v>
      </c>
      <c r="C699" s="25">
        <v>45688</v>
      </c>
      <c r="D699">
        <v>159642</v>
      </c>
      <c r="E699" t="s">
        <v>378</v>
      </c>
      <c r="F699" t="s">
        <v>401</v>
      </c>
      <c r="G699">
        <v>20148.38</v>
      </c>
      <c r="H699">
        <v>2582</v>
      </c>
      <c r="I699">
        <v>7.8</v>
      </c>
      <c r="J699">
        <v>0.54159999999999997</v>
      </c>
    </row>
    <row r="700" spans="1:10" x14ac:dyDescent="0.3">
      <c r="A700" t="s">
        <v>368</v>
      </c>
      <c r="B700" t="s">
        <v>193</v>
      </c>
      <c r="C700" s="25">
        <v>45716</v>
      </c>
      <c r="D700">
        <v>159642</v>
      </c>
      <c r="E700" t="s">
        <v>378</v>
      </c>
      <c r="F700" t="s">
        <v>401</v>
      </c>
      <c r="G700">
        <v>25762.93</v>
      </c>
      <c r="H700">
        <v>3831</v>
      </c>
      <c r="I700">
        <v>6.73</v>
      </c>
      <c r="J700">
        <v>0.68810000000000004</v>
      </c>
    </row>
    <row r="701" spans="1:10" x14ac:dyDescent="0.3">
      <c r="A701" t="s">
        <v>368</v>
      </c>
      <c r="B701" t="s">
        <v>193</v>
      </c>
      <c r="C701" s="25">
        <v>45747</v>
      </c>
      <c r="D701">
        <v>159642</v>
      </c>
      <c r="E701" t="s">
        <v>378</v>
      </c>
      <c r="F701" t="s">
        <v>401</v>
      </c>
      <c r="G701">
        <v>24467.11</v>
      </c>
      <c r="H701">
        <v>5791</v>
      </c>
      <c r="I701">
        <v>4.22</v>
      </c>
      <c r="J701">
        <v>0.59050000000000002</v>
      </c>
    </row>
    <row r="702" spans="1:10" x14ac:dyDescent="0.3">
      <c r="A702" t="s">
        <v>368</v>
      </c>
      <c r="B702" t="s">
        <v>193</v>
      </c>
      <c r="C702" s="25">
        <v>45777</v>
      </c>
      <c r="D702">
        <v>159642</v>
      </c>
      <c r="E702" t="s">
        <v>378</v>
      </c>
      <c r="F702" t="s">
        <v>401</v>
      </c>
      <c r="G702">
        <v>21776.92</v>
      </c>
      <c r="H702">
        <v>3009</v>
      </c>
      <c r="I702">
        <v>7.24</v>
      </c>
      <c r="J702">
        <v>0.65529999999999999</v>
      </c>
    </row>
    <row r="703" spans="1:10" x14ac:dyDescent="0.3">
      <c r="A703" t="s">
        <v>368</v>
      </c>
      <c r="B703" t="s">
        <v>193</v>
      </c>
      <c r="C703" s="25">
        <v>45808</v>
      </c>
      <c r="D703">
        <v>159642</v>
      </c>
      <c r="E703" t="s">
        <v>378</v>
      </c>
      <c r="F703" t="s">
        <v>401</v>
      </c>
      <c r="G703">
        <v>20998.47</v>
      </c>
      <c r="H703">
        <v>2544</v>
      </c>
      <c r="I703">
        <v>8.25</v>
      </c>
      <c r="J703">
        <v>0.55940000000000001</v>
      </c>
    </row>
    <row r="704" spans="1:10" x14ac:dyDescent="0.3">
      <c r="A704" t="s">
        <v>368</v>
      </c>
      <c r="B704" t="s">
        <v>193</v>
      </c>
      <c r="C704" s="25">
        <v>45838</v>
      </c>
      <c r="D704">
        <v>159642</v>
      </c>
      <c r="E704" t="s">
        <v>378</v>
      </c>
      <c r="F704" t="s">
        <v>401</v>
      </c>
      <c r="G704">
        <v>22435.1</v>
      </c>
      <c r="H704">
        <v>4418</v>
      </c>
      <c r="I704">
        <v>5.08</v>
      </c>
      <c r="J704">
        <v>0.61460000000000004</v>
      </c>
    </row>
    <row r="705" spans="1:10" x14ac:dyDescent="0.3">
      <c r="A705" t="s">
        <v>368</v>
      </c>
      <c r="B705" t="s">
        <v>193</v>
      </c>
      <c r="C705" s="25">
        <v>45869</v>
      </c>
      <c r="D705">
        <v>159642</v>
      </c>
      <c r="E705" t="s">
        <v>378</v>
      </c>
      <c r="F705" t="s">
        <v>401</v>
      </c>
      <c r="G705">
        <v>22942.69</v>
      </c>
      <c r="H705">
        <v>3581</v>
      </c>
      <c r="I705">
        <v>6.41</v>
      </c>
      <c r="J705">
        <v>0.65859999999999996</v>
      </c>
    </row>
    <row r="706" spans="1:10" x14ac:dyDescent="0.3">
      <c r="A706" t="s">
        <v>368</v>
      </c>
      <c r="B706" t="s">
        <v>193</v>
      </c>
      <c r="C706" s="25">
        <v>45900</v>
      </c>
      <c r="D706">
        <v>159642</v>
      </c>
      <c r="E706" t="s">
        <v>378</v>
      </c>
      <c r="F706" t="s">
        <v>401</v>
      </c>
      <c r="G706">
        <v>21434.29</v>
      </c>
      <c r="H706">
        <v>4318</v>
      </c>
      <c r="I706">
        <v>4.96</v>
      </c>
      <c r="J706">
        <v>0.52390000000000003</v>
      </c>
    </row>
    <row r="707" spans="1:10" x14ac:dyDescent="0.3">
      <c r="A707" t="s">
        <v>368</v>
      </c>
      <c r="B707" t="s">
        <v>193</v>
      </c>
      <c r="C707" s="25">
        <v>45930</v>
      </c>
      <c r="D707">
        <v>159642</v>
      </c>
      <c r="E707" t="s">
        <v>378</v>
      </c>
      <c r="F707" t="s">
        <v>401</v>
      </c>
      <c r="G707">
        <v>25517.03</v>
      </c>
      <c r="H707">
        <v>15944</v>
      </c>
      <c r="I707">
        <v>1.6</v>
      </c>
      <c r="J707">
        <v>0.66800000000000004</v>
      </c>
    </row>
    <row r="708" spans="1:10" x14ac:dyDescent="0.3">
      <c r="A708" t="s">
        <v>368</v>
      </c>
      <c r="B708" t="s">
        <v>193</v>
      </c>
      <c r="C708" s="25">
        <v>45961</v>
      </c>
      <c r="D708">
        <v>159642</v>
      </c>
      <c r="E708" t="s">
        <v>378</v>
      </c>
      <c r="F708" t="s">
        <v>401</v>
      </c>
      <c r="G708">
        <v>17698.82</v>
      </c>
      <c r="H708">
        <v>3427</v>
      </c>
      <c r="I708">
        <v>5.16</v>
      </c>
      <c r="J708">
        <v>0.47749999999999998</v>
      </c>
    </row>
    <row r="709" spans="1:10" x14ac:dyDescent="0.3">
      <c r="A709" t="s">
        <v>368</v>
      </c>
      <c r="B709" t="s">
        <v>193</v>
      </c>
      <c r="C709" s="25">
        <v>45991</v>
      </c>
      <c r="D709">
        <v>159642</v>
      </c>
      <c r="E709" t="s">
        <v>378</v>
      </c>
      <c r="F709" t="s">
        <v>401</v>
      </c>
      <c r="G709">
        <v>26166.31</v>
      </c>
      <c r="H709">
        <v>3147</v>
      </c>
      <c r="I709">
        <v>8.31</v>
      </c>
      <c r="J709">
        <v>0.71779999999999999</v>
      </c>
    </row>
    <row r="710" spans="1:10" x14ac:dyDescent="0.3">
      <c r="A710" t="s">
        <v>368</v>
      </c>
      <c r="B710" t="s">
        <v>193</v>
      </c>
      <c r="C710" s="25">
        <v>45657</v>
      </c>
      <c r="D710">
        <v>648177</v>
      </c>
      <c r="E710" t="s">
        <v>377</v>
      </c>
      <c r="F710" t="s">
        <v>400</v>
      </c>
      <c r="G710">
        <v>21322.76</v>
      </c>
      <c r="H710">
        <v>2274</v>
      </c>
      <c r="I710">
        <v>9.3800000000000008</v>
      </c>
      <c r="J710">
        <v>0.5554</v>
      </c>
    </row>
    <row r="711" spans="1:10" x14ac:dyDescent="0.3">
      <c r="A711" t="s">
        <v>368</v>
      </c>
      <c r="B711" t="s">
        <v>193</v>
      </c>
      <c r="C711" s="25">
        <v>45688</v>
      </c>
      <c r="D711">
        <v>648177</v>
      </c>
      <c r="E711" t="s">
        <v>377</v>
      </c>
      <c r="F711" t="s">
        <v>400</v>
      </c>
      <c r="G711">
        <v>18150.560000000001</v>
      </c>
      <c r="H711">
        <v>1811</v>
      </c>
      <c r="I711">
        <v>10.02</v>
      </c>
      <c r="J711">
        <v>0.4879</v>
      </c>
    </row>
    <row r="712" spans="1:10" x14ac:dyDescent="0.3">
      <c r="A712" t="s">
        <v>368</v>
      </c>
      <c r="B712" t="s">
        <v>193</v>
      </c>
      <c r="C712" s="25">
        <v>45716</v>
      </c>
      <c r="D712">
        <v>648177</v>
      </c>
      <c r="E712" t="s">
        <v>377</v>
      </c>
      <c r="F712" t="s">
        <v>400</v>
      </c>
      <c r="G712">
        <v>22820.67</v>
      </c>
      <c r="H712">
        <v>3753</v>
      </c>
      <c r="I712">
        <v>6.08</v>
      </c>
      <c r="J712">
        <v>0.60950000000000004</v>
      </c>
    </row>
    <row r="713" spans="1:10" x14ac:dyDescent="0.3">
      <c r="A713" t="s">
        <v>368</v>
      </c>
      <c r="B713" t="s">
        <v>193</v>
      </c>
      <c r="C713" s="25">
        <v>45747</v>
      </c>
      <c r="D713">
        <v>648177</v>
      </c>
      <c r="E713" t="s">
        <v>377</v>
      </c>
      <c r="F713" t="s">
        <v>400</v>
      </c>
      <c r="G713">
        <v>23636.48</v>
      </c>
      <c r="H713">
        <v>3510</v>
      </c>
      <c r="I713">
        <v>6.73</v>
      </c>
      <c r="J713">
        <v>0.57040000000000002</v>
      </c>
    </row>
    <row r="714" spans="1:10" x14ac:dyDescent="0.3">
      <c r="A714" t="s">
        <v>368</v>
      </c>
      <c r="B714" t="s">
        <v>193</v>
      </c>
      <c r="C714" s="25">
        <v>45777</v>
      </c>
      <c r="D714">
        <v>648177</v>
      </c>
      <c r="E714" t="s">
        <v>377</v>
      </c>
      <c r="F714" t="s">
        <v>400</v>
      </c>
      <c r="G714">
        <v>13423.23</v>
      </c>
      <c r="H714">
        <v>2673</v>
      </c>
      <c r="I714">
        <v>5.0199999999999996</v>
      </c>
      <c r="J714">
        <v>0.40389999999999998</v>
      </c>
    </row>
    <row r="715" spans="1:10" x14ac:dyDescent="0.3">
      <c r="A715" t="s">
        <v>368</v>
      </c>
      <c r="B715" t="s">
        <v>193</v>
      </c>
      <c r="C715" s="25">
        <v>45808</v>
      </c>
      <c r="D715">
        <v>648177</v>
      </c>
      <c r="E715" t="s">
        <v>377</v>
      </c>
      <c r="F715" t="s">
        <v>400</v>
      </c>
      <c r="G715">
        <v>19194.25</v>
      </c>
      <c r="H715">
        <v>3870</v>
      </c>
      <c r="I715">
        <v>4.96</v>
      </c>
      <c r="J715">
        <v>0.51129999999999998</v>
      </c>
    </row>
    <row r="716" spans="1:10" x14ac:dyDescent="0.3">
      <c r="A716" t="s">
        <v>368</v>
      </c>
      <c r="B716" t="s">
        <v>193</v>
      </c>
      <c r="C716" s="25">
        <v>45838</v>
      </c>
      <c r="D716">
        <v>648177</v>
      </c>
      <c r="E716" t="s">
        <v>377</v>
      </c>
      <c r="F716" t="s">
        <v>400</v>
      </c>
      <c r="G716">
        <v>16857.12</v>
      </c>
      <c r="H716">
        <v>1621</v>
      </c>
      <c r="I716">
        <v>10.4</v>
      </c>
      <c r="J716">
        <v>0.46179999999999999</v>
      </c>
    </row>
    <row r="717" spans="1:10" x14ac:dyDescent="0.3">
      <c r="A717" t="s">
        <v>368</v>
      </c>
      <c r="B717" t="s">
        <v>193</v>
      </c>
      <c r="C717" s="25">
        <v>45869</v>
      </c>
      <c r="D717">
        <v>648177</v>
      </c>
      <c r="E717" t="s">
        <v>377</v>
      </c>
      <c r="F717" t="s">
        <v>400</v>
      </c>
      <c r="G717">
        <v>16311.2</v>
      </c>
      <c r="H717">
        <v>12514</v>
      </c>
      <c r="I717">
        <v>1.3</v>
      </c>
      <c r="J717">
        <v>0.46820000000000001</v>
      </c>
    </row>
    <row r="718" spans="1:10" x14ac:dyDescent="0.3">
      <c r="A718" t="s">
        <v>368</v>
      </c>
      <c r="B718" t="s">
        <v>193</v>
      </c>
      <c r="C718" s="25">
        <v>45900</v>
      </c>
      <c r="D718">
        <v>648177</v>
      </c>
      <c r="E718" t="s">
        <v>377</v>
      </c>
      <c r="F718" t="s">
        <v>400</v>
      </c>
      <c r="G718">
        <v>19048.18</v>
      </c>
      <c r="H718">
        <v>4269</v>
      </c>
      <c r="I718">
        <v>4.46</v>
      </c>
      <c r="J718">
        <v>0.46560000000000001</v>
      </c>
    </row>
    <row r="719" spans="1:10" x14ac:dyDescent="0.3">
      <c r="A719" t="s">
        <v>368</v>
      </c>
      <c r="B719" t="s">
        <v>193</v>
      </c>
      <c r="C719" s="25">
        <v>45930</v>
      </c>
      <c r="D719">
        <v>648177</v>
      </c>
      <c r="E719" t="s">
        <v>377</v>
      </c>
      <c r="F719" t="s">
        <v>400</v>
      </c>
      <c r="G719">
        <v>22370.67</v>
      </c>
      <c r="H719">
        <v>18523</v>
      </c>
      <c r="I719">
        <v>1.21</v>
      </c>
      <c r="J719">
        <v>0.58560000000000001</v>
      </c>
    </row>
    <row r="720" spans="1:10" x14ac:dyDescent="0.3">
      <c r="A720" t="s">
        <v>368</v>
      </c>
      <c r="B720" t="s">
        <v>193</v>
      </c>
      <c r="C720" s="25">
        <v>45961</v>
      </c>
      <c r="D720">
        <v>648177</v>
      </c>
      <c r="E720" t="s">
        <v>377</v>
      </c>
      <c r="F720" t="s">
        <v>400</v>
      </c>
      <c r="G720">
        <v>22840.39</v>
      </c>
      <c r="H720">
        <v>2139</v>
      </c>
      <c r="I720">
        <v>10.68</v>
      </c>
      <c r="J720">
        <v>0.61629999999999996</v>
      </c>
    </row>
    <row r="721" spans="1:10" x14ac:dyDescent="0.3">
      <c r="A721" t="s">
        <v>368</v>
      </c>
      <c r="B721" t="s">
        <v>193</v>
      </c>
      <c r="C721" s="25">
        <v>45991</v>
      </c>
      <c r="D721">
        <v>648177</v>
      </c>
      <c r="E721" t="s">
        <v>377</v>
      </c>
      <c r="F721" t="s">
        <v>400</v>
      </c>
      <c r="G721">
        <v>17530.580000000002</v>
      </c>
      <c r="H721">
        <v>5752</v>
      </c>
      <c r="I721">
        <v>3.05</v>
      </c>
      <c r="J721">
        <v>0.48089999999999999</v>
      </c>
    </row>
    <row r="722" spans="1:10" x14ac:dyDescent="0.3">
      <c r="A722" t="s">
        <v>368</v>
      </c>
      <c r="B722" t="s">
        <v>186</v>
      </c>
      <c r="C722" s="25">
        <v>45657</v>
      </c>
      <c r="D722">
        <v>373432</v>
      </c>
      <c r="E722" t="s">
        <v>377</v>
      </c>
      <c r="F722" t="s">
        <v>399</v>
      </c>
      <c r="G722">
        <v>282841.52</v>
      </c>
      <c r="H722">
        <v>26819</v>
      </c>
      <c r="I722">
        <v>10.55</v>
      </c>
      <c r="J722">
        <v>4.0824999999999996</v>
      </c>
    </row>
    <row r="723" spans="1:10" x14ac:dyDescent="0.3">
      <c r="A723" t="s">
        <v>368</v>
      </c>
      <c r="B723" t="s">
        <v>186</v>
      </c>
      <c r="C723" s="25">
        <v>45688</v>
      </c>
      <c r="D723">
        <v>373432</v>
      </c>
      <c r="E723" t="s">
        <v>377</v>
      </c>
      <c r="F723" t="s">
        <v>399</v>
      </c>
      <c r="G723">
        <v>251641.07</v>
      </c>
      <c r="H723">
        <v>27139</v>
      </c>
      <c r="I723">
        <v>9.27</v>
      </c>
      <c r="J723">
        <v>3.6995</v>
      </c>
    </row>
    <row r="724" spans="1:10" x14ac:dyDescent="0.3">
      <c r="A724" t="s">
        <v>368</v>
      </c>
      <c r="B724" t="s">
        <v>186</v>
      </c>
      <c r="C724" s="25">
        <v>45716</v>
      </c>
      <c r="D724">
        <v>373432</v>
      </c>
      <c r="E724" t="s">
        <v>377</v>
      </c>
      <c r="F724" t="s">
        <v>399</v>
      </c>
      <c r="G724">
        <v>518581.14</v>
      </c>
      <c r="H724">
        <v>50620</v>
      </c>
      <c r="I724">
        <v>10.24</v>
      </c>
      <c r="J724">
        <v>7.5434999999999999</v>
      </c>
    </row>
    <row r="725" spans="1:10" x14ac:dyDescent="0.3">
      <c r="A725" t="s">
        <v>368</v>
      </c>
      <c r="B725" t="s">
        <v>186</v>
      </c>
      <c r="C725" s="25">
        <v>45747</v>
      </c>
      <c r="D725">
        <v>373432</v>
      </c>
      <c r="E725" t="s">
        <v>377</v>
      </c>
      <c r="F725" t="s">
        <v>399</v>
      </c>
      <c r="G725">
        <v>413718.44</v>
      </c>
      <c r="H725">
        <v>678563</v>
      </c>
      <c r="I725">
        <v>0.61</v>
      </c>
      <c r="J725">
        <v>5.8966000000000003</v>
      </c>
    </row>
    <row r="726" spans="1:10" x14ac:dyDescent="0.3">
      <c r="A726" t="s">
        <v>368</v>
      </c>
      <c r="B726" t="s">
        <v>186</v>
      </c>
      <c r="C726" s="25">
        <v>45777</v>
      </c>
      <c r="D726">
        <v>373432</v>
      </c>
      <c r="E726" t="s">
        <v>377</v>
      </c>
      <c r="F726" t="s">
        <v>399</v>
      </c>
      <c r="G726">
        <v>417255.86</v>
      </c>
      <c r="H726">
        <v>46292</v>
      </c>
      <c r="I726">
        <v>9.01</v>
      </c>
      <c r="J726">
        <v>6.4683000000000002</v>
      </c>
    </row>
    <row r="727" spans="1:10" x14ac:dyDescent="0.3">
      <c r="A727" t="s">
        <v>368</v>
      </c>
      <c r="B727" t="s">
        <v>186</v>
      </c>
      <c r="C727" s="25">
        <v>45808</v>
      </c>
      <c r="D727">
        <v>373432</v>
      </c>
      <c r="E727" t="s">
        <v>377</v>
      </c>
      <c r="F727" t="s">
        <v>399</v>
      </c>
      <c r="G727">
        <v>379026.52</v>
      </c>
      <c r="H727">
        <v>56213</v>
      </c>
      <c r="I727">
        <v>6.74</v>
      </c>
      <c r="J727">
        <v>5.5911</v>
      </c>
    </row>
    <row r="728" spans="1:10" x14ac:dyDescent="0.3">
      <c r="A728" t="s">
        <v>368</v>
      </c>
      <c r="B728" t="s">
        <v>186</v>
      </c>
      <c r="C728" s="25">
        <v>45838</v>
      </c>
      <c r="D728">
        <v>373432</v>
      </c>
      <c r="E728" t="s">
        <v>377</v>
      </c>
      <c r="F728" t="s">
        <v>399</v>
      </c>
      <c r="G728">
        <v>267323.37</v>
      </c>
      <c r="H728">
        <v>41216</v>
      </c>
      <c r="I728">
        <v>6.49</v>
      </c>
      <c r="J728">
        <v>3.9249000000000001</v>
      </c>
    </row>
    <row r="729" spans="1:10" x14ac:dyDescent="0.3">
      <c r="A729" t="s">
        <v>368</v>
      </c>
      <c r="B729" t="s">
        <v>186</v>
      </c>
      <c r="C729" s="25">
        <v>45869</v>
      </c>
      <c r="D729">
        <v>373432</v>
      </c>
      <c r="E729" t="s">
        <v>377</v>
      </c>
      <c r="F729" t="s">
        <v>399</v>
      </c>
      <c r="G729">
        <v>416030.17</v>
      </c>
      <c r="H729">
        <v>51765</v>
      </c>
      <c r="I729">
        <v>8.0399999999999991</v>
      </c>
      <c r="J729">
        <v>6.1173999999999999</v>
      </c>
    </row>
    <row r="730" spans="1:10" x14ac:dyDescent="0.3">
      <c r="A730" t="s">
        <v>368</v>
      </c>
      <c r="B730" t="s">
        <v>186</v>
      </c>
      <c r="C730" s="25">
        <v>45900</v>
      </c>
      <c r="D730">
        <v>373432</v>
      </c>
      <c r="E730" t="s">
        <v>377</v>
      </c>
      <c r="F730" t="s">
        <v>399</v>
      </c>
      <c r="G730">
        <v>512634.67</v>
      </c>
      <c r="H730">
        <v>49272</v>
      </c>
      <c r="I730">
        <v>10.4</v>
      </c>
      <c r="J730">
        <v>7.1860999999999997</v>
      </c>
    </row>
    <row r="731" spans="1:10" x14ac:dyDescent="0.3">
      <c r="A731" t="s">
        <v>368</v>
      </c>
      <c r="B731" t="s">
        <v>186</v>
      </c>
      <c r="C731" s="25">
        <v>45930</v>
      </c>
      <c r="D731">
        <v>373432</v>
      </c>
      <c r="E731" t="s">
        <v>377</v>
      </c>
      <c r="F731" t="s">
        <v>399</v>
      </c>
      <c r="G731">
        <v>360281.99</v>
      </c>
      <c r="H731">
        <v>158096</v>
      </c>
      <c r="I731">
        <v>2.2799999999999998</v>
      </c>
      <c r="J731">
        <v>5.2164000000000001</v>
      </c>
    </row>
    <row r="732" spans="1:10" x14ac:dyDescent="0.3">
      <c r="A732" t="s">
        <v>368</v>
      </c>
      <c r="B732" t="s">
        <v>186</v>
      </c>
      <c r="C732" s="25">
        <v>45961</v>
      </c>
      <c r="D732">
        <v>373432</v>
      </c>
      <c r="E732" t="s">
        <v>377</v>
      </c>
      <c r="F732" t="s">
        <v>399</v>
      </c>
      <c r="G732">
        <v>261583.39</v>
      </c>
      <c r="H732">
        <v>31119</v>
      </c>
      <c r="I732">
        <v>8.41</v>
      </c>
      <c r="J732">
        <v>3.8439999999999999</v>
      </c>
    </row>
    <row r="733" spans="1:10" x14ac:dyDescent="0.3">
      <c r="A733" t="s">
        <v>368</v>
      </c>
      <c r="B733" t="s">
        <v>186</v>
      </c>
      <c r="C733" s="25">
        <v>45991</v>
      </c>
      <c r="D733">
        <v>373432</v>
      </c>
      <c r="E733" t="s">
        <v>377</v>
      </c>
      <c r="F733" t="s">
        <v>399</v>
      </c>
      <c r="G733">
        <v>327620.49</v>
      </c>
      <c r="H733">
        <v>97117</v>
      </c>
      <c r="I733">
        <v>3.37</v>
      </c>
      <c r="J733">
        <v>4.7507000000000001</v>
      </c>
    </row>
    <row r="734" spans="1:10" x14ac:dyDescent="0.3">
      <c r="A734" t="s">
        <v>368</v>
      </c>
      <c r="B734" t="s">
        <v>186</v>
      </c>
      <c r="C734" s="25">
        <v>45657</v>
      </c>
      <c r="D734">
        <v>802258</v>
      </c>
      <c r="E734" t="s">
        <v>377</v>
      </c>
      <c r="F734" t="s">
        <v>398</v>
      </c>
      <c r="G734">
        <v>445784.01</v>
      </c>
      <c r="H734">
        <v>83975</v>
      </c>
      <c r="I734">
        <v>5.31</v>
      </c>
      <c r="J734">
        <v>6.4344000000000001</v>
      </c>
    </row>
    <row r="735" spans="1:10" x14ac:dyDescent="0.3">
      <c r="A735" t="s">
        <v>368</v>
      </c>
      <c r="B735" t="s">
        <v>186</v>
      </c>
      <c r="C735" s="25">
        <v>45688</v>
      </c>
      <c r="D735">
        <v>802258</v>
      </c>
      <c r="E735" t="s">
        <v>377</v>
      </c>
      <c r="F735" t="s">
        <v>398</v>
      </c>
      <c r="G735">
        <v>405853.05</v>
      </c>
      <c r="H735">
        <v>36974</v>
      </c>
      <c r="I735">
        <v>10.98</v>
      </c>
      <c r="J735">
        <v>5.9665999999999997</v>
      </c>
    </row>
    <row r="736" spans="1:10" x14ac:dyDescent="0.3">
      <c r="A736" t="s">
        <v>368</v>
      </c>
      <c r="B736" t="s">
        <v>186</v>
      </c>
      <c r="C736" s="25">
        <v>45716</v>
      </c>
      <c r="D736">
        <v>802258</v>
      </c>
      <c r="E736" t="s">
        <v>377</v>
      </c>
      <c r="F736" t="s">
        <v>398</v>
      </c>
      <c r="G736">
        <v>461683.75</v>
      </c>
      <c r="H736">
        <v>628467</v>
      </c>
      <c r="I736">
        <v>0.73</v>
      </c>
      <c r="J736">
        <v>6.7159000000000004</v>
      </c>
    </row>
    <row r="737" spans="1:10" x14ac:dyDescent="0.3">
      <c r="A737" t="s">
        <v>368</v>
      </c>
      <c r="B737" t="s">
        <v>186</v>
      </c>
      <c r="C737" s="25">
        <v>45747</v>
      </c>
      <c r="D737">
        <v>802258</v>
      </c>
      <c r="E737" t="s">
        <v>377</v>
      </c>
      <c r="F737" t="s">
        <v>398</v>
      </c>
      <c r="G737">
        <v>399748.77</v>
      </c>
      <c r="H737">
        <v>53646</v>
      </c>
      <c r="I737">
        <v>7.45</v>
      </c>
      <c r="J737">
        <v>5.6974999999999998</v>
      </c>
    </row>
    <row r="738" spans="1:10" x14ac:dyDescent="0.3">
      <c r="A738" t="s">
        <v>368</v>
      </c>
      <c r="B738" t="s">
        <v>186</v>
      </c>
      <c r="C738" s="25">
        <v>45777</v>
      </c>
      <c r="D738">
        <v>802258</v>
      </c>
      <c r="E738" t="s">
        <v>377</v>
      </c>
      <c r="F738" t="s">
        <v>398</v>
      </c>
      <c r="G738">
        <v>404735.45</v>
      </c>
      <c r="H738">
        <v>107648</v>
      </c>
      <c r="I738">
        <v>3.76</v>
      </c>
      <c r="J738">
        <v>6.2742000000000004</v>
      </c>
    </row>
    <row r="739" spans="1:10" x14ac:dyDescent="0.3">
      <c r="A739" t="s">
        <v>368</v>
      </c>
      <c r="B739" t="s">
        <v>186</v>
      </c>
      <c r="C739" s="25">
        <v>45808</v>
      </c>
      <c r="D739">
        <v>802258</v>
      </c>
      <c r="E739" t="s">
        <v>377</v>
      </c>
      <c r="F739" t="s">
        <v>398</v>
      </c>
      <c r="G739">
        <v>361359.11</v>
      </c>
      <c r="H739">
        <v>43031</v>
      </c>
      <c r="I739">
        <v>8.4</v>
      </c>
      <c r="J739">
        <v>5.3304999999999998</v>
      </c>
    </row>
    <row r="740" spans="1:10" x14ac:dyDescent="0.3">
      <c r="A740" t="s">
        <v>368</v>
      </c>
      <c r="B740" t="s">
        <v>186</v>
      </c>
      <c r="C740" s="25">
        <v>45838</v>
      </c>
      <c r="D740">
        <v>802258</v>
      </c>
      <c r="E740" t="s">
        <v>377</v>
      </c>
      <c r="F740" t="s">
        <v>398</v>
      </c>
      <c r="G740">
        <v>323663.7</v>
      </c>
      <c r="H740">
        <v>359550</v>
      </c>
      <c r="I740">
        <v>0.9</v>
      </c>
      <c r="J740">
        <v>4.7521000000000004</v>
      </c>
    </row>
    <row r="741" spans="1:10" x14ac:dyDescent="0.3">
      <c r="A741" t="s">
        <v>368</v>
      </c>
      <c r="B741" t="s">
        <v>186</v>
      </c>
      <c r="C741" s="25">
        <v>45869</v>
      </c>
      <c r="D741">
        <v>802258</v>
      </c>
      <c r="E741" t="s">
        <v>377</v>
      </c>
      <c r="F741" t="s">
        <v>398</v>
      </c>
      <c r="G741">
        <v>426866.64</v>
      </c>
      <c r="H741">
        <v>81989</v>
      </c>
      <c r="I741">
        <v>5.21</v>
      </c>
      <c r="J741">
        <v>6.2766999999999999</v>
      </c>
    </row>
    <row r="742" spans="1:10" x14ac:dyDescent="0.3">
      <c r="A742" t="s">
        <v>368</v>
      </c>
      <c r="B742" t="s">
        <v>186</v>
      </c>
      <c r="C742" s="25">
        <v>45900</v>
      </c>
      <c r="D742">
        <v>802258</v>
      </c>
      <c r="E742" t="s">
        <v>377</v>
      </c>
      <c r="F742" t="s">
        <v>398</v>
      </c>
      <c r="G742">
        <v>460098.91</v>
      </c>
      <c r="H742">
        <v>47412</v>
      </c>
      <c r="I742">
        <v>9.6999999999999993</v>
      </c>
      <c r="J742">
        <v>6.4497</v>
      </c>
    </row>
    <row r="743" spans="1:10" x14ac:dyDescent="0.3">
      <c r="A743" t="s">
        <v>368</v>
      </c>
      <c r="B743" t="s">
        <v>186</v>
      </c>
      <c r="C743" s="25">
        <v>45930</v>
      </c>
      <c r="D743">
        <v>802258</v>
      </c>
      <c r="E743" t="s">
        <v>377</v>
      </c>
      <c r="F743" t="s">
        <v>398</v>
      </c>
      <c r="G743">
        <v>357196.79</v>
      </c>
      <c r="H743">
        <v>62059</v>
      </c>
      <c r="I743">
        <v>5.76</v>
      </c>
      <c r="J743">
        <v>5.1717000000000004</v>
      </c>
    </row>
    <row r="744" spans="1:10" x14ac:dyDescent="0.3">
      <c r="A744" t="s">
        <v>368</v>
      </c>
      <c r="B744" t="s">
        <v>186</v>
      </c>
      <c r="C744" s="25">
        <v>45961</v>
      </c>
      <c r="D744">
        <v>802258</v>
      </c>
      <c r="E744" t="s">
        <v>377</v>
      </c>
      <c r="F744" t="s">
        <v>398</v>
      </c>
      <c r="G744">
        <v>476596.27</v>
      </c>
      <c r="H744">
        <v>47601</v>
      </c>
      <c r="I744">
        <v>10.01</v>
      </c>
      <c r="J744">
        <v>7.0037000000000003</v>
      </c>
    </row>
    <row r="745" spans="1:10" x14ac:dyDescent="0.3">
      <c r="A745" t="s">
        <v>368</v>
      </c>
      <c r="B745" t="s">
        <v>186</v>
      </c>
      <c r="C745" s="25">
        <v>45991</v>
      </c>
      <c r="D745">
        <v>802258</v>
      </c>
      <c r="E745" t="s">
        <v>377</v>
      </c>
      <c r="F745" t="s">
        <v>398</v>
      </c>
      <c r="G745">
        <v>484947.23</v>
      </c>
      <c r="H745">
        <v>90013</v>
      </c>
      <c r="I745">
        <v>5.39</v>
      </c>
      <c r="J745">
        <v>7.032</v>
      </c>
    </row>
    <row r="746" spans="1:10" x14ac:dyDescent="0.3">
      <c r="A746" t="s">
        <v>368</v>
      </c>
      <c r="B746" t="s">
        <v>186</v>
      </c>
      <c r="C746" s="25">
        <v>45657</v>
      </c>
      <c r="D746">
        <v>109767</v>
      </c>
      <c r="E746" t="s">
        <v>378</v>
      </c>
      <c r="F746" t="s">
        <v>397</v>
      </c>
      <c r="G746">
        <v>337472.4</v>
      </c>
      <c r="H746">
        <v>50624</v>
      </c>
      <c r="I746">
        <v>6.67</v>
      </c>
      <c r="J746">
        <v>4.8710000000000004</v>
      </c>
    </row>
    <row r="747" spans="1:10" x14ac:dyDescent="0.3">
      <c r="A747" t="s">
        <v>368</v>
      </c>
      <c r="B747" t="s">
        <v>186</v>
      </c>
      <c r="C747" s="25">
        <v>45688</v>
      </c>
      <c r="D747">
        <v>109767</v>
      </c>
      <c r="E747" t="s">
        <v>378</v>
      </c>
      <c r="F747" t="s">
        <v>397</v>
      </c>
      <c r="G747">
        <v>333770.03000000003</v>
      </c>
      <c r="H747">
        <v>58916</v>
      </c>
      <c r="I747">
        <v>5.67</v>
      </c>
      <c r="J747">
        <v>4.9069000000000003</v>
      </c>
    </row>
    <row r="748" spans="1:10" x14ac:dyDescent="0.3">
      <c r="A748" t="s">
        <v>368</v>
      </c>
      <c r="B748" t="s">
        <v>186</v>
      </c>
      <c r="C748" s="25">
        <v>45716</v>
      </c>
      <c r="D748">
        <v>109767</v>
      </c>
      <c r="E748" t="s">
        <v>378</v>
      </c>
      <c r="F748" t="s">
        <v>397</v>
      </c>
      <c r="G748">
        <v>339837.32</v>
      </c>
      <c r="H748">
        <v>38777</v>
      </c>
      <c r="I748">
        <v>8.76</v>
      </c>
      <c r="J748">
        <v>4.9433999999999996</v>
      </c>
    </row>
    <row r="749" spans="1:10" x14ac:dyDescent="0.3">
      <c r="A749" t="s">
        <v>368</v>
      </c>
      <c r="B749" t="s">
        <v>186</v>
      </c>
      <c r="C749" s="25">
        <v>45747</v>
      </c>
      <c r="D749">
        <v>109767</v>
      </c>
      <c r="E749" t="s">
        <v>378</v>
      </c>
      <c r="F749" t="s">
        <v>397</v>
      </c>
      <c r="G749">
        <v>390919.76</v>
      </c>
      <c r="H749">
        <v>132158</v>
      </c>
      <c r="I749">
        <v>2.96</v>
      </c>
      <c r="J749">
        <v>5.5716999999999999</v>
      </c>
    </row>
    <row r="750" spans="1:10" x14ac:dyDescent="0.3">
      <c r="A750" t="s">
        <v>368</v>
      </c>
      <c r="B750" t="s">
        <v>186</v>
      </c>
      <c r="C750" s="25">
        <v>45777</v>
      </c>
      <c r="D750">
        <v>109767</v>
      </c>
      <c r="E750" t="s">
        <v>378</v>
      </c>
      <c r="F750" t="s">
        <v>397</v>
      </c>
      <c r="G750">
        <v>345728.02</v>
      </c>
      <c r="H750">
        <v>110830</v>
      </c>
      <c r="I750">
        <v>3.12</v>
      </c>
      <c r="J750">
        <v>5.3594999999999997</v>
      </c>
    </row>
    <row r="751" spans="1:10" x14ac:dyDescent="0.3">
      <c r="A751" t="s">
        <v>368</v>
      </c>
      <c r="B751" t="s">
        <v>186</v>
      </c>
      <c r="C751" s="25">
        <v>45808</v>
      </c>
      <c r="D751">
        <v>109767</v>
      </c>
      <c r="E751" t="s">
        <v>378</v>
      </c>
      <c r="F751" t="s">
        <v>397</v>
      </c>
      <c r="G751">
        <v>309658.78000000003</v>
      </c>
      <c r="H751">
        <v>42922</v>
      </c>
      <c r="I751">
        <v>7.21</v>
      </c>
      <c r="J751">
        <v>4.5678999999999998</v>
      </c>
    </row>
    <row r="752" spans="1:10" x14ac:dyDescent="0.3">
      <c r="A752" t="s">
        <v>368</v>
      </c>
      <c r="B752" t="s">
        <v>186</v>
      </c>
      <c r="C752" s="25">
        <v>45838</v>
      </c>
      <c r="D752">
        <v>109767</v>
      </c>
      <c r="E752" t="s">
        <v>378</v>
      </c>
      <c r="F752" t="s">
        <v>397</v>
      </c>
      <c r="G752">
        <v>338238.04</v>
      </c>
      <c r="H752">
        <v>50654</v>
      </c>
      <c r="I752">
        <v>6.68</v>
      </c>
      <c r="J752">
        <v>4.9661</v>
      </c>
    </row>
    <row r="753" spans="1:10" x14ac:dyDescent="0.3">
      <c r="A753" t="s">
        <v>368</v>
      </c>
      <c r="B753" t="s">
        <v>186</v>
      </c>
      <c r="C753" s="25">
        <v>45869</v>
      </c>
      <c r="D753">
        <v>109767</v>
      </c>
      <c r="E753" t="s">
        <v>378</v>
      </c>
      <c r="F753" t="s">
        <v>397</v>
      </c>
      <c r="G753">
        <v>264180.92</v>
      </c>
      <c r="H753">
        <v>93000</v>
      </c>
      <c r="I753">
        <v>2.84</v>
      </c>
      <c r="J753">
        <v>3.8845999999999998</v>
      </c>
    </row>
    <row r="754" spans="1:10" x14ac:dyDescent="0.3">
      <c r="A754" t="s">
        <v>368</v>
      </c>
      <c r="B754" t="s">
        <v>186</v>
      </c>
      <c r="C754" s="25">
        <v>45900</v>
      </c>
      <c r="D754">
        <v>109767</v>
      </c>
      <c r="E754" t="s">
        <v>378</v>
      </c>
      <c r="F754" t="s">
        <v>397</v>
      </c>
      <c r="G754">
        <v>285763.68</v>
      </c>
      <c r="H754">
        <v>314185</v>
      </c>
      <c r="I754">
        <v>0.91</v>
      </c>
      <c r="J754">
        <v>4.0057999999999998</v>
      </c>
    </row>
    <row r="755" spans="1:10" x14ac:dyDescent="0.3">
      <c r="A755" t="s">
        <v>368</v>
      </c>
      <c r="B755" t="s">
        <v>186</v>
      </c>
      <c r="C755" s="25">
        <v>45930</v>
      </c>
      <c r="D755">
        <v>109767</v>
      </c>
      <c r="E755" t="s">
        <v>378</v>
      </c>
      <c r="F755" t="s">
        <v>397</v>
      </c>
      <c r="G755">
        <v>305115.77</v>
      </c>
      <c r="H755">
        <v>49001</v>
      </c>
      <c r="I755">
        <v>6.23</v>
      </c>
      <c r="J755">
        <v>4.4176000000000002</v>
      </c>
    </row>
    <row r="756" spans="1:10" x14ac:dyDescent="0.3">
      <c r="A756" t="s">
        <v>368</v>
      </c>
      <c r="B756" t="s">
        <v>186</v>
      </c>
      <c r="C756" s="25">
        <v>45961</v>
      </c>
      <c r="D756">
        <v>109767</v>
      </c>
      <c r="E756" t="s">
        <v>378</v>
      </c>
      <c r="F756" t="s">
        <v>397</v>
      </c>
      <c r="G756">
        <v>501968.9</v>
      </c>
      <c r="H756">
        <v>58160</v>
      </c>
      <c r="I756">
        <v>8.6300000000000008</v>
      </c>
      <c r="J756">
        <v>7.3765000000000001</v>
      </c>
    </row>
    <row r="757" spans="1:10" x14ac:dyDescent="0.3">
      <c r="A757" t="s">
        <v>368</v>
      </c>
      <c r="B757" t="s">
        <v>186</v>
      </c>
      <c r="C757" s="25">
        <v>45991</v>
      </c>
      <c r="D757">
        <v>109767</v>
      </c>
      <c r="E757" t="s">
        <v>378</v>
      </c>
      <c r="F757" t="s">
        <v>397</v>
      </c>
      <c r="G757">
        <v>499412.01</v>
      </c>
      <c r="H757">
        <v>196538</v>
      </c>
      <c r="I757">
        <v>2.54</v>
      </c>
      <c r="J757">
        <v>7.2417999999999996</v>
      </c>
    </row>
    <row r="758" spans="1:10" x14ac:dyDescent="0.3">
      <c r="A758" t="s">
        <v>368</v>
      </c>
      <c r="B758" t="s">
        <v>186</v>
      </c>
      <c r="C758" s="25">
        <v>45657</v>
      </c>
      <c r="D758">
        <v>888387</v>
      </c>
      <c r="E758" t="s">
        <v>371</v>
      </c>
      <c r="F758" t="s">
        <v>396</v>
      </c>
      <c r="G758">
        <v>423941.86</v>
      </c>
      <c r="H758">
        <v>37212</v>
      </c>
      <c r="I758">
        <v>11.39</v>
      </c>
      <c r="J758">
        <v>6.1191000000000004</v>
      </c>
    </row>
    <row r="759" spans="1:10" x14ac:dyDescent="0.3">
      <c r="A759" t="s">
        <v>368</v>
      </c>
      <c r="B759" t="s">
        <v>186</v>
      </c>
      <c r="C759" s="25">
        <v>45688</v>
      </c>
      <c r="D759">
        <v>888387</v>
      </c>
      <c r="E759" t="s">
        <v>371</v>
      </c>
      <c r="F759" t="s">
        <v>396</v>
      </c>
      <c r="G759">
        <v>340641.03</v>
      </c>
      <c r="H759">
        <v>165101</v>
      </c>
      <c r="I759">
        <v>2.06</v>
      </c>
      <c r="J759">
        <v>5.0079000000000002</v>
      </c>
    </row>
    <row r="760" spans="1:10" x14ac:dyDescent="0.3">
      <c r="A760" t="s">
        <v>368</v>
      </c>
      <c r="B760" t="s">
        <v>186</v>
      </c>
      <c r="C760" s="25">
        <v>45716</v>
      </c>
      <c r="D760">
        <v>888387</v>
      </c>
      <c r="E760" t="s">
        <v>371</v>
      </c>
      <c r="F760" t="s">
        <v>396</v>
      </c>
      <c r="G760">
        <v>293326.09000000003</v>
      </c>
      <c r="H760">
        <v>246318</v>
      </c>
      <c r="I760">
        <v>1.19</v>
      </c>
      <c r="J760">
        <v>4.2667999999999999</v>
      </c>
    </row>
    <row r="761" spans="1:10" x14ac:dyDescent="0.3">
      <c r="A761" t="s">
        <v>368</v>
      </c>
      <c r="B761" t="s">
        <v>186</v>
      </c>
      <c r="C761" s="25">
        <v>45747</v>
      </c>
      <c r="D761">
        <v>888387</v>
      </c>
      <c r="E761" t="s">
        <v>371</v>
      </c>
      <c r="F761" t="s">
        <v>396</v>
      </c>
      <c r="G761">
        <v>385240.12</v>
      </c>
      <c r="H761">
        <v>90788</v>
      </c>
      <c r="I761">
        <v>4.24</v>
      </c>
      <c r="J761">
        <v>5.4907000000000004</v>
      </c>
    </row>
    <row r="762" spans="1:10" x14ac:dyDescent="0.3">
      <c r="A762" t="s">
        <v>368</v>
      </c>
      <c r="B762" t="s">
        <v>186</v>
      </c>
      <c r="C762" s="25">
        <v>45777</v>
      </c>
      <c r="D762">
        <v>888387</v>
      </c>
      <c r="E762" t="s">
        <v>371</v>
      </c>
      <c r="F762" t="s">
        <v>396</v>
      </c>
      <c r="G762">
        <v>378393.65</v>
      </c>
      <c r="H762">
        <v>57006</v>
      </c>
      <c r="I762">
        <v>6.64</v>
      </c>
      <c r="J762">
        <v>5.8658000000000001</v>
      </c>
    </row>
    <row r="763" spans="1:10" x14ac:dyDescent="0.3">
      <c r="A763" t="s">
        <v>368</v>
      </c>
      <c r="B763" t="s">
        <v>186</v>
      </c>
      <c r="C763" s="25">
        <v>45808</v>
      </c>
      <c r="D763">
        <v>888387</v>
      </c>
      <c r="E763" t="s">
        <v>371</v>
      </c>
      <c r="F763" t="s">
        <v>396</v>
      </c>
      <c r="G763">
        <v>330914.65999999997</v>
      </c>
      <c r="H763">
        <v>153621</v>
      </c>
      <c r="I763">
        <v>2.15</v>
      </c>
      <c r="J763">
        <v>4.8814000000000002</v>
      </c>
    </row>
    <row r="764" spans="1:10" x14ac:dyDescent="0.3">
      <c r="A764" t="s">
        <v>368</v>
      </c>
      <c r="B764" t="s">
        <v>186</v>
      </c>
      <c r="C764" s="25">
        <v>45838</v>
      </c>
      <c r="D764">
        <v>888387</v>
      </c>
      <c r="E764" t="s">
        <v>371</v>
      </c>
      <c r="F764" t="s">
        <v>396</v>
      </c>
      <c r="G764">
        <v>396354.85</v>
      </c>
      <c r="H764">
        <v>90604</v>
      </c>
      <c r="I764">
        <v>4.37</v>
      </c>
      <c r="J764">
        <v>5.8193000000000001</v>
      </c>
    </row>
    <row r="765" spans="1:10" x14ac:dyDescent="0.3">
      <c r="A765" t="s">
        <v>368</v>
      </c>
      <c r="B765" t="s">
        <v>186</v>
      </c>
      <c r="C765" s="25">
        <v>45869</v>
      </c>
      <c r="D765">
        <v>888387</v>
      </c>
      <c r="E765" t="s">
        <v>371</v>
      </c>
      <c r="F765" t="s">
        <v>396</v>
      </c>
      <c r="G765">
        <v>308074.37</v>
      </c>
      <c r="H765">
        <v>42592</v>
      </c>
      <c r="I765">
        <v>7.23</v>
      </c>
      <c r="J765">
        <v>4.53</v>
      </c>
    </row>
    <row r="766" spans="1:10" x14ac:dyDescent="0.3">
      <c r="A766" t="s">
        <v>368</v>
      </c>
      <c r="B766" t="s">
        <v>186</v>
      </c>
      <c r="C766" s="25">
        <v>45900</v>
      </c>
      <c r="D766">
        <v>888387</v>
      </c>
      <c r="E766" t="s">
        <v>371</v>
      </c>
      <c r="F766" t="s">
        <v>396</v>
      </c>
      <c r="G766">
        <v>358385.27</v>
      </c>
      <c r="H766">
        <v>116969</v>
      </c>
      <c r="I766">
        <v>3.06</v>
      </c>
      <c r="J766">
        <v>5.0237999999999996</v>
      </c>
    </row>
    <row r="767" spans="1:10" x14ac:dyDescent="0.3">
      <c r="A767" t="s">
        <v>368</v>
      </c>
      <c r="B767" t="s">
        <v>186</v>
      </c>
      <c r="C767" s="25">
        <v>45930</v>
      </c>
      <c r="D767">
        <v>888387</v>
      </c>
      <c r="E767" t="s">
        <v>371</v>
      </c>
      <c r="F767" t="s">
        <v>396</v>
      </c>
      <c r="G767">
        <v>365227.17</v>
      </c>
      <c r="H767">
        <v>137166</v>
      </c>
      <c r="I767">
        <v>2.66</v>
      </c>
      <c r="J767">
        <v>5.2880000000000003</v>
      </c>
    </row>
    <row r="768" spans="1:10" x14ac:dyDescent="0.3">
      <c r="A768" t="s">
        <v>368</v>
      </c>
      <c r="B768" t="s">
        <v>186</v>
      </c>
      <c r="C768" s="25">
        <v>45961</v>
      </c>
      <c r="D768">
        <v>888387</v>
      </c>
      <c r="E768" t="s">
        <v>371</v>
      </c>
      <c r="F768" t="s">
        <v>396</v>
      </c>
      <c r="G768">
        <v>479391.85</v>
      </c>
      <c r="H768">
        <v>135660</v>
      </c>
      <c r="I768">
        <v>3.53</v>
      </c>
      <c r="J768">
        <v>7.0446999999999997</v>
      </c>
    </row>
    <row r="769" spans="1:10" x14ac:dyDescent="0.3">
      <c r="A769" t="s">
        <v>368</v>
      </c>
      <c r="B769" t="s">
        <v>186</v>
      </c>
      <c r="C769" s="25">
        <v>45991</v>
      </c>
      <c r="D769">
        <v>888387</v>
      </c>
      <c r="E769" t="s">
        <v>371</v>
      </c>
      <c r="F769" t="s">
        <v>396</v>
      </c>
      <c r="G769">
        <v>330935.34000000003</v>
      </c>
      <c r="H769">
        <v>518054</v>
      </c>
      <c r="I769">
        <v>0.64</v>
      </c>
      <c r="J769">
        <v>4.7988</v>
      </c>
    </row>
    <row r="770" spans="1:10" x14ac:dyDescent="0.3">
      <c r="A770" t="s">
        <v>368</v>
      </c>
      <c r="B770" t="s">
        <v>186</v>
      </c>
      <c r="C770" s="25">
        <v>45657</v>
      </c>
      <c r="D770">
        <v>663750</v>
      </c>
      <c r="E770" t="s">
        <v>376</v>
      </c>
      <c r="F770" t="s">
        <v>395</v>
      </c>
      <c r="G770">
        <v>518048.71</v>
      </c>
      <c r="H770">
        <v>44764</v>
      </c>
      <c r="I770">
        <v>11.57</v>
      </c>
      <c r="J770">
        <v>7.4774000000000003</v>
      </c>
    </row>
    <row r="771" spans="1:10" x14ac:dyDescent="0.3">
      <c r="A771" t="s">
        <v>368</v>
      </c>
      <c r="B771" t="s">
        <v>186</v>
      </c>
      <c r="C771" s="25">
        <v>45688</v>
      </c>
      <c r="D771">
        <v>663750</v>
      </c>
      <c r="E771" t="s">
        <v>376</v>
      </c>
      <c r="F771" t="s">
        <v>395</v>
      </c>
      <c r="G771">
        <v>396707.17</v>
      </c>
      <c r="H771">
        <v>54501</v>
      </c>
      <c r="I771">
        <v>7.28</v>
      </c>
      <c r="J771">
        <v>5.8320999999999996</v>
      </c>
    </row>
    <row r="772" spans="1:10" x14ac:dyDescent="0.3">
      <c r="A772" t="s">
        <v>368</v>
      </c>
      <c r="B772" t="s">
        <v>186</v>
      </c>
      <c r="C772" s="25">
        <v>45716</v>
      </c>
      <c r="D772">
        <v>663750</v>
      </c>
      <c r="E772" t="s">
        <v>376</v>
      </c>
      <c r="F772" t="s">
        <v>395</v>
      </c>
      <c r="G772">
        <v>519046.2</v>
      </c>
      <c r="H772">
        <v>46464</v>
      </c>
      <c r="I772">
        <v>11.17</v>
      </c>
      <c r="J772">
        <v>7.5503</v>
      </c>
    </row>
    <row r="773" spans="1:10" x14ac:dyDescent="0.3">
      <c r="A773" t="s">
        <v>368</v>
      </c>
      <c r="B773" t="s">
        <v>186</v>
      </c>
      <c r="C773" s="25">
        <v>45747</v>
      </c>
      <c r="D773">
        <v>663750</v>
      </c>
      <c r="E773" t="s">
        <v>376</v>
      </c>
      <c r="F773" t="s">
        <v>395</v>
      </c>
      <c r="G773">
        <v>326780.73</v>
      </c>
      <c r="H773">
        <v>32592</v>
      </c>
      <c r="I773">
        <v>10.029999999999999</v>
      </c>
      <c r="J773">
        <v>4.6574999999999998</v>
      </c>
    </row>
    <row r="774" spans="1:10" x14ac:dyDescent="0.3">
      <c r="A774" t="s">
        <v>368</v>
      </c>
      <c r="B774" t="s">
        <v>186</v>
      </c>
      <c r="C774" s="25">
        <v>45777</v>
      </c>
      <c r="D774">
        <v>663750</v>
      </c>
      <c r="E774" t="s">
        <v>376</v>
      </c>
      <c r="F774" t="s">
        <v>395</v>
      </c>
      <c r="G774">
        <v>293730.48</v>
      </c>
      <c r="H774">
        <v>83439</v>
      </c>
      <c r="I774">
        <v>3.52</v>
      </c>
      <c r="J774">
        <v>4.5533999999999999</v>
      </c>
    </row>
    <row r="775" spans="1:10" x14ac:dyDescent="0.3">
      <c r="A775" t="s">
        <v>368</v>
      </c>
      <c r="B775" t="s">
        <v>186</v>
      </c>
      <c r="C775" s="25">
        <v>45808</v>
      </c>
      <c r="D775">
        <v>663750</v>
      </c>
      <c r="E775" t="s">
        <v>376</v>
      </c>
      <c r="F775" t="s">
        <v>395</v>
      </c>
      <c r="G775">
        <v>329022.48</v>
      </c>
      <c r="H775">
        <v>52219</v>
      </c>
      <c r="I775">
        <v>6.3</v>
      </c>
      <c r="J775">
        <v>4.8535000000000004</v>
      </c>
    </row>
    <row r="776" spans="1:10" x14ac:dyDescent="0.3">
      <c r="A776" t="s">
        <v>368</v>
      </c>
      <c r="B776" t="s">
        <v>186</v>
      </c>
      <c r="C776" s="25">
        <v>45838</v>
      </c>
      <c r="D776">
        <v>663750</v>
      </c>
      <c r="E776" t="s">
        <v>376</v>
      </c>
      <c r="F776" t="s">
        <v>395</v>
      </c>
      <c r="G776">
        <v>374030.99</v>
      </c>
      <c r="H776">
        <v>292290</v>
      </c>
      <c r="I776">
        <v>1.28</v>
      </c>
      <c r="J776">
        <v>5.4916</v>
      </c>
    </row>
    <row r="777" spans="1:10" x14ac:dyDescent="0.3">
      <c r="A777" t="s">
        <v>368</v>
      </c>
      <c r="B777" t="s">
        <v>186</v>
      </c>
      <c r="C777" s="25">
        <v>45869</v>
      </c>
      <c r="D777">
        <v>663750</v>
      </c>
      <c r="E777" t="s">
        <v>376</v>
      </c>
      <c r="F777" t="s">
        <v>395</v>
      </c>
      <c r="G777">
        <v>466779.99</v>
      </c>
      <c r="H777">
        <v>52916</v>
      </c>
      <c r="I777">
        <v>8.82</v>
      </c>
      <c r="J777">
        <v>6.8635999999999999</v>
      </c>
    </row>
    <row r="778" spans="1:10" x14ac:dyDescent="0.3">
      <c r="A778" t="s">
        <v>368</v>
      </c>
      <c r="B778" t="s">
        <v>186</v>
      </c>
      <c r="C778" s="25">
        <v>45900</v>
      </c>
      <c r="D778">
        <v>663750</v>
      </c>
      <c r="E778" t="s">
        <v>376</v>
      </c>
      <c r="F778" t="s">
        <v>395</v>
      </c>
      <c r="G778">
        <v>354239.93</v>
      </c>
      <c r="H778">
        <v>43532</v>
      </c>
      <c r="I778">
        <v>8.14</v>
      </c>
      <c r="J778">
        <v>4.9657</v>
      </c>
    </row>
    <row r="779" spans="1:10" x14ac:dyDescent="0.3">
      <c r="A779" t="s">
        <v>368</v>
      </c>
      <c r="B779" t="s">
        <v>186</v>
      </c>
      <c r="C779" s="25">
        <v>45930</v>
      </c>
      <c r="D779">
        <v>663750</v>
      </c>
      <c r="E779" t="s">
        <v>376</v>
      </c>
      <c r="F779" t="s">
        <v>395</v>
      </c>
      <c r="G779">
        <v>428971.55</v>
      </c>
      <c r="H779">
        <v>79354</v>
      </c>
      <c r="I779">
        <v>5.41</v>
      </c>
      <c r="J779">
        <v>6.2108999999999996</v>
      </c>
    </row>
    <row r="780" spans="1:10" x14ac:dyDescent="0.3">
      <c r="A780" t="s">
        <v>368</v>
      </c>
      <c r="B780" t="s">
        <v>186</v>
      </c>
      <c r="C780" s="25">
        <v>45961</v>
      </c>
      <c r="D780">
        <v>663750</v>
      </c>
      <c r="E780" t="s">
        <v>376</v>
      </c>
      <c r="F780" t="s">
        <v>395</v>
      </c>
      <c r="G780">
        <v>480463.93</v>
      </c>
      <c r="H780">
        <v>45078</v>
      </c>
      <c r="I780">
        <v>10.66</v>
      </c>
      <c r="J780">
        <v>7.0605000000000002</v>
      </c>
    </row>
    <row r="781" spans="1:10" x14ac:dyDescent="0.3">
      <c r="A781" t="s">
        <v>368</v>
      </c>
      <c r="B781" t="s">
        <v>186</v>
      </c>
      <c r="C781" s="25">
        <v>45991</v>
      </c>
      <c r="D781">
        <v>663750</v>
      </c>
      <c r="E781" t="s">
        <v>376</v>
      </c>
      <c r="F781" t="s">
        <v>395</v>
      </c>
      <c r="G781">
        <v>391984.46</v>
      </c>
      <c r="H781">
        <v>63216</v>
      </c>
      <c r="I781">
        <v>6.2</v>
      </c>
      <c r="J781">
        <v>5.6840000000000002</v>
      </c>
    </row>
    <row r="782" spans="1:10" x14ac:dyDescent="0.3">
      <c r="A782" t="s">
        <v>368</v>
      </c>
      <c r="B782" t="s">
        <v>186</v>
      </c>
      <c r="C782" s="25">
        <v>45657</v>
      </c>
      <c r="D782">
        <v>630458</v>
      </c>
      <c r="E782" t="s">
        <v>375</v>
      </c>
      <c r="F782" t="s">
        <v>394</v>
      </c>
      <c r="G782">
        <v>397365.69</v>
      </c>
      <c r="H782">
        <v>131111</v>
      </c>
      <c r="I782">
        <v>3.03</v>
      </c>
      <c r="J782">
        <v>5.7355</v>
      </c>
    </row>
    <row r="783" spans="1:10" x14ac:dyDescent="0.3">
      <c r="A783" t="s">
        <v>368</v>
      </c>
      <c r="B783" t="s">
        <v>186</v>
      </c>
      <c r="C783" s="25">
        <v>45688</v>
      </c>
      <c r="D783">
        <v>630458</v>
      </c>
      <c r="E783" t="s">
        <v>375</v>
      </c>
      <c r="F783" t="s">
        <v>394</v>
      </c>
      <c r="G783">
        <v>294592.11</v>
      </c>
      <c r="H783">
        <v>59297</v>
      </c>
      <c r="I783">
        <v>4.97</v>
      </c>
      <c r="J783">
        <v>4.3308999999999997</v>
      </c>
    </row>
    <row r="784" spans="1:10" x14ac:dyDescent="0.3">
      <c r="A784" t="s">
        <v>368</v>
      </c>
      <c r="B784" t="s">
        <v>186</v>
      </c>
      <c r="C784" s="25">
        <v>45716</v>
      </c>
      <c r="D784">
        <v>630458</v>
      </c>
      <c r="E784" t="s">
        <v>375</v>
      </c>
      <c r="F784" t="s">
        <v>394</v>
      </c>
      <c r="G784">
        <v>359454.64</v>
      </c>
      <c r="H784">
        <v>69881</v>
      </c>
      <c r="I784">
        <v>5.14</v>
      </c>
      <c r="J784">
        <v>5.2287999999999997</v>
      </c>
    </row>
    <row r="785" spans="1:10" x14ac:dyDescent="0.3">
      <c r="A785" t="s">
        <v>368</v>
      </c>
      <c r="B785" t="s">
        <v>186</v>
      </c>
      <c r="C785" s="25">
        <v>45747</v>
      </c>
      <c r="D785">
        <v>630458</v>
      </c>
      <c r="E785" t="s">
        <v>375</v>
      </c>
      <c r="F785" t="s">
        <v>394</v>
      </c>
      <c r="G785">
        <v>380216.45</v>
      </c>
      <c r="H785">
        <v>128038</v>
      </c>
      <c r="I785">
        <v>2.97</v>
      </c>
      <c r="J785">
        <v>5.4191000000000003</v>
      </c>
    </row>
    <row r="786" spans="1:10" x14ac:dyDescent="0.3">
      <c r="A786" t="s">
        <v>368</v>
      </c>
      <c r="B786" t="s">
        <v>186</v>
      </c>
      <c r="C786" s="25">
        <v>45777</v>
      </c>
      <c r="D786">
        <v>630458</v>
      </c>
      <c r="E786" t="s">
        <v>375</v>
      </c>
      <c r="F786" t="s">
        <v>394</v>
      </c>
      <c r="G786">
        <v>253575.4</v>
      </c>
      <c r="H786">
        <v>100425</v>
      </c>
      <c r="I786">
        <v>2.5299999999999998</v>
      </c>
      <c r="J786">
        <v>3.9308999999999998</v>
      </c>
    </row>
    <row r="787" spans="1:10" x14ac:dyDescent="0.3">
      <c r="A787" t="s">
        <v>368</v>
      </c>
      <c r="B787" t="s">
        <v>186</v>
      </c>
      <c r="C787" s="25">
        <v>45808</v>
      </c>
      <c r="D787">
        <v>630458</v>
      </c>
      <c r="E787" t="s">
        <v>375</v>
      </c>
      <c r="F787" t="s">
        <v>394</v>
      </c>
      <c r="G787">
        <v>288944.73</v>
      </c>
      <c r="H787">
        <v>31933</v>
      </c>
      <c r="I787">
        <v>9.0500000000000007</v>
      </c>
      <c r="J787">
        <v>4.2622999999999998</v>
      </c>
    </row>
    <row r="788" spans="1:10" x14ac:dyDescent="0.3">
      <c r="A788" t="s">
        <v>368</v>
      </c>
      <c r="B788" t="s">
        <v>186</v>
      </c>
      <c r="C788" s="25">
        <v>45838</v>
      </c>
      <c r="D788">
        <v>630458</v>
      </c>
      <c r="E788" t="s">
        <v>375</v>
      </c>
      <c r="F788" t="s">
        <v>394</v>
      </c>
      <c r="G788">
        <v>320402.23</v>
      </c>
      <c r="H788">
        <v>64893</v>
      </c>
      <c r="I788">
        <v>4.9400000000000004</v>
      </c>
      <c r="J788">
        <v>4.7042000000000002</v>
      </c>
    </row>
    <row r="789" spans="1:10" x14ac:dyDescent="0.3">
      <c r="A789" t="s">
        <v>368</v>
      </c>
      <c r="B789" t="s">
        <v>186</v>
      </c>
      <c r="C789" s="25">
        <v>45869</v>
      </c>
      <c r="D789">
        <v>630458</v>
      </c>
      <c r="E789" t="s">
        <v>375</v>
      </c>
      <c r="F789" t="s">
        <v>394</v>
      </c>
      <c r="G789">
        <v>253258.22</v>
      </c>
      <c r="H789">
        <v>21474</v>
      </c>
      <c r="I789">
        <v>11.79</v>
      </c>
      <c r="J789">
        <v>3.7240000000000002</v>
      </c>
    </row>
    <row r="790" spans="1:10" x14ac:dyDescent="0.3">
      <c r="A790" t="s">
        <v>368</v>
      </c>
      <c r="B790" t="s">
        <v>186</v>
      </c>
      <c r="C790" s="25">
        <v>45900</v>
      </c>
      <c r="D790">
        <v>630458</v>
      </c>
      <c r="E790" t="s">
        <v>375</v>
      </c>
      <c r="F790" t="s">
        <v>394</v>
      </c>
      <c r="G790">
        <v>313012.68</v>
      </c>
      <c r="H790">
        <v>204184</v>
      </c>
      <c r="I790">
        <v>1.53</v>
      </c>
      <c r="J790">
        <v>4.3878000000000004</v>
      </c>
    </row>
    <row r="791" spans="1:10" x14ac:dyDescent="0.3">
      <c r="A791" t="s">
        <v>368</v>
      </c>
      <c r="B791" t="s">
        <v>186</v>
      </c>
      <c r="C791" s="25">
        <v>45930</v>
      </c>
      <c r="D791">
        <v>630458</v>
      </c>
      <c r="E791" t="s">
        <v>375</v>
      </c>
      <c r="F791" t="s">
        <v>394</v>
      </c>
      <c r="G791">
        <v>330613.59000000003</v>
      </c>
      <c r="H791">
        <v>45329</v>
      </c>
      <c r="I791">
        <v>7.29</v>
      </c>
      <c r="J791">
        <v>4.7868000000000004</v>
      </c>
    </row>
    <row r="792" spans="1:10" x14ac:dyDescent="0.3">
      <c r="A792" t="s">
        <v>368</v>
      </c>
      <c r="B792" t="s">
        <v>186</v>
      </c>
      <c r="C792" s="25">
        <v>45961</v>
      </c>
      <c r="D792">
        <v>630458</v>
      </c>
      <c r="E792" t="s">
        <v>375</v>
      </c>
      <c r="F792" t="s">
        <v>394</v>
      </c>
      <c r="G792">
        <v>261009.27</v>
      </c>
      <c r="H792">
        <v>47750</v>
      </c>
      <c r="I792">
        <v>5.47</v>
      </c>
      <c r="J792">
        <v>3.8355999999999999</v>
      </c>
    </row>
    <row r="793" spans="1:10" x14ac:dyDescent="0.3">
      <c r="A793" t="s">
        <v>368</v>
      </c>
      <c r="B793" t="s">
        <v>186</v>
      </c>
      <c r="C793" s="25">
        <v>45991</v>
      </c>
      <c r="D793">
        <v>630458</v>
      </c>
      <c r="E793" t="s">
        <v>375</v>
      </c>
      <c r="F793" t="s">
        <v>394</v>
      </c>
      <c r="G793">
        <v>431758</v>
      </c>
      <c r="H793">
        <v>385421</v>
      </c>
      <c r="I793">
        <v>1.1200000000000001</v>
      </c>
      <c r="J793">
        <v>6.2607999999999997</v>
      </c>
    </row>
    <row r="794" spans="1:10" x14ac:dyDescent="0.3">
      <c r="A794" t="s">
        <v>368</v>
      </c>
      <c r="B794" t="s">
        <v>186</v>
      </c>
      <c r="C794" s="25">
        <v>45657</v>
      </c>
      <c r="D794">
        <v>741390</v>
      </c>
      <c r="E794" t="s">
        <v>375</v>
      </c>
      <c r="F794" t="s">
        <v>393</v>
      </c>
      <c r="G794">
        <v>313480.98</v>
      </c>
      <c r="H794">
        <v>141219</v>
      </c>
      <c r="I794">
        <v>2.2200000000000002</v>
      </c>
      <c r="J794">
        <v>4.5247000000000002</v>
      </c>
    </row>
    <row r="795" spans="1:10" x14ac:dyDescent="0.3">
      <c r="A795" t="s">
        <v>368</v>
      </c>
      <c r="B795" t="s">
        <v>186</v>
      </c>
      <c r="C795" s="25">
        <v>45688</v>
      </c>
      <c r="D795">
        <v>741390</v>
      </c>
      <c r="E795" t="s">
        <v>375</v>
      </c>
      <c r="F795" t="s">
        <v>393</v>
      </c>
      <c r="G795">
        <v>374157.63</v>
      </c>
      <c r="H795">
        <v>220852</v>
      </c>
      <c r="I795">
        <v>1.69</v>
      </c>
      <c r="J795">
        <v>5.5006000000000004</v>
      </c>
    </row>
    <row r="796" spans="1:10" x14ac:dyDescent="0.3">
      <c r="A796" t="s">
        <v>368</v>
      </c>
      <c r="B796" t="s">
        <v>186</v>
      </c>
      <c r="C796" s="25">
        <v>45716</v>
      </c>
      <c r="D796">
        <v>741390</v>
      </c>
      <c r="E796" t="s">
        <v>375</v>
      </c>
      <c r="F796" t="s">
        <v>393</v>
      </c>
      <c r="G796">
        <v>219680.27</v>
      </c>
      <c r="H796">
        <v>64775</v>
      </c>
      <c r="I796">
        <v>3.39</v>
      </c>
      <c r="J796">
        <v>3.1956000000000002</v>
      </c>
    </row>
    <row r="797" spans="1:10" x14ac:dyDescent="0.3">
      <c r="A797" t="s">
        <v>368</v>
      </c>
      <c r="B797" t="s">
        <v>186</v>
      </c>
      <c r="C797" s="25">
        <v>45747</v>
      </c>
      <c r="D797">
        <v>741390</v>
      </c>
      <c r="E797" t="s">
        <v>375</v>
      </c>
      <c r="F797" t="s">
        <v>393</v>
      </c>
      <c r="G797">
        <v>294267.44</v>
      </c>
      <c r="H797">
        <v>117892</v>
      </c>
      <c r="I797">
        <v>2.5</v>
      </c>
      <c r="J797">
        <v>4.1940999999999997</v>
      </c>
    </row>
    <row r="798" spans="1:10" x14ac:dyDescent="0.3">
      <c r="A798" t="s">
        <v>368</v>
      </c>
      <c r="B798" t="s">
        <v>186</v>
      </c>
      <c r="C798" s="25">
        <v>45777</v>
      </c>
      <c r="D798">
        <v>741390</v>
      </c>
      <c r="E798" t="s">
        <v>375</v>
      </c>
      <c r="F798" t="s">
        <v>393</v>
      </c>
      <c r="G798">
        <v>226071.54</v>
      </c>
      <c r="H798">
        <v>77587</v>
      </c>
      <c r="I798">
        <v>2.91</v>
      </c>
      <c r="J798">
        <v>3.5045000000000002</v>
      </c>
    </row>
    <row r="799" spans="1:10" x14ac:dyDescent="0.3">
      <c r="A799" t="s">
        <v>368</v>
      </c>
      <c r="B799" t="s">
        <v>186</v>
      </c>
      <c r="C799" s="25">
        <v>45808</v>
      </c>
      <c r="D799">
        <v>741390</v>
      </c>
      <c r="E799" t="s">
        <v>375</v>
      </c>
      <c r="F799" t="s">
        <v>393</v>
      </c>
      <c r="G799">
        <v>221377.25</v>
      </c>
      <c r="H799">
        <v>35958</v>
      </c>
      <c r="I799">
        <v>6.16</v>
      </c>
      <c r="J799">
        <v>3.2656000000000001</v>
      </c>
    </row>
    <row r="800" spans="1:10" x14ac:dyDescent="0.3">
      <c r="A800" t="s">
        <v>368</v>
      </c>
      <c r="B800" t="s">
        <v>186</v>
      </c>
      <c r="C800" s="25">
        <v>45838</v>
      </c>
      <c r="D800">
        <v>741390</v>
      </c>
      <c r="E800" t="s">
        <v>375</v>
      </c>
      <c r="F800" t="s">
        <v>393</v>
      </c>
      <c r="G800">
        <v>305609.59999999998</v>
      </c>
      <c r="H800">
        <v>127843</v>
      </c>
      <c r="I800">
        <v>2.39</v>
      </c>
      <c r="J800">
        <v>4.4870000000000001</v>
      </c>
    </row>
    <row r="801" spans="1:10" x14ac:dyDescent="0.3">
      <c r="A801" t="s">
        <v>368</v>
      </c>
      <c r="B801" t="s">
        <v>186</v>
      </c>
      <c r="C801" s="25">
        <v>45869</v>
      </c>
      <c r="D801">
        <v>741390</v>
      </c>
      <c r="E801" t="s">
        <v>375</v>
      </c>
      <c r="F801" t="s">
        <v>393</v>
      </c>
      <c r="G801">
        <v>269407.77</v>
      </c>
      <c r="H801">
        <v>27639</v>
      </c>
      <c r="I801">
        <v>9.75</v>
      </c>
      <c r="J801">
        <v>3.9613999999999998</v>
      </c>
    </row>
    <row r="802" spans="1:10" x14ac:dyDescent="0.3">
      <c r="A802" t="s">
        <v>368</v>
      </c>
      <c r="B802" t="s">
        <v>186</v>
      </c>
      <c r="C802" s="25">
        <v>45900</v>
      </c>
      <c r="D802">
        <v>741390</v>
      </c>
      <c r="E802" t="s">
        <v>375</v>
      </c>
      <c r="F802" t="s">
        <v>393</v>
      </c>
      <c r="G802">
        <v>264844.53000000003</v>
      </c>
      <c r="H802">
        <v>52100</v>
      </c>
      <c r="I802">
        <v>5.08</v>
      </c>
      <c r="J802">
        <v>3.7126000000000001</v>
      </c>
    </row>
    <row r="803" spans="1:10" x14ac:dyDescent="0.3">
      <c r="A803" t="s">
        <v>368</v>
      </c>
      <c r="B803" t="s">
        <v>186</v>
      </c>
      <c r="C803" s="25">
        <v>45930</v>
      </c>
      <c r="D803">
        <v>741390</v>
      </c>
      <c r="E803" t="s">
        <v>375</v>
      </c>
      <c r="F803" t="s">
        <v>393</v>
      </c>
      <c r="G803">
        <v>283071.74</v>
      </c>
      <c r="H803">
        <v>115222</v>
      </c>
      <c r="I803">
        <v>2.46</v>
      </c>
      <c r="J803">
        <v>4.0984999999999996</v>
      </c>
    </row>
    <row r="804" spans="1:10" x14ac:dyDescent="0.3">
      <c r="A804" t="s">
        <v>368</v>
      </c>
      <c r="B804" t="s">
        <v>186</v>
      </c>
      <c r="C804" s="25">
        <v>45961</v>
      </c>
      <c r="D804">
        <v>741390</v>
      </c>
      <c r="E804" t="s">
        <v>375</v>
      </c>
      <c r="F804" t="s">
        <v>393</v>
      </c>
      <c r="G804">
        <v>232892.19</v>
      </c>
      <c r="H804">
        <v>33769</v>
      </c>
      <c r="I804">
        <v>6.9</v>
      </c>
      <c r="J804">
        <v>3.4224000000000001</v>
      </c>
    </row>
    <row r="805" spans="1:10" x14ac:dyDescent="0.3">
      <c r="A805" t="s">
        <v>368</v>
      </c>
      <c r="B805" t="s">
        <v>186</v>
      </c>
      <c r="C805" s="25">
        <v>45991</v>
      </c>
      <c r="D805">
        <v>741390</v>
      </c>
      <c r="E805" t="s">
        <v>375</v>
      </c>
      <c r="F805" t="s">
        <v>393</v>
      </c>
      <c r="G805">
        <v>234758.31</v>
      </c>
      <c r="H805">
        <v>44876</v>
      </c>
      <c r="I805">
        <v>5.23</v>
      </c>
      <c r="J805">
        <v>3.4041000000000001</v>
      </c>
    </row>
    <row r="806" spans="1:10" x14ac:dyDescent="0.3">
      <c r="A806" t="s">
        <v>368</v>
      </c>
      <c r="B806" t="s">
        <v>186</v>
      </c>
      <c r="C806" s="25">
        <v>45657</v>
      </c>
      <c r="D806">
        <v>776856</v>
      </c>
      <c r="E806" t="s">
        <v>373</v>
      </c>
      <c r="F806" t="s">
        <v>392</v>
      </c>
      <c r="G806">
        <v>193552.3</v>
      </c>
      <c r="H806">
        <v>90216</v>
      </c>
      <c r="I806">
        <v>2.15</v>
      </c>
      <c r="J806">
        <v>2.7936999999999999</v>
      </c>
    </row>
    <row r="807" spans="1:10" x14ac:dyDescent="0.3">
      <c r="A807" t="s">
        <v>368</v>
      </c>
      <c r="B807" t="s">
        <v>186</v>
      </c>
      <c r="C807" s="25">
        <v>45688</v>
      </c>
      <c r="D807">
        <v>776856</v>
      </c>
      <c r="E807" t="s">
        <v>373</v>
      </c>
      <c r="F807" t="s">
        <v>392</v>
      </c>
      <c r="G807">
        <v>248816.3</v>
      </c>
      <c r="H807">
        <v>24004</v>
      </c>
      <c r="I807">
        <v>10.37</v>
      </c>
      <c r="J807">
        <v>3.6579000000000002</v>
      </c>
    </row>
    <row r="808" spans="1:10" x14ac:dyDescent="0.3">
      <c r="A808" t="s">
        <v>368</v>
      </c>
      <c r="B808" t="s">
        <v>186</v>
      </c>
      <c r="C808" s="25">
        <v>45716</v>
      </c>
      <c r="D808">
        <v>776856</v>
      </c>
      <c r="E808" t="s">
        <v>373</v>
      </c>
      <c r="F808" t="s">
        <v>392</v>
      </c>
      <c r="G808">
        <v>248427.71</v>
      </c>
      <c r="H808">
        <v>35418</v>
      </c>
      <c r="I808">
        <v>7.01</v>
      </c>
      <c r="J808">
        <v>3.6137000000000001</v>
      </c>
    </row>
    <row r="809" spans="1:10" x14ac:dyDescent="0.3">
      <c r="A809" t="s">
        <v>368</v>
      </c>
      <c r="B809" t="s">
        <v>186</v>
      </c>
      <c r="C809" s="25">
        <v>45747</v>
      </c>
      <c r="D809">
        <v>776856</v>
      </c>
      <c r="E809" t="s">
        <v>373</v>
      </c>
      <c r="F809" t="s">
        <v>392</v>
      </c>
      <c r="G809">
        <v>176363.66</v>
      </c>
      <c r="H809">
        <v>29765</v>
      </c>
      <c r="I809">
        <v>5.93</v>
      </c>
      <c r="J809">
        <v>2.5137</v>
      </c>
    </row>
    <row r="810" spans="1:10" x14ac:dyDescent="0.3">
      <c r="A810" t="s">
        <v>368</v>
      </c>
      <c r="B810" t="s">
        <v>186</v>
      </c>
      <c r="C810" s="25">
        <v>45777</v>
      </c>
      <c r="D810">
        <v>776856</v>
      </c>
      <c r="E810" t="s">
        <v>373</v>
      </c>
      <c r="F810" t="s">
        <v>392</v>
      </c>
      <c r="G810">
        <v>253672.01</v>
      </c>
      <c r="H810">
        <v>168063</v>
      </c>
      <c r="I810">
        <v>1.51</v>
      </c>
      <c r="J810">
        <v>3.9323999999999999</v>
      </c>
    </row>
    <row r="811" spans="1:10" x14ac:dyDescent="0.3">
      <c r="A811" t="s">
        <v>368</v>
      </c>
      <c r="B811" t="s">
        <v>186</v>
      </c>
      <c r="C811" s="25">
        <v>45808</v>
      </c>
      <c r="D811">
        <v>776856</v>
      </c>
      <c r="E811" t="s">
        <v>373</v>
      </c>
      <c r="F811" t="s">
        <v>392</v>
      </c>
      <c r="G811">
        <v>210131.61</v>
      </c>
      <c r="H811">
        <v>25676</v>
      </c>
      <c r="I811">
        <v>8.18</v>
      </c>
      <c r="J811">
        <v>3.0996999999999999</v>
      </c>
    </row>
    <row r="812" spans="1:10" x14ac:dyDescent="0.3">
      <c r="A812" t="s">
        <v>368</v>
      </c>
      <c r="B812" t="s">
        <v>186</v>
      </c>
      <c r="C812" s="25">
        <v>45838</v>
      </c>
      <c r="D812">
        <v>776856</v>
      </c>
      <c r="E812" t="s">
        <v>373</v>
      </c>
      <c r="F812" t="s">
        <v>392</v>
      </c>
      <c r="G812">
        <v>225880.81</v>
      </c>
      <c r="H812">
        <v>40856</v>
      </c>
      <c r="I812">
        <v>5.53</v>
      </c>
      <c r="J812">
        <v>3.3163999999999998</v>
      </c>
    </row>
    <row r="813" spans="1:10" x14ac:dyDescent="0.3">
      <c r="A813" t="s">
        <v>368</v>
      </c>
      <c r="B813" t="s">
        <v>186</v>
      </c>
      <c r="C813" s="25">
        <v>45869</v>
      </c>
      <c r="D813">
        <v>776856</v>
      </c>
      <c r="E813" t="s">
        <v>373</v>
      </c>
      <c r="F813" t="s">
        <v>392</v>
      </c>
      <c r="G813">
        <v>189020.61</v>
      </c>
      <c r="H813">
        <v>36769</v>
      </c>
      <c r="I813">
        <v>5.14</v>
      </c>
      <c r="J813">
        <v>2.7793999999999999</v>
      </c>
    </row>
    <row r="814" spans="1:10" x14ac:dyDescent="0.3">
      <c r="A814" t="s">
        <v>368</v>
      </c>
      <c r="B814" t="s">
        <v>186</v>
      </c>
      <c r="C814" s="25">
        <v>45900</v>
      </c>
      <c r="D814">
        <v>776856</v>
      </c>
      <c r="E814" t="s">
        <v>373</v>
      </c>
      <c r="F814" t="s">
        <v>392</v>
      </c>
      <c r="G814">
        <v>222876.87</v>
      </c>
      <c r="H814">
        <v>113988</v>
      </c>
      <c r="I814">
        <v>1.96</v>
      </c>
      <c r="J814">
        <v>3.1242999999999999</v>
      </c>
    </row>
    <row r="815" spans="1:10" x14ac:dyDescent="0.3">
      <c r="A815" t="s">
        <v>368</v>
      </c>
      <c r="B815" t="s">
        <v>186</v>
      </c>
      <c r="C815" s="25">
        <v>45930</v>
      </c>
      <c r="D815">
        <v>776856</v>
      </c>
      <c r="E815" t="s">
        <v>373</v>
      </c>
      <c r="F815" t="s">
        <v>392</v>
      </c>
      <c r="G815">
        <v>178611.3</v>
      </c>
      <c r="H815">
        <v>29862</v>
      </c>
      <c r="I815">
        <v>5.98</v>
      </c>
      <c r="J815">
        <v>2.5859999999999999</v>
      </c>
    </row>
    <row r="816" spans="1:10" x14ac:dyDescent="0.3">
      <c r="A816" t="s">
        <v>368</v>
      </c>
      <c r="B816" t="s">
        <v>186</v>
      </c>
      <c r="C816" s="25">
        <v>45961</v>
      </c>
      <c r="D816">
        <v>776856</v>
      </c>
      <c r="E816" t="s">
        <v>373</v>
      </c>
      <c r="F816" t="s">
        <v>392</v>
      </c>
      <c r="G816">
        <v>187064.65</v>
      </c>
      <c r="H816">
        <v>31027</v>
      </c>
      <c r="I816">
        <v>6.03</v>
      </c>
      <c r="J816">
        <v>2.7488999999999999</v>
      </c>
    </row>
    <row r="817" spans="1:10" x14ac:dyDescent="0.3">
      <c r="A817" t="s">
        <v>368</v>
      </c>
      <c r="B817" t="s">
        <v>186</v>
      </c>
      <c r="C817" s="25">
        <v>45991</v>
      </c>
      <c r="D817">
        <v>776856</v>
      </c>
      <c r="E817" t="s">
        <v>373</v>
      </c>
      <c r="F817" t="s">
        <v>392</v>
      </c>
      <c r="G817">
        <v>242265.42</v>
      </c>
      <c r="H817">
        <v>20344</v>
      </c>
      <c r="I817">
        <v>11.91</v>
      </c>
      <c r="J817">
        <v>3.5129999999999999</v>
      </c>
    </row>
    <row r="818" spans="1:10" x14ac:dyDescent="0.3">
      <c r="A818" t="s">
        <v>368</v>
      </c>
      <c r="B818" t="s">
        <v>186</v>
      </c>
      <c r="C818" s="25">
        <v>45657</v>
      </c>
      <c r="D818">
        <v>204837</v>
      </c>
      <c r="E818" t="s">
        <v>371</v>
      </c>
      <c r="F818" t="s">
        <v>391</v>
      </c>
      <c r="G818">
        <v>235483.04</v>
      </c>
      <c r="H818">
        <v>44677</v>
      </c>
      <c r="I818">
        <v>5.27</v>
      </c>
      <c r="J818">
        <v>3.3988999999999998</v>
      </c>
    </row>
    <row r="819" spans="1:10" x14ac:dyDescent="0.3">
      <c r="A819" t="s">
        <v>368</v>
      </c>
      <c r="B819" t="s">
        <v>186</v>
      </c>
      <c r="C819" s="25">
        <v>45688</v>
      </c>
      <c r="D819">
        <v>204837</v>
      </c>
      <c r="E819" t="s">
        <v>371</v>
      </c>
      <c r="F819" t="s">
        <v>391</v>
      </c>
      <c r="G819">
        <v>218993.6</v>
      </c>
      <c r="H819">
        <v>23471</v>
      </c>
      <c r="I819">
        <v>9.33</v>
      </c>
      <c r="J819">
        <v>3.2195</v>
      </c>
    </row>
    <row r="820" spans="1:10" x14ac:dyDescent="0.3">
      <c r="A820" t="s">
        <v>368</v>
      </c>
      <c r="B820" t="s">
        <v>186</v>
      </c>
      <c r="C820" s="25">
        <v>45716</v>
      </c>
      <c r="D820">
        <v>204837</v>
      </c>
      <c r="E820" t="s">
        <v>371</v>
      </c>
      <c r="F820" t="s">
        <v>391</v>
      </c>
      <c r="G820">
        <v>193138.18</v>
      </c>
      <c r="H820">
        <v>18887</v>
      </c>
      <c r="I820">
        <v>10.23</v>
      </c>
      <c r="J820">
        <v>2.8094999999999999</v>
      </c>
    </row>
    <row r="821" spans="1:10" x14ac:dyDescent="0.3">
      <c r="A821" t="s">
        <v>368</v>
      </c>
      <c r="B821" t="s">
        <v>186</v>
      </c>
      <c r="C821" s="25">
        <v>45747</v>
      </c>
      <c r="D821">
        <v>204837</v>
      </c>
      <c r="E821" t="s">
        <v>371</v>
      </c>
      <c r="F821" t="s">
        <v>391</v>
      </c>
      <c r="G821">
        <v>169575.87</v>
      </c>
      <c r="H821">
        <v>37834</v>
      </c>
      <c r="I821">
        <v>4.4800000000000004</v>
      </c>
      <c r="J821">
        <v>2.4169</v>
      </c>
    </row>
    <row r="822" spans="1:10" x14ac:dyDescent="0.3">
      <c r="A822" t="s">
        <v>368</v>
      </c>
      <c r="B822" t="s">
        <v>186</v>
      </c>
      <c r="C822" s="25">
        <v>45777</v>
      </c>
      <c r="D822">
        <v>204837</v>
      </c>
      <c r="E822" t="s">
        <v>371</v>
      </c>
      <c r="F822" t="s">
        <v>391</v>
      </c>
      <c r="G822">
        <v>231492.45</v>
      </c>
      <c r="H822">
        <v>31969</v>
      </c>
      <c r="I822">
        <v>7.24</v>
      </c>
      <c r="J822">
        <v>3.5886</v>
      </c>
    </row>
    <row r="823" spans="1:10" x14ac:dyDescent="0.3">
      <c r="A823" t="s">
        <v>368</v>
      </c>
      <c r="B823" t="s">
        <v>186</v>
      </c>
      <c r="C823" s="25">
        <v>45808</v>
      </c>
      <c r="D823">
        <v>204837</v>
      </c>
      <c r="E823" t="s">
        <v>371</v>
      </c>
      <c r="F823" t="s">
        <v>391</v>
      </c>
      <c r="G823">
        <v>232899.82</v>
      </c>
      <c r="H823">
        <v>50539</v>
      </c>
      <c r="I823">
        <v>4.6100000000000003</v>
      </c>
      <c r="J823">
        <v>3.4356</v>
      </c>
    </row>
    <row r="824" spans="1:10" x14ac:dyDescent="0.3">
      <c r="A824" t="s">
        <v>368</v>
      </c>
      <c r="B824" t="s">
        <v>186</v>
      </c>
      <c r="C824" s="25">
        <v>45838</v>
      </c>
      <c r="D824">
        <v>204837</v>
      </c>
      <c r="E824" t="s">
        <v>371</v>
      </c>
      <c r="F824" t="s">
        <v>391</v>
      </c>
      <c r="G824">
        <v>148128.21</v>
      </c>
      <c r="H824">
        <v>101143</v>
      </c>
      <c r="I824">
        <v>1.46</v>
      </c>
      <c r="J824">
        <v>2.1747999999999998</v>
      </c>
    </row>
    <row r="825" spans="1:10" x14ac:dyDescent="0.3">
      <c r="A825" t="s">
        <v>368</v>
      </c>
      <c r="B825" t="s">
        <v>186</v>
      </c>
      <c r="C825" s="25">
        <v>45869</v>
      </c>
      <c r="D825">
        <v>204837</v>
      </c>
      <c r="E825" t="s">
        <v>371</v>
      </c>
      <c r="F825" t="s">
        <v>391</v>
      </c>
      <c r="G825">
        <v>231740.84</v>
      </c>
      <c r="H825">
        <v>19446</v>
      </c>
      <c r="I825">
        <v>11.92</v>
      </c>
      <c r="J825">
        <v>3.4076</v>
      </c>
    </row>
    <row r="826" spans="1:10" x14ac:dyDescent="0.3">
      <c r="A826" t="s">
        <v>368</v>
      </c>
      <c r="B826" t="s">
        <v>186</v>
      </c>
      <c r="C826" s="25">
        <v>45900</v>
      </c>
      <c r="D826">
        <v>204837</v>
      </c>
      <c r="E826" t="s">
        <v>371</v>
      </c>
      <c r="F826" t="s">
        <v>391</v>
      </c>
      <c r="G826">
        <v>202406.32</v>
      </c>
      <c r="H826">
        <v>25369</v>
      </c>
      <c r="I826">
        <v>7.98</v>
      </c>
      <c r="J826">
        <v>2.8372999999999999</v>
      </c>
    </row>
    <row r="827" spans="1:10" x14ac:dyDescent="0.3">
      <c r="A827" t="s">
        <v>368</v>
      </c>
      <c r="B827" t="s">
        <v>186</v>
      </c>
      <c r="C827" s="25">
        <v>45930</v>
      </c>
      <c r="D827">
        <v>204837</v>
      </c>
      <c r="E827" t="s">
        <v>371</v>
      </c>
      <c r="F827" t="s">
        <v>391</v>
      </c>
      <c r="G827">
        <v>229266.64</v>
      </c>
      <c r="H827">
        <v>53522</v>
      </c>
      <c r="I827">
        <v>4.28</v>
      </c>
      <c r="J827">
        <v>3.3195000000000001</v>
      </c>
    </row>
    <row r="828" spans="1:10" x14ac:dyDescent="0.3">
      <c r="A828" t="s">
        <v>368</v>
      </c>
      <c r="B828" t="s">
        <v>186</v>
      </c>
      <c r="C828" s="25">
        <v>45961</v>
      </c>
      <c r="D828">
        <v>204837</v>
      </c>
      <c r="E828" t="s">
        <v>371</v>
      </c>
      <c r="F828" t="s">
        <v>391</v>
      </c>
      <c r="G828">
        <v>159447.18</v>
      </c>
      <c r="H828">
        <v>35871</v>
      </c>
      <c r="I828">
        <v>4.45</v>
      </c>
      <c r="J828">
        <v>2.3431000000000002</v>
      </c>
    </row>
    <row r="829" spans="1:10" x14ac:dyDescent="0.3">
      <c r="A829" t="s">
        <v>368</v>
      </c>
      <c r="B829" t="s">
        <v>186</v>
      </c>
      <c r="C829" s="25">
        <v>45991</v>
      </c>
      <c r="D829">
        <v>204837</v>
      </c>
      <c r="E829" t="s">
        <v>371</v>
      </c>
      <c r="F829" t="s">
        <v>391</v>
      </c>
      <c r="G829">
        <v>186329.37</v>
      </c>
      <c r="H829">
        <v>35674</v>
      </c>
      <c r="I829">
        <v>5.22</v>
      </c>
      <c r="J829">
        <v>2.7019000000000002</v>
      </c>
    </row>
    <row r="830" spans="1:10" x14ac:dyDescent="0.3">
      <c r="A830" t="s">
        <v>368</v>
      </c>
      <c r="B830" t="s">
        <v>186</v>
      </c>
      <c r="C830" s="25">
        <v>45657</v>
      </c>
      <c r="D830">
        <v>579434</v>
      </c>
      <c r="E830" t="s">
        <v>376</v>
      </c>
      <c r="F830" t="s">
        <v>390</v>
      </c>
      <c r="G830">
        <v>197633.83</v>
      </c>
      <c r="H830">
        <v>17411</v>
      </c>
      <c r="I830">
        <v>11.35</v>
      </c>
      <c r="J830">
        <v>2.8525999999999998</v>
      </c>
    </row>
    <row r="831" spans="1:10" x14ac:dyDescent="0.3">
      <c r="A831" t="s">
        <v>368</v>
      </c>
      <c r="B831" t="s">
        <v>186</v>
      </c>
      <c r="C831" s="25">
        <v>45688</v>
      </c>
      <c r="D831">
        <v>579434</v>
      </c>
      <c r="E831" t="s">
        <v>376</v>
      </c>
      <c r="F831" t="s">
        <v>390</v>
      </c>
      <c r="G831">
        <v>243158.46</v>
      </c>
      <c r="H831">
        <v>247710</v>
      </c>
      <c r="I831">
        <v>0.98</v>
      </c>
      <c r="J831">
        <v>3.5747</v>
      </c>
    </row>
    <row r="832" spans="1:10" x14ac:dyDescent="0.3">
      <c r="A832" t="s">
        <v>368</v>
      </c>
      <c r="B832" t="s">
        <v>186</v>
      </c>
      <c r="C832" s="25">
        <v>45716</v>
      </c>
      <c r="D832">
        <v>579434</v>
      </c>
      <c r="E832" t="s">
        <v>376</v>
      </c>
      <c r="F832" t="s">
        <v>390</v>
      </c>
      <c r="G832">
        <v>270707.78000000003</v>
      </c>
      <c r="H832">
        <v>24427</v>
      </c>
      <c r="I832">
        <v>11.08</v>
      </c>
      <c r="J832">
        <v>3.9378000000000002</v>
      </c>
    </row>
    <row r="833" spans="1:10" x14ac:dyDescent="0.3">
      <c r="A833" t="s">
        <v>368</v>
      </c>
      <c r="B833" t="s">
        <v>186</v>
      </c>
      <c r="C833" s="25">
        <v>45747</v>
      </c>
      <c r="D833">
        <v>579434</v>
      </c>
      <c r="E833" t="s">
        <v>376</v>
      </c>
      <c r="F833" t="s">
        <v>390</v>
      </c>
      <c r="G833">
        <v>200223.57</v>
      </c>
      <c r="H833">
        <v>187946</v>
      </c>
      <c r="I833">
        <v>1.07</v>
      </c>
      <c r="J833">
        <v>2.8536999999999999</v>
      </c>
    </row>
    <row r="834" spans="1:10" x14ac:dyDescent="0.3">
      <c r="A834" t="s">
        <v>368</v>
      </c>
      <c r="B834" t="s">
        <v>186</v>
      </c>
      <c r="C834" s="25">
        <v>45777</v>
      </c>
      <c r="D834">
        <v>579434</v>
      </c>
      <c r="E834" t="s">
        <v>376</v>
      </c>
      <c r="F834" t="s">
        <v>390</v>
      </c>
      <c r="G834">
        <v>211836.65</v>
      </c>
      <c r="H834">
        <v>64542</v>
      </c>
      <c r="I834">
        <v>3.28</v>
      </c>
      <c r="J834">
        <v>3.2839</v>
      </c>
    </row>
    <row r="835" spans="1:10" x14ac:dyDescent="0.3">
      <c r="A835" t="s">
        <v>368</v>
      </c>
      <c r="B835" t="s">
        <v>186</v>
      </c>
      <c r="C835" s="25">
        <v>45808</v>
      </c>
      <c r="D835">
        <v>579434</v>
      </c>
      <c r="E835" t="s">
        <v>376</v>
      </c>
      <c r="F835" t="s">
        <v>390</v>
      </c>
      <c r="G835">
        <v>197315.81</v>
      </c>
      <c r="H835">
        <v>18655</v>
      </c>
      <c r="I835">
        <v>10.58</v>
      </c>
      <c r="J835">
        <v>2.9106999999999998</v>
      </c>
    </row>
    <row r="836" spans="1:10" x14ac:dyDescent="0.3">
      <c r="A836" t="s">
        <v>368</v>
      </c>
      <c r="B836" t="s">
        <v>186</v>
      </c>
      <c r="C836" s="25">
        <v>45838</v>
      </c>
      <c r="D836">
        <v>579434</v>
      </c>
      <c r="E836" t="s">
        <v>376</v>
      </c>
      <c r="F836" t="s">
        <v>390</v>
      </c>
      <c r="G836">
        <v>197181.18</v>
      </c>
      <c r="H836">
        <v>35536</v>
      </c>
      <c r="I836">
        <v>5.55</v>
      </c>
      <c r="J836">
        <v>2.895</v>
      </c>
    </row>
    <row r="837" spans="1:10" x14ac:dyDescent="0.3">
      <c r="A837" t="s">
        <v>368</v>
      </c>
      <c r="B837" t="s">
        <v>186</v>
      </c>
      <c r="C837" s="25">
        <v>45869</v>
      </c>
      <c r="D837">
        <v>579434</v>
      </c>
      <c r="E837" t="s">
        <v>376</v>
      </c>
      <c r="F837" t="s">
        <v>390</v>
      </c>
      <c r="G837">
        <v>206710.38</v>
      </c>
      <c r="H837">
        <v>203429</v>
      </c>
      <c r="I837">
        <v>1.02</v>
      </c>
      <c r="J837">
        <v>3.0394999999999999</v>
      </c>
    </row>
    <row r="838" spans="1:10" x14ac:dyDescent="0.3">
      <c r="A838" t="s">
        <v>368</v>
      </c>
      <c r="B838" t="s">
        <v>186</v>
      </c>
      <c r="C838" s="25">
        <v>45900</v>
      </c>
      <c r="D838">
        <v>579434</v>
      </c>
      <c r="E838" t="s">
        <v>376</v>
      </c>
      <c r="F838" t="s">
        <v>390</v>
      </c>
      <c r="G838">
        <v>198893.2</v>
      </c>
      <c r="H838">
        <v>238635</v>
      </c>
      <c r="I838">
        <v>0.83</v>
      </c>
      <c r="J838">
        <v>2.7881</v>
      </c>
    </row>
    <row r="839" spans="1:10" x14ac:dyDescent="0.3">
      <c r="A839" t="s">
        <v>368</v>
      </c>
      <c r="B839" t="s">
        <v>186</v>
      </c>
      <c r="C839" s="25">
        <v>45930</v>
      </c>
      <c r="D839">
        <v>579434</v>
      </c>
      <c r="E839" t="s">
        <v>376</v>
      </c>
      <c r="F839" t="s">
        <v>390</v>
      </c>
      <c r="G839">
        <v>218350.44</v>
      </c>
      <c r="H839">
        <v>25893</v>
      </c>
      <c r="I839">
        <v>8.43</v>
      </c>
      <c r="J839">
        <v>3.1614</v>
      </c>
    </row>
    <row r="840" spans="1:10" x14ac:dyDescent="0.3">
      <c r="A840" t="s">
        <v>368</v>
      </c>
      <c r="B840" t="s">
        <v>186</v>
      </c>
      <c r="C840" s="25">
        <v>45961</v>
      </c>
      <c r="D840">
        <v>579434</v>
      </c>
      <c r="E840" t="s">
        <v>376</v>
      </c>
      <c r="F840" t="s">
        <v>390</v>
      </c>
      <c r="G840">
        <v>160798.95000000001</v>
      </c>
      <c r="H840">
        <v>54248</v>
      </c>
      <c r="I840">
        <v>2.96</v>
      </c>
      <c r="J840">
        <v>2.363</v>
      </c>
    </row>
    <row r="841" spans="1:10" x14ac:dyDescent="0.3">
      <c r="A841" t="s">
        <v>368</v>
      </c>
      <c r="B841" t="s">
        <v>186</v>
      </c>
      <c r="C841" s="25">
        <v>45991</v>
      </c>
      <c r="D841">
        <v>579434</v>
      </c>
      <c r="E841" t="s">
        <v>376</v>
      </c>
      <c r="F841" t="s">
        <v>390</v>
      </c>
      <c r="G841">
        <v>192473.67</v>
      </c>
      <c r="H841">
        <v>155015</v>
      </c>
      <c r="I841">
        <v>1.24</v>
      </c>
      <c r="J841">
        <v>2.7909999999999999</v>
      </c>
    </row>
    <row r="842" spans="1:10" x14ac:dyDescent="0.3">
      <c r="A842" t="s">
        <v>368</v>
      </c>
      <c r="B842" t="s">
        <v>186</v>
      </c>
      <c r="C842" s="25">
        <v>45657</v>
      </c>
      <c r="D842">
        <v>487477</v>
      </c>
      <c r="E842" t="s">
        <v>378</v>
      </c>
      <c r="F842" t="s">
        <v>389</v>
      </c>
      <c r="G842">
        <v>229630.99</v>
      </c>
      <c r="H842">
        <v>36357</v>
      </c>
      <c r="I842">
        <v>6.32</v>
      </c>
      <c r="J842">
        <v>3.3144999999999998</v>
      </c>
    </row>
    <row r="843" spans="1:10" x14ac:dyDescent="0.3">
      <c r="A843" t="s">
        <v>368</v>
      </c>
      <c r="B843" t="s">
        <v>186</v>
      </c>
      <c r="C843" s="25">
        <v>45688</v>
      </c>
      <c r="D843">
        <v>487477</v>
      </c>
      <c r="E843" t="s">
        <v>378</v>
      </c>
      <c r="F843" t="s">
        <v>389</v>
      </c>
      <c r="G843">
        <v>205797.14</v>
      </c>
      <c r="H843">
        <v>20795</v>
      </c>
      <c r="I843">
        <v>9.9</v>
      </c>
      <c r="J843">
        <v>3.0255000000000001</v>
      </c>
    </row>
    <row r="844" spans="1:10" x14ac:dyDescent="0.3">
      <c r="A844" t="s">
        <v>368</v>
      </c>
      <c r="B844" t="s">
        <v>186</v>
      </c>
      <c r="C844" s="25">
        <v>45716</v>
      </c>
      <c r="D844">
        <v>487477</v>
      </c>
      <c r="E844" t="s">
        <v>378</v>
      </c>
      <c r="F844" t="s">
        <v>389</v>
      </c>
      <c r="G844">
        <v>185595.97</v>
      </c>
      <c r="H844">
        <v>286990</v>
      </c>
      <c r="I844">
        <v>0.65</v>
      </c>
      <c r="J844">
        <v>2.6998000000000002</v>
      </c>
    </row>
    <row r="845" spans="1:10" x14ac:dyDescent="0.3">
      <c r="A845" t="s">
        <v>368</v>
      </c>
      <c r="B845" t="s">
        <v>186</v>
      </c>
      <c r="C845" s="25">
        <v>45747</v>
      </c>
      <c r="D845">
        <v>487477</v>
      </c>
      <c r="E845" t="s">
        <v>378</v>
      </c>
      <c r="F845" t="s">
        <v>389</v>
      </c>
      <c r="G845">
        <v>207887.7</v>
      </c>
      <c r="H845">
        <v>24471</v>
      </c>
      <c r="I845">
        <v>8.5</v>
      </c>
      <c r="J845">
        <v>2.9630000000000001</v>
      </c>
    </row>
    <row r="846" spans="1:10" x14ac:dyDescent="0.3">
      <c r="A846" t="s">
        <v>368</v>
      </c>
      <c r="B846" t="s">
        <v>186</v>
      </c>
      <c r="C846" s="25">
        <v>45777</v>
      </c>
      <c r="D846">
        <v>487477</v>
      </c>
      <c r="E846" t="s">
        <v>378</v>
      </c>
      <c r="F846" t="s">
        <v>389</v>
      </c>
      <c r="G846">
        <v>205042.83</v>
      </c>
      <c r="H846">
        <v>25745</v>
      </c>
      <c r="I846">
        <v>7.96</v>
      </c>
      <c r="J846">
        <v>3.1785999999999999</v>
      </c>
    </row>
    <row r="847" spans="1:10" x14ac:dyDescent="0.3">
      <c r="A847" t="s">
        <v>368</v>
      </c>
      <c r="B847" t="s">
        <v>186</v>
      </c>
      <c r="C847" s="25">
        <v>45808</v>
      </c>
      <c r="D847">
        <v>487477</v>
      </c>
      <c r="E847" t="s">
        <v>378</v>
      </c>
      <c r="F847" t="s">
        <v>389</v>
      </c>
      <c r="G847">
        <v>123495.43</v>
      </c>
      <c r="H847">
        <v>27275</v>
      </c>
      <c r="I847">
        <v>4.53</v>
      </c>
      <c r="J847">
        <v>1.8217000000000001</v>
      </c>
    </row>
    <row r="848" spans="1:10" x14ac:dyDescent="0.3">
      <c r="A848" t="s">
        <v>368</v>
      </c>
      <c r="B848" t="s">
        <v>186</v>
      </c>
      <c r="C848" s="25">
        <v>45838</v>
      </c>
      <c r="D848">
        <v>487477</v>
      </c>
      <c r="E848" t="s">
        <v>378</v>
      </c>
      <c r="F848" t="s">
        <v>389</v>
      </c>
      <c r="G848">
        <v>168147.05</v>
      </c>
      <c r="H848">
        <v>35060</v>
      </c>
      <c r="I848">
        <v>4.8</v>
      </c>
      <c r="J848">
        <v>2.4687999999999999</v>
      </c>
    </row>
    <row r="849" spans="1:10" x14ac:dyDescent="0.3">
      <c r="A849" t="s">
        <v>368</v>
      </c>
      <c r="B849" t="s">
        <v>186</v>
      </c>
      <c r="C849" s="25">
        <v>45869</v>
      </c>
      <c r="D849">
        <v>487477</v>
      </c>
      <c r="E849" t="s">
        <v>378</v>
      </c>
      <c r="F849" t="s">
        <v>389</v>
      </c>
      <c r="G849">
        <v>157520.70000000001</v>
      </c>
      <c r="H849">
        <v>53137</v>
      </c>
      <c r="I849">
        <v>2.96</v>
      </c>
      <c r="J849">
        <v>2.3161999999999998</v>
      </c>
    </row>
    <row r="850" spans="1:10" x14ac:dyDescent="0.3">
      <c r="A850" t="s">
        <v>368</v>
      </c>
      <c r="B850" t="s">
        <v>186</v>
      </c>
      <c r="C850" s="25">
        <v>45900</v>
      </c>
      <c r="D850">
        <v>487477</v>
      </c>
      <c r="E850" t="s">
        <v>378</v>
      </c>
      <c r="F850" t="s">
        <v>389</v>
      </c>
      <c r="G850">
        <v>145093.29</v>
      </c>
      <c r="H850">
        <v>162475</v>
      </c>
      <c r="I850">
        <v>0.89</v>
      </c>
      <c r="J850">
        <v>2.0339</v>
      </c>
    </row>
    <row r="851" spans="1:10" x14ac:dyDescent="0.3">
      <c r="A851" t="s">
        <v>368</v>
      </c>
      <c r="B851" t="s">
        <v>186</v>
      </c>
      <c r="C851" s="25">
        <v>45930</v>
      </c>
      <c r="D851">
        <v>487477</v>
      </c>
      <c r="E851" t="s">
        <v>378</v>
      </c>
      <c r="F851" t="s">
        <v>389</v>
      </c>
      <c r="G851">
        <v>233700.66</v>
      </c>
      <c r="H851">
        <v>55963</v>
      </c>
      <c r="I851">
        <v>4.18</v>
      </c>
      <c r="J851">
        <v>3.3837000000000002</v>
      </c>
    </row>
    <row r="852" spans="1:10" x14ac:dyDescent="0.3">
      <c r="A852" t="s">
        <v>368</v>
      </c>
      <c r="B852" t="s">
        <v>186</v>
      </c>
      <c r="C852" s="25">
        <v>45961</v>
      </c>
      <c r="D852">
        <v>487477</v>
      </c>
      <c r="E852" t="s">
        <v>378</v>
      </c>
      <c r="F852" t="s">
        <v>389</v>
      </c>
      <c r="G852">
        <v>190739.48</v>
      </c>
      <c r="H852">
        <v>21587</v>
      </c>
      <c r="I852">
        <v>8.84</v>
      </c>
      <c r="J852">
        <v>2.8029000000000002</v>
      </c>
    </row>
    <row r="853" spans="1:10" x14ac:dyDescent="0.3">
      <c r="A853" t="s">
        <v>368</v>
      </c>
      <c r="B853" t="s">
        <v>186</v>
      </c>
      <c r="C853" s="25">
        <v>45991</v>
      </c>
      <c r="D853">
        <v>487477</v>
      </c>
      <c r="E853" t="s">
        <v>378</v>
      </c>
      <c r="F853" t="s">
        <v>389</v>
      </c>
      <c r="G853">
        <v>203270.39999999999</v>
      </c>
      <c r="H853">
        <v>23835</v>
      </c>
      <c r="I853">
        <v>8.5299999999999994</v>
      </c>
      <c r="J853">
        <v>2.9476</v>
      </c>
    </row>
    <row r="854" spans="1:10" x14ac:dyDescent="0.3">
      <c r="A854" t="s">
        <v>368</v>
      </c>
      <c r="B854" t="s">
        <v>186</v>
      </c>
      <c r="C854" s="25">
        <v>45657</v>
      </c>
      <c r="D854">
        <v>751332</v>
      </c>
      <c r="E854" t="s">
        <v>377</v>
      </c>
      <c r="F854" t="s">
        <v>388</v>
      </c>
      <c r="G854">
        <v>146929.29999999999</v>
      </c>
      <c r="H854">
        <v>40439</v>
      </c>
      <c r="I854">
        <v>3.63</v>
      </c>
      <c r="J854">
        <v>2.1208</v>
      </c>
    </row>
    <row r="855" spans="1:10" x14ac:dyDescent="0.3">
      <c r="A855" t="s">
        <v>368</v>
      </c>
      <c r="B855" t="s">
        <v>186</v>
      </c>
      <c r="C855" s="25">
        <v>45688</v>
      </c>
      <c r="D855">
        <v>751332</v>
      </c>
      <c r="E855" t="s">
        <v>377</v>
      </c>
      <c r="F855" t="s">
        <v>388</v>
      </c>
      <c r="G855">
        <v>152214.66</v>
      </c>
      <c r="H855">
        <v>15122</v>
      </c>
      <c r="I855">
        <v>10.07</v>
      </c>
      <c r="J855">
        <v>2.2378</v>
      </c>
    </row>
    <row r="856" spans="1:10" x14ac:dyDescent="0.3">
      <c r="A856" t="s">
        <v>368</v>
      </c>
      <c r="B856" t="s">
        <v>186</v>
      </c>
      <c r="C856" s="25">
        <v>45716</v>
      </c>
      <c r="D856">
        <v>751332</v>
      </c>
      <c r="E856" t="s">
        <v>377</v>
      </c>
      <c r="F856" t="s">
        <v>388</v>
      </c>
      <c r="G856">
        <v>160906.69</v>
      </c>
      <c r="H856">
        <v>263111</v>
      </c>
      <c r="I856">
        <v>0.61</v>
      </c>
      <c r="J856">
        <v>2.3405999999999998</v>
      </c>
    </row>
    <row r="857" spans="1:10" x14ac:dyDescent="0.3">
      <c r="A857" t="s">
        <v>368</v>
      </c>
      <c r="B857" t="s">
        <v>186</v>
      </c>
      <c r="C857" s="25">
        <v>45747</v>
      </c>
      <c r="D857">
        <v>751332</v>
      </c>
      <c r="E857" t="s">
        <v>377</v>
      </c>
      <c r="F857" t="s">
        <v>388</v>
      </c>
      <c r="G857">
        <v>174179.01</v>
      </c>
      <c r="H857">
        <v>82529</v>
      </c>
      <c r="I857">
        <v>2.11</v>
      </c>
      <c r="J857">
        <v>2.4824999999999999</v>
      </c>
    </row>
    <row r="858" spans="1:10" x14ac:dyDescent="0.3">
      <c r="A858" t="s">
        <v>368</v>
      </c>
      <c r="B858" t="s">
        <v>186</v>
      </c>
      <c r="C858" s="25">
        <v>45777</v>
      </c>
      <c r="D858">
        <v>751332</v>
      </c>
      <c r="E858" t="s">
        <v>377</v>
      </c>
      <c r="F858" t="s">
        <v>388</v>
      </c>
      <c r="G858">
        <v>168901.32</v>
      </c>
      <c r="H858">
        <v>123866</v>
      </c>
      <c r="I858">
        <v>1.36</v>
      </c>
      <c r="J858">
        <v>2.6183000000000001</v>
      </c>
    </row>
    <row r="859" spans="1:10" x14ac:dyDescent="0.3">
      <c r="A859" t="s">
        <v>368</v>
      </c>
      <c r="B859" t="s">
        <v>186</v>
      </c>
      <c r="C859" s="25">
        <v>45808</v>
      </c>
      <c r="D859">
        <v>751332</v>
      </c>
      <c r="E859" t="s">
        <v>377</v>
      </c>
      <c r="F859" t="s">
        <v>388</v>
      </c>
      <c r="G859">
        <v>116451.14</v>
      </c>
      <c r="H859">
        <v>10261</v>
      </c>
      <c r="I859">
        <v>11.35</v>
      </c>
      <c r="J859">
        <v>1.7178</v>
      </c>
    </row>
    <row r="860" spans="1:10" x14ac:dyDescent="0.3">
      <c r="A860" t="s">
        <v>368</v>
      </c>
      <c r="B860" t="s">
        <v>186</v>
      </c>
      <c r="C860" s="25">
        <v>45838</v>
      </c>
      <c r="D860">
        <v>751332</v>
      </c>
      <c r="E860" t="s">
        <v>377</v>
      </c>
      <c r="F860" t="s">
        <v>388</v>
      </c>
      <c r="G860">
        <v>176646.34</v>
      </c>
      <c r="H860">
        <v>18641</v>
      </c>
      <c r="I860">
        <v>9.48</v>
      </c>
      <c r="J860">
        <v>2.5935000000000001</v>
      </c>
    </row>
    <row r="861" spans="1:10" x14ac:dyDescent="0.3">
      <c r="A861" t="s">
        <v>368</v>
      </c>
      <c r="B861" t="s">
        <v>186</v>
      </c>
      <c r="C861" s="25">
        <v>45869</v>
      </c>
      <c r="D861">
        <v>751332</v>
      </c>
      <c r="E861" t="s">
        <v>377</v>
      </c>
      <c r="F861" t="s">
        <v>388</v>
      </c>
      <c r="G861">
        <v>153717.63</v>
      </c>
      <c r="H861">
        <v>16731</v>
      </c>
      <c r="I861">
        <v>9.19</v>
      </c>
      <c r="J861">
        <v>2.2603</v>
      </c>
    </row>
    <row r="862" spans="1:10" x14ac:dyDescent="0.3">
      <c r="A862" t="s">
        <v>368</v>
      </c>
      <c r="B862" t="s">
        <v>186</v>
      </c>
      <c r="C862" s="25">
        <v>45900</v>
      </c>
      <c r="D862">
        <v>751332</v>
      </c>
      <c r="E862" t="s">
        <v>377</v>
      </c>
      <c r="F862" t="s">
        <v>388</v>
      </c>
      <c r="G862">
        <v>207402.79</v>
      </c>
      <c r="H862">
        <v>26464</v>
      </c>
      <c r="I862">
        <v>7.84</v>
      </c>
      <c r="J862">
        <v>2.9074</v>
      </c>
    </row>
    <row r="863" spans="1:10" x14ac:dyDescent="0.3">
      <c r="A863" t="s">
        <v>368</v>
      </c>
      <c r="B863" t="s">
        <v>186</v>
      </c>
      <c r="C863" s="25">
        <v>45930</v>
      </c>
      <c r="D863">
        <v>751332</v>
      </c>
      <c r="E863" t="s">
        <v>377</v>
      </c>
      <c r="F863" t="s">
        <v>388</v>
      </c>
      <c r="G863">
        <v>194629.81</v>
      </c>
      <c r="H863">
        <v>25178</v>
      </c>
      <c r="I863">
        <v>7.73</v>
      </c>
      <c r="J863">
        <v>2.8180000000000001</v>
      </c>
    </row>
    <row r="864" spans="1:10" x14ac:dyDescent="0.3">
      <c r="A864" t="s">
        <v>368</v>
      </c>
      <c r="B864" t="s">
        <v>186</v>
      </c>
      <c r="C864" s="25">
        <v>45961</v>
      </c>
      <c r="D864">
        <v>751332</v>
      </c>
      <c r="E864" t="s">
        <v>377</v>
      </c>
      <c r="F864" t="s">
        <v>388</v>
      </c>
      <c r="G864">
        <v>166367.1</v>
      </c>
      <c r="H864">
        <v>18648</v>
      </c>
      <c r="I864">
        <v>8.92</v>
      </c>
      <c r="J864">
        <v>2.4447999999999999</v>
      </c>
    </row>
    <row r="865" spans="1:10" x14ac:dyDescent="0.3">
      <c r="A865" t="s">
        <v>368</v>
      </c>
      <c r="B865" t="s">
        <v>186</v>
      </c>
      <c r="C865" s="25">
        <v>45991</v>
      </c>
      <c r="D865">
        <v>751332</v>
      </c>
      <c r="E865" t="s">
        <v>377</v>
      </c>
      <c r="F865" t="s">
        <v>388</v>
      </c>
      <c r="G865">
        <v>162318.44</v>
      </c>
      <c r="H865">
        <v>17204</v>
      </c>
      <c r="I865">
        <v>9.43</v>
      </c>
      <c r="J865">
        <v>2.3536999999999999</v>
      </c>
    </row>
    <row r="866" spans="1:10" x14ac:dyDescent="0.3">
      <c r="A866" t="s">
        <v>368</v>
      </c>
      <c r="B866" t="s">
        <v>186</v>
      </c>
      <c r="C866" s="25">
        <v>45657</v>
      </c>
      <c r="D866">
        <v>378517</v>
      </c>
      <c r="E866" t="s">
        <v>369</v>
      </c>
      <c r="F866" t="s">
        <v>387</v>
      </c>
      <c r="G866">
        <v>144534.75</v>
      </c>
      <c r="H866">
        <v>98743</v>
      </c>
      <c r="I866">
        <v>1.46</v>
      </c>
      <c r="J866">
        <v>2.0861999999999998</v>
      </c>
    </row>
    <row r="867" spans="1:10" x14ac:dyDescent="0.3">
      <c r="A867" t="s">
        <v>368</v>
      </c>
      <c r="B867" t="s">
        <v>186</v>
      </c>
      <c r="C867" s="25">
        <v>45688</v>
      </c>
      <c r="D867">
        <v>378517</v>
      </c>
      <c r="E867" t="s">
        <v>369</v>
      </c>
      <c r="F867" t="s">
        <v>387</v>
      </c>
      <c r="G867">
        <v>157839.91</v>
      </c>
      <c r="H867">
        <v>26075</v>
      </c>
      <c r="I867">
        <v>6.05</v>
      </c>
      <c r="J867">
        <v>2.3205</v>
      </c>
    </row>
    <row r="868" spans="1:10" x14ac:dyDescent="0.3">
      <c r="A868" t="s">
        <v>368</v>
      </c>
      <c r="B868" t="s">
        <v>186</v>
      </c>
      <c r="C868" s="25">
        <v>45716</v>
      </c>
      <c r="D868">
        <v>378517</v>
      </c>
      <c r="E868" t="s">
        <v>369</v>
      </c>
      <c r="F868" t="s">
        <v>387</v>
      </c>
      <c r="G868">
        <v>179498.76</v>
      </c>
      <c r="H868">
        <v>32033</v>
      </c>
      <c r="I868">
        <v>5.6</v>
      </c>
      <c r="J868">
        <v>2.6111</v>
      </c>
    </row>
    <row r="869" spans="1:10" x14ac:dyDescent="0.3">
      <c r="A869" t="s">
        <v>368</v>
      </c>
      <c r="B869" t="s">
        <v>186</v>
      </c>
      <c r="C869" s="25">
        <v>45747</v>
      </c>
      <c r="D869">
        <v>378517</v>
      </c>
      <c r="E869" t="s">
        <v>369</v>
      </c>
      <c r="F869" t="s">
        <v>387</v>
      </c>
      <c r="G869">
        <v>154758.32999999999</v>
      </c>
      <c r="H869">
        <v>21906</v>
      </c>
      <c r="I869">
        <v>7.06</v>
      </c>
      <c r="J869">
        <v>2.2057000000000002</v>
      </c>
    </row>
    <row r="870" spans="1:10" x14ac:dyDescent="0.3">
      <c r="A870" t="s">
        <v>368</v>
      </c>
      <c r="B870" t="s">
        <v>186</v>
      </c>
      <c r="C870" s="25">
        <v>45777</v>
      </c>
      <c r="D870">
        <v>378517</v>
      </c>
      <c r="E870" t="s">
        <v>369</v>
      </c>
      <c r="F870" t="s">
        <v>387</v>
      </c>
      <c r="G870">
        <v>129332.92</v>
      </c>
      <c r="H870">
        <v>17074</v>
      </c>
      <c r="I870">
        <v>7.57</v>
      </c>
      <c r="J870">
        <v>2.0049000000000001</v>
      </c>
    </row>
    <row r="871" spans="1:10" x14ac:dyDescent="0.3">
      <c r="A871" t="s">
        <v>368</v>
      </c>
      <c r="B871" t="s">
        <v>186</v>
      </c>
      <c r="C871" s="25">
        <v>45808</v>
      </c>
      <c r="D871">
        <v>378517</v>
      </c>
      <c r="E871" t="s">
        <v>369</v>
      </c>
      <c r="F871" t="s">
        <v>387</v>
      </c>
      <c r="G871">
        <v>149025.9</v>
      </c>
      <c r="H871">
        <v>14869</v>
      </c>
      <c r="I871">
        <v>10.02</v>
      </c>
      <c r="J871">
        <v>2.1983000000000001</v>
      </c>
    </row>
    <row r="872" spans="1:10" x14ac:dyDescent="0.3">
      <c r="A872" t="s">
        <v>368</v>
      </c>
      <c r="B872" t="s">
        <v>186</v>
      </c>
      <c r="C872" s="25">
        <v>45838</v>
      </c>
      <c r="D872">
        <v>378517</v>
      </c>
      <c r="E872" t="s">
        <v>369</v>
      </c>
      <c r="F872" t="s">
        <v>387</v>
      </c>
      <c r="G872">
        <v>155937.14000000001</v>
      </c>
      <c r="H872">
        <v>21284</v>
      </c>
      <c r="I872">
        <v>7.33</v>
      </c>
      <c r="J872">
        <v>2.2894999999999999</v>
      </c>
    </row>
    <row r="873" spans="1:10" x14ac:dyDescent="0.3">
      <c r="A873" t="s">
        <v>368</v>
      </c>
      <c r="B873" t="s">
        <v>186</v>
      </c>
      <c r="C873" s="25">
        <v>45869</v>
      </c>
      <c r="D873">
        <v>378517</v>
      </c>
      <c r="E873" t="s">
        <v>369</v>
      </c>
      <c r="F873" t="s">
        <v>387</v>
      </c>
      <c r="G873">
        <v>123618.64</v>
      </c>
      <c r="H873">
        <v>51764</v>
      </c>
      <c r="I873">
        <v>2.39</v>
      </c>
      <c r="J873">
        <v>1.8177000000000001</v>
      </c>
    </row>
    <row r="874" spans="1:10" x14ac:dyDescent="0.3">
      <c r="A874" t="s">
        <v>368</v>
      </c>
      <c r="B874" t="s">
        <v>186</v>
      </c>
      <c r="C874" s="25">
        <v>45900</v>
      </c>
      <c r="D874">
        <v>378517</v>
      </c>
      <c r="E874" t="s">
        <v>369</v>
      </c>
      <c r="F874" t="s">
        <v>387</v>
      </c>
      <c r="G874">
        <v>124125.55</v>
      </c>
      <c r="H874">
        <v>50249</v>
      </c>
      <c r="I874">
        <v>2.4700000000000002</v>
      </c>
      <c r="J874">
        <v>1.74</v>
      </c>
    </row>
    <row r="875" spans="1:10" x14ac:dyDescent="0.3">
      <c r="A875" t="s">
        <v>368</v>
      </c>
      <c r="B875" t="s">
        <v>186</v>
      </c>
      <c r="C875" s="25">
        <v>45930</v>
      </c>
      <c r="D875">
        <v>378517</v>
      </c>
      <c r="E875" t="s">
        <v>369</v>
      </c>
      <c r="F875" t="s">
        <v>387</v>
      </c>
      <c r="G875">
        <v>139038.51</v>
      </c>
      <c r="H875">
        <v>17003</v>
      </c>
      <c r="I875">
        <v>8.18</v>
      </c>
      <c r="J875">
        <v>2.0131000000000001</v>
      </c>
    </row>
    <row r="876" spans="1:10" x14ac:dyDescent="0.3">
      <c r="A876" t="s">
        <v>368</v>
      </c>
      <c r="B876" t="s">
        <v>186</v>
      </c>
      <c r="C876" s="25">
        <v>45961</v>
      </c>
      <c r="D876">
        <v>378517</v>
      </c>
      <c r="E876" t="s">
        <v>369</v>
      </c>
      <c r="F876" t="s">
        <v>387</v>
      </c>
      <c r="G876">
        <v>184713.60000000001</v>
      </c>
      <c r="H876">
        <v>122159</v>
      </c>
      <c r="I876">
        <v>1.51</v>
      </c>
      <c r="J876">
        <v>2.7143999999999999</v>
      </c>
    </row>
    <row r="877" spans="1:10" x14ac:dyDescent="0.3">
      <c r="A877" t="s">
        <v>368</v>
      </c>
      <c r="B877" t="s">
        <v>186</v>
      </c>
      <c r="C877" s="25">
        <v>45991</v>
      </c>
      <c r="D877">
        <v>378517</v>
      </c>
      <c r="E877" t="s">
        <v>369</v>
      </c>
      <c r="F877" t="s">
        <v>387</v>
      </c>
      <c r="G877">
        <v>178560.21</v>
      </c>
      <c r="H877">
        <v>16571</v>
      </c>
      <c r="I877">
        <v>10.78</v>
      </c>
      <c r="J877">
        <v>2.5891999999999999</v>
      </c>
    </row>
    <row r="878" spans="1:10" x14ac:dyDescent="0.3">
      <c r="A878" t="s">
        <v>368</v>
      </c>
      <c r="B878" t="s">
        <v>186</v>
      </c>
      <c r="C878" s="25">
        <v>45657</v>
      </c>
      <c r="D878">
        <v>172132</v>
      </c>
      <c r="E878" t="s">
        <v>372</v>
      </c>
      <c r="F878" t="s">
        <v>386</v>
      </c>
      <c r="G878">
        <v>103496.68</v>
      </c>
      <c r="H878">
        <v>17792</v>
      </c>
      <c r="I878">
        <v>5.82</v>
      </c>
      <c r="J878">
        <v>1.4939</v>
      </c>
    </row>
    <row r="879" spans="1:10" x14ac:dyDescent="0.3">
      <c r="A879" t="s">
        <v>368</v>
      </c>
      <c r="B879" t="s">
        <v>186</v>
      </c>
      <c r="C879" s="25">
        <v>45688</v>
      </c>
      <c r="D879">
        <v>172132</v>
      </c>
      <c r="E879" t="s">
        <v>372</v>
      </c>
      <c r="F879" t="s">
        <v>386</v>
      </c>
      <c r="G879">
        <v>114358.39999999999</v>
      </c>
      <c r="H879">
        <v>22937</v>
      </c>
      <c r="I879">
        <v>4.99</v>
      </c>
      <c r="J879">
        <v>1.6812</v>
      </c>
    </row>
    <row r="880" spans="1:10" x14ac:dyDescent="0.3">
      <c r="A880" t="s">
        <v>368</v>
      </c>
      <c r="B880" t="s">
        <v>186</v>
      </c>
      <c r="C880" s="25">
        <v>45716</v>
      </c>
      <c r="D880">
        <v>172132</v>
      </c>
      <c r="E880" t="s">
        <v>372</v>
      </c>
      <c r="F880" t="s">
        <v>386</v>
      </c>
      <c r="G880">
        <v>149814.76999999999</v>
      </c>
      <c r="H880">
        <v>15791</v>
      </c>
      <c r="I880">
        <v>9.49</v>
      </c>
      <c r="J880">
        <v>2.1793</v>
      </c>
    </row>
    <row r="881" spans="1:10" x14ac:dyDescent="0.3">
      <c r="A881" t="s">
        <v>368</v>
      </c>
      <c r="B881" t="s">
        <v>186</v>
      </c>
      <c r="C881" s="25">
        <v>45747</v>
      </c>
      <c r="D881">
        <v>172132</v>
      </c>
      <c r="E881" t="s">
        <v>372</v>
      </c>
      <c r="F881" t="s">
        <v>386</v>
      </c>
      <c r="G881">
        <v>128623.08</v>
      </c>
      <c r="H881">
        <v>11480</v>
      </c>
      <c r="I881">
        <v>11.2</v>
      </c>
      <c r="J881">
        <v>1.8331999999999999</v>
      </c>
    </row>
    <row r="882" spans="1:10" x14ac:dyDescent="0.3">
      <c r="A882" t="s">
        <v>368</v>
      </c>
      <c r="B882" t="s">
        <v>186</v>
      </c>
      <c r="C882" s="25">
        <v>45777</v>
      </c>
      <c r="D882">
        <v>172132</v>
      </c>
      <c r="E882" t="s">
        <v>372</v>
      </c>
      <c r="F882" t="s">
        <v>386</v>
      </c>
      <c r="G882">
        <v>134800.97</v>
      </c>
      <c r="H882">
        <v>36858</v>
      </c>
      <c r="I882">
        <v>3.66</v>
      </c>
      <c r="J882">
        <v>2.0897000000000001</v>
      </c>
    </row>
    <row r="883" spans="1:10" x14ac:dyDescent="0.3">
      <c r="A883" t="s">
        <v>368</v>
      </c>
      <c r="B883" t="s">
        <v>186</v>
      </c>
      <c r="C883" s="25">
        <v>45808</v>
      </c>
      <c r="D883">
        <v>172132</v>
      </c>
      <c r="E883" t="s">
        <v>372</v>
      </c>
      <c r="F883" t="s">
        <v>386</v>
      </c>
      <c r="G883">
        <v>102245.25</v>
      </c>
      <c r="H883">
        <v>10248</v>
      </c>
      <c r="I883">
        <v>9.98</v>
      </c>
      <c r="J883">
        <v>1.5082</v>
      </c>
    </row>
    <row r="884" spans="1:10" x14ac:dyDescent="0.3">
      <c r="A884" t="s">
        <v>368</v>
      </c>
      <c r="B884" t="s">
        <v>186</v>
      </c>
      <c r="C884" s="25">
        <v>45838</v>
      </c>
      <c r="D884">
        <v>172132</v>
      </c>
      <c r="E884" t="s">
        <v>372</v>
      </c>
      <c r="F884" t="s">
        <v>386</v>
      </c>
      <c r="G884">
        <v>133369.07</v>
      </c>
      <c r="H884">
        <v>30305</v>
      </c>
      <c r="I884">
        <v>4.4000000000000004</v>
      </c>
      <c r="J884">
        <v>1.9581</v>
      </c>
    </row>
    <row r="885" spans="1:10" x14ac:dyDescent="0.3">
      <c r="A885" t="s">
        <v>368</v>
      </c>
      <c r="B885" t="s">
        <v>186</v>
      </c>
      <c r="C885" s="25">
        <v>45869</v>
      </c>
      <c r="D885">
        <v>172132</v>
      </c>
      <c r="E885" t="s">
        <v>372</v>
      </c>
      <c r="F885" t="s">
        <v>386</v>
      </c>
      <c r="G885">
        <v>131074.76999999999</v>
      </c>
      <c r="H885">
        <v>31128</v>
      </c>
      <c r="I885">
        <v>4.21</v>
      </c>
      <c r="J885">
        <v>1.9273</v>
      </c>
    </row>
    <row r="886" spans="1:10" x14ac:dyDescent="0.3">
      <c r="A886" t="s">
        <v>368</v>
      </c>
      <c r="B886" t="s">
        <v>186</v>
      </c>
      <c r="C886" s="25">
        <v>45900</v>
      </c>
      <c r="D886">
        <v>172132</v>
      </c>
      <c r="E886" t="s">
        <v>372</v>
      </c>
      <c r="F886" t="s">
        <v>386</v>
      </c>
      <c r="G886">
        <v>159674.69</v>
      </c>
      <c r="H886">
        <v>21274</v>
      </c>
      <c r="I886">
        <v>7.51</v>
      </c>
      <c r="J886">
        <v>2.2383000000000002</v>
      </c>
    </row>
    <row r="887" spans="1:10" x14ac:dyDescent="0.3">
      <c r="A887" t="s">
        <v>368</v>
      </c>
      <c r="B887" t="s">
        <v>186</v>
      </c>
      <c r="C887" s="25">
        <v>45930</v>
      </c>
      <c r="D887">
        <v>172132</v>
      </c>
      <c r="E887" t="s">
        <v>372</v>
      </c>
      <c r="F887" t="s">
        <v>386</v>
      </c>
      <c r="G887">
        <v>143077.15</v>
      </c>
      <c r="H887">
        <v>13876</v>
      </c>
      <c r="I887">
        <v>10.31</v>
      </c>
      <c r="J887">
        <v>2.0716000000000001</v>
      </c>
    </row>
    <row r="888" spans="1:10" x14ac:dyDescent="0.3">
      <c r="A888" t="s">
        <v>368</v>
      </c>
      <c r="B888" t="s">
        <v>186</v>
      </c>
      <c r="C888" s="25">
        <v>45961</v>
      </c>
      <c r="D888">
        <v>172132</v>
      </c>
      <c r="E888" t="s">
        <v>372</v>
      </c>
      <c r="F888" t="s">
        <v>386</v>
      </c>
      <c r="G888">
        <v>135860.92000000001</v>
      </c>
      <c r="H888">
        <v>23914</v>
      </c>
      <c r="I888">
        <v>5.68</v>
      </c>
      <c r="J888">
        <v>1.9964999999999999</v>
      </c>
    </row>
    <row r="889" spans="1:10" x14ac:dyDescent="0.3">
      <c r="A889" t="s">
        <v>368</v>
      </c>
      <c r="B889" t="s">
        <v>186</v>
      </c>
      <c r="C889" s="25">
        <v>45991</v>
      </c>
      <c r="D889">
        <v>172132</v>
      </c>
      <c r="E889" t="s">
        <v>372</v>
      </c>
      <c r="F889" t="s">
        <v>386</v>
      </c>
      <c r="G889">
        <v>99894.43</v>
      </c>
      <c r="H889">
        <v>157583</v>
      </c>
      <c r="I889">
        <v>0.63</v>
      </c>
      <c r="J889">
        <v>1.4484999999999999</v>
      </c>
    </row>
    <row r="890" spans="1:10" x14ac:dyDescent="0.3">
      <c r="A890" t="s">
        <v>368</v>
      </c>
      <c r="B890" t="s">
        <v>186</v>
      </c>
      <c r="C890" s="25">
        <v>45657</v>
      </c>
      <c r="D890">
        <v>265409</v>
      </c>
      <c r="E890" t="s">
        <v>373</v>
      </c>
      <c r="F890" t="s">
        <v>385</v>
      </c>
      <c r="G890">
        <v>125666.07</v>
      </c>
      <c r="H890">
        <v>17198</v>
      </c>
      <c r="I890">
        <v>7.31</v>
      </c>
      <c r="J890">
        <v>1.8138000000000001</v>
      </c>
    </row>
    <row r="891" spans="1:10" x14ac:dyDescent="0.3">
      <c r="A891" t="s">
        <v>368</v>
      </c>
      <c r="B891" t="s">
        <v>186</v>
      </c>
      <c r="C891" s="25">
        <v>45688</v>
      </c>
      <c r="D891">
        <v>265409</v>
      </c>
      <c r="E891" t="s">
        <v>373</v>
      </c>
      <c r="F891" t="s">
        <v>385</v>
      </c>
      <c r="G891">
        <v>105256.85</v>
      </c>
      <c r="H891">
        <v>11738</v>
      </c>
      <c r="I891">
        <v>8.9700000000000006</v>
      </c>
      <c r="J891">
        <v>1.5474000000000001</v>
      </c>
    </row>
    <row r="892" spans="1:10" x14ac:dyDescent="0.3">
      <c r="A892" t="s">
        <v>368</v>
      </c>
      <c r="B892" t="s">
        <v>186</v>
      </c>
      <c r="C892" s="25">
        <v>45716</v>
      </c>
      <c r="D892">
        <v>265409</v>
      </c>
      <c r="E892" t="s">
        <v>373</v>
      </c>
      <c r="F892" t="s">
        <v>385</v>
      </c>
      <c r="G892">
        <v>86150.24</v>
      </c>
      <c r="H892">
        <v>46843</v>
      </c>
      <c r="I892">
        <v>1.84</v>
      </c>
      <c r="J892">
        <v>1.2532000000000001</v>
      </c>
    </row>
    <row r="893" spans="1:10" x14ac:dyDescent="0.3">
      <c r="A893" t="s">
        <v>368</v>
      </c>
      <c r="B893" t="s">
        <v>186</v>
      </c>
      <c r="C893" s="25">
        <v>45747</v>
      </c>
      <c r="D893">
        <v>265409</v>
      </c>
      <c r="E893" t="s">
        <v>373</v>
      </c>
      <c r="F893" t="s">
        <v>385</v>
      </c>
      <c r="G893">
        <v>100156.64</v>
      </c>
      <c r="H893">
        <v>13609</v>
      </c>
      <c r="I893">
        <v>7.36</v>
      </c>
      <c r="J893">
        <v>1.4275</v>
      </c>
    </row>
    <row r="894" spans="1:10" x14ac:dyDescent="0.3">
      <c r="A894" t="s">
        <v>368</v>
      </c>
      <c r="B894" t="s">
        <v>186</v>
      </c>
      <c r="C894" s="25">
        <v>45777</v>
      </c>
      <c r="D894">
        <v>265409</v>
      </c>
      <c r="E894" t="s">
        <v>373</v>
      </c>
      <c r="F894" t="s">
        <v>385</v>
      </c>
      <c r="G894">
        <v>85277.84</v>
      </c>
      <c r="H894">
        <v>15675</v>
      </c>
      <c r="I894">
        <v>5.44</v>
      </c>
      <c r="J894">
        <v>1.3220000000000001</v>
      </c>
    </row>
    <row r="895" spans="1:10" x14ac:dyDescent="0.3">
      <c r="A895" t="s">
        <v>368</v>
      </c>
      <c r="B895" t="s">
        <v>186</v>
      </c>
      <c r="C895" s="25">
        <v>45808</v>
      </c>
      <c r="D895">
        <v>265409</v>
      </c>
      <c r="E895" t="s">
        <v>373</v>
      </c>
      <c r="F895" t="s">
        <v>385</v>
      </c>
      <c r="G895">
        <v>92165.43</v>
      </c>
      <c r="H895">
        <v>13406</v>
      </c>
      <c r="I895">
        <v>6.87</v>
      </c>
      <c r="J895">
        <v>1.3595999999999999</v>
      </c>
    </row>
    <row r="896" spans="1:10" x14ac:dyDescent="0.3">
      <c r="A896" t="s">
        <v>368</v>
      </c>
      <c r="B896" t="s">
        <v>186</v>
      </c>
      <c r="C896" s="25">
        <v>45838</v>
      </c>
      <c r="D896">
        <v>265409</v>
      </c>
      <c r="E896" t="s">
        <v>373</v>
      </c>
      <c r="F896" t="s">
        <v>385</v>
      </c>
      <c r="G896">
        <v>112830.66</v>
      </c>
      <c r="H896">
        <v>14276</v>
      </c>
      <c r="I896">
        <v>7.9</v>
      </c>
      <c r="J896">
        <v>1.6566000000000001</v>
      </c>
    </row>
    <row r="897" spans="1:10" x14ac:dyDescent="0.3">
      <c r="A897" t="s">
        <v>368</v>
      </c>
      <c r="B897" t="s">
        <v>186</v>
      </c>
      <c r="C897" s="25">
        <v>45869</v>
      </c>
      <c r="D897">
        <v>265409</v>
      </c>
      <c r="E897" t="s">
        <v>373</v>
      </c>
      <c r="F897" t="s">
        <v>385</v>
      </c>
      <c r="G897">
        <v>81999.08</v>
      </c>
      <c r="H897">
        <v>18949</v>
      </c>
      <c r="I897">
        <v>4.33</v>
      </c>
      <c r="J897">
        <v>1.2057</v>
      </c>
    </row>
    <row r="898" spans="1:10" x14ac:dyDescent="0.3">
      <c r="A898" t="s">
        <v>368</v>
      </c>
      <c r="B898" t="s">
        <v>186</v>
      </c>
      <c r="C898" s="25">
        <v>45900</v>
      </c>
      <c r="D898">
        <v>265409</v>
      </c>
      <c r="E898" t="s">
        <v>373</v>
      </c>
      <c r="F898" t="s">
        <v>385</v>
      </c>
      <c r="G898">
        <v>111062.16</v>
      </c>
      <c r="H898">
        <v>14183</v>
      </c>
      <c r="I898">
        <v>7.83</v>
      </c>
      <c r="J898">
        <v>1.5569</v>
      </c>
    </row>
    <row r="899" spans="1:10" x14ac:dyDescent="0.3">
      <c r="A899" t="s">
        <v>368</v>
      </c>
      <c r="B899" t="s">
        <v>186</v>
      </c>
      <c r="C899" s="25">
        <v>45930</v>
      </c>
      <c r="D899">
        <v>265409</v>
      </c>
      <c r="E899" t="s">
        <v>373</v>
      </c>
      <c r="F899" t="s">
        <v>385</v>
      </c>
      <c r="G899">
        <v>115124.76</v>
      </c>
      <c r="H899">
        <v>16771</v>
      </c>
      <c r="I899">
        <v>6.86</v>
      </c>
      <c r="J899">
        <v>1.6668000000000001</v>
      </c>
    </row>
    <row r="900" spans="1:10" x14ac:dyDescent="0.3">
      <c r="A900" t="s">
        <v>368</v>
      </c>
      <c r="B900" t="s">
        <v>186</v>
      </c>
      <c r="C900" s="25">
        <v>45961</v>
      </c>
      <c r="D900">
        <v>265409</v>
      </c>
      <c r="E900" t="s">
        <v>373</v>
      </c>
      <c r="F900" t="s">
        <v>385</v>
      </c>
      <c r="G900">
        <v>103464.55</v>
      </c>
      <c r="H900">
        <v>10444</v>
      </c>
      <c r="I900">
        <v>9.91</v>
      </c>
      <c r="J900">
        <v>1.5204</v>
      </c>
    </row>
    <row r="901" spans="1:10" x14ac:dyDescent="0.3">
      <c r="A901" t="s">
        <v>368</v>
      </c>
      <c r="B901" t="s">
        <v>186</v>
      </c>
      <c r="C901" s="25">
        <v>45991</v>
      </c>
      <c r="D901">
        <v>265409</v>
      </c>
      <c r="E901" t="s">
        <v>373</v>
      </c>
      <c r="F901" t="s">
        <v>385</v>
      </c>
      <c r="G901">
        <v>94473.76</v>
      </c>
      <c r="H901">
        <v>13016</v>
      </c>
      <c r="I901">
        <v>7.26</v>
      </c>
      <c r="J901">
        <v>1.3698999999999999</v>
      </c>
    </row>
    <row r="902" spans="1:10" x14ac:dyDescent="0.3">
      <c r="A902" t="s">
        <v>368</v>
      </c>
      <c r="B902" t="s">
        <v>186</v>
      </c>
      <c r="C902" s="25">
        <v>45657</v>
      </c>
      <c r="D902">
        <v>429445</v>
      </c>
      <c r="E902" t="s">
        <v>378</v>
      </c>
      <c r="F902" t="s">
        <v>384</v>
      </c>
      <c r="G902">
        <v>77294.28</v>
      </c>
      <c r="H902">
        <v>17509</v>
      </c>
      <c r="I902">
        <v>4.41</v>
      </c>
      <c r="J902">
        <v>1.1156999999999999</v>
      </c>
    </row>
    <row r="903" spans="1:10" x14ac:dyDescent="0.3">
      <c r="A903" t="s">
        <v>368</v>
      </c>
      <c r="B903" t="s">
        <v>186</v>
      </c>
      <c r="C903" s="25">
        <v>45688</v>
      </c>
      <c r="D903">
        <v>429445</v>
      </c>
      <c r="E903" t="s">
        <v>378</v>
      </c>
      <c r="F903" t="s">
        <v>384</v>
      </c>
      <c r="G903">
        <v>77531.520000000004</v>
      </c>
      <c r="H903">
        <v>12964</v>
      </c>
      <c r="I903">
        <v>5.98</v>
      </c>
      <c r="J903">
        <v>1.1397999999999999</v>
      </c>
    </row>
    <row r="904" spans="1:10" x14ac:dyDescent="0.3">
      <c r="A904" t="s">
        <v>368</v>
      </c>
      <c r="B904" t="s">
        <v>186</v>
      </c>
      <c r="C904" s="25">
        <v>45716</v>
      </c>
      <c r="D904">
        <v>429445</v>
      </c>
      <c r="E904" t="s">
        <v>378</v>
      </c>
      <c r="F904" t="s">
        <v>384</v>
      </c>
      <c r="G904">
        <v>88648.17</v>
      </c>
      <c r="H904">
        <v>36910</v>
      </c>
      <c r="I904">
        <v>2.4</v>
      </c>
      <c r="J904">
        <v>1.2895000000000001</v>
      </c>
    </row>
    <row r="905" spans="1:10" x14ac:dyDescent="0.3">
      <c r="A905" t="s">
        <v>368</v>
      </c>
      <c r="B905" t="s">
        <v>186</v>
      </c>
      <c r="C905" s="25">
        <v>45747</v>
      </c>
      <c r="D905">
        <v>429445</v>
      </c>
      <c r="E905" t="s">
        <v>378</v>
      </c>
      <c r="F905" t="s">
        <v>384</v>
      </c>
      <c r="G905">
        <v>63561.440000000002</v>
      </c>
      <c r="H905">
        <v>5412</v>
      </c>
      <c r="I905">
        <v>11.74</v>
      </c>
      <c r="J905">
        <v>0.90590000000000004</v>
      </c>
    </row>
    <row r="906" spans="1:10" x14ac:dyDescent="0.3">
      <c r="A906" t="s">
        <v>368</v>
      </c>
      <c r="B906" t="s">
        <v>186</v>
      </c>
      <c r="C906" s="25">
        <v>45777</v>
      </c>
      <c r="D906">
        <v>429445</v>
      </c>
      <c r="E906" t="s">
        <v>378</v>
      </c>
      <c r="F906" t="s">
        <v>384</v>
      </c>
      <c r="G906">
        <v>82144.820000000007</v>
      </c>
      <c r="H906">
        <v>9296</v>
      </c>
      <c r="I906">
        <v>8.84</v>
      </c>
      <c r="J906">
        <v>1.2734000000000001</v>
      </c>
    </row>
    <row r="907" spans="1:10" x14ac:dyDescent="0.3">
      <c r="A907" t="s">
        <v>368</v>
      </c>
      <c r="B907" t="s">
        <v>186</v>
      </c>
      <c r="C907" s="25">
        <v>45808</v>
      </c>
      <c r="D907">
        <v>429445</v>
      </c>
      <c r="E907" t="s">
        <v>378</v>
      </c>
      <c r="F907" t="s">
        <v>384</v>
      </c>
      <c r="G907">
        <v>96759.26</v>
      </c>
      <c r="H907">
        <v>17546</v>
      </c>
      <c r="I907">
        <v>5.51</v>
      </c>
      <c r="J907">
        <v>1.4273</v>
      </c>
    </row>
    <row r="908" spans="1:10" x14ac:dyDescent="0.3">
      <c r="A908" t="s">
        <v>368</v>
      </c>
      <c r="B908" t="s">
        <v>186</v>
      </c>
      <c r="C908" s="25">
        <v>45838</v>
      </c>
      <c r="D908">
        <v>429445</v>
      </c>
      <c r="E908" t="s">
        <v>378</v>
      </c>
      <c r="F908" t="s">
        <v>384</v>
      </c>
      <c r="G908">
        <v>67195.929999999993</v>
      </c>
      <c r="H908">
        <v>16954</v>
      </c>
      <c r="I908">
        <v>3.96</v>
      </c>
      <c r="J908">
        <v>0.98660000000000003</v>
      </c>
    </row>
    <row r="909" spans="1:10" x14ac:dyDescent="0.3">
      <c r="A909" t="s">
        <v>368</v>
      </c>
      <c r="B909" t="s">
        <v>186</v>
      </c>
      <c r="C909" s="25">
        <v>45869</v>
      </c>
      <c r="D909">
        <v>429445</v>
      </c>
      <c r="E909" t="s">
        <v>378</v>
      </c>
      <c r="F909" t="s">
        <v>384</v>
      </c>
      <c r="G909">
        <v>101270.23</v>
      </c>
      <c r="H909">
        <v>14164</v>
      </c>
      <c r="I909">
        <v>7.15</v>
      </c>
      <c r="J909">
        <v>1.4891000000000001</v>
      </c>
    </row>
    <row r="910" spans="1:10" x14ac:dyDescent="0.3">
      <c r="A910" t="s">
        <v>368</v>
      </c>
      <c r="B910" t="s">
        <v>186</v>
      </c>
      <c r="C910" s="25">
        <v>45900</v>
      </c>
      <c r="D910">
        <v>429445</v>
      </c>
      <c r="E910" t="s">
        <v>378</v>
      </c>
      <c r="F910" t="s">
        <v>384</v>
      </c>
      <c r="G910">
        <v>126172.61</v>
      </c>
      <c r="H910">
        <v>33233</v>
      </c>
      <c r="I910">
        <v>3.8</v>
      </c>
      <c r="J910">
        <v>1.7686999999999999</v>
      </c>
    </row>
    <row r="911" spans="1:10" x14ac:dyDescent="0.3">
      <c r="A911" t="s">
        <v>368</v>
      </c>
      <c r="B911" t="s">
        <v>186</v>
      </c>
      <c r="C911" s="25">
        <v>45930</v>
      </c>
      <c r="D911">
        <v>429445</v>
      </c>
      <c r="E911" t="s">
        <v>378</v>
      </c>
      <c r="F911" t="s">
        <v>384</v>
      </c>
      <c r="G911">
        <v>86422.01</v>
      </c>
      <c r="H911">
        <v>18310</v>
      </c>
      <c r="I911">
        <v>4.72</v>
      </c>
      <c r="J911">
        <v>1.2513000000000001</v>
      </c>
    </row>
    <row r="912" spans="1:10" x14ac:dyDescent="0.3">
      <c r="A912" t="s">
        <v>368</v>
      </c>
      <c r="B912" t="s">
        <v>186</v>
      </c>
      <c r="C912" s="25">
        <v>45961</v>
      </c>
      <c r="D912">
        <v>429445</v>
      </c>
      <c r="E912" t="s">
        <v>378</v>
      </c>
      <c r="F912" t="s">
        <v>384</v>
      </c>
      <c r="G912">
        <v>83133.09</v>
      </c>
      <c r="H912">
        <v>49092</v>
      </c>
      <c r="I912">
        <v>1.69</v>
      </c>
      <c r="J912">
        <v>1.2217</v>
      </c>
    </row>
    <row r="913" spans="1:10" x14ac:dyDescent="0.3">
      <c r="A913" t="s">
        <v>368</v>
      </c>
      <c r="B913" t="s">
        <v>186</v>
      </c>
      <c r="C913" s="25">
        <v>45991</v>
      </c>
      <c r="D913">
        <v>429445</v>
      </c>
      <c r="E913" t="s">
        <v>378</v>
      </c>
      <c r="F913" t="s">
        <v>384</v>
      </c>
      <c r="G913">
        <v>85458.62</v>
      </c>
      <c r="H913">
        <v>8677</v>
      </c>
      <c r="I913">
        <v>9.85</v>
      </c>
      <c r="J913">
        <v>1.2392000000000001</v>
      </c>
    </row>
    <row r="914" spans="1:10" x14ac:dyDescent="0.3">
      <c r="A914" t="s">
        <v>368</v>
      </c>
      <c r="B914" t="s">
        <v>186</v>
      </c>
      <c r="C914" s="25">
        <v>45657</v>
      </c>
      <c r="D914">
        <v>974244</v>
      </c>
      <c r="E914" t="s">
        <v>372</v>
      </c>
      <c r="F914" t="s">
        <v>383</v>
      </c>
      <c r="G914">
        <v>85738.07</v>
      </c>
      <c r="H914">
        <v>23591</v>
      </c>
      <c r="I914">
        <v>3.63</v>
      </c>
      <c r="J914">
        <v>1.2375</v>
      </c>
    </row>
    <row r="915" spans="1:10" x14ac:dyDescent="0.3">
      <c r="A915" t="s">
        <v>368</v>
      </c>
      <c r="B915" t="s">
        <v>186</v>
      </c>
      <c r="C915" s="25">
        <v>45688</v>
      </c>
      <c r="D915">
        <v>974244</v>
      </c>
      <c r="E915" t="s">
        <v>372</v>
      </c>
      <c r="F915" t="s">
        <v>383</v>
      </c>
      <c r="G915">
        <v>79198.759999999995</v>
      </c>
      <c r="H915">
        <v>7526</v>
      </c>
      <c r="I915">
        <v>10.52</v>
      </c>
      <c r="J915">
        <v>1.1642999999999999</v>
      </c>
    </row>
    <row r="916" spans="1:10" x14ac:dyDescent="0.3">
      <c r="A916" t="s">
        <v>368</v>
      </c>
      <c r="B916" t="s">
        <v>186</v>
      </c>
      <c r="C916" s="25">
        <v>45716</v>
      </c>
      <c r="D916">
        <v>974244</v>
      </c>
      <c r="E916" t="s">
        <v>372</v>
      </c>
      <c r="F916" t="s">
        <v>383</v>
      </c>
      <c r="G916">
        <v>59466.54</v>
      </c>
      <c r="H916">
        <v>9216</v>
      </c>
      <c r="I916">
        <v>6.45</v>
      </c>
      <c r="J916">
        <v>0.86499999999999999</v>
      </c>
    </row>
    <row r="917" spans="1:10" x14ac:dyDescent="0.3">
      <c r="A917" t="s">
        <v>368</v>
      </c>
      <c r="B917" t="s">
        <v>186</v>
      </c>
      <c r="C917" s="25">
        <v>45747</v>
      </c>
      <c r="D917">
        <v>974244</v>
      </c>
      <c r="E917" t="s">
        <v>372</v>
      </c>
      <c r="F917" t="s">
        <v>383</v>
      </c>
      <c r="G917">
        <v>83595.39</v>
      </c>
      <c r="H917">
        <v>17086</v>
      </c>
      <c r="I917">
        <v>4.8899999999999997</v>
      </c>
      <c r="J917">
        <v>1.1915</v>
      </c>
    </row>
    <row r="918" spans="1:10" x14ac:dyDescent="0.3">
      <c r="A918" t="s">
        <v>368</v>
      </c>
      <c r="B918" t="s">
        <v>186</v>
      </c>
      <c r="C918" s="25">
        <v>45777</v>
      </c>
      <c r="D918">
        <v>974244</v>
      </c>
      <c r="E918" t="s">
        <v>372</v>
      </c>
      <c r="F918" t="s">
        <v>383</v>
      </c>
      <c r="G918">
        <v>67071.360000000001</v>
      </c>
      <c r="H918">
        <v>5605</v>
      </c>
      <c r="I918">
        <v>11.97</v>
      </c>
      <c r="J918">
        <v>1.0397000000000001</v>
      </c>
    </row>
    <row r="919" spans="1:10" x14ac:dyDescent="0.3">
      <c r="A919" t="s">
        <v>368</v>
      </c>
      <c r="B919" t="s">
        <v>186</v>
      </c>
      <c r="C919" s="25">
        <v>45808</v>
      </c>
      <c r="D919">
        <v>974244</v>
      </c>
      <c r="E919" t="s">
        <v>372</v>
      </c>
      <c r="F919" t="s">
        <v>383</v>
      </c>
      <c r="G919">
        <v>84645.62</v>
      </c>
      <c r="H919">
        <v>15693</v>
      </c>
      <c r="I919">
        <v>5.39</v>
      </c>
      <c r="J919">
        <v>1.2485999999999999</v>
      </c>
    </row>
    <row r="920" spans="1:10" x14ac:dyDescent="0.3">
      <c r="A920" t="s">
        <v>368</v>
      </c>
      <c r="B920" t="s">
        <v>186</v>
      </c>
      <c r="C920" s="25">
        <v>45838</v>
      </c>
      <c r="D920">
        <v>974244</v>
      </c>
      <c r="E920" t="s">
        <v>372</v>
      </c>
      <c r="F920" t="s">
        <v>383</v>
      </c>
      <c r="G920">
        <v>99372.34</v>
      </c>
      <c r="H920">
        <v>21211</v>
      </c>
      <c r="I920">
        <v>4.68</v>
      </c>
      <c r="J920">
        <v>1.4590000000000001</v>
      </c>
    </row>
    <row r="921" spans="1:10" x14ac:dyDescent="0.3">
      <c r="A921" t="s">
        <v>368</v>
      </c>
      <c r="B921" t="s">
        <v>186</v>
      </c>
      <c r="C921" s="25">
        <v>45869</v>
      </c>
      <c r="D921">
        <v>974244</v>
      </c>
      <c r="E921" t="s">
        <v>372</v>
      </c>
      <c r="F921" t="s">
        <v>383</v>
      </c>
      <c r="G921">
        <v>71090.080000000002</v>
      </c>
      <c r="H921">
        <v>7051</v>
      </c>
      <c r="I921">
        <v>10.08</v>
      </c>
      <c r="J921">
        <v>1.0452999999999999</v>
      </c>
    </row>
    <row r="922" spans="1:10" x14ac:dyDescent="0.3">
      <c r="A922" t="s">
        <v>368</v>
      </c>
      <c r="B922" t="s">
        <v>186</v>
      </c>
      <c r="C922" s="25">
        <v>45900</v>
      </c>
      <c r="D922">
        <v>974244</v>
      </c>
      <c r="E922" t="s">
        <v>372</v>
      </c>
      <c r="F922" t="s">
        <v>383</v>
      </c>
      <c r="G922">
        <v>109807.14</v>
      </c>
      <c r="H922">
        <v>63263</v>
      </c>
      <c r="I922">
        <v>1.74</v>
      </c>
      <c r="J922">
        <v>1.5392999999999999</v>
      </c>
    </row>
    <row r="923" spans="1:10" x14ac:dyDescent="0.3">
      <c r="A923" t="s">
        <v>368</v>
      </c>
      <c r="B923" t="s">
        <v>186</v>
      </c>
      <c r="C923" s="25">
        <v>45930</v>
      </c>
      <c r="D923">
        <v>974244</v>
      </c>
      <c r="E923" t="s">
        <v>372</v>
      </c>
      <c r="F923" t="s">
        <v>383</v>
      </c>
      <c r="G923">
        <v>79566.539999999994</v>
      </c>
      <c r="H923">
        <v>7777</v>
      </c>
      <c r="I923">
        <v>10.23</v>
      </c>
      <c r="J923">
        <v>1.1519999999999999</v>
      </c>
    </row>
    <row r="924" spans="1:10" x14ac:dyDescent="0.3">
      <c r="A924" t="s">
        <v>368</v>
      </c>
      <c r="B924" t="s">
        <v>186</v>
      </c>
      <c r="C924" s="25">
        <v>45961</v>
      </c>
      <c r="D924">
        <v>974244</v>
      </c>
      <c r="E924" t="s">
        <v>372</v>
      </c>
      <c r="F924" t="s">
        <v>383</v>
      </c>
      <c r="G924">
        <v>72480.42</v>
      </c>
      <c r="H924">
        <v>33389</v>
      </c>
      <c r="I924">
        <v>2.17</v>
      </c>
      <c r="J924">
        <v>1.0650999999999999</v>
      </c>
    </row>
    <row r="925" spans="1:10" x14ac:dyDescent="0.3">
      <c r="A925" t="s">
        <v>368</v>
      </c>
      <c r="B925" t="s">
        <v>186</v>
      </c>
      <c r="C925" s="25">
        <v>45991</v>
      </c>
      <c r="D925">
        <v>974244</v>
      </c>
      <c r="E925" t="s">
        <v>372</v>
      </c>
      <c r="F925" t="s">
        <v>383</v>
      </c>
      <c r="G925">
        <v>92713.42</v>
      </c>
      <c r="H925">
        <v>22409</v>
      </c>
      <c r="I925">
        <v>4.1399999999999997</v>
      </c>
      <c r="J925">
        <v>1.3444</v>
      </c>
    </row>
    <row r="926" spans="1:10" x14ac:dyDescent="0.3">
      <c r="A926" t="s">
        <v>368</v>
      </c>
      <c r="B926" t="s">
        <v>186</v>
      </c>
      <c r="C926" s="25">
        <v>45657</v>
      </c>
      <c r="D926">
        <v>237235</v>
      </c>
      <c r="E926" t="s">
        <v>377</v>
      </c>
      <c r="F926" t="s">
        <v>382</v>
      </c>
      <c r="G926">
        <v>58679.66</v>
      </c>
      <c r="H926">
        <v>11578</v>
      </c>
      <c r="I926">
        <v>5.07</v>
      </c>
      <c r="J926">
        <v>0.84699999999999998</v>
      </c>
    </row>
    <row r="927" spans="1:10" x14ac:dyDescent="0.3">
      <c r="A927" t="s">
        <v>368</v>
      </c>
      <c r="B927" t="s">
        <v>186</v>
      </c>
      <c r="C927" s="25">
        <v>45688</v>
      </c>
      <c r="D927">
        <v>237235</v>
      </c>
      <c r="E927" t="s">
        <v>377</v>
      </c>
      <c r="F927" t="s">
        <v>382</v>
      </c>
      <c r="G927">
        <v>61645.19</v>
      </c>
      <c r="H927">
        <v>8719</v>
      </c>
      <c r="I927">
        <v>7.07</v>
      </c>
      <c r="J927">
        <v>0.90629999999999999</v>
      </c>
    </row>
    <row r="928" spans="1:10" x14ac:dyDescent="0.3">
      <c r="A928" t="s">
        <v>368</v>
      </c>
      <c r="B928" t="s">
        <v>186</v>
      </c>
      <c r="C928" s="25">
        <v>45716</v>
      </c>
      <c r="D928">
        <v>237235</v>
      </c>
      <c r="E928" t="s">
        <v>377</v>
      </c>
      <c r="F928" t="s">
        <v>382</v>
      </c>
      <c r="G928">
        <v>62938.3</v>
      </c>
      <c r="H928">
        <v>6345</v>
      </c>
      <c r="I928">
        <v>9.92</v>
      </c>
      <c r="J928">
        <v>0.91549999999999998</v>
      </c>
    </row>
    <row r="929" spans="1:10" x14ac:dyDescent="0.3">
      <c r="A929" t="s">
        <v>368</v>
      </c>
      <c r="B929" t="s">
        <v>186</v>
      </c>
      <c r="C929" s="25">
        <v>45747</v>
      </c>
      <c r="D929">
        <v>237235</v>
      </c>
      <c r="E929" t="s">
        <v>377</v>
      </c>
      <c r="F929" t="s">
        <v>382</v>
      </c>
      <c r="G929">
        <v>70014.080000000002</v>
      </c>
      <c r="H929">
        <v>10308</v>
      </c>
      <c r="I929">
        <v>6.79</v>
      </c>
      <c r="J929">
        <v>0.99790000000000001</v>
      </c>
    </row>
    <row r="930" spans="1:10" x14ac:dyDescent="0.3">
      <c r="A930" t="s">
        <v>368</v>
      </c>
      <c r="B930" t="s">
        <v>186</v>
      </c>
      <c r="C930" s="25">
        <v>45777</v>
      </c>
      <c r="D930">
        <v>237235</v>
      </c>
      <c r="E930" t="s">
        <v>377</v>
      </c>
      <c r="F930" t="s">
        <v>382</v>
      </c>
      <c r="G930">
        <v>58198.85</v>
      </c>
      <c r="H930">
        <v>8175</v>
      </c>
      <c r="I930">
        <v>7.12</v>
      </c>
      <c r="J930">
        <v>0.9022</v>
      </c>
    </row>
    <row r="931" spans="1:10" x14ac:dyDescent="0.3">
      <c r="A931" t="s">
        <v>368</v>
      </c>
      <c r="B931" t="s">
        <v>186</v>
      </c>
      <c r="C931" s="25">
        <v>45808</v>
      </c>
      <c r="D931">
        <v>237235</v>
      </c>
      <c r="E931" t="s">
        <v>377</v>
      </c>
      <c r="F931" t="s">
        <v>382</v>
      </c>
      <c r="G931">
        <v>60137.99</v>
      </c>
      <c r="H931">
        <v>5261</v>
      </c>
      <c r="I931">
        <v>11.43</v>
      </c>
      <c r="J931">
        <v>0.8871</v>
      </c>
    </row>
    <row r="932" spans="1:10" x14ac:dyDescent="0.3">
      <c r="A932" t="s">
        <v>368</v>
      </c>
      <c r="B932" t="s">
        <v>186</v>
      </c>
      <c r="C932" s="25">
        <v>45838</v>
      </c>
      <c r="D932">
        <v>237235</v>
      </c>
      <c r="E932" t="s">
        <v>377</v>
      </c>
      <c r="F932" t="s">
        <v>382</v>
      </c>
      <c r="G932">
        <v>58502.32</v>
      </c>
      <c r="H932">
        <v>19300</v>
      </c>
      <c r="I932">
        <v>3.03</v>
      </c>
      <c r="J932">
        <v>0.8589</v>
      </c>
    </row>
    <row r="933" spans="1:10" x14ac:dyDescent="0.3">
      <c r="A933" t="s">
        <v>368</v>
      </c>
      <c r="B933" t="s">
        <v>186</v>
      </c>
      <c r="C933" s="25">
        <v>45869</v>
      </c>
      <c r="D933">
        <v>237235</v>
      </c>
      <c r="E933" t="s">
        <v>377</v>
      </c>
      <c r="F933" t="s">
        <v>382</v>
      </c>
      <c r="G933">
        <v>66852.179999999993</v>
      </c>
      <c r="H933">
        <v>23761</v>
      </c>
      <c r="I933">
        <v>2.81</v>
      </c>
      <c r="J933">
        <v>0.98299999999999998</v>
      </c>
    </row>
    <row r="934" spans="1:10" x14ac:dyDescent="0.3">
      <c r="A934" t="s">
        <v>368</v>
      </c>
      <c r="B934" t="s">
        <v>186</v>
      </c>
      <c r="C934" s="25">
        <v>45900</v>
      </c>
      <c r="D934">
        <v>237235</v>
      </c>
      <c r="E934" t="s">
        <v>377</v>
      </c>
      <c r="F934" t="s">
        <v>382</v>
      </c>
      <c r="G934">
        <v>59930.82</v>
      </c>
      <c r="H934">
        <v>9512</v>
      </c>
      <c r="I934">
        <v>6.3</v>
      </c>
      <c r="J934">
        <v>0.84009999999999996</v>
      </c>
    </row>
    <row r="935" spans="1:10" x14ac:dyDescent="0.3">
      <c r="A935" t="s">
        <v>368</v>
      </c>
      <c r="B935" t="s">
        <v>186</v>
      </c>
      <c r="C935" s="25">
        <v>45930</v>
      </c>
      <c r="D935">
        <v>237235</v>
      </c>
      <c r="E935" t="s">
        <v>377</v>
      </c>
      <c r="F935" t="s">
        <v>382</v>
      </c>
      <c r="G935">
        <v>75804.63</v>
      </c>
      <c r="H935">
        <v>12981</v>
      </c>
      <c r="I935">
        <v>5.84</v>
      </c>
      <c r="J935">
        <v>1.0974999999999999</v>
      </c>
    </row>
    <row r="936" spans="1:10" x14ac:dyDescent="0.3">
      <c r="A936" t="s">
        <v>368</v>
      </c>
      <c r="B936" t="s">
        <v>186</v>
      </c>
      <c r="C936" s="25">
        <v>45961</v>
      </c>
      <c r="D936">
        <v>237235</v>
      </c>
      <c r="E936" t="s">
        <v>377</v>
      </c>
      <c r="F936" t="s">
        <v>382</v>
      </c>
      <c r="G936">
        <v>62405.51</v>
      </c>
      <c r="H936">
        <v>73357</v>
      </c>
      <c r="I936">
        <v>0.85</v>
      </c>
      <c r="J936">
        <v>0.91710000000000003</v>
      </c>
    </row>
    <row r="937" spans="1:10" x14ac:dyDescent="0.3">
      <c r="A937" t="s">
        <v>368</v>
      </c>
      <c r="B937" t="s">
        <v>186</v>
      </c>
      <c r="C937" s="25">
        <v>45991</v>
      </c>
      <c r="D937">
        <v>237235</v>
      </c>
      <c r="E937" t="s">
        <v>377</v>
      </c>
      <c r="F937" t="s">
        <v>382</v>
      </c>
      <c r="G937">
        <v>47055.37</v>
      </c>
      <c r="H937">
        <v>23343</v>
      </c>
      <c r="I937">
        <v>2.02</v>
      </c>
      <c r="J937">
        <v>0.68230000000000002</v>
      </c>
    </row>
    <row r="938" spans="1:10" x14ac:dyDescent="0.3">
      <c r="A938" t="s">
        <v>368</v>
      </c>
      <c r="B938" t="s">
        <v>186</v>
      </c>
      <c r="C938" s="25">
        <v>45657</v>
      </c>
      <c r="D938">
        <v>837715</v>
      </c>
      <c r="E938" t="s">
        <v>378</v>
      </c>
      <c r="F938" t="s">
        <v>381</v>
      </c>
      <c r="G938">
        <v>16729.189999999999</v>
      </c>
      <c r="H938">
        <v>3119</v>
      </c>
      <c r="I938">
        <v>5.36</v>
      </c>
      <c r="J938">
        <v>0.24149999999999999</v>
      </c>
    </row>
    <row r="939" spans="1:10" x14ac:dyDescent="0.3">
      <c r="A939" t="s">
        <v>368</v>
      </c>
      <c r="B939" t="s">
        <v>186</v>
      </c>
      <c r="C939" s="25">
        <v>45688</v>
      </c>
      <c r="D939">
        <v>837715</v>
      </c>
      <c r="E939" t="s">
        <v>378</v>
      </c>
      <c r="F939" t="s">
        <v>381</v>
      </c>
      <c r="G939">
        <v>16815.75</v>
      </c>
      <c r="H939">
        <v>2608</v>
      </c>
      <c r="I939">
        <v>6.45</v>
      </c>
      <c r="J939">
        <v>0.2472</v>
      </c>
    </row>
    <row r="940" spans="1:10" x14ac:dyDescent="0.3">
      <c r="A940" t="s">
        <v>368</v>
      </c>
      <c r="B940" t="s">
        <v>186</v>
      </c>
      <c r="C940" s="25">
        <v>45716</v>
      </c>
      <c r="D940">
        <v>837715</v>
      </c>
      <c r="E940" t="s">
        <v>378</v>
      </c>
      <c r="F940" t="s">
        <v>381</v>
      </c>
      <c r="G940">
        <v>19113.97</v>
      </c>
      <c r="H940">
        <v>2008</v>
      </c>
      <c r="I940">
        <v>9.52</v>
      </c>
      <c r="J940">
        <v>0.27800000000000002</v>
      </c>
    </row>
    <row r="941" spans="1:10" x14ac:dyDescent="0.3">
      <c r="A941" t="s">
        <v>368</v>
      </c>
      <c r="B941" t="s">
        <v>186</v>
      </c>
      <c r="C941" s="25">
        <v>45747</v>
      </c>
      <c r="D941">
        <v>837715</v>
      </c>
      <c r="E941" t="s">
        <v>378</v>
      </c>
      <c r="F941" t="s">
        <v>381</v>
      </c>
      <c r="G941">
        <v>14398.11</v>
      </c>
      <c r="H941">
        <v>1552</v>
      </c>
      <c r="I941">
        <v>9.2799999999999994</v>
      </c>
      <c r="J941">
        <v>0.20519999999999999</v>
      </c>
    </row>
    <row r="942" spans="1:10" x14ac:dyDescent="0.3">
      <c r="A942" t="s">
        <v>368</v>
      </c>
      <c r="B942" t="s">
        <v>186</v>
      </c>
      <c r="C942" s="25">
        <v>45777</v>
      </c>
      <c r="D942">
        <v>837715</v>
      </c>
      <c r="E942" t="s">
        <v>378</v>
      </c>
      <c r="F942" t="s">
        <v>381</v>
      </c>
      <c r="G942">
        <v>12927.58</v>
      </c>
      <c r="H942">
        <v>2947</v>
      </c>
      <c r="I942">
        <v>4.3899999999999997</v>
      </c>
      <c r="J942">
        <v>0.20039999999999999</v>
      </c>
    </row>
    <row r="943" spans="1:10" x14ac:dyDescent="0.3">
      <c r="A943" t="s">
        <v>368</v>
      </c>
      <c r="B943" t="s">
        <v>186</v>
      </c>
      <c r="C943" s="25">
        <v>45808</v>
      </c>
      <c r="D943">
        <v>837715</v>
      </c>
      <c r="E943" t="s">
        <v>378</v>
      </c>
      <c r="F943" t="s">
        <v>381</v>
      </c>
      <c r="G943">
        <v>17192.169999999998</v>
      </c>
      <c r="H943">
        <v>2912</v>
      </c>
      <c r="I943">
        <v>5.9</v>
      </c>
      <c r="J943">
        <v>0.25359999999999999</v>
      </c>
    </row>
    <row r="944" spans="1:10" x14ac:dyDescent="0.3">
      <c r="A944" t="s">
        <v>368</v>
      </c>
      <c r="B944" t="s">
        <v>186</v>
      </c>
      <c r="C944" s="25">
        <v>45838</v>
      </c>
      <c r="D944">
        <v>837715</v>
      </c>
      <c r="E944" t="s">
        <v>378</v>
      </c>
      <c r="F944" t="s">
        <v>381</v>
      </c>
      <c r="G944">
        <v>18469</v>
      </c>
      <c r="H944">
        <v>4308</v>
      </c>
      <c r="I944">
        <v>4.29</v>
      </c>
      <c r="J944">
        <v>0.2712</v>
      </c>
    </row>
    <row r="945" spans="1:10" x14ac:dyDescent="0.3">
      <c r="A945" t="s">
        <v>368</v>
      </c>
      <c r="B945" t="s">
        <v>186</v>
      </c>
      <c r="C945" s="25">
        <v>45869</v>
      </c>
      <c r="D945">
        <v>837715</v>
      </c>
      <c r="E945" t="s">
        <v>378</v>
      </c>
      <c r="F945" t="s">
        <v>381</v>
      </c>
      <c r="G945">
        <v>13868.22</v>
      </c>
      <c r="H945">
        <v>6637</v>
      </c>
      <c r="I945">
        <v>2.09</v>
      </c>
      <c r="J945">
        <v>0.2039</v>
      </c>
    </row>
    <row r="946" spans="1:10" x14ac:dyDescent="0.3">
      <c r="A946" t="s">
        <v>368</v>
      </c>
      <c r="B946" t="s">
        <v>186</v>
      </c>
      <c r="C946" s="25">
        <v>45900</v>
      </c>
      <c r="D946">
        <v>837715</v>
      </c>
      <c r="E946" t="s">
        <v>378</v>
      </c>
      <c r="F946" t="s">
        <v>381</v>
      </c>
      <c r="G946">
        <v>17132.919999999998</v>
      </c>
      <c r="H946">
        <v>5531</v>
      </c>
      <c r="I946">
        <v>3.1</v>
      </c>
      <c r="J946">
        <v>0.2402</v>
      </c>
    </row>
    <row r="947" spans="1:10" x14ac:dyDescent="0.3">
      <c r="A947" t="s">
        <v>368</v>
      </c>
      <c r="B947" t="s">
        <v>186</v>
      </c>
      <c r="C947" s="25">
        <v>45930</v>
      </c>
      <c r="D947">
        <v>837715</v>
      </c>
      <c r="E947" t="s">
        <v>378</v>
      </c>
      <c r="F947" t="s">
        <v>381</v>
      </c>
      <c r="G947">
        <v>15800.19</v>
      </c>
      <c r="H947">
        <v>2096</v>
      </c>
      <c r="I947">
        <v>7.54</v>
      </c>
      <c r="J947">
        <v>0.2288</v>
      </c>
    </row>
    <row r="948" spans="1:10" x14ac:dyDescent="0.3">
      <c r="A948" t="s">
        <v>368</v>
      </c>
      <c r="B948" t="s">
        <v>186</v>
      </c>
      <c r="C948" s="25">
        <v>45961</v>
      </c>
      <c r="D948">
        <v>837715</v>
      </c>
      <c r="E948" t="s">
        <v>378</v>
      </c>
      <c r="F948" t="s">
        <v>381</v>
      </c>
      <c r="G948">
        <v>13953.65</v>
      </c>
      <c r="H948">
        <v>2284</v>
      </c>
      <c r="I948">
        <v>6.11</v>
      </c>
      <c r="J948">
        <v>0.2051</v>
      </c>
    </row>
    <row r="949" spans="1:10" x14ac:dyDescent="0.3">
      <c r="A949" t="s">
        <v>368</v>
      </c>
      <c r="B949" t="s">
        <v>186</v>
      </c>
      <c r="C949" s="25">
        <v>45991</v>
      </c>
      <c r="D949">
        <v>837715</v>
      </c>
      <c r="E949" t="s">
        <v>378</v>
      </c>
      <c r="F949" t="s">
        <v>381</v>
      </c>
      <c r="G949">
        <v>15635.98</v>
      </c>
      <c r="H949">
        <v>1823</v>
      </c>
      <c r="I949">
        <v>8.57</v>
      </c>
      <c r="J949">
        <v>0.22670000000000001</v>
      </c>
    </row>
    <row r="950" spans="1:10" x14ac:dyDescent="0.3">
      <c r="A950" t="s">
        <v>368</v>
      </c>
      <c r="B950" t="s">
        <v>186</v>
      </c>
      <c r="C950" s="25">
        <v>45657</v>
      </c>
      <c r="D950">
        <v>238890</v>
      </c>
      <c r="E950" t="s">
        <v>373</v>
      </c>
      <c r="F950" t="s">
        <v>380</v>
      </c>
      <c r="G950">
        <v>1798.8</v>
      </c>
      <c r="H950">
        <v>471</v>
      </c>
      <c r="I950">
        <v>3.82</v>
      </c>
      <c r="J950">
        <v>2.5999999999999999E-2</v>
      </c>
    </row>
    <row r="951" spans="1:10" x14ac:dyDescent="0.3">
      <c r="A951" t="s">
        <v>368</v>
      </c>
      <c r="B951" t="s">
        <v>186</v>
      </c>
      <c r="C951" s="25">
        <v>45688</v>
      </c>
      <c r="D951">
        <v>238890</v>
      </c>
      <c r="E951" t="s">
        <v>373</v>
      </c>
      <c r="F951" t="s">
        <v>380</v>
      </c>
      <c r="G951">
        <v>1527.62</v>
      </c>
      <c r="H951">
        <v>1024</v>
      </c>
      <c r="I951">
        <v>1.49</v>
      </c>
      <c r="J951">
        <v>2.2499999999999999E-2</v>
      </c>
    </row>
    <row r="952" spans="1:10" x14ac:dyDescent="0.3">
      <c r="A952" t="s">
        <v>368</v>
      </c>
      <c r="B952" t="s">
        <v>186</v>
      </c>
      <c r="C952" s="25">
        <v>45716</v>
      </c>
      <c r="D952">
        <v>238890</v>
      </c>
      <c r="E952" t="s">
        <v>373</v>
      </c>
      <c r="F952" t="s">
        <v>380</v>
      </c>
      <c r="G952">
        <v>1496.22</v>
      </c>
      <c r="H952">
        <v>210</v>
      </c>
      <c r="I952">
        <v>7.13</v>
      </c>
      <c r="J952">
        <v>2.18E-2</v>
      </c>
    </row>
    <row r="953" spans="1:10" x14ac:dyDescent="0.3">
      <c r="A953" t="s">
        <v>368</v>
      </c>
      <c r="B953" t="s">
        <v>186</v>
      </c>
      <c r="C953" s="25">
        <v>45747</v>
      </c>
      <c r="D953">
        <v>238890</v>
      </c>
      <c r="E953" t="s">
        <v>373</v>
      </c>
      <c r="F953" t="s">
        <v>380</v>
      </c>
      <c r="G953">
        <v>1708.49</v>
      </c>
      <c r="H953">
        <v>178</v>
      </c>
      <c r="I953">
        <v>9.61</v>
      </c>
      <c r="J953">
        <v>2.4400000000000002E-2</v>
      </c>
    </row>
    <row r="954" spans="1:10" x14ac:dyDescent="0.3">
      <c r="A954" t="s">
        <v>368</v>
      </c>
      <c r="B954" t="s">
        <v>186</v>
      </c>
      <c r="C954" s="25">
        <v>45777</v>
      </c>
      <c r="D954">
        <v>238890</v>
      </c>
      <c r="E954" t="s">
        <v>373</v>
      </c>
      <c r="F954" t="s">
        <v>380</v>
      </c>
      <c r="G954">
        <v>1696.87</v>
      </c>
      <c r="H954">
        <v>825</v>
      </c>
      <c r="I954">
        <v>2.06</v>
      </c>
      <c r="J954">
        <v>2.63E-2</v>
      </c>
    </row>
    <row r="955" spans="1:10" x14ac:dyDescent="0.3">
      <c r="A955" t="s">
        <v>368</v>
      </c>
      <c r="B955" t="s">
        <v>186</v>
      </c>
      <c r="C955" s="25">
        <v>45808</v>
      </c>
      <c r="D955">
        <v>238890</v>
      </c>
      <c r="E955" t="s">
        <v>373</v>
      </c>
      <c r="F955" t="s">
        <v>380</v>
      </c>
      <c r="G955">
        <v>1294.6300000000001</v>
      </c>
      <c r="H955">
        <v>336</v>
      </c>
      <c r="I955">
        <v>3.85</v>
      </c>
      <c r="J955">
        <v>1.9099999999999999E-2</v>
      </c>
    </row>
    <row r="956" spans="1:10" x14ac:dyDescent="0.3">
      <c r="A956" t="s">
        <v>368</v>
      </c>
      <c r="B956" t="s">
        <v>186</v>
      </c>
      <c r="C956" s="25">
        <v>45838</v>
      </c>
      <c r="D956">
        <v>238890</v>
      </c>
      <c r="E956" t="s">
        <v>373</v>
      </c>
      <c r="F956" t="s">
        <v>380</v>
      </c>
      <c r="G956">
        <v>1592.55</v>
      </c>
      <c r="H956">
        <v>520</v>
      </c>
      <c r="I956">
        <v>3.06</v>
      </c>
      <c r="J956">
        <v>2.3400000000000001E-2</v>
      </c>
    </row>
    <row r="957" spans="1:10" x14ac:dyDescent="0.3">
      <c r="A957" t="s">
        <v>368</v>
      </c>
      <c r="B957" t="s">
        <v>186</v>
      </c>
      <c r="C957" s="25">
        <v>45869</v>
      </c>
      <c r="D957">
        <v>238890</v>
      </c>
      <c r="E957" t="s">
        <v>373</v>
      </c>
      <c r="F957" t="s">
        <v>380</v>
      </c>
      <c r="G957">
        <v>1436.77</v>
      </c>
      <c r="H957">
        <v>164</v>
      </c>
      <c r="I957">
        <v>8.75</v>
      </c>
      <c r="J957">
        <v>2.1100000000000001E-2</v>
      </c>
    </row>
    <row r="958" spans="1:10" x14ac:dyDescent="0.3">
      <c r="A958" t="s">
        <v>368</v>
      </c>
      <c r="B958" t="s">
        <v>186</v>
      </c>
      <c r="C958" s="25">
        <v>45900</v>
      </c>
      <c r="D958">
        <v>238890</v>
      </c>
      <c r="E958" t="s">
        <v>373</v>
      </c>
      <c r="F958" t="s">
        <v>380</v>
      </c>
      <c r="G958">
        <v>1603.15</v>
      </c>
      <c r="H958">
        <v>239</v>
      </c>
      <c r="I958">
        <v>6.71</v>
      </c>
      <c r="J958">
        <v>2.2499999999999999E-2</v>
      </c>
    </row>
    <row r="959" spans="1:10" x14ac:dyDescent="0.3">
      <c r="A959" t="s">
        <v>368</v>
      </c>
      <c r="B959" t="s">
        <v>186</v>
      </c>
      <c r="C959" s="25">
        <v>45930</v>
      </c>
      <c r="D959">
        <v>238890</v>
      </c>
      <c r="E959" t="s">
        <v>373</v>
      </c>
      <c r="F959" t="s">
        <v>380</v>
      </c>
      <c r="G959">
        <v>1701.09</v>
      </c>
      <c r="H959">
        <v>293</v>
      </c>
      <c r="I959">
        <v>5.8</v>
      </c>
      <c r="J959">
        <v>2.46E-2</v>
      </c>
    </row>
    <row r="960" spans="1:10" x14ac:dyDescent="0.3">
      <c r="A960" t="s">
        <v>368</v>
      </c>
      <c r="B960" t="s">
        <v>186</v>
      </c>
      <c r="C960" s="25">
        <v>45961</v>
      </c>
      <c r="D960">
        <v>238890</v>
      </c>
      <c r="E960" t="s">
        <v>373</v>
      </c>
      <c r="F960" t="s">
        <v>380</v>
      </c>
      <c r="G960">
        <v>1454.93</v>
      </c>
      <c r="H960">
        <v>196</v>
      </c>
      <c r="I960">
        <v>7.43</v>
      </c>
      <c r="J960">
        <v>2.1399999999999999E-2</v>
      </c>
    </row>
    <row r="961" spans="1:10" x14ac:dyDescent="0.3">
      <c r="A961" t="s">
        <v>368</v>
      </c>
      <c r="B961" t="s">
        <v>186</v>
      </c>
      <c r="C961" s="25">
        <v>45991</v>
      </c>
      <c r="D961">
        <v>238890</v>
      </c>
      <c r="E961" t="s">
        <v>373</v>
      </c>
      <c r="F961" t="s">
        <v>380</v>
      </c>
      <c r="G961">
        <v>1072.1099999999999</v>
      </c>
      <c r="H961">
        <v>91</v>
      </c>
      <c r="I961">
        <v>11.84</v>
      </c>
      <c r="J961">
        <v>1.55E-2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B6DF-1F0B-4433-8FD5-30DC6F3E26CF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334A-F0C2-45F0-8943-94FAA5E9609A}">
  <sheetPr>
    <tabColor theme="9" tint="0.39997558519241921"/>
  </sheetPr>
  <dimension ref="A1:G49"/>
  <sheetViews>
    <sheetView zoomScale="49" workbookViewId="0">
      <selection activeCell="F44" sqref="F29:G44"/>
    </sheetView>
  </sheetViews>
  <sheetFormatPr defaultRowHeight="14.4" outlineLevelRow="1" x14ac:dyDescent="0.3"/>
  <cols>
    <col min="1" max="1" width="15.6640625" bestFit="1" customWidth="1"/>
    <col min="2" max="2" width="12.5546875" bestFit="1" customWidth="1"/>
    <col min="3" max="3" width="25.44140625" customWidth="1"/>
    <col min="4" max="4" width="14.109375" style="10" bestFit="1" customWidth="1"/>
    <col min="5" max="5" width="18.33203125" style="10" bestFit="1" customWidth="1"/>
    <col min="6" max="6" width="18.109375" style="10" bestFit="1" customWidth="1"/>
    <col min="7" max="7" width="23.33203125" style="6" bestFit="1" customWidth="1"/>
  </cols>
  <sheetData>
    <row r="1" spans="1:7" x14ac:dyDescent="0.3">
      <c r="A1" s="13" t="s">
        <v>290</v>
      </c>
      <c r="B1" s="13" t="s">
        <v>22</v>
      </c>
      <c r="C1" s="13" t="s">
        <v>197</v>
      </c>
      <c r="D1" s="24" t="s">
        <v>289</v>
      </c>
      <c r="E1" s="24" t="s">
        <v>288</v>
      </c>
      <c r="F1" s="24" t="s">
        <v>287</v>
      </c>
      <c r="G1" s="22" t="s">
        <v>286</v>
      </c>
    </row>
    <row r="2" spans="1:7" outlineLevel="1" x14ac:dyDescent="0.3">
      <c r="A2" t="s">
        <v>462</v>
      </c>
      <c r="B2" t="s">
        <v>192</v>
      </c>
      <c r="C2" s="25">
        <v>45657</v>
      </c>
      <c r="D2" s="10">
        <v>947817.68</v>
      </c>
      <c r="E2" s="10">
        <v>194573.72</v>
      </c>
      <c r="F2" s="10">
        <v>753243.96</v>
      </c>
      <c r="G2" s="6">
        <v>0.20530000000000001</v>
      </c>
    </row>
    <row r="3" spans="1:7" outlineLevel="1" x14ac:dyDescent="0.3">
      <c r="A3" t="s">
        <v>462</v>
      </c>
      <c r="B3" t="s">
        <v>192</v>
      </c>
      <c r="C3" s="25">
        <v>45688</v>
      </c>
      <c r="D3" s="10">
        <v>972318.6</v>
      </c>
      <c r="E3" s="10">
        <v>137996.44</v>
      </c>
      <c r="F3" s="10">
        <v>834322.16</v>
      </c>
      <c r="G3" s="6">
        <v>0.1419</v>
      </c>
    </row>
    <row r="4" spans="1:7" outlineLevel="1" x14ac:dyDescent="0.3">
      <c r="A4" t="s">
        <v>462</v>
      </c>
      <c r="B4" t="s">
        <v>192</v>
      </c>
      <c r="C4" s="25">
        <v>45716</v>
      </c>
      <c r="D4" s="10">
        <v>897537.72</v>
      </c>
      <c r="E4" s="10">
        <v>161514.13</v>
      </c>
      <c r="F4" s="10">
        <v>736023.6</v>
      </c>
      <c r="G4" s="6">
        <v>0.18</v>
      </c>
    </row>
    <row r="5" spans="1:7" outlineLevel="1" x14ac:dyDescent="0.3">
      <c r="A5" t="s">
        <v>462</v>
      </c>
      <c r="B5" t="s">
        <v>192</v>
      </c>
      <c r="C5" s="25">
        <v>45747</v>
      </c>
      <c r="D5" s="10">
        <v>966814.89</v>
      </c>
      <c r="E5" s="10">
        <v>150719.06</v>
      </c>
      <c r="F5" s="10">
        <v>816095.84</v>
      </c>
      <c r="G5" s="6">
        <v>0.15590000000000001</v>
      </c>
    </row>
    <row r="6" spans="1:7" outlineLevel="1" x14ac:dyDescent="0.3">
      <c r="A6" t="s">
        <v>462</v>
      </c>
      <c r="B6" t="s">
        <v>192</v>
      </c>
      <c r="C6" s="25">
        <v>45777</v>
      </c>
      <c r="D6" s="10">
        <v>923045.99</v>
      </c>
      <c r="E6" s="10">
        <v>180686.34</v>
      </c>
      <c r="F6" s="10">
        <v>742359.64</v>
      </c>
      <c r="G6" s="6">
        <v>0.1958</v>
      </c>
    </row>
    <row r="7" spans="1:7" outlineLevel="1" x14ac:dyDescent="0.3">
      <c r="A7" t="s">
        <v>462</v>
      </c>
      <c r="B7" t="s">
        <v>192</v>
      </c>
      <c r="C7" s="25">
        <v>45808</v>
      </c>
      <c r="D7" s="10">
        <v>947115.35</v>
      </c>
      <c r="E7" s="10">
        <v>152474.76</v>
      </c>
      <c r="F7" s="10">
        <v>794640.59</v>
      </c>
      <c r="G7" s="6">
        <v>0.161</v>
      </c>
    </row>
    <row r="8" spans="1:7" outlineLevel="1" x14ac:dyDescent="0.3">
      <c r="A8" t="s">
        <v>462</v>
      </c>
      <c r="B8" t="s">
        <v>192</v>
      </c>
      <c r="C8" s="25">
        <v>45838</v>
      </c>
      <c r="D8" s="10">
        <v>976522.4</v>
      </c>
      <c r="E8" s="10">
        <v>155913.15</v>
      </c>
      <c r="F8" s="10">
        <v>820609.25</v>
      </c>
      <c r="G8" s="6">
        <v>0.15970000000000001</v>
      </c>
    </row>
    <row r="9" spans="1:7" outlineLevel="1" x14ac:dyDescent="0.3">
      <c r="A9" t="s">
        <v>462</v>
      </c>
      <c r="B9" t="s">
        <v>192</v>
      </c>
      <c r="C9" s="25">
        <v>45869</v>
      </c>
      <c r="D9" s="10">
        <v>979110.08</v>
      </c>
      <c r="E9" s="10">
        <v>244480.06</v>
      </c>
      <c r="F9" s="10">
        <v>734630.02</v>
      </c>
      <c r="G9" s="6">
        <v>0.24970000000000001</v>
      </c>
    </row>
    <row r="10" spans="1:7" outlineLevel="1" x14ac:dyDescent="0.3">
      <c r="A10" t="s">
        <v>462</v>
      </c>
      <c r="B10" t="s">
        <v>192</v>
      </c>
      <c r="C10" s="25">
        <v>45900</v>
      </c>
      <c r="D10" s="10">
        <v>973876.33</v>
      </c>
      <c r="E10" s="10">
        <v>193188.16</v>
      </c>
      <c r="F10" s="10">
        <v>780688.18</v>
      </c>
      <c r="G10" s="6">
        <v>0.19839999999999999</v>
      </c>
    </row>
    <row r="11" spans="1:7" outlineLevel="1" x14ac:dyDescent="0.3">
      <c r="A11" t="s">
        <v>462</v>
      </c>
      <c r="B11" t="s">
        <v>192</v>
      </c>
      <c r="C11" s="25">
        <v>45930</v>
      </c>
      <c r="D11" s="10">
        <v>1045888.07</v>
      </c>
      <c r="E11" s="10">
        <v>137320.79</v>
      </c>
      <c r="F11" s="10">
        <v>908567.28</v>
      </c>
      <c r="G11" s="6">
        <v>0.1313</v>
      </c>
    </row>
    <row r="12" spans="1:7" outlineLevel="1" x14ac:dyDescent="0.3">
      <c r="A12" t="s">
        <v>462</v>
      </c>
      <c r="B12" t="s">
        <v>192</v>
      </c>
      <c r="C12" s="25">
        <v>45961</v>
      </c>
      <c r="D12" s="10">
        <v>1025823.67</v>
      </c>
      <c r="E12" s="10">
        <v>249717.48</v>
      </c>
      <c r="F12" s="10">
        <v>776106.18</v>
      </c>
      <c r="G12" s="6">
        <v>0.24340000000000001</v>
      </c>
    </row>
    <row r="13" spans="1:7" outlineLevel="1" x14ac:dyDescent="0.3">
      <c r="A13" t="s">
        <v>462</v>
      </c>
      <c r="B13" t="s">
        <v>192</v>
      </c>
      <c r="C13" s="25">
        <v>45991</v>
      </c>
      <c r="D13" s="10">
        <v>1016837.19</v>
      </c>
      <c r="E13" s="10">
        <v>163094.94</v>
      </c>
      <c r="F13" s="10">
        <v>853742.25</v>
      </c>
      <c r="G13" s="6">
        <v>0.16039999999999999</v>
      </c>
    </row>
    <row r="14" spans="1:7" outlineLevel="1" x14ac:dyDescent="0.3">
      <c r="A14" t="s">
        <v>462</v>
      </c>
      <c r="B14" t="s">
        <v>191</v>
      </c>
      <c r="C14" s="25">
        <v>45657</v>
      </c>
      <c r="D14" s="10">
        <v>809194.68</v>
      </c>
      <c r="E14" s="10">
        <v>140189.13</v>
      </c>
      <c r="F14" s="10">
        <v>669005.56000000006</v>
      </c>
      <c r="G14" s="6">
        <v>0.17319999999999999</v>
      </c>
    </row>
    <row r="15" spans="1:7" outlineLevel="1" x14ac:dyDescent="0.3">
      <c r="A15" t="s">
        <v>462</v>
      </c>
      <c r="B15" t="s">
        <v>191</v>
      </c>
      <c r="C15" s="25">
        <v>45688</v>
      </c>
      <c r="D15" s="10">
        <v>850209.4</v>
      </c>
      <c r="E15" s="10">
        <v>109194.73</v>
      </c>
      <c r="F15" s="10">
        <v>741014.67</v>
      </c>
      <c r="G15" s="6">
        <v>0.12839999999999999</v>
      </c>
    </row>
    <row r="16" spans="1:7" outlineLevel="1" x14ac:dyDescent="0.3">
      <c r="A16" t="s">
        <v>462</v>
      </c>
      <c r="B16" t="s">
        <v>191</v>
      </c>
      <c r="C16" s="25">
        <v>45716</v>
      </c>
      <c r="D16" s="10">
        <v>838194.67</v>
      </c>
      <c r="E16" s="10">
        <v>132912.29999999999</v>
      </c>
      <c r="F16" s="10">
        <v>705282.37</v>
      </c>
      <c r="G16" s="6">
        <v>0.15859999999999999</v>
      </c>
    </row>
    <row r="17" spans="1:7" outlineLevel="1" x14ac:dyDescent="0.3">
      <c r="A17" t="s">
        <v>462</v>
      </c>
      <c r="B17" t="s">
        <v>191</v>
      </c>
      <c r="C17" s="25">
        <v>45747</v>
      </c>
      <c r="D17" s="10">
        <v>883215.81</v>
      </c>
      <c r="E17" s="10">
        <v>109630.79</v>
      </c>
      <c r="F17" s="10">
        <v>773585.03</v>
      </c>
      <c r="G17" s="6">
        <v>0.1241</v>
      </c>
    </row>
    <row r="18" spans="1:7" outlineLevel="1" x14ac:dyDescent="0.3">
      <c r="A18" t="s">
        <v>462</v>
      </c>
      <c r="B18" t="s">
        <v>191</v>
      </c>
      <c r="C18" s="25">
        <v>45777</v>
      </c>
      <c r="D18" s="10">
        <v>884514.3</v>
      </c>
      <c r="E18" s="10">
        <v>197779.73</v>
      </c>
      <c r="F18" s="10">
        <v>686734.58</v>
      </c>
      <c r="G18" s="6">
        <v>0.22359999999999999</v>
      </c>
    </row>
    <row r="19" spans="1:7" outlineLevel="1" x14ac:dyDescent="0.3">
      <c r="A19" t="s">
        <v>462</v>
      </c>
      <c r="B19" t="s">
        <v>191</v>
      </c>
      <c r="C19" s="25">
        <v>45808</v>
      </c>
      <c r="D19" s="10">
        <v>925354.61</v>
      </c>
      <c r="E19" s="10">
        <v>99638.44</v>
      </c>
      <c r="F19" s="10">
        <v>825716.16</v>
      </c>
      <c r="G19" s="6">
        <v>0.1077</v>
      </c>
    </row>
    <row r="20" spans="1:7" outlineLevel="1" x14ac:dyDescent="0.3">
      <c r="A20" t="s">
        <v>462</v>
      </c>
      <c r="B20" t="s">
        <v>191</v>
      </c>
      <c r="C20" s="25">
        <v>45838</v>
      </c>
      <c r="D20" s="10">
        <v>912889.13</v>
      </c>
      <c r="E20" s="10">
        <v>94949.65</v>
      </c>
      <c r="F20" s="10">
        <v>817939.49</v>
      </c>
      <c r="G20" s="6">
        <v>0.104</v>
      </c>
    </row>
    <row r="21" spans="1:7" outlineLevel="1" x14ac:dyDescent="0.3">
      <c r="A21" t="s">
        <v>462</v>
      </c>
      <c r="B21" t="s">
        <v>191</v>
      </c>
      <c r="C21" s="25">
        <v>45869</v>
      </c>
      <c r="D21" s="10">
        <v>994134.76</v>
      </c>
      <c r="E21" s="10">
        <v>105029.12</v>
      </c>
      <c r="F21" s="10">
        <v>889105.64</v>
      </c>
      <c r="G21" s="6">
        <v>0.1056</v>
      </c>
    </row>
    <row r="22" spans="1:7" outlineLevel="1" x14ac:dyDescent="0.3">
      <c r="A22" t="s">
        <v>462</v>
      </c>
      <c r="B22" t="s">
        <v>191</v>
      </c>
      <c r="C22" s="25">
        <v>45900</v>
      </c>
      <c r="D22" s="10">
        <v>897919.54</v>
      </c>
      <c r="E22" s="10">
        <v>120287.07</v>
      </c>
      <c r="F22" s="10">
        <v>777632.48</v>
      </c>
      <c r="G22" s="6">
        <v>0.13400000000000001</v>
      </c>
    </row>
    <row r="23" spans="1:7" outlineLevel="1" x14ac:dyDescent="0.3">
      <c r="A23" t="s">
        <v>462</v>
      </c>
      <c r="B23" t="s">
        <v>191</v>
      </c>
      <c r="C23" s="25">
        <v>45930</v>
      </c>
      <c r="D23" s="10">
        <v>863769.92</v>
      </c>
      <c r="E23" s="10">
        <v>112573.61</v>
      </c>
      <c r="F23" s="10">
        <v>751196.31</v>
      </c>
      <c r="G23" s="6">
        <v>0.1303</v>
      </c>
    </row>
    <row r="24" spans="1:7" outlineLevel="1" x14ac:dyDescent="0.3">
      <c r="A24" t="s">
        <v>462</v>
      </c>
      <c r="B24" t="s">
        <v>191</v>
      </c>
      <c r="C24" s="25">
        <v>45961</v>
      </c>
      <c r="D24" s="10">
        <v>934106.99</v>
      </c>
      <c r="E24" s="10">
        <v>192755.05</v>
      </c>
      <c r="F24" s="10">
        <v>741351.95</v>
      </c>
      <c r="G24" s="6">
        <v>0.2064</v>
      </c>
    </row>
    <row r="25" spans="1:7" outlineLevel="1" x14ac:dyDescent="0.3">
      <c r="A25" t="s">
        <v>462</v>
      </c>
      <c r="B25" t="s">
        <v>191</v>
      </c>
      <c r="C25" s="25">
        <v>45991</v>
      </c>
      <c r="D25" s="10">
        <v>926746.22</v>
      </c>
      <c r="E25" s="10">
        <v>102784.68</v>
      </c>
      <c r="F25" s="10">
        <v>823961.54</v>
      </c>
      <c r="G25" s="6">
        <v>0.1109</v>
      </c>
    </row>
    <row r="26" spans="1:7" outlineLevel="1" x14ac:dyDescent="0.3">
      <c r="A26" t="s">
        <v>462</v>
      </c>
      <c r="B26" t="s">
        <v>193</v>
      </c>
      <c r="C26" s="25">
        <v>45657</v>
      </c>
      <c r="D26" s="10">
        <v>1035136.3</v>
      </c>
      <c r="E26" s="10">
        <v>211499.2</v>
      </c>
      <c r="F26" s="10">
        <v>823637.11</v>
      </c>
      <c r="G26" s="6">
        <v>0.20430000000000001</v>
      </c>
    </row>
    <row r="27" spans="1:7" outlineLevel="1" x14ac:dyDescent="0.3">
      <c r="A27" t="s">
        <v>462</v>
      </c>
      <c r="B27" t="s">
        <v>193</v>
      </c>
      <c r="C27" s="25">
        <v>45688</v>
      </c>
      <c r="D27" s="10">
        <v>1068983</v>
      </c>
      <c r="E27" s="10">
        <v>173980.12</v>
      </c>
      <c r="F27" s="10">
        <v>895002.89</v>
      </c>
      <c r="G27" s="6">
        <v>0.1628</v>
      </c>
    </row>
    <row r="28" spans="1:7" outlineLevel="1" x14ac:dyDescent="0.3">
      <c r="A28" t="s">
        <v>462</v>
      </c>
      <c r="B28" t="s">
        <v>193</v>
      </c>
      <c r="C28" s="25">
        <v>45716</v>
      </c>
      <c r="D28" s="10">
        <v>1041629.46</v>
      </c>
      <c r="E28" s="10">
        <v>104806.56</v>
      </c>
      <c r="F28" s="10">
        <v>936822.9</v>
      </c>
      <c r="G28" s="6">
        <v>0.10059999999999999</v>
      </c>
    </row>
    <row r="29" spans="1:7" outlineLevel="1" x14ac:dyDescent="0.3">
      <c r="A29" t="s">
        <v>462</v>
      </c>
      <c r="B29" t="s">
        <v>193</v>
      </c>
      <c r="C29" s="25">
        <v>45747</v>
      </c>
      <c r="D29" s="10">
        <v>991849.78</v>
      </c>
      <c r="E29" s="10">
        <v>166380.41</v>
      </c>
      <c r="F29" s="10">
        <v>825469.37</v>
      </c>
      <c r="G29" s="6">
        <v>0.16769999999999999</v>
      </c>
    </row>
    <row r="30" spans="1:7" outlineLevel="1" x14ac:dyDescent="0.3">
      <c r="A30" t="s">
        <v>462</v>
      </c>
      <c r="B30" t="s">
        <v>193</v>
      </c>
      <c r="C30" s="25">
        <v>45777</v>
      </c>
      <c r="D30" s="10">
        <v>1128562.1599999999</v>
      </c>
      <c r="E30" s="10">
        <v>243653.99</v>
      </c>
      <c r="F30" s="10">
        <v>884908.17</v>
      </c>
      <c r="G30" s="6">
        <v>0.21590000000000001</v>
      </c>
    </row>
    <row r="31" spans="1:7" outlineLevel="1" x14ac:dyDescent="0.3">
      <c r="A31" t="s">
        <v>462</v>
      </c>
      <c r="B31" t="s">
        <v>193</v>
      </c>
      <c r="C31" s="25">
        <v>45808</v>
      </c>
      <c r="D31" s="10">
        <v>1027784.97</v>
      </c>
      <c r="E31" s="10">
        <v>128942.32</v>
      </c>
      <c r="F31" s="10">
        <v>898842.65</v>
      </c>
      <c r="G31" s="6">
        <v>0.1255</v>
      </c>
    </row>
    <row r="32" spans="1:7" outlineLevel="1" x14ac:dyDescent="0.3">
      <c r="A32" t="s">
        <v>462</v>
      </c>
      <c r="B32" t="s">
        <v>193</v>
      </c>
      <c r="C32" s="25">
        <v>45838</v>
      </c>
      <c r="D32" s="10">
        <v>1047280.78</v>
      </c>
      <c r="E32" s="10">
        <v>187754.31</v>
      </c>
      <c r="F32" s="10">
        <v>859526.47</v>
      </c>
      <c r="G32" s="6">
        <v>0.17929999999999999</v>
      </c>
    </row>
    <row r="33" spans="1:7" outlineLevel="1" x14ac:dyDescent="0.3">
      <c r="A33" t="s">
        <v>462</v>
      </c>
      <c r="B33" t="s">
        <v>193</v>
      </c>
      <c r="C33" s="25">
        <v>45869</v>
      </c>
      <c r="D33" s="10">
        <v>1006474.82</v>
      </c>
      <c r="E33" s="10">
        <v>207997.18</v>
      </c>
      <c r="F33" s="10">
        <v>798477.64</v>
      </c>
      <c r="G33" s="6">
        <v>0.20669999999999999</v>
      </c>
    </row>
    <row r="34" spans="1:7" outlineLevel="1" x14ac:dyDescent="0.3">
      <c r="A34" t="s">
        <v>462</v>
      </c>
      <c r="B34" t="s">
        <v>193</v>
      </c>
      <c r="C34" s="25">
        <v>45900</v>
      </c>
      <c r="D34" s="10">
        <v>1085435.3</v>
      </c>
      <c r="E34" s="10">
        <v>221913.67</v>
      </c>
      <c r="F34" s="10">
        <v>863521.63</v>
      </c>
      <c r="G34" s="6">
        <v>0.2044</v>
      </c>
    </row>
    <row r="35" spans="1:7" outlineLevel="1" x14ac:dyDescent="0.3">
      <c r="A35" t="s">
        <v>462</v>
      </c>
      <c r="B35" t="s">
        <v>193</v>
      </c>
      <c r="C35" s="25">
        <v>45930</v>
      </c>
      <c r="D35" s="10">
        <v>1064111.52</v>
      </c>
      <c r="E35" s="10">
        <v>247743.41</v>
      </c>
      <c r="F35" s="10">
        <v>816368.12</v>
      </c>
      <c r="G35" s="6">
        <v>0.23280000000000001</v>
      </c>
    </row>
    <row r="36" spans="1:7" outlineLevel="1" x14ac:dyDescent="0.3">
      <c r="A36" t="s">
        <v>462</v>
      </c>
      <c r="B36" t="s">
        <v>193</v>
      </c>
      <c r="C36" s="25">
        <v>45961</v>
      </c>
      <c r="D36" s="10">
        <v>1095548.72</v>
      </c>
      <c r="E36" s="10">
        <v>127704.16</v>
      </c>
      <c r="F36" s="10">
        <v>967844.56</v>
      </c>
      <c r="G36" s="6">
        <v>0.1166</v>
      </c>
    </row>
    <row r="37" spans="1:7" outlineLevel="1" x14ac:dyDescent="0.3">
      <c r="A37" t="s">
        <v>462</v>
      </c>
      <c r="B37" t="s">
        <v>193</v>
      </c>
      <c r="C37" s="25">
        <v>45991</v>
      </c>
      <c r="D37" s="10">
        <v>1020918.82</v>
      </c>
      <c r="E37" s="10">
        <v>242041.14</v>
      </c>
      <c r="F37" s="10">
        <v>778877.68</v>
      </c>
      <c r="G37" s="6">
        <v>0.23710000000000001</v>
      </c>
    </row>
    <row r="38" spans="1:7" x14ac:dyDescent="0.3">
      <c r="A38" t="s">
        <v>462</v>
      </c>
      <c r="B38" t="s">
        <v>186</v>
      </c>
      <c r="C38" s="25">
        <v>45657</v>
      </c>
      <c r="D38" s="10">
        <v>2792148.66</v>
      </c>
      <c r="E38" s="10">
        <v>546262.05000000005</v>
      </c>
      <c r="F38" s="10">
        <v>2245886.63</v>
      </c>
      <c r="G38" s="6">
        <v>0.1956</v>
      </c>
    </row>
    <row r="39" spans="1:7" x14ac:dyDescent="0.3">
      <c r="A39" t="s">
        <v>462</v>
      </c>
      <c r="B39" t="s">
        <v>186</v>
      </c>
      <c r="C39" s="25">
        <v>45688</v>
      </c>
      <c r="D39" s="10">
        <v>2891511</v>
      </c>
      <c r="E39" s="10">
        <v>421171.29</v>
      </c>
      <c r="F39" s="10">
        <v>2470339.7200000002</v>
      </c>
      <c r="G39" s="6">
        <v>0.1457</v>
      </c>
    </row>
    <row r="40" spans="1:7" x14ac:dyDescent="0.3">
      <c r="A40" t="s">
        <v>462</v>
      </c>
      <c r="B40" t="s">
        <v>186</v>
      </c>
      <c r="C40" s="25">
        <v>45716</v>
      </c>
      <c r="D40" s="10">
        <v>2777361.85</v>
      </c>
      <c r="E40" s="10">
        <v>399232.99</v>
      </c>
      <c r="F40" s="10">
        <v>2378128.87</v>
      </c>
      <c r="G40" s="6">
        <v>0.14369999999999999</v>
      </c>
    </row>
    <row r="41" spans="1:7" x14ac:dyDescent="0.3">
      <c r="A41" t="s">
        <v>462</v>
      </c>
      <c r="B41" t="s">
        <v>186</v>
      </c>
      <c r="C41" s="25">
        <v>45747</v>
      </c>
      <c r="D41" s="10">
        <v>2841880.48</v>
      </c>
      <c r="E41" s="10">
        <v>426730.26</v>
      </c>
      <c r="F41" s="10">
        <v>2415150.2400000002</v>
      </c>
      <c r="G41" s="6">
        <v>0.1502</v>
      </c>
    </row>
    <row r="42" spans="1:7" x14ac:dyDescent="0.3">
      <c r="A42" t="s">
        <v>462</v>
      </c>
      <c r="B42" t="s">
        <v>186</v>
      </c>
      <c r="C42" s="25">
        <v>45777</v>
      </c>
      <c r="D42" s="10">
        <v>2936122.45</v>
      </c>
      <c r="E42" s="10">
        <v>622120.06000000006</v>
      </c>
      <c r="F42" s="10">
        <v>2314002.39</v>
      </c>
      <c r="G42" s="6">
        <v>0.21190000000000001</v>
      </c>
    </row>
    <row r="43" spans="1:7" x14ac:dyDescent="0.3">
      <c r="A43" t="s">
        <v>462</v>
      </c>
      <c r="B43" t="s">
        <v>186</v>
      </c>
      <c r="C43" s="25">
        <v>45808</v>
      </c>
      <c r="D43" s="10">
        <v>2900254.93</v>
      </c>
      <c r="E43" s="10">
        <v>381055.52</v>
      </c>
      <c r="F43" s="10">
        <v>2519199.4</v>
      </c>
      <c r="G43" s="6">
        <v>0.13139999999999999</v>
      </c>
    </row>
    <row r="44" spans="1:7" x14ac:dyDescent="0.3">
      <c r="A44" t="s">
        <v>462</v>
      </c>
      <c r="B44" t="s">
        <v>186</v>
      </c>
      <c r="C44" s="25">
        <v>45838</v>
      </c>
      <c r="D44" s="10">
        <v>2936692.31</v>
      </c>
      <c r="E44" s="10">
        <v>438617.11</v>
      </c>
      <c r="F44" s="10">
        <v>2498075.21</v>
      </c>
      <c r="G44" s="6">
        <v>0.14940000000000001</v>
      </c>
    </row>
    <row r="45" spans="1:7" x14ac:dyDescent="0.3">
      <c r="A45" t="s">
        <v>462</v>
      </c>
      <c r="B45" t="s">
        <v>186</v>
      </c>
      <c r="C45" s="25">
        <v>45869</v>
      </c>
      <c r="D45" s="10">
        <v>2979719.66</v>
      </c>
      <c r="E45" s="10">
        <v>557506.36</v>
      </c>
      <c r="F45" s="10">
        <v>2422213.2999999998</v>
      </c>
      <c r="G45" s="6">
        <v>0.18709999999999999</v>
      </c>
    </row>
    <row r="46" spans="1:7" x14ac:dyDescent="0.3">
      <c r="A46" t="s">
        <v>462</v>
      </c>
      <c r="B46" t="s">
        <v>186</v>
      </c>
      <c r="C46" s="25">
        <v>45900</v>
      </c>
      <c r="D46" s="10">
        <v>2957231.17</v>
      </c>
      <c r="E46" s="10">
        <v>535388.9</v>
      </c>
      <c r="F46" s="10">
        <v>2421842.29</v>
      </c>
      <c r="G46" s="6">
        <v>0.18099999999999999</v>
      </c>
    </row>
    <row r="47" spans="1:7" x14ac:dyDescent="0.3">
      <c r="A47" t="s">
        <v>462</v>
      </c>
      <c r="B47" t="s">
        <v>186</v>
      </c>
      <c r="C47" s="25">
        <v>45930</v>
      </c>
      <c r="D47" s="10">
        <v>2973769.51</v>
      </c>
      <c r="E47" s="10">
        <v>497637.81</v>
      </c>
      <c r="F47" s="10">
        <v>2476131.71</v>
      </c>
      <c r="G47" s="6">
        <v>0.1673</v>
      </c>
    </row>
    <row r="48" spans="1:7" x14ac:dyDescent="0.3">
      <c r="A48" t="s">
        <v>462</v>
      </c>
      <c r="B48" t="s">
        <v>186</v>
      </c>
      <c r="C48" s="25">
        <v>45961</v>
      </c>
      <c r="D48" s="10">
        <v>3055479.38</v>
      </c>
      <c r="E48" s="10">
        <v>570176.68999999994</v>
      </c>
      <c r="F48" s="10">
        <v>2485302.69</v>
      </c>
      <c r="G48" s="6">
        <v>0.18659999999999999</v>
      </c>
    </row>
    <row r="49" spans="1:7" x14ac:dyDescent="0.3">
      <c r="A49" t="s">
        <v>462</v>
      </c>
      <c r="B49" t="s">
        <v>186</v>
      </c>
      <c r="C49" s="25">
        <v>45991</v>
      </c>
      <c r="D49" s="10">
        <v>2964502.23</v>
      </c>
      <c r="E49" s="10">
        <v>507920.76</v>
      </c>
      <c r="F49" s="10">
        <v>2456581.4700000002</v>
      </c>
      <c r="G49" s="6">
        <v>0.17130000000000001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A7D1-1182-4891-B02D-D6E664898C87}">
  <sheetPr>
    <tabColor theme="9" tint="0.39997558519241921"/>
  </sheetPr>
  <dimension ref="A1:K49"/>
  <sheetViews>
    <sheetView workbookViewId="0">
      <selection activeCell="P10" sqref="P10"/>
    </sheetView>
  </sheetViews>
  <sheetFormatPr defaultRowHeight="14.4" x14ac:dyDescent="0.3"/>
  <cols>
    <col min="1" max="1" width="10.44140625" bestFit="1" customWidth="1"/>
    <col min="2" max="2" width="15.6640625" bestFit="1" customWidth="1"/>
    <col min="3" max="3" width="12.5546875" bestFit="1" customWidth="1"/>
    <col min="4" max="4" width="22.33203125" style="4" bestFit="1" customWidth="1"/>
    <col min="5" max="5" width="11.5546875" style="4" bestFit="1" customWidth="1"/>
    <col min="6" max="6" width="16" style="4" bestFit="1" customWidth="1"/>
    <col min="7" max="8" width="11.5546875" style="4" bestFit="1" customWidth="1"/>
    <col min="9" max="9" width="22.6640625" style="4" bestFit="1" customWidth="1"/>
    <col min="10" max="10" width="14.5546875" style="4" bestFit="1" customWidth="1"/>
    <col min="11" max="11" width="23.109375" style="6" bestFit="1" customWidth="1"/>
  </cols>
  <sheetData>
    <row r="1" spans="1:11" x14ac:dyDescent="0.3">
      <c r="A1" s="13" t="s">
        <v>267</v>
      </c>
      <c r="B1" s="13" t="s">
        <v>290</v>
      </c>
      <c r="C1" s="13" t="s">
        <v>22</v>
      </c>
      <c r="D1" s="21" t="s">
        <v>297</v>
      </c>
      <c r="E1" s="21" t="s">
        <v>296</v>
      </c>
      <c r="F1" s="21" t="s">
        <v>295</v>
      </c>
      <c r="G1" s="21" t="s">
        <v>294</v>
      </c>
      <c r="H1" s="21" t="s">
        <v>293</v>
      </c>
      <c r="I1" s="21" t="s">
        <v>292</v>
      </c>
      <c r="J1" s="21" t="s">
        <v>265</v>
      </c>
      <c r="K1" s="22" t="s">
        <v>291</v>
      </c>
    </row>
    <row r="2" spans="1:11" x14ac:dyDescent="0.3">
      <c r="A2" s="25">
        <v>45657</v>
      </c>
      <c r="B2" t="s">
        <v>462</v>
      </c>
      <c r="C2" t="s">
        <v>192</v>
      </c>
      <c r="D2" s="4">
        <v>22924.25</v>
      </c>
      <c r="E2" s="4">
        <v>59356.98</v>
      </c>
      <c r="F2" s="4">
        <v>28197.45</v>
      </c>
      <c r="G2" s="4">
        <v>763.04</v>
      </c>
      <c r="H2" s="4">
        <v>70347.63</v>
      </c>
      <c r="I2" s="4">
        <v>12984.37</v>
      </c>
      <c r="J2" s="4">
        <v>194573.72</v>
      </c>
      <c r="K2" s="6">
        <v>0.20530000000000001</v>
      </c>
    </row>
    <row r="3" spans="1:11" x14ac:dyDescent="0.3">
      <c r="A3" s="25">
        <v>45688</v>
      </c>
      <c r="B3" t="s">
        <v>462</v>
      </c>
      <c r="C3" t="s">
        <v>192</v>
      </c>
      <c r="D3" s="4">
        <v>61026.31</v>
      </c>
      <c r="E3" s="4">
        <v>6868.75</v>
      </c>
      <c r="F3" s="4">
        <v>5801.2</v>
      </c>
      <c r="G3" s="4">
        <v>15492.22</v>
      </c>
      <c r="H3" s="4">
        <v>2891.72</v>
      </c>
      <c r="I3" s="4">
        <v>45916.24</v>
      </c>
      <c r="J3" s="4">
        <v>137996.44</v>
      </c>
      <c r="K3" s="6">
        <v>0.1419</v>
      </c>
    </row>
    <row r="4" spans="1:11" x14ac:dyDescent="0.3">
      <c r="A4" s="25">
        <v>45716</v>
      </c>
      <c r="B4" t="s">
        <v>462</v>
      </c>
      <c r="C4" t="s">
        <v>192</v>
      </c>
      <c r="D4" s="4">
        <v>27245.85</v>
      </c>
      <c r="E4" s="4">
        <v>61044.72</v>
      </c>
      <c r="F4" s="4">
        <v>8932.01</v>
      </c>
      <c r="G4" s="4">
        <v>11144.35</v>
      </c>
      <c r="H4" s="4">
        <v>15466.55</v>
      </c>
      <c r="I4" s="4">
        <v>37680.65</v>
      </c>
      <c r="J4" s="4">
        <v>161514.13</v>
      </c>
      <c r="K4" s="6">
        <v>0.18</v>
      </c>
    </row>
    <row r="5" spans="1:11" x14ac:dyDescent="0.3">
      <c r="A5" s="25">
        <v>45747</v>
      </c>
      <c r="B5" t="s">
        <v>462</v>
      </c>
      <c r="C5" t="s">
        <v>192</v>
      </c>
      <c r="D5" s="4">
        <v>30214.36</v>
      </c>
      <c r="E5" s="4">
        <v>39463.379999999997</v>
      </c>
      <c r="F5" s="4">
        <v>2095.33</v>
      </c>
      <c r="G5" s="4">
        <v>39424.769999999997</v>
      </c>
      <c r="H5" s="4">
        <v>25465.09</v>
      </c>
      <c r="I5" s="4">
        <v>14056.13</v>
      </c>
      <c r="J5" s="4">
        <v>150719.06</v>
      </c>
      <c r="K5" s="6">
        <v>0.15590000000000001</v>
      </c>
    </row>
    <row r="6" spans="1:11" x14ac:dyDescent="0.3">
      <c r="A6" s="25">
        <v>45777</v>
      </c>
      <c r="B6" t="s">
        <v>462</v>
      </c>
      <c r="C6" t="s">
        <v>192</v>
      </c>
      <c r="D6" s="4">
        <v>4541.5600000000004</v>
      </c>
      <c r="E6" s="4">
        <v>12124.47</v>
      </c>
      <c r="F6" s="4">
        <v>55091.46</v>
      </c>
      <c r="G6" s="4">
        <v>61812.25</v>
      </c>
      <c r="H6" s="4">
        <v>17308.91</v>
      </c>
      <c r="I6" s="4">
        <v>29807.69</v>
      </c>
      <c r="J6" s="4">
        <v>180686.34</v>
      </c>
      <c r="K6" s="6">
        <v>0.1958</v>
      </c>
    </row>
    <row r="7" spans="1:11" x14ac:dyDescent="0.3">
      <c r="A7" s="25">
        <v>45808</v>
      </c>
      <c r="B7" t="s">
        <v>462</v>
      </c>
      <c r="C7" t="s">
        <v>192</v>
      </c>
      <c r="D7" s="4">
        <v>6705.61</v>
      </c>
      <c r="E7" s="4">
        <v>41078.22</v>
      </c>
      <c r="F7" s="4">
        <v>6513.62</v>
      </c>
      <c r="G7" s="4">
        <v>27819.34</v>
      </c>
      <c r="H7" s="4">
        <v>19434.71</v>
      </c>
      <c r="I7" s="4">
        <v>50923.26</v>
      </c>
      <c r="J7" s="4">
        <v>152474.76</v>
      </c>
      <c r="K7" s="6">
        <v>0.161</v>
      </c>
    </row>
    <row r="8" spans="1:11" x14ac:dyDescent="0.3">
      <c r="A8" s="25">
        <v>45838</v>
      </c>
      <c r="B8" t="s">
        <v>462</v>
      </c>
      <c r="C8" t="s">
        <v>192</v>
      </c>
      <c r="D8" s="4">
        <v>9851.4599999999991</v>
      </c>
      <c r="E8" s="4">
        <v>37956.980000000003</v>
      </c>
      <c r="F8" s="4">
        <v>7477.87</v>
      </c>
      <c r="G8" s="4">
        <v>49969.07</v>
      </c>
      <c r="H8" s="4">
        <v>2559.91</v>
      </c>
      <c r="I8" s="4">
        <v>48097.86</v>
      </c>
      <c r="J8" s="4">
        <v>155913.15</v>
      </c>
      <c r="K8" s="6">
        <v>0.15970000000000001</v>
      </c>
    </row>
    <row r="9" spans="1:11" x14ac:dyDescent="0.3">
      <c r="A9" s="25">
        <v>45869</v>
      </c>
      <c r="B9" t="s">
        <v>462</v>
      </c>
      <c r="C9" t="s">
        <v>192</v>
      </c>
      <c r="D9" s="4">
        <v>14418.48</v>
      </c>
      <c r="E9" s="4">
        <v>12097.2</v>
      </c>
      <c r="F9" s="4">
        <v>6819.48</v>
      </c>
      <c r="G9" s="4">
        <v>48121.33</v>
      </c>
      <c r="H9" s="4">
        <v>117485.33</v>
      </c>
      <c r="I9" s="4">
        <v>45538.239999999998</v>
      </c>
      <c r="J9" s="4">
        <v>244480.06</v>
      </c>
      <c r="K9" s="6">
        <v>0.24970000000000001</v>
      </c>
    </row>
    <row r="10" spans="1:11" x14ac:dyDescent="0.3">
      <c r="A10" s="25">
        <v>45900</v>
      </c>
      <c r="B10" t="s">
        <v>462</v>
      </c>
      <c r="C10" t="s">
        <v>192</v>
      </c>
      <c r="D10" s="4">
        <v>24322.69</v>
      </c>
      <c r="E10" s="4">
        <v>39405.21</v>
      </c>
      <c r="F10" s="4">
        <v>14584.86</v>
      </c>
      <c r="G10" s="4">
        <v>18644.169999999998</v>
      </c>
      <c r="H10" s="4">
        <v>3863.17</v>
      </c>
      <c r="I10" s="4">
        <v>92368.06</v>
      </c>
      <c r="J10" s="4">
        <v>193188.16</v>
      </c>
      <c r="K10" s="6">
        <v>0.19839999999999999</v>
      </c>
    </row>
    <row r="11" spans="1:11" x14ac:dyDescent="0.3">
      <c r="A11" s="25">
        <v>45930</v>
      </c>
      <c r="B11" t="s">
        <v>462</v>
      </c>
      <c r="C11" t="s">
        <v>192</v>
      </c>
      <c r="D11" s="4">
        <v>18517.580000000002</v>
      </c>
      <c r="E11" s="4">
        <v>5845.02</v>
      </c>
      <c r="F11" s="4">
        <v>31457.35</v>
      </c>
      <c r="G11" s="4">
        <v>13702.71</v>
      </c>
      <c r="H11" s="4">
        <v>23011.95</v>
      </c>
      <c r="I11" s="4">
        <v>44786.18</v>
      </c>
      <c r="J11" s="4">
        <v>137320.79</v>
      </c>
      <c r="K11" s="6">
        <v>0.1313</v>
      </c>
    </row>
    <row r="12" spans="1:11" x14ac:dyDescent="0.3">
      <c r="A12" s="25">
        <v>45961</v>
      </c>
      <c r="B12" t="s">
        <v>462</v>
      </c>
      <c r="C12" t="s">
        <v>192</v>
      </c>
      <c r="D12" s="4">
        <v>36475.78</v>
      </c>
      <c r="E12" s="4">
        <v>99157.61</v>
      </c>
      <c r="F12" s="4">
        <v>35227.120000000003</v>
      </c>
      <c r="G12" s="4">
        <v>30001.66</v>
      </c>
      <c r="H12" s="4">
        <v>19548.75</v>
      </c>
      <c r="I12" s="4">
        <v>29306.560000000001</v>
      </c>
      <c r="J12" s="4">
        <v>249717.48</v>
      </c>
      <c r="K12" s="6">
        <v>0.24340000000000001</v>
      </c>
    </row>
    <row r="13" spans="1:11" x14ac:dyDescent="0.3">
      <c r="A13" s="25">
        <v>45991</v>
      </c>
      <c r="B13" t="s">
        <v>462</v>
      </c>
      <c r="C13" t="s">
        <v>192</v>
      </c>
      <c r="D13" s="4">
        <v>40170.58</v>
      </c>
      <c r="E13" s="4">
        <v>13795</v>
      </c>
      <c r="F13" s="4">
        <v>37598.53</v>
      </c>
      <c r="G13" s="4">
        <v>1730.72</v>
      </c>
      <c r="H13" s="4">
        <v>52047.839999999997</v>
      </c>
      <c r="I13" s="4">
        <v>17752.27</v>
      </c>
      <c r="J13" s="4">
        <v>163094.94</v>
      </c>
      <c r="K13" s="6">
        <v>0.16039999999999999</v>
      </c>
    </row>
    <row r="14" spans="1:11" x14ac:dyDescent="0.3">
      <c r="A14" s="25">
        <v>45657</v>
      </c>
      <c r="B14" t="s">
        <v>462</v>
      </c>
      <c r="C14" t="s">
        <v>191</v>
      </c>
      <c r="D14" s="4">
        <v>26409.4</v>
      </c>
      <c r="E14" s="4">
        <v>19368.88</v>
      </c>
      <c r="F14" s="4">
        <v>9480.25</v>
      </c>
      <c r="G14" s="4">
        <v>56315.71</v>
      </c>
      <c r="H14" s="4">
        <v>10948.8</v>
      </c>
      <c r="I14" s="4">
        <v>17666.09</v>
      </c>
      <c r="J14" s="4">
        <v>140189.13</v>
      </c>
      <c r="K14" s="6">
        <v>0.17319999999999999</v>
      </c>
    </row>
    <row r="15" spans="1:11" x14ac:dyDescent="0.3">
      <c r="A15" s="25">
        <v>45688</v>
      </c>
      <c r="B15" t="s">
        <v>462</v>
      </c>
      <c r="C15" t="s">
        <v>191</v>
      </c>
      <c r="D15" s="4">
        <v>15978.42</v>
      </c>
      <c r="E15" s="4">
        <v>24806.85</v>
      </c>
      <c r="F15" s="4">
        <v>31208.57</v>
      </c>
      <c r="G15" s="4">
        <v>616.21</v>
      </c>
      <c r="H15" s="4">
        <v>26739.05</v>
      </c>
      <c r="I15" s="4">
        <v>9845.6299999999992</v>
      </c>
      <c r="J15" s="4">
        <v>109194.73</v>
      </c>
      <c r="K15" s="6">
        <v>0.12839999999999999</v>
      </c>
    </row>
    <row r="16" spans="1:11" x14ac:dyDescent="0.3">
      <c r="A16" s="25">
        <v>45716</v>
      </c>
      <c r="B16" t="s">
        <v>462</v>
      </c>
      <c r="C16" t="s">
        <v>191</v>
      </c>
      <c r="D16" s="4">
        <v>30187.75</v>
      </c>
      <c r="E16" s="4">
        <v>47567.47</v>
      </c>
      <c r="F16" s="4">
        <v>15060.89</v>
      </c>
      <c r="G16" s="4">
        <v>12680.92</v>
      </c>
      <c r="H16" s="4">
        <v>23105.24</v>
      </c>
      <c r="I16" s="4">
        <v>4310.03</v>
      </c>
      <c r="J16" s="4">
        <v>132912.29999999999</v>
      </c>
      <c r="K16" s="6">
        <v>0.15859999999999999</v>
      </c>
    </row>
    <row r="17" spans="1:11" x14ac:dyDescent="0.3">
      <c r="A17" s="25">
        <v>45747</v>
      </c>
      <c r="B17" t="s">
        <v>462</v>
      </c>
      <c r="C17" t="s">
        <v>191</v>
      </c>
      <c r="D17" s="4">
        <v>26699.97</v>
      </c>
      <c r="E17" s="4">
        <v>44955.38</v>
      </c>
      <c r="F17" s="4">
        <v>7241.65</v>
      </c>
      <c r="G17" s="4">
        <v>25509.94</v>
      </c>
      <c r="H17" s="4">
        <v>4058.74</v>
      </c>
      <c r="I17" s="4">
        <v>1165.1099999999999</v>
      </c>
      <c r="J17" s="4">
        <v>109630.79</v>
      </c>
      <c r="K17" s="6">
        <v>0.1241</v>
      </c>
    </row>
    <row r="18" spans="1:11" x14ac:dyDescent="0.3">
      <c r="A18" s="25">
        <v>45777</v>
      </c>
      <c r="B18" t="s">
        <v>462</v>
      </c>
      <c r="C18" t="s">
        <v>191</v>
      </c>
      <c r="D18" s="4">
        <v>59475.05</v>
      </c>
      <c r="E18" s="4">
        <v>8092.25</v>
      </c>
      <c r="F18" s="4">
        <v>20208.84</v>
      </c>
      <c r="G18" s="4">
        <v>11255.33</v>
      </c>
      <c r="H18" s="4">
        <v>23323.69</v>
      </c>
      <c r="I18" s="4">
        <v>75424.570000000007</v>
      </c>
      <c r="J18" s="4">
        <v>197779.73</v>
      </c>
      <c r="K18" s="6">
        <v>0.22359999999999999</v>
      </c>
    </row>
    <row r="19" spans="1:11" x14ac:dyDescent="0.3">
      <c r="A19" s="25">
        <v>45808</v>
      </c>
      <c r="B19" t="s">
        <v>462</v>
      </c>
      <c r="C19" t="s">
        <v>191</v>
      </c>
      <c r="D19" s="4">
        <v>19173.990000000002</v>
      </c>
      <c r="E19" s="4">
        <v>26139.93</v>
      </c>
      <c r="F19" s="4">
        <v>18108.330000000002</v>
      </c>
      <c r="G19" s="4">
        <v>3156.67</v>
      </c>
      <c r="H19" s="4">
        <v>17147.400000000001</v>
      </c>
      <c r="I19" s="4">
        <v>15912.12</v>
      </c>
      <c r="J19" s="4">
        <v>99638.44</v>
      </c>
      <c r="K19" s="6">
        <v>0.1077</v>
      </c>
    </row>
    <row r="20" spans="1:11" x14ac:dyDescent="0.3">
      <c r="A20" s="25">
        <v>45838</v>
      </c>
      <c r="B20" t="s">
        <v>462</v>
      </c>
      <c r="C20" t="s">
        <v>191</v>
      </c>
      <c r="D20" s="4">
        <v>26278.5</v>
      </c>
      <c r="E20" s="4">
        <v>12385.41</v>
      </c>
      <c r="F20" s="4">
        <v>1033.53</v>
      </c>
      <c r="G20" s="4">
        <v>16841.75</v>
      </c>
      <c r="H20" s="4">
        <v>13445.7</v>
      </c>
      <c r="I20" s="4">
        <v>24964.76</v>
      </c>
      <c r="J20" s="4">
        <v>94949.65</v>
      </c>
      <c r="K20" s="6">
        <v>0.104</v>
      </c>
    </row>
    <row r="21" spans="1:11" x14ac:dyDescent="0.3">
      <c r="A21" s="25">
        <v>45869</v>
      </c>
      <c r="B21" t="s">
        <v>462</v>
      </c>
      <c r="C21" t="s">
        <v>191</v>
      </c>
      <c r="D21" s="4">
        <v>45533.11</v>
      </c>
      <c r="E21" s="4">
        <v>32521.19</v>
      </c>
      <c r="F21" s="4">
        <v>6887.56</v>
      </c>
      <c r="G21" s="4">
        <v>15896.25</v>
      </c>
      <c r="H21" s="4">
        <v>3910.98</v>
      </c>
      <c r="I21" s="4">
        <v>280.02999999999997</v>
      </c>
      <c r="J21" s="4">
        <v>105029.12</v>
      </c>
      <c r="K21" s="6">
        <v>0.1056</v>
      </c>
    </row>
    <row r="22" spans="1:11" x14ac:dyDescent="0.3">
      <c r="A22" s="25">
        <v>45900</v>
      </c>
      <c r="B22" t="s">
        <v>462</v>
      </c>
      <c r="C22" t="s">
        <v>191</v>
      </c>
      <c r="D22" s="4">
        <v>9725.2000000000007</v>
      </c>
      <c r="E22" s="4">
        <v>2901.53</v>
      </c>
      <c r="F22" s="4">
        <v>7747.73</v>
      </c>
      <c r="G22" s="4">
        <v>17515.47</v>
      </c>
      <c r="H22" s="4">
        <v>63639.040000000001</v>
      </c>
      <c r="I22" s="4">
        <v>18758.099999999999</v>
      </c>
      <c r="J22" s="4">
        <v>120287.07</v>
      </c>
      <c r="K22" s="6">
        <v>0.13400000000000001</v>
      </c>
    </row>
    <row r="23" spans="1:11" x14ac:dyDescent="0.3">
      <c r="A23" s="25">
        <v>45930</v>
      </c>
      <c r="B23" t="s">
        <v>462</v>
      </c>
      <c r="C23" t="s">
        <v>191</v>
      </c>
      <c r="D23" s="4">
        <v>16548.95</v>
      </c>
      <c r="E23" s="4">
        <v>37088.300000000003</v>
      </c>
      <c r="F23" s="4">
        <v>21147.68</v>
      </c>
      <c r="G23" s="4">
        <v>18345.21</v>
      </c>
      <c r="H23" s="4">
        <v>14971.28</v>
      </c>
      <c r="I23" s="4">
        <v>4472.1899999999996</v>
      </c>
      <c r="J23" s="4">
        <v>112573.61</v>
      </c>
      <c r="K23" s="6">
        <v>0.1303</v>
      </c>
    </row>
    <row r="24" spans="1:11" x14ac:dyDescent="0.3">
      <c r="A24" s="25">
        <v>45961</v>
      </c>
      <c r="B24" t="s">
        <v>462</v>
      </c>
      <c r="C24" t="s">
        <v>191</v>
      </c>
      <c r="D24" s="4">
        <v>9723.0499999999993</v>
      </c>
      <c r="E24" s="4">
        <v>36781.15</v>
      </c>
      <c r="F24" s="4">
        <v>16468.099999999999</v>
      </c>
      <c r="G24" s="4">
        <v>96340.08</v>
      </c>
      <c r="H24" s="4">
        <v>28798.15</v>
      </c>
      <c r="I24" s="4">
        <v>4644.5200000000004</v>
      </c>
      <c r="J24" s="4">
        <v>192755.05</v>
      </c>
      <c r="K24" s="6">
        <v>0.2064</v>
      </c>
    </row>
    <row r="25" spans="1:11" x14ac:dyDescent="0.3">
      <c r="A25" s="25">
        <v>45991</v>
      </c>
      <c r="B25" t="s">
        <v>462</v>
      </c>
      <c r="C25" t="s">
        <v>191</v>
      </c>
      <c r="D25" s="4">
        <v>18111.41</v>
      </c>
      <c r="E25" s="4">
        <v>14097.5</v>
      </c>
      <c r="F25" s="4">
        <v>805.49</v>
      </c>
      <c r="G25" s="4">
        <v>49484.23</v>
      </c>
      <c r="H25" s="4">
        <v>6865.99</v>
      </c>
      <c r="I25" s="4">
        <v>13420.06</v>
      </c>
      <c r="J25" s="4">
        <v>102784.68</v>
      </c>
      <c r="K25" s="6">
        <v>0.1109</v>
      </c>
    </row>
    <row r="26" spans="1:11" x14ac:dyDescent="0.3">
      <c r="A26" s="25">
        <v>45657</v>
      </c>
      <c r="B26" t="s">
        <v>462</v>
      </c>
      <c r="C26" t="s">
        <v>193</v>
      </c>
      <c r="D26" s="4">
        <v>48098.92</v>
      </c>
      <c r="E26" s="4">
        <v>33230.15</v>
      </c>
      <c r="F26" s="4">
        <v>54673.87</v>
      </c>
      <c r="G26" s="4">
        <v>41215.42</v>
      </c>
      <c r="H26" s="4">
        <v>26089.91</v>
      </c>
      <c r="I26" s="4">
        <v>8190.93</v>
      </c>
      <c r="J26" s="4">
        <v>211499.2</v>
      </c>
      <c r="K26" s="6">
        <v>0.20430000000000001</v>
      </c>
    </row>
    <row r="27" spans="1:11" x14ac:dyDescent="0.3">
      <c r="A27" s="25">
        <v>45688</v>
      </c>
      <c r="B27" t="s">
        <v>462</v>
      </c>
      <c r="C27" t="s">
        <v>193</v>
      </c>
      <c r="D27" s="4">
        <v>27100.2</v>
      </c>
      <c r="E27" s="4">
        <v>44822.51</v>
      </c>
      <c r="F27" s="4">
        <v>44975.11</v>
      </c>
      <c r="G27" s="4">
        <v>9521.01</v>
      </c>
      <c r="H27" s="4">
        <v>10297.4</v>
      </c>
      <c r="I27" s="4">
        <v>37263.89</v>
      </c>
      <c r="J27" s="4">
        <v>173980.12</v>
      </c>
      <c r="K27" s="6">
        <v>0.1628</v>
      </c>
    </row>
    <row r="28" spans="1:11" x14ac:dyDescent="0.3">
      <c r="A28" s="25">
        <v>45716</v>
      </c>
      <c r="B28" t="s">
        <v>462</v>
      </c>
      <c r="C28" t="s">
        <v>193</v>
      </c>
      <c r="D28" s="4">
        <v>14217.1</v>
      </c>
      <c r="E28" s="4">
        <v>3976.62</v>
      </c>
      <c r="F28" s="4">
        <v>7942</v>
      </c>
      <c r="G28" s="4">
        <v>15960.66</v>
      </c>
      <c r="H28" s="4">
        <v>30137.85</v>
      </c>
      <c r="I28" s="4">
        <v>32572.33</v>
      </c>
      <c r="J28" s="4">
        <v>104806.56</v>
      </c>
      <c r="K28" s="6">
        <v>0.10059999999999999</v>
      </c>
    </row>
    <row r="29" spans="1:11" x14ac:dyDescent="0.3">
      <c r="A29" s="25">
        <v>45747</v>
      </c>
      <c r="B29" t="s">
        <v>462</v>
      </c>
      <c r="C29" t="s">
        <v>193</v>
      </c>
      <c r="D29" s="4">
        <v>29349.26</v>
      </c>
      <c r="E29" s="4">
        <v>13443.42</v>
      </c>
      <c r="F29" s="4">
        <v>38196.51</v>
      </c>
      <c r="G29" s="4">
        <v>29663.93</v>
      </c>
      <c r="H29" s="4">
        <v>44408.43</v>
      </c>
      <c r="I29" s="4">
        <v>11318.86</v>
      </c>
      <c r="J29" s="4">
        <v>166380.41</v>
      </c>
      <c r="K29" s="6">
        <v>0.16769999999999999</v>
      </c>
    </row>
    <row r="30" spans="1:11" x14ac:dyDescent="0.3">
      <c r="A30" s="25">
        <v>45777</v>
      </c>
      <c r="B30" t="s">
        <v>462</v>
      </c>
      <c r="C30" t="s">
        <v>193</v>
      </c>
      <c r="D30" s="4">
        <v>68438.210000000006</v>
      </c>
      <c r="E30" s="4">
        <v>13409.49</v>
      </c>
      <c r="F30" s="4">
        <v>1493.66</v>
      </c>
      <c r="G30" s="4">
        <v>10582.38</v>
      </c>
      <c r="H30" s="4">
        <v>55816.46</v>
      </c>
      <c r="I30" s="4">
        <v>93913.79</v>
      </c>
      <c r="J30" s="4">
        <v>243653.99</v>
      </c>
      <c r="K30" s="6">
        <v>0.21590000000000001</v>
      </c>
    </row>
    <row r="31" spans="1:11" x14ac:dyDescent="0.3">
      <c r="A31" s="25">
        <v>45808</v>
      </c>
      <c r="B31" t="s">
        <v>462</v>
      </c>
      <c r="C31" t="s">
        <v>193</v>
      </c>
      <c r="D31" s="4">
        <v>27282.18</v>
      </c>
      <c r="E31" s="4">
        <v>69710.37</v>
      </c>
      <c r="F31" s="4">
        <v>12911.01</v>
      </c>
      <c r="G31" s="4">
        <v>1821.48</v>
      </c>
      <c r="H31" s="4">
        <v>10418.23</v>
      </c>
      <c r="I31" s="4">
        <v>6799.05</v>
      </c>
      <c r="J31" s="4">
        <v>128942.32</v>
      </c>
      <c r="K31" s="6">
        <v>0.1255</v>
      </c>
    </row>
    <row r="32" spans="1:11" x14ac:dyDescent="0.3">
      <c r="A32" s="25">
        <v>45838</v>
      </c>
      <c r="B32" t="s">
        <v>462</v>
      </c>
      <c r="C32" t="s">
        <v>193</v>
      </c>
      <c r="D32" s="4">
        <v>37413.15</v>
      </c>
      <c r="E32" s="4">
        <v>39870.300000000003</v>
      </c>
      <c r="F32" s="4">
        <v>30536.02</v>
      </c>
      <c r="G32" s="4">
        <v>4948.95</v>
      </c>
      <c r="H32" s="4">
        <v>40339.480000000003</v>
      </c>
      <c r="I32" s="4">
        <v>34646.410000000003</v>
      </c>
      <c r="J32" s="4">
        <v>187754.31</v>
      </c>
      <c r="K32" s="6">
        <v>0.17929999999999999</v>
      </c>
    </row>
    <row r="33" spans="1:11" x14ac:dyDescent="0.3">
      <c r="A33" s="25">
        <v>45869</v>
      </c>
      <c r="B33" t="s">
        <v>462</v>
      </c>
      <c r="C33" t="s">
        <v>193</v>
      </c>
      <c r="D33" s="4">
        <v>107691.22</v>
      </c>
      <c r="E33" s="4">
        <v>18447.54</v>
      </c>
      <c r="F33" s="4">
        <v>59885.24</v>
      </c>
      <c r="G33" s="4">
        <v>20.170000000000002</v>
      </c>
      <c r="H33" s="4">
        <v>19796.32</v>
      </c>
      <c r="I33" s="4">
        <v>2156.69</v>
      </c>
      <c r="J33" s="4">
        <v>207997.18</v>
      </c>
      <c r="K33" s="6">
        <v>0.20669999999999999</v>
      </c>
    </row>
    <row r="34" spans="1:11" x14ac:dyDescent="0.3">
      <c r="A34" s="25">
        <v>45900</v>
      </c>
      <c r="B34" t="s">
        <v>462</v>
      </c>
      <c r="C34" t="s">
        <v>193</v>
      </c>
      <c r="D34" s="4">
        <v>11743.64</v>
      </c>
      <c r="E34" s="4">
        <v>1680.29</v>
      </c>
      <c r="F34" s="4">
        <v>12961.25</v>
      </c>
      <c r="G34" s="4">
        <v>51194.39</v>
      </c>
      <c r="H34" s="4">
        <v>51154.44</v>
      </c>
      <c r="I34" s="4">
        <v>93179.66</v>
      </c>
      <c r="J34" s="4">
        <v>221913.67</v>
      </c>
      <c r="K34" s="6">
        <v>0.2044</v>
      </c>
    </row>
    <row r="35" spans="1:11" x14ac:dyDescent="0.3">
      <c r="A35" s="25">
        <v>45930</v>
      </c>
      <c r="B35" t="s">
        <v>462</v>
      </c>
      <c r="C35" t="s">
        <v>193</v>
      </c>
      <c r="D35" s="4">
        <v>502.25</v>
      </c>
      <c r="E35" s="4">
        <v>14101.35</v>
      </c>
      <c r="F35" s="4">
        <v>24634.52</v>
      </c>
      <c r="G35" s="4">
        <v>2368.4299999999998</v>
      </c>
      <c r="H35" s="4">
        <v>46935.94</v>
      </c>
      <c r="I35" s="4">
        <v>159200.92000000001</v>
      </c>
      <c r="J35" s="4">
        <v>247743.41</v>
      </c>
      <c r="K35" s="6">
        <v>0.23280000000000001</v>
      </c>
    </row>
    <row r="36" spans="1:11" x14ac:dyDescent="0.3">
      <c r="A36" s="25">
        <v>45961</v>
      </c>
      <c r="B36" t="s">
        <v>462</v>
      </c>
      <c r="C36" t="s">
        <v>193</v>
      </c>
      <c r="D36" s="4">
        <v>22166.5</v>
      </c>
      <c r="E36" s="4">
        <v>22209.83</v>
      </c>
      <c r="F36" s="4">
        <v>5940.14</v>
      </c>
      <c r="G36" s="4">
        <v>63427.199999999997</v>
      </c>
      <c r="H36" s="4">
        <v>2479.14</v>
      </c>
      <c r="I36" s="4">
        <v>11481.35</v>
      </c>
      <c r="J36" s="4">
        <v>127704.16</v>
      </c>
      <c r="K36" s="6">
        <v>0.1166</v>
      </c>
    </row>
    <row r="37" spans="1:11" x14ac:dyDescent="0.3">
      <c r="A37" s="25">
        <v>45991</v>
      </c>
      <c r="B37" t="s">
        <v>462</v>
      </c>
      <c r="C37" t="s">
        <v>193</v>
      </c>
      <c r="D37" s="4">
        <v>75.739999999999995</v>
      </c>
      <c r="E37" s="4">
        <v>21961.1</v>
      </c>
      <c r="F37" s="4">
        <v>2581.7399999999998</v>
      </c>
      <c r="G37" s="4">
        <v>24116.39</v>
      </c>
      <c r="H37" s="4">
        <v>187697.04</v>
      </c>
      <c r="I37" s="4">
        <v>5609.13</v>
      </c>
      <c r="J37" s="4">
        <v>242041.14</v>
      </c>
      <c r="K37" s="6">
        <v>0.23710000000000001</v>
      </c>
    </row>
    <row r="38" spans="1:11" x14ac:dyDescent="0.3">
      <c r="A38" s="25">
        <v>45657</v>
      </c>
      <c r="B38" t="s">
        <v>462</v>
      </c>
      <c r="C38" t="s">
        <v>186</v>
      </c>
      <c r="D38" s="4">
        <v>39061.06</v>
      </c>
      <c r="E38" s="4">
        <v>28761.37</v>
      </c>
      <c r="F38" s="4">
        <v>6714.24</v>
      </c>
      <c r="G38" s="4">
        <v>82242.48</v>
      </c>
      <c r="H38" s="4">
        <v>72012.45</v>
      </c>
      <c r="I38" s="4">
        <v>317470.45</v>
      </c>
      <c r="J38" s="4">
        <v>546262.05000000005</v>
      </c>
      <c r="K38" s="6">
        <v>0.1956</v>
      </c>
    </row>
    <row r="39" spans="1:11" x14ac:dyDescent="0.3">
      <c r="A39" s="25">
        <v>45688</v>
      </c>
      <c r="B39" t="s">
        <v>462</v>
      </c>
      <c r="C39" t="s">
        <v>186</v>
      </c>
      <c r="D39" s="4">
        <v>45375.66</v>
      </c>
      <c r="E39" s="4">
        <v>56754.33</v>
      </c>
      <c r="F39" s="4">
        <v>127248.94</v>
      </c>
      <c r="G39" s="4">
        <v>102233.76</v>
      </c>
      <c r="H39" s="4">
        <v>23819.919999999998</v>
      </c>
      <c r="I39" s="4">
        <v>65738.679999999993</v>
      </c>
      <c r="J39" s="4">
        <v>421171.29</v>
      </c>
      <c r="K39" s="6">
        <v>0.1457</v>
      </c>
    </row>
    <row r="40" spans="1:11" x14ac:dyDescent="0.3">
      <c r="A40" s="25">
        <v>45716</v>
      </c>
      <c r="B40" t="s">
        <v>462</v>
      </c>
      <c r="C40" t="s">
        <v>186</v>
      </c>
      <c r="D40" s="4">
        <v>80184.03</v>
      </c>
      <c r="E40" s="4">
        <v>142223.19</v>
      </c>
      <c r="F40" s="4">
        <v>117131.19</v>
      </c>
      <c r="G40" s="4">
        <v>7914.6</v>
      </c>
      <c r="H40" s="4">
        <v>13893.06</v>
      </c>
      <c r="I40" s="4">
        <v>37886.92</v>
      </c>
      <c r="J40" s="4">
        <v>399232.99</v>
      </c>
      <c r="K40" s="6">
        <v>0.14369999999999999</v>
      </c>
    </row>
    <row r="41" spans="1:11" x14ac:dyDescent="0.3">
      <c r="A41" s="25">
        <v>45747</v>
      </c>
      <c r="B41" t="s">
        <v>462</v>
      </c>
      <c r="C41" t="s">
        <v>186</v>
      </c>
      <c r="D41" s="4">
        <v>26866.16</v>
      </c>
      <c r="E41" s="4">
        <v>28583.75</v>
      </c>
      <c r="F41" s="4">
        <v>48471.29</v>
      </c>
      <c r="G41" s="4">
        <v>231209.1</v>
      </c>
      <c r="H41" s="4">
        <v>38348.06</v>
      </c>
      <c r="I41" s="4">
        <v>53251.9</v>
      </c>
      <c r="J41" s="4">
        <v>426730.26</v>
      </c>
      <c r="K41" s="6">
        <v>0.1502</v>
      </c>
    </row>
    <row r="42" spans="1:11" x14ac:dyDescent="0.3">
      <c r="A42" s="25">
        <v>45777</v>
      </c>
      <c r="B42" t="s">
        <v>462</v>
      </c>
      <c r="C42" t="s">
        <v>186</v>
      </c>
      <c r="D42" s="4">
        <v>138456.85999999999</v>
      </c>
      <c r="E42" s="4">
        <v>286927.77</v>
      </c>
      <c r="F42" s="4">
        <v>21567.88</v>
      </c>
      <c r="G42" s="4">
        <v>13070.51</v>
      </c>
      <c r="H42" s="4">
        <v>53645.87</v>
      </c>
      <c r="I42" s="4">
        <v>108451.17</v>
      </c>
      <c r="J42" s="4">
        <v>622120.06000000006</v>
      </c>
      <c r="K42" s="6">
        <v>0.21190000000000001</v>
      </c>
    </row>
    <row r="43" spans="1:11" x14ac:dyDescent="0.3">
      <c r="A43" s="25">
        <v>45808</v>
      </c>
      <c r="B43" t="s">
        <v>462</v>
      </c>
      <c r="C43" t="s">
        <v>186</v>
      </c>
      <c r="D43" s="4">
        <v>101719.95</v>
      </c>
      <c r="E43" s="4">
        <v>57875.22</v>
      </c>
      <c r="F43" s="4">
        <v>46685.34</v>
      </c>
      <c r="G43" s="4">
        <v>36683.56</v>
      </c>
      <c r="H43" s="4">
        <v>132821.62</v>
      </c>
      <c r="I43" s="4">
        <v>5269.83</v>
      </c>
      <c r="J43" s="4">
        <v>381055.52</v>
      </c>
      <c r="K43" s="6">
        <v>0.13139999999999999</v>
      </c>
    </row>
    <row r="44" spans="1:11" x14ac:dyDescent="0.3">
      <c r="A44" s="25">
        <v>45838</v>
      </c>
      <c r="B44" t="s">
        <v>462</v>
      </c>
      <c r="C44" t="s">
        <v>186</v>
      </c>
      <c r="D44" s="4">
        <v>178379.46</v>
      </c>
      <c r="E44" s="4">
        <v>106899.5</v>
      </c>
      <c r="F44" s="4">
        <v>29591.06</v>
      </c>
      <c r="G44" s="4">
        <v>87289.46</v>
      </c>
      <c r="H44" s="4">
        <v>32816.65</v>
      </c>
      <c r="I44" s="4">
        <v>3640.98</v>
      </c>
      <c r="J44" s="4">
        <v>438617.11</v>
      </c>
      <c r="K44" s="6">
        <v>0.14940000000000001</v>
      </c>
    </row>
    <row r="45" spans="1:11" x14ac:dyDescent="0.3">
      <c r="A45" s="25">
        <v>45869</v>
      </c>
      <c r="B45" t="s">
        <v>462</v>
      </c>
      <c r="C45" t="s">
        <v>186</v>
      </c>
      <c r="D45" s="4">
        <v>48286.86</v>
      </c>
      <c r="E45" s="4">
        <v>152457.54</v>
      </c>
      <c r="F45" s="4">
        <v>76397.77</v>
      </c>
      <c r="G45" s="4">
        <v>94177.89</v>
      </c>
      <c r="H45" s="4">
        <v>98522.31</v>
      </c>
      <c r="I45" s="4">
        <v>87663.99</v>
      </c>
      <c r="J45" s="4">
        <v>557506.36</v>
      </c>
      <c r="K45" s="6">
        <v>0.18709999999999999</v>
      </c>
    </row>
    <row r="46" spans="1:11" x14ac:dyDescent="0.3">
      <c r="A46" s="25">
        <v>45900</v>
      </c>
      <c r="B46" t="s">
        <v>462</v>
      </c>
      <c r="C46" t="s">
        <v>186</v>
      </c>
      <c r="D46" s="4">
        <v>9553.77</v>
      </c>
      <c r="E46" s="4">
        <v>179139.14</v>
      </c>
      <c r="F46" s="4">
        <v>42711.33</v>
      </c>
      <c r="G46" s="4">
        <v>79617.31</v>
      </c>
      <c r="H46" s="4">
        <v>141540.41</v>
      </c>
      <c r="I46" s="4">
        <v>82826.94</v>
      </c>
      <c r="J46" s="4">
        <v>535388.9</v>
      </c>
      <c r="K46" s="6">
        <v>0.18099999999999999</v>
      </c>
    </row>
    <row r="47" spans="1:11" x14ac:dyDescent="0.3">
      <c r="A47" s="25">
        <v>45930</v>
      </c>
      <c r="B47" t="s">
        <v>462</v>
      </c>
      <c r="C47" t="s">
        <v>186</v>
      </c>
      <c r="D47" s="4">
        <v>81215.960000000006</v>
      </c>
      <c r="E47" s="4">
        <v>60268.66</v>
      </c>
      <c r="F47" s="4">
        <v>186284.22</v>
      </c>
      <c r="G47" s="4">
        <v>147991.79999999999</v>
      </c>
      <c r="H47" s="4">
        <v>1407.1</v>
      </c>
      <c r="I47" s="4">
        <v>20470.07</v>
      </c>
      <c r="J47" s="4">
        <v>497637.81</v>
      </c>
      <c r="K47" s="6">
        <v>0.1673</v>
      </c>
    </row>
    <row r="48" spans="1:11" x14ac:dyDescent="0.3">
      <c r="A48" s="25">
        <v>45961</v>
      </c>
      <c r="B48" t="s">
        <v>462</v>
      </c>
      <c r="C48" t="s">
        <v>186</v>
      </c>
      <c r="D48" s="4">
        <v>266922.68</v>
      </c>
      <c r="E48" s="4">
        <v>12249.36</v>
      </c>
      <c r="F48" s="4">
        <v>100571.9</v>
      </c>
      <c r="G48" s="4">
        <v>44044.24</v>
      </c>
      <c r="H48" s="4">
        <v>34691.79</v>
      </c>
      <c r="I48" s="4">
        <v>111696.72</v>
      </c>
      <c r="J48" s="4">
        <v>570176.68999999994</v>
      </c>
      <c r="K48" s="6">
        <v>0.18659999999999999</v>
      </c>
    </row>
    <row r="49" spans="1:11" x14ac:dyDescent="0.3">
      <c r="A49" s="25">
        <v>45991</v>
      </c>
      <c r="B49" t="s">
        <v>462</v>
      </c>
      <c r="C49" t="s">
        <v>186</v>
      </c>
      <c r="D49" s="4">
        <v>134249.1</v>
      </c>
      <c r="E49" s="4">
        <v>56557.63</v>
      </c>
      <c r="F49" s="4">
        <v>172467.51</v>
      </c>
      <c r="G49" s="4">
        <v>78746.19</v>
      </c>
      <c r="H49" s="4">
        <v>60960.58</v>
      </c>
      <c r="I49" s="4">
        <v>4939.75</v>
      </c>
      <c r="J49" s="4">
        <v>507920.76</v>
      </c>
      <c r="K49" s="6">
        <v>0.17130000000000001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4226-3192-47DB-8BBE-9272FC566BED}">
  <sheetPr>
    <tabColor theme="9" tint="0.39997558519241921"/>
  </sheetPr>
  <dimension ref="A1:H481"/>
  <sheetViews>
    <sheetView workbookViewId="0"/>
  </sheetViews>
  <sheetFormatPr defaultRowHeight="14.4" x14ac:dyDescent="0.3"/>
  <cols>
    <col min="1" max="1" width="17.109375" customWidth="1"/>
    <col min="4" max="4" width="29.109375" customWidth="1"/>
  </cols>
  <sheetData>
    <row r="1" spans="1:8" x14ac:dyDescent="0.3">
      <c r="A1" s="13" t="s">
        <v>267</v>
      </c>
      <c r="B1" s="13" t="s">
        <v>290</v>
      </c>
      <c r="C1" s="13" t="s">
        <v>22</v>
      </c>
      <c r="D1" s="13" t="s">
        <v>333</v>
      </c>
      <c r="E1" s="13" t="s">
        <v>289</v>
      </c>
      <c r="F1" s="13" t="s">
        <v>288</v>
      </c>
      <c r="G1" s="13" t="s">
        <v>287</v>
      </c>
      <c r="H1" s="13" t="s">
        <v>379</v>
      </c>
    </row>
    <row r="2" spans="1:8" x14ac:dyDescent="0.3">
      <c r="A2" s="25">
        <v>45657</v>
      </c>
      <c r="B2" t="s">
        <v>462</v>
      </c>
      <c r="C2" t="s">
        <v>192</v>
      </c>
      <c r="D2" t="s">
        <v>472</v>
      </c>
      <c r="E2">
        <v>156682.19</v>
      </c>
      <c r="F2">
        <v>32164.66</v>
      </c>
      <c r="G2">
        <v>124517.52</v>
      </c>
      <c r="H2">
        <v>0.79469999999999996</v>
      </c>
    </row>
    <row r="3" spans="1:8" x14ac:dyDescent="0.3">
      <c r="A3" s="25">
        <v>45657</v>
      </c>
      <c r="B3" t="s">
        <v>462</v>
      </c>
      <c r="C3" t="s">
        <v>192</v>
      </c>
      <c r="D3" t="s">
        <v>471</v>
      </c>
      <c r="E3">
        <v>144212.93</v>
      </c>
      <c r="F3">
        <v>29604.9</v>
      </c>
      <c r="G3">
        <v>114608.03</v>
      </c>
      <c r="H3">
        <v>0.79469999999999996</v>
      </c>
    </row>
    <row r="4" spans="1:8" x14ac:dyDescent="0.3">
      <c r="A4" s="25">
        <v>45657</v>
      </c>
      <c r="B4" t="s">
        <v>462</v>
      </c>
      <c r="C4" t="s">
        <v>192</v>
      </c>
      <c r="D4" t="s">
        <v>470</v>
      </c>
      <c r="E4">
        <v>103963.52</v>
      </c>
      <c r="F4">
        <v>21342.26</v>
      </c>
      <c r="G4">
        <v>82621.259999999995</v>
      </c>
      <c r="H4">
        <v>0.79469999999999996</v>
      </c>
    </row>
    <row r="5" spans="1:8" x14ac:dyDescent="0.3">
      <c r="A5" s="25">
        <v>45657</v>
      </c>
      <c r="B5" t="s">
        <v>462</v>
      </c>
      <c r="C5" t="s">
        <v>192</v>
      </c>
      <c r="D5" t="s">
        <v>469</v>
      </c>
      <c r="E5">
        <v>109888.74</v>
      </c>
      <c r="F5">
        <v>22558.62</v>
      </c>
      <c r="G5">
        <v>87330.12</v>
      </c>
      <c r="H5">
        <v>0.79469999999999996</v>
      </c>
    </row>
    <row r="6" spans="1:8" x14ac:dyDescent="0.3">
      <c r="A6" s="25">
        <v>45657</v>
      </c>
      <c r="B6" t="s">
        <v>462</v>
      </c>
      <c r="C6" t="s">
        <v>192</v>
      </c>
      <c r="D6" t="s">
        <v>468</v>
      </c>
      <c r="E6">
        <v>56804.44</v>
      </c>
      <c r="F6">
        <v>11661.16</v>
      </c>
      <c r="G6">
        <v>45143.28</v>
      </c>
      <c r="H6">
        <v>0.79469999999999996</v>
      </c>
    </row>
    <row r="7" spans="1:8" x14ac:dyDescent="0.3">
      <c r="A7" s="25">
        <v>45657</v>
      </c>
      <c r="B7" t="s">
        <v>462</v>
      </c>
      <c r="C7" t="s">
        <v>192</v>
      </c>
      <c r="D7" t="s">
        <v>467</v>
      </c>
      <c r="E7">
        <v>118198.04</v>
      </c>
      <c r="F7">
        <v>24264.41</v>
      </c>
      <c r="G7">
        <v>93933.64</v>
      </c>
      <c r="H7">
        <v>0.79469999999999996</v>
      </c>
    </row>
    <row r="8" spans="1:8" x14ac:dyDescent="0.3">
      <c r="A8" s="25">
        <v>45657</v>
      </c>
      <c r="B8" t="s">
        <v>462</v>
      </c>
      <c r="C8" t="s">
        <v>192</v>
      </c>
      <c r="D8" t="s">
        <v>466</v>
      </c>
      <c r="E8">
        <v>76260.160000000003</v>
      </c>
      <c r="F8">
        <v>15655.15</v>
      </c>
      <c r="G8">
        <v>60605.02</v>
      </c>
      <c r="H8">
        <v>0.79469999999999996</v>
      </c>
    </row>
    <row r="9" spans="1:8" x14ac:dyDescent="0.3">
      <c r="A9" s="25">
        <v>45657</v>
      </c>
      <c r="B9" t="s">
        <v>462</v>
      </c>
      <c r="C9" t="s">
        <v>192</v>
      </c>
      <c r="D9" t="s">
        <v>465</v>
      </c>
      <c r="E9">
        <v>48444.12</v>
      </c>
      <c r="F9">
        <v>9944.9</v>
      </c>
      <c r="G9">
        <v>38499.22</v>
      </c>
      <c r="H9">
        <v>0.79469999999999996</v>
      </c>
    </row>
    <row r="10" spans="1:8" x14ac:dyDescent="0.3">
      <c r="A10" s="25">
        <v>45657</v>
      </c>
      <c r="B10" t="s">
        <v>462</v>
      </c>
      <c r="C10" t="s">
        <v>192</v>
      </c>
      <c r="D10" t="s">
        <v>464</v>
      </c>
      <c r="E10">
        <v>34093.39</v>
      </c>
      <c r="F10">
        <v>6998.9</v>
      </c>
      <c r="G10">
        <v>27094.5</v>
      </c>
      <c r="H10">
        <v>0.79469999999999996</v>
      </c>
    </row>
    <row r="11" spans="1:8" x14ac:dyDescent="0.3">
      <c r="A11" s="25">
        <v>45657</v>
      </c>
      <c r="B11" t="s">
        <v>462</v>
      </c>
      <c r="C11" t="s">
        <v>192</v>
      </c>
      <c r="D11" t="s">
        <v>463</v>
      </c>
      <c r="E11">
        <v>99270.15</v>
      </c>
      <c r="F11">
        <v>20378.759999999998</v>
      </c>
      <c r="G11">
        <v>78891.37</v>
      </c>
      <c r="H11">
        <v>0.79469999999999996</v>
      </c>
    </row>
    <row r="12" spans="1:8" x14ac:dyDescent="0.3">
      <c r="A12" s="25">
        <v>45688</v>
      </c>
      <c r="B12" t="s">
        <v>462</v>
      </c>
      <c r="C12" t="s">
        <v>192</v>
      </c>
      <c r="D12" t="s">
        <v>472</v>
      </c>
      <c r="E12">
        <v>193492.81</v>
      </c>
      <c r="F12">
        <v>27461.49</v>
      </c>
      <c r="G12">
        <v>166031.32</v>
      </c>
      <c r="H12">
        <v>0.85809999999999997</v>
      </c>
    </row>
    <row r="13" spans="1:8" x14ac:dyDescent="0.3">
      <c r="A13" s="25">
        <v>45688</v>
      </c>
      <c r="B13" t="s">
        <v>462</v>
      </c>
      <c r="C13" t="s">
        <v>192</v>
      </c>
      <c r="D13" t="s">
        <v>471</v>
      </c>
      <c r="E13">
        <v>118546.89</v>
      </c>
      <c r="F13">
        <v>16824.78</v>
      </c>
      <c r="G13">
        <v>101722.1</v>
      </c>
      <c r="H13">
        <v>0.85809999999999997</v>
      </c>
    </row>
    <row r="14" spans="1:8" x14ac:dyDescent="0.3">
      <c r="A14" s="25">
        <v>45688</v>
      </c>
      <c r="B14" t="s">
        <v>462</v>
      </c>
      <c r="C14" t="s">
        <v>192</v>
      </c>
      <c r="D14" t="s">
        <v>470</v>
      </c>
      <c r="E14">
        <v>163934.34</v>
      </c>
      <c r="F14">
        <v>23266.400000000001</v>
      </c>
      <c r="G14">
        <v>140667.94</v>
      </c>
      <c r="H14">
        <v>0.85809999999999997</v>
      </c>
    </row>
    <row r="15" spans="1:8" x14ac:dyDescent="0.3">
      <c r="A15" s="25">
        <v>45688</v>
      </c>
      <c r="B15" t="s">
        <v>462</v>
      </c>
      <c r="C15" t="s">
        <v>192</v>
      </c>
      <c r="D15" t="s">
        <v>469</v>
      </c>
      <c r="E15">
        <v>70389.5</v>
      </c>
      <c r="F15">
        <v>9990.0400000000009</v>
      </c>
      <c r="G15">
        <v>60399.46</v>
      </c>
      <c r="H15">
        <v>0.85809999999999997</v>
      </c>
    </row>
    <row r="16" spans="1:8" x14ac:dyDescent="0.3">
      <c r="A16" s="25">
        <v>45688</v>
      </c>
      <c r="B16" t="s">
        <v>462</v>
      </c>
      <c r="C16" t="s">
        <v>192</v>
      </c>
      <c r="D16" t="s">
        <v>468</v>
      </c>
      <c r="E16">
        <v>63977.59</v>
      </c>
      <c r="F16">
        <v>9080.0300000000007</v>
      </c>
      <c r="G16">
        <v>54897.56</v>
      </c>
      <c r="H16">
        <v>0.85809999999999997</v>
      </c>
    </row>
    <row r="17" spans="1:8" x14ac:dyDescent="0.3">
      <c r="A17" s="25">
        <v>45688</v>
      </c>
      <c r="B17" t="s">
        <v>462</v>
      </c>
      <c r="C17" t="s">
        <v>192</v>
      </c>
      <c r="D17" t="s">
        <v>467</v>
      </c>
      <c r="E17">
        <v>106164.24</v>
      </c>
      <c r="F17">
        <v>15067.37</v>
      </c>
      <c r="G17">
        <v>91096.87</v>
      </c>
      <c r="H17">
        <v>0.85809999999999997</v>
      </c>
    </row>
    <row r="18" spans="1:8" x14ac:dyDescent="0.3">
      <c r="A18" s="25">
        <v>45688</v>
      </c>
      <c r="B18" t="s">
        <v>462</v>
      </c>
      <c r="C18" t="s">
        <v>192</v>
      </c>
      <c r="D18" t="s">
        <v>466</v>
      </c>
      <c r="E18">
        <v>64612.35</v>
      </c>
      <c r="F18">
        <v>9170.1200000000008</v>
      </c>
      <c r="G18">
        <v>55442.23</v>
      </c>
      <c r="H18">
        <v>0.85809999999999997</v>
      </c>
    </row>
    <row r="19" spans="1:8" x14ac:dyDescent="0.3">
      <c r="A19" s="25">
        <v>45688</v>
      </c>
      <c r="B19" t="s">
        <v>462</v>
      </c>
      <c r="C19" t="s">
        <v>192</v>
      </c>
      <c r="D19" t="s">
        <v>465</v>
      </c>
      <c r="E19">
        <v>55383.95</v>
      </c>
      <c r="F19">
        <v>7860.37</v>
      </c>
      <c r="G19">
        <v>47523.57</v>
      </c>
      <c r="H19">
        <v>0.85809999999999997</v>
      </c>
    </row>
    <row r="20" spans="1:8" x14ac:dyDescent="0.3">
      <c r="A20" s="25">
        <v>45688</v>
      </c>
      <c r="B20" t="s">
        <v>462</v>
      </c>
      <c r="C20" t="s">
        <v>192</v>
      </c>
      <c r="D20" t="s">
        <v>464</v>
      </c>
      <c r="E20">
        <v>54436.15</v>
      </c>
      <c r="F20">
        <v>7725.86</v>
      </c>
      <c r="G20">
        <v>46710.29</v>
      </c>
      <c r="H20">
        <v>0.85809999999999997</v>
      </c>
    </row>
    <row r="21" spans="1:8" x14ac:dyDescent="0.3">
      <c r="A21" s="25">
        <v>45688</v>
      </c>
      <c r="B21" t="s">
        <v>462</v>
      </c>
      <c r="C21" t="s">
        <v>192</v>
      </c>
      <c r="D21" t="s">
        <v>463</v>
      </c>
      <c r="E21">
        <v>81380.78</v>
      </c>
      <c r="F21">
        <v>11549.98</v>
      </c>
      <c r="G21">
        <v>69830.820000000007</v>
      </c>
      <c r="H21">
        <v>0.85809999999999997</v>
      </c>
    </row>
    <row r="22" spans="1:8" x14ac:dyDescent="0.3">
      <c r="A22" s="25">
        <v>45716</v>
      </c>
      <c r="B22" t="s">
        <v>462</v>
      </c>
      <c r="C22" t="s">
        <v>192</v>
      </c>
      <c r="D22" t="s">
        <v>472</v>
      </c>
      <c r="E22">
        <v>124507.02</v>
      </c>
      <c r="F22">
        <v>22405.34</v>
      </c>
      <c r="G22">
        <v>102101.67</v>
      </c>
      <c r="H22">
        <v>0.82</v>
      </c>
    </row>
    <row r="23" spans="1:8" x14ac:dyDescent="0.3">
      <c r="A23" s="25">
        <v>45716</v>
      </c>
      <c r="B23" t="s">
        <v>462</v>
      </c>
      <c r="C23" t="s">
        <v>192</v>
      </c>
      <c r="D23" t="s">
        <v>471</v>
      </c>
      <c r="E23">
        <v>123233.54</v>
      </c>
      <c r="F23">
        <v>22176.18</v>
      </c>
      <c r="G23">
        <v>101057.36</v>
      </c>
      <c r="H23">
        <v>0.82</v>
      </c>
    </row>
    <row r="24" spans="1:8" x14ac:dyDescent="0.3">
      <c r="A24" s="25">
        <v>45716</v>
      </c>
      <c r="B24" t="s">
        <v>462</v>
      </c>
      <c r="C24" t="s">
        <v>192</v>
      </c>
      <c r="D24" t="s">
        <v>470</v>
      </c>
      <c r="E24">
        <v>116957.83</v>
      </c>
      <c r="F24">
        <v>21046.85</v>
      </c>
      <c r="G24">
        <v>95910.98</v>
      </c>
      <c r="H24">
        <v>0.82</v>
      </c>
    </row>
    <row r="25" spans="1:8" x14ac:dyDescent="0.3">
      <c r="A25" s="25">
        <v>45716</v>
      </c>
      <c r="B25" t="s">
        <v>462</v>
      </c>
      <c r="C25" t="s">
        <v>192</v>
      </c>
      <c r="D25" t="s">
        <v>469</v>
      </c>
      <c r="E25">
        <v>69059.490000000005</v>
      </c>
      <c r="F25">
        <v>12427.43</v>
      </c>
      <c r="G25">
        <v>56632.06</v>
      </c>
      <c r="H25">
        <v>0.82</v>
      </c>
    </row>
    <row r="26" spans="1:8" x14ac:dyDescent="0.3">
      <c r="A26" s="25">
        <v>45716</v>
      </c>
      <c r="B26" t="s">
        <v>462</v>
      </c>
      <c r="C26" t="s">
        <v>192</v>
      </c>
      <c r="D26" t="s">
        <v>468</v>
      </c>
      <c r="E26">
        <v>72579.360000000001</v>
      </c>
      <c r="F26">
        <v>13060.83</v>
      </c>
      <c r="G26">
        <v>59518.52</v>
      </c>
      <c r="H26">
        <v>0.82</v>
      </c>
    </row>
    <row r="27" spans="1:8" x14ac:dyDescent="0.3">
      <c r="A27" s="25">
        <v>45716</v>
      </c>
      <c r="B27" t="s">
        <v>462</v>
      </c>
      <c r="C27" t="s">
        <v>192</v>
      </c>
      <c r="D27" t="s">
        <v>467</v>
      </c>
      <c r="E27">
        <v>100465.71</v>
      </c>
      <c r="F27">
        <v>18079.05</v>
      </c>
      <c r="G27">
        <v>82386.66</v>
      </c>
      <c r="H27">
        <v>0.82</v>
      </c>
    </row>
    <row r="28" spans="1:8" x14ac:dyDescent="0.3">
      <c r="A28" s="25">
        <v>45716</v>
      </c>
      <c r="B28" t="s">
        <v>462</v>
      </c>
      <c r="C28" t="s">
        <v>192</v>
      </c>
      <c r="D28" t="s">
        <v>466</v>
      </c>
      <c r="E28">
        <v>68471.63</v>
      </c>
      <c r="F28">
        <v>12321.64</v>
      </c>
      <c r="G28">
        <v>56149.99</v>
      </c>
      <c r="H28">
        <v>0.82</v>
      </c>
    </row>
    <row r="29" spans="1:8" x14ac:dyDescent="0.3">
      <c r="A29" s="25">
        <v>45716</v>
      </c>
      <c r="B29" t="s">
        <v>462</v>
      </c>
      <c r="C29" t="s">
        <v>192</v>
      </c>
      <c r="D29" t="s">
        <v>465</v>
      </c>
      <c r="E29">
        <v>45834.49</v>
      </c>
      <c r="F29">
        <v>8248.0300000000007</v>
      </c>
      <c r="G29">
        <v>37586.46</v>
      </c>
      <c r="H29">
        <v>0.82</v>
      </c>
    </row>
    <row r="30" spans="1:8" x14ac:dyDescent="0.3">
      <c r="A30" s="25">
        <v>45716</v>
      </c>
      <c r="B30" t="s">
        <v>462</v>
      </c>
      <c r="C30" t="s">
        <v>192</v>
      </c>
      <c r="D30" t="s">
        <v>464</v>
      </c>
      <c r="E30">
        <v>109356.07</v>
      </c>
      <c r="F30">
        <v>19678.900000000001</v>
      </c>
      <c r="G30">
        <v>89677.18</v>
      </c>
      <c r="H30">
        <v>0.82</v>
      </c>
    </row>
    <row r="31" spans="1:8" x14ac:dyDescent="0.3">
      <c r="A31" s="25">
        <v>45716</v>
      </c>
      <c r="B31" t="s">
        <v>462</v>
      </c>
      <c r="C31" t="s">
        <v>192</v>
      </c>
      <c r="D31" t="s">
        <v>463</v>
      </c>
      <c r="E31">
        <v>67072.58</v>
      </c>
      <c r="F31">
        <v>12069.88</v>
      </c>
      <c r="G31">
        <v>55002.720000000001</v>
      </c>
      <c r="H31">
        <v>0.82</v>
      </c>
    </row>
    <row r="32" spans="1:8" x14ac:dyDescent="0.3">
      <c r="A32" s="25">
        <v>45747</v>
      </c>
      <c r="B32" t="s">
        <v>462</v>
      </c>
      <c r="C32" t="s">
        <v>192</v>
      </c>
      <c r="D32" t="s">
        <v>472</v>
      </c>
      <c r="E32">
        <v>146193.85</v>
      </c>
      <c r="F32">
        <v>22790.51</v>
      </c>
      <c r="G32">
        <v>123403.35</v>
      </c>
      <c r="H32">
        <v>0.84409999999999996</v>
      </c>
    </row>
    <row r="33" spans="1:8" x14ac:dyDescent="0.3">
      <c r="A33" s="25">
        <v>45747</v>
      </c>
      <c r="B33" t="s">
        <v>462</v>
      </c>
      <c r="C33" t="s">
        <v>192</v>
      </c>
      <c r="D33" t="s">
        <v>471</v>
      </c>
      <c r="E33">
        <v>100631.2</v>
      </c>
      <c r="F33">
        <v>15687.64</v>
      </c>
      <c r="G33">
        <v>84943.56</v>
      </c>
      <c r="H33">
        <v>0.84409999999999996</v>
      </c>
    </row>
    <row r="34" spans="1:8" x14ac:dyDescent="0.3">
      <c r="A34" s="25">
        <v>45747</v>
      </c>
      <c r="B34" t="s">
        <v>462</v>
      </c>
      <c r="C34" t="s">
        <v>192</v>
      </c>
      <c r="D34" t="s">
        <v>470</v>
      </c>
      <c r="E34">
        <v>100177.41</v>
      </c>
      <c r="F34">
        <v>15616.89</v>
      </c>
      <c r="G34">
        <v>84560.52</v>
      </c>
      <c r="H34">
        <v>0.84409999999999996</v>
      </c>
    </row>
    <row r="35" spans="1:8" x14ac:dyDescent="0.3">
      <c r="A35" s="25">
        <v>45747</v>
      </c>
      <c r="B35" t="s">
        <v>462</v>
      </c>
      <c r="C35" t="s">
        <v>192</v>
      </c>
      <c r="D35" t="s">
        <v>469</v>
      </c>
      <c r="E35">
        <v>113710.95</v>
      </c>
      <c r="F35">
        <v>17726.669999999998</v>
      </c>
      <c r="G35">
        <v>95984.28</v>
      </c>
      <c r="H35">
        <v>0.84409999999999996</v>
      </c>
    </row>
    <row r="36" spans="1:8" x14ac:dyDescent="0.3">
      <c r="A36" s="25">
        <v>45747</v>
      </c>
      <c r="B36" t="s">
        <v>462</v>
      </c>
      <c r="C36" t="s">
        <v>192</v>
      </c>
      <c r="D36" t="s">
        <v>468</v>
      </c>
      <c r="E36">
        <v>41276.58</v>
      </c>
      <c r="F36">
        <v>6434.7</v>
      </c>
      <c r="G36">
        <v>34841.879999999997</v>
      </c>
      <c r="H36">
        <v>0.84409999999999996</v>
      </c>
    </row>
    <row r="37" spans="1:8" x14ac:dyDescent="0.3">
      <c r="A37" s="25">
        <v>45747</v>
      </c>
      <c r="B37" t="s">
        <v>462</v>
      </c>
      <c r="C37" t="s">
        <v>192</v>
      </c>
      <c r="D37" t="s">
        <v>467</v>
      </c>
      <c r="E37">
        <v>113766.7</v>
      </c>
      <c r="F37">
        <v>17735.36</v>
      </c>
      <c r="G37">
        <v>96031.34</v>
      </c>
      <c r="H37">
        <v>0.84409999999999996</v>
      </c>
    </row>
    <row r="38" spans="1:8" x14ac:dyDescent="0.3">
      <c r="A38" s="25">
        <v>45747</v>
      </c>
      <c r="B38" t="s">
        <v>462</v>
      </c>
      <c r="C38" t="s">
        <v>192</v>
      </c>
      <c r="D38" t="s">
        <v>466</v>
      </c>
      <c r="E38">
        <v>113126.47</v>
      </c>
      <c r="F38">
        <v>17635.55</v>
      </c>
      <c r="G38">
        <v>95490.92</v>
      </c>
      <c r="H38">
        <v>0.84409999999999996</v>
      </c>
    </row>
    <row r="39" spans="1:8" x14ac:dyDescent="0.3">
      <c r="A39" s="25">
        <v>45747</v>
      </c>
      <c r="B39" t="s">
        <v>462</v>
      </c>
      <c r="C39" t="s">
        <v>192</v>
      </c>
      <c r="D39" t="s">
        <v>465</v>
      </c>
      <c r="E39">
        <v>20698.87</v>
      </c>
      <c r="F39">
        <v>3226.8</v>
      </c>
      <c r="G39">
        <v>17472.080000000002</v>
      </c>
      <c r="H39">
        <v>0.84409999999999996</v>
      </c>
    </row>
    <row r="40" spans="1:8" x14ac:dyDescent="0.3">
      <c r="A40" s="25">
        <v>45747</v>
      </c>
      <c r="B40" t="s">
        <v>462</v>
      </c>
      <c r="C40" t="s">
        <v>192</v>
      </c>
      <c r="D40" t="s">
        <v>464</v>
      </c>
      <c r="E40">
        <v>79655.97</v>
      </c>
      <c r="F40">
        <v>12417.76</v>
      </c>
      <c r="G40">
        <v>67238.210000000006</v>
      </c>
      <c r="H40">
        <v>0.84409999999999996</v>
      </c>
    </row>
    <row r="41" spans="1:8" x14ac:dyDescent="0.3">
      <c r="A41" s="25">
        <v>45747</v>
      </c>
      <c r="B41" t="s">
        <v>462</v>
      </c>
      <c r="C41" t="s">
        <v>192</v>
      </c>
      <c r="D41" t="s">
        <v>463</v>
      </c>
      <c r="E41">
        <v>137576.89000000001</v>
      </c>
      <c r="F41">
        <v>21447.18</v>
      </c>
      <c r="G41">
        <v>116129.7</v>
      </c>
      <c r="H41">
        <v>0.84409999999999996</v>
      </c>
    </row>
    <row r="42" spans="1:8" x14ac:dyDescent="0.3">
      <c r="A42" s="25">
        <v>45777</v>
      </c>
      <c r="B42" t="s">
        <v>462</v>
      </c>
      <c r="C42" t="s">
        <v>192</v>
      </c>
      <c r="D42" t="s">
        <v>472</v>
      </c>
      <c r="E42">
        <v>143135.10999999999</v>
      </c>
      <c r="F42">
        <v>28018.71</v>
      </c>
      <c r="G42">
        <v>115116.4</v>
      </c>
      <c r="H42">
        <v>0.80420000000000003</v>
      </c>
    </row>
    <row r="43" spans="1:8" x14ac:dyDescent="0.3">
      <c r="A43" s="25">
        <v>45777</v>
      </c>
      <c r="B43" t="s">
        <v>462</v>
      </c>
      <c r="C43" t="s">
        <v>192</v>
      </c>
      <c r="D43" t="s">
        <v>471</v>
      </c>
      <c r="E43">
        <v>206249.52</v>
      </c>
      <c r="F43">
        <v>40373.360000000001</v>
      </c>
      <c r="G43">
        <v>165876.15</v>
      </c>
      <c r="H43">
        <v>0.80420000000000003</v>
      </c>
    </row>
    <row r="44" spans="1:8" x14ac:dyDescent="0.3">
      <c r="A44" s="25">
        <v>45777</v>
      </c>
      <c r="B44" t="s">
        <v>462</v>
      </c>
      <c r="C44" t="s">
        <v>192</v>
      </c>
      <c r="D44" t="s">
        <v>470</v>
      </c>
      <c r="E44">
        <v>82378.539999999994</v>
      </c>
      <c r="F44">
        <v>16125.61</v>
      </c>
      <c r="G44">
        <v>66252.929999999993</v>
      </c>
      <c r="H44">
        <v>0.80420000000000003</v>
      </c>
    </row>
    <row r="45" spans="1:8" x14ac:dyDescent="0.3">
      <c r="A45" s="25">
        <v>45777</v>
      </c>
      <c r="B45" t="s">
        <v>462</v>
      </c>
      <c r="C45" t="s">
        <v>192</v>
      </c>
      <c r="D45" t="s">
        <v>469</v>
      </c>
      <c r="E45">
        <v>75882.09</v>
      </c>
      <c r="F45">
        <v>14853.93</v>
      </c>
      <c r="G45">
        <v>61028.160000000003</v>
      </c>
      <c r="H45">
        <v>0.80420000000000003</v>
      </c>
    </row>
    <row r="46" spans="1:8" x14ac:dyDescent="0.3">
      <c r="A46" s="25">
        <v>45777</v>
      </c>
      <c r="B46" t="s">
        <v>462</v>
      </c>
      <c r="C46" t="s">
        <v>192</v>
      </c>
      <c r="D46" t="s">
        <v>468</v>
      </c>
      <c r="E46">
        <v>53349.03</v>
      </c>
      <c r="F46">
        <v>10443.08</v>
      </c>
      <c r="G46">
        <v>42905.95</v>
      </c>
      <c r="H46">
        <v>0.80420000000000003</v>
      </c>
    </row>
    <row r="47" spans="1:8" x14ac:dyDescent="0.3">
      <c r="A47" s="25">
        <v>45777</v>
      </c>
      <c r="B47" t="s">
        <v>462</v>
      </c>
      <c r="C47" t="s">
        <v>192</v>
      </c>
      <c r="D47" t="s">
        <v>467</v>
      </c>
      <c r="E47">
        <v>57993.31</v>
      </c>
      <c r="F47">
        <v>11352.2</v>
      </c>
      <c r="G47">
        <v>46641.11</v>
      </c>
      <c r="H47">
        <v>0.80420000000000003</v>
      </c>
    </row>
    <row r="48" spans="1:8" x14ac:dyDescent="0.3">
      <c r="A48" s="25">
        <v>45777</v>
      </c>
      <c r="B48" t="s">
        <v>462</v>
      </c>
      <c r="C48" t="s">
        <v>192</v>
      </c>
      <c r="D48" t="s">
        <v>466</v>
      </c>
      <c r="E48">
        <v>117018.95</v>
      </c>
      <c r="F48">
        <v>22906.47</v>
      </c>
      <c r="G48">
        <v>94112.48</v>
      </c>
      <c r="H48">
        <v>0.80420000000000003</v>
      </c>
    </row>
    <row r="49" spans="1:8" x14ac:dyDescent="0.3">
      <c r="A49" s="25">
        <v>45777</v>
      </c>
      <c r="B49" t="s">
        <v>462</v>
      </c>
      <c r="C49" t="s">
        <v>192</v>
      </c>
      <c r="D49" t="s">
        <v>465</v>
      </c>
      <c r="E49">
        <v>32749.38</v>
      </c>
      <c r="F49">
        <v>6410.69</v>
      </c>
      <c r="G49">
        <v>26338.68</v>
      </c>
      <c r="H49">
        <v>0.80420000000000003</v>
      </c>
    </row>
    <row r="50" spans="1:8" x14ac:dyDescent="0.3">
      <c r="A50" s="25">
        <v>45777</v>
      </c>
      <c r="B50" t="s">
        <v>462</v>
      </c>
      <c r="C50" t="s">
        <v>192</v>
      </c>
      <c r="D50" t="s">
        <v>464</v>
      </c>
      <c r="E50">
        <v>84800.91</v>
      </c>
      <c r="F50">
        <v>16599.79</v>
      </c>
      <c r="G50">
        <v>68201.13</v>
      </c>
      <c r="H50">
        <v>0.80420000000000003</v>
      </c>
    </row>
    <row r="51" spans="1:8" x14ac:dyDescent="0.3">
      <c r="A51" s="25">
        <v>45777</v>
      </c>
      <c r="B51" t="s">
        <v>462</v>
      </c>
      <c r="C51" t="s">
        <v>192</v>
      </c>
      <c r="D51" t="s">
        <v>463</v>
      </c>
      <c r="E51">
        <v>69489.149999999994</v>
      </c>
      <c r="F51">
        <v>13602.5</v>
      </c>
      <c r="G51">
        <v>55886.65</v>
      </c>
      <c r="H51">
        <v>0.80430000000000001</v>
      </c>
    </row>
    <row r="52" spans="1:8" x14ac:dyDescent="0.3">
      <c r="A52" s="25">
        <v>45808</v>
      </c>
      <c r="B52" t="s">
        <v>462</v>
      </c>
      <c r="C52" t="s">
        <v>192</v>
      </c>
      <c r="D52" t="s">
        <v>472</v>
      </c>
      <c r="E52">
        <v>163571.65</v>
      </c>
      <c r="F52">
        <v>26333.17</v>
      </c>
      <c r="G52">
        <v>137238.48000000001</v>
      </c>
      <c r="H52">
        <v>0.83899999999999997</v>
      </c>
    </row>
    <row r="53" spans="1:8" x14ac:dyDescent="0.3">
      <c r="A53" s="25">
        <v>45808</v>
      </c>
      <c r="B53" t="s">
        <v>462</v>
      </c>
      <c r="C53" t="s">
        <v>192</v>
      </c>
      <c r="D53" t="s">
        <v>471</v>
      </c>
      <c r="E53">
        <v>91894.89</v>
      </c>
      <c r="F53">
        <v>14794.03</v>
      </c>
      <c r="G53">
        <v>77100.86</v>
      </c>
      <c r="H53">
        <v>0.83899999999999997</v>
      </c>
    </row>
    <row r="54" spans="1:8" x14ac:dyDescent="0.3">
      <c r="A54" s="25">
        <v>45808</v>
      </c>
      <c r="B54" t="s">
        <v>462</v>
      </c>
      <c r="C54" t="s">
        <v>192</v>
      </c>
      <c r="D54" t="s">
        <v>470</v>
      </c>
      <c r="E54">
        <v>113747.86</v>
      </c>
      <c r="F54">
        <v>18312.11</v>
      </c>
      <c r="G54">
        <v>95435.75</v>
      </c>
      <c r="H54">
        <v>0.83899999999999997</v>
      </c>
    </row>
    <row r="55" spans="1:8" x14ac:dyDescent="0.3">
      <c r="A55" s="25">
        <v>45808</v>
      </c>
      <c r="B55" t="s">
        <v>462</v>
      </c>
      <c r="C55" t="s">
        <v>192</v>
      </c>
      <c r="D55" t="s">
        <v>469</v>
      </c>
      <c r="E55">
        <v>89729.37</v>
      </c>
      <c r="F55">
        <v>14445.4</v>
      </c>
      <c r="G55">
        <v>75283.960000000006</v>
      </c>
      <c r="H55">
        <v>0.83899999999999997</v>
      </c>
    </row>
    <row r="56" spans="1:8" x14ac:dyDescent="0.3">
      <c r="A56" s="25">
        <v>45808</v>
      </c>
      <c r="B56" t="s">
        <v>462</v>
      </c>
      <c r="C56" t="s">
        <v>192</v>
      </c>
      <c r="D56" t="s">
        <v>468</v>
      </c>
      <c r="E56">
        <v>87973.75</v>
      </c>
      <c r="F56">
        <v>14162.77</v>
      </c>
      <c r="G56">
        <v>73810.98</v>
      </c>
      <c r="H56">
        <v>0.83899999999999997</v>
      </c>
    </row>
    <row r="57" spans="1:8" x14ac:dyDescent="0.3">
      <c r="A57" s="25">
        <v>45808</v>
      </c>
      <c r="B57" t="s">
        <v>462</v>
      </c>
      <c r="C57" t="s">
        <v>192</v>
      </c>
      <c r="D57" t="s">
        <v>467</v>
      </c>
      <c r="E57">
        <v>86865.06</v>
      </c>
      <c r="F57">
        <v>13984.28</v>
      </c>
      <c r="G57">
        <v>72880.78</v>
      </c>
      <c r="H57">
        <v>0.83899999999999997</v>
      </c>
    </row>
    <row r="58" spans="1:8" x14ac:dyDescent="0.3">
      <c r="A58" s="25">
        <v>45808</v>
      </c>
      <c r="B58" t="s">
        <v>462</v>
      </c>
      <c r="C58" t="s">
        <v>192</v>
      </c>
      <c r="D58" t="s">
        <v>466</v>
      </c>
      <c r="E58">
        <v>99687.62</v>
      </c>
      <c r="F58">
        <v>16048.57</v>
      </c>
      <c r="G58">
        <v>83639.05</v>
      </c>
      <c r="H58">
        <v>0.83899999999999997</v>
      </c>
    </row>
    <row r="59" spans="1:8" x14ac:dyDescent="0.3">
      <c r="A59" s="25">
        <v>45808</v>
      </c>
      <c r="B59" t="s">
        <v>462</v>
      </c>
      <c r="C59" t="s">
        <v>192</v>
      </c>
      <c r="D59" t="s">
        <v>465</v>
      </c>
      <c r="E59">
        <v>68527.48</v>
      </c>
      <c r="F59">
        <v>11032.14</v>
      </c>
      <c r="G59">
        <v>57495.34</v>
      </c>
      <c r="H59">
        <v>0.83899999999999997</v>
      </c>
    </row>
    <row r="60" spans="1:8" x14ac:dyDescent="0.3">
      <c r="A60" s="25">
        <v>45808</v>
      </c>
      <c r="B60" t="s">
        <v>462</v>
      </c>
      <c r="C60" t="s">
        <v>192</v>
      </c>
      <c r="D60" t="s">
        <v>464</v>
      </c>
      <c r="E60">
        <v>58375.35</v>
      </c>
      <c r="F60">
        <v>9397.77</v>
      </c>
      <c r="G60">
        <v>48977.59</v>
      </c>
      <c r="H60">
        <v>0.83899999999999997</v>
      </c>
    </row>
    <row r="61" spans="1:8" x14ac:dyDescent="0.3">
      <c r="A61" s="25">
        <v>45808</v>
      </c>
      <c r="B61" t="s">
        <v>462</v>
      </c>
      <c r="C61" t="s">
        <v>192</v>
      </c>
      <c r="D61" t="s">
        <v>463</v>
      </c>
      <c r="E61">
        <v>86742.32</v>
      </c>
      <c r="F61">
        <v>13964.52</v>
      </c>
      <c r="G61">
        <v>72777.8</v>
      </c>
      <c r="H61">
        <v>0.83899999999999997</v>
      </c>
    </row>
    <row r="62" spans="1:8" x14ac:dyDescent="0.3">
      <c r="A62" s="25">
        <v>45838</v>
      </c>
      <c r="B62" t="s">
        <v>462</v>
      </c>
      <c r="C62" t="s">
        <v>192</v>
      </c>
      <c r="D62" t="s">
        <v>472</v>
      </c>
      <c r="E62">
        <v>206386.7</v>
      </c>
      <c r="F62">
        <v>32952.04</v>
      </c>
      <c r="G62">
        <v>173434.66</v>
      </c>
      <c r="H62">
        <v>0.84030000000000005</v>
      </c>
    </row>
    <row r="63" spans="1:8" x14ac:dyDescent="0.3">
      <c r="A63" s="25">
        <v>45838</v>
      </c>
      <c r="B63" t="s">
        <v>462</v>
      </c>
      <c r="C63" t="s">
        <v>192</v>
      </c>
      <c r="D63" t="s">
        <v>471</v>
      </c>
      <c r="E63">
        <v>182941.94</v>
      </c>
      <c r="F63">
        <v>29208.81</v>
      </c>
      <c r="G63">
        <v>153733.14000000001</v>
      </c>
      <c r="H63">
        <v>0.84030000000000005</v>
      </c>
    </row>
    <row r="64" spans="1:8" x14ac:dyDescent="0.3">
      <c r="A64" s="25">
        <v>45838</v>
      </c>
      <c r="B64" t="s">
        <v>462</v>
      </c>
      <c r="C64" t="s">
        <v>192</v>
      </c>
      <c r="D64" t="s">
        <v>470</v>
      </c>
      <c r="E64">
        <v>125763.08</v>
      </c>
      <c r="F64">
        <v>20079.54</v>
      </c>
      <c r="G64">
        <v>105683.54</v>
      </c>
      <c r="H64">
        <v>0.84030000000000005</v>
      </c>
    </row>
    <row r="65" spans="1:8" x14ac:dyDescent="0.3">
      <c r="A65" s="25">
        <v>45838</v>
      </c>
      <c r="B65" t="s">
        <v>462</v>
      </c>
      <c r="C65" t="s">
        <v>192</v>
      </c>
      <c r="D65" t="s">
        <v>469</v>
      </c>
      <c r="E65">
        <v>37979.839999999997</v>
      </c>
      <c r="F65">
        <v>6063.92</v>
      </c>
      <c r="G65">
        <v>31915.919999999998</v>
      </c>
      <c r="H65">
        <v>0.84030000000000005</v>
      </c>
    </row>
    <row r="66" spans="1:8" x14ac:dyDescent="0.3">
      <c r="A66" s="25">
        <v>45838</v>
      </c>
      <c r="B66" t="s">
        <v>462</v>
      </c>
      <c r="C66" t="s">
        <v>192</v>
      </c>
      <c r="D66" t="s">
        <v>468</v>
      </c>
      <c r="E66">
        <v>64770.66</v>
      </c>
      <c r="F66">
        <v>10341.39</v>
      </c>
      <c r="G66">
        <v>54429.27</v>
      </c>
      <c r="H66">
        <v>0.84030000000000005</v>
      </c>
    </row>
    <row r="67" spans="1:8" x14ac:dyDescent="0.3">
      <c r="A67" s="25">
        <v>45838</v>
      </c>
      <c r="B67" t="s">
        <v>462</v>
      </c>
      <c r="C67" t="s">
        <v>192</v>
      </c>
      <c r="D67" t="s">
        <v>467</v>
      </c>
      <c r="E67">
        <v>90748.15</v>
      </c>
      <c r="F67">
        <v>14489</v>
      </c>
      <c r="G67">
        <v>76259.149999999994</v>
      </c>
      <c r="H67">
        <v>0.84030000000000005</v>
      </c>
    </row>
    <row r="68" spans="1:8" x14ac:dyDescent="0.3">
      <c r="A68" s="25">
        <v>45838</v>
      </c>
      <c r="B68" t="s">
        <v>462</v>
      </c>
      <c r="C68" t="s">
        <v>192</v>
      </c>
      <c r="D68" t="s">
        <v>466</v>
      </c>
      <c r="E68">
        <v>83502.34</v>
      </c>
      <c r="F68">
        <v>13332.12</v>
      </c>
      <c r="G68">
        <v>70170.22</v>
      </c>
      <c r="H68">
        <v>0.84030000000000005</v>
      </c>
    </row>
    <row r="69" spans="1:8" x14ac:dyDescent="0.3">
      <c r="A69" s="25">
        <v>45838</v>
      </c>
      <c r="B69" t="s">
        <v>462</v>
      </c>
      <c r="C69" t="s">
        <v>192</v>
      </c>
      <c r="D69" t="s">
        <v>465</v>
      </c>
      <c r="E69">
        <v>43729.21</v>
      </c>
      <c r="F69">
        <v>6981.88</v>
      </c>
      <c r="G69">
        <v>36747.33</v>
      </c>
      <c r="H69">
        <v>0.84030000000000005</v>
      </c>
    </row>
    <row r="70" spans="1:8" x14ac:dyDescent="0.3">
      <c r="A70" s="25">
        <v>45838</v>
      </c>
      <c r="B70" t="s">
        <v>462</v>
      </c>
      <c r="C70" t="s">
        <v>192</v>
      </c>
      <c r="D70" t="s">
        <v>464</v>
      </c>
      <c r="E70">
        <v>87930.73</v>
      </c>
      <c r="F70">
        <v>14039.16</v>
      </c>
      <c r="G70">
        <v>73891.570000000007</v>
      </c>
      <c r="H70">
        <v>0.84030000000000005</v>
      </c>
    </row>
    <row r="71" spans="1:8" x14ac:dyDescent="0.3">
      <c r="A71" s="25">
        <v>45838</v>
      </c>
      <c r="B71" t="s">
        <v>462</v>
      </c>
      <c r="C71" t="s">
        <v>192</v>
      </c>
      <c r="D71" t="s">
        <v>463</v>
      </c>
      <c r="E71">
        <v>52769.75</v>
      </c>
      <c r="F71">
        <v>8425.2900000000009</v>
      </c>
      <c r="G71">
        <v>44344.45</v>
      </c>
      <c r="H71">
        <v>0.84030000000000005</v>
      </c>
    </row>
    <row r="72" spans="1:8" x14ac:dyDescent="0.3">
      <c r="A72" s="25">
        <v>45869</v>
      </c>
      <c r="B72" t="s">
        <v>462</v>
      </c>
      <c r="C72" t="s">
        <v>192</v>
      </c>
      <c r="D72" t="s">
        <v>472</v>
      </c>
      <c r="E72">
        <v>202550.18</v>
      </c>
      <c r="F72">
        <v>50576.01</v>
      </c>
      <c r="G72">
        <v>151974.17000000001</v>
      </c>
      <c r="H72">
        <v>0.75029999999999997</v>
      </c>
    </row>
    <row r="73" spans="1:8" x14ac:dyDescent="0.3">
      <c r="A73" s="25">
        <v>45869</v>
      </c>
      <c r="B73" t="s">
        <v>462</v>
      </c>
      <c r="C73" t="s">
        <v>192</v>
      </c>
      <c r="D73" t="s">
        <v>471</v>
      </c>
      <c r="E73">
        <v>86542.77</v>
      </c>
      <c r="F73">
        <v>21609.4</v>
      </c>
      <c r="G73">
        <v>64933.37</v>
      </c>
      <c r="H73">
        <v>0.75029999999999997</v>
      </c>
    </row>
    <row r="74" spans="1:8" x14ac:dyDescent="0.3">
      <c r="A74" s="25">
        <v>45869</v>
      </c>
      <c r="B74" t="s">
        <v>462</v>
      </c>
      <c r="C74" t="s">
        <v>192</v>
      </c>
      <c r="D74" t="s">
        <v>470</v>
      </c>
      <c r="E74">
        <v>145665.85</v>
      </c>
      <c r="F74">
        <v>36372.21</v>
      </c>
      <c r="G74">
        <v>109293.64</v>
      </c>
      <c r="H74">
        <v>0.75029999999999997</v>
      </c>
    </row>
    <row r="75" spans="1:8" x14ac:dyDescent="0.3">
      <c r="A75" s="25">
        <v>45869</v>
      </c>
      <c r="B75" t="s">
        <v>462</v>
      </c>
      <c r="C75" t="s">
        <v>192</v>
      </c>
      <c r="D75" t="s">
        <v>469</v>
      </c>
      <c r="E75">
        <v>92439.95</v>
      </c>
      <c r="F75">
        <v>23081.9</v>
      </c>
      <c r="G75">
        <v>69358.039999999994</v>
      </c>
      <c r="H75">
        <v>0.75029999999999997</v>
      </c>
    </row>
    <row r="76" spans="1:8" x14ac:dyDescent="0.3">
      <c r="A76" s="25">
        <v>45869</v>
      </c>
      <c r="B76" t="s">
        <v>462</v>
      </c>
      <c r="C76" t="s">
        <v>192</v>
      </c>
      <c r="D76" t="s">
        <v>468</v>
      </c>
      <c r="E76">
        <v>68408.759999999995</v>
      </c>
      <c r="F76">
        <v>17081.41</v>
      </c>
      <c r="G76">
        <v>51327.35</v>
      </c>
      <c r="H76">
        <v>0.75029999999999997</v>
      </c>
    </row>
    <row r="77" spans="1:8" x14ac:dyDescent="0.3">
      <c r="A77" s="25">
        <v>45869</v>
      </c>
      <c r="B77" t="s">
        <v>462</v>
      </c>
      <c r="C77" t="s">
        <v>192</v>
      </c>
      <c r="D77" t="s">
        <v>467</v>
      </c>
      <c r="E77">
        <v>143485.54</v>
      </c>
      <c r="F77">
        <v>35827.79</v>
      </c>
      <c r="G77">
        <v>107657.75</v>
      </c>
      <c r="H77">
        <v>0.75029999999999997</v>
      </c>
    </row>
    <row r="78" spans="1:8" x14ac:dyDescent="0.3">
      <c r="A78" s="25">
        <v>45869</v>
      </c>
      <c r="B78" t="s">
        <v>462</v>
      </c>
      <c r="C78" t="s">
        <v>192</v>
      </c>
      <c r="D78" t="s">
        <v>466</v>
      </c>
      <c r="E78">
        <v>119318.85</v>
      </c>
      <c r="F78">
        <v>29793.46</v>
      </c>
      <c r="G78">
        <v>89525.38</v>
      </c>
      <c r="H78">
        <v>0.75029999999999997</v>
      </c>
    </row>
    <row r="79" spans="1:8" x14ac:dyDescent="0.3">
      <c r="A79" s="25">
        <v>45869</v>
      </c>
      <c r="B79" t="s">
        <v>462</v>
      </c>
      <c r="C79" t="s">
        <v>192</v>
      </c>
      <c r="D79" t="s">
        <v>465</v>
      </c>
      <c r="E79">
        <v>57037.47</v>
      </c>
      <c r="F79">
        <v>14242.04</v>
      </c>
      <c r="G79">
        <v>42795.43</v>
      </c>
      <c r="H79">
        <v>0.75029999999999997</v>
      </c>
    </row>
    <row r="80" spans="1:8" x14ac:dyDescent="0.3">
      <c r="A80" s="25">
        <v>45869</v>
      </c>
      <c r="B80" t="s">
        <v>462</v>
      </c>
      <c r="C80" t="s">
        <v>192</v>
      </c>
      <c r="D80" t="s">
        <v>464</v>
      </c>
      <c r="E80">
        <v>37357.33</v>
      </c>
      <c r="F80">
        <v>9327.98</v>
      </c>
      <c r="G80">
        <v>28029.34</v>
      </c>
      <c r="H80">
        <v>0.75029999999999997</v>
      </c>
    </row>
    <row r="81" spans="1:8" x14ac:dyDescent="0.3">
      <c r="A81" s="25">
        <v>45869</v>
      </c>
      <c r="B81" t="s">
        <v>462</v>
      </c>
      <c r="C81" t="s">
        <v>192</v>
      </c>
      <c r="D81" t="s">
        <v>463</v>
      </c>
      <c r="E81">
        <v>26303.38</v>
      </c>
      <c r="F81">
        <v>6567.86</v>
      </c>
      <c r="G81">
        <v>19735.55</v>
      </c>
      <c r="H81">
        <v>0.75029999999999997</v>
      </c>
    </row>
    <row r="82" spans="1:8" x14ac:dyDescent="0.3">
      <c r="A82" s="25">
        <v>45900</v>
      </c>
      <c r="B82" t="s">
        <v>462</v>
      </c>
      <c r="C82" t="s">
        <v>192</v>
      </c>
      <c r="D82" t="s">
        <v>472</v>
      </c>
      <c r="E82">
        <v>203265.73</v>
      </c>
      <c r="F82">
        <v>40321.89</v>
      </c>
      <c r="G82">
        <v>162943.84</v>
      </c>
      <c r="H82">
        <v>0.80159999999999998</v>
      </c>
    </row>
    <row r="83" spans="1:8" x14ac:dyDescent="0.3">
      <c r="A83" s="25">
        <v>45900</v>
      </c>
      <c r="B83" t="s">
        <v>462</v>
      </c>
      <c r="C83" t="s">
        <v>192</v>
      </c>
      <c r="D83" t="s">
        <v>471</v>
      </c>
      <c r="E83">
        <v>119519.93</v>
      </c>
      <c r="F83">
        <v>23709.21</v>
      </c>
      <c r="G83">
        <v>95810.72</v>
      </c>
      <c r="H83">
        <v>0.80159999999999998</v>
      </c>
    </row>
    <row r="84" spans="1:8" x14ac:dyDescent="0.3">
      <c r="A84" s="25">
        <v>45900</v>
      </c>
      <c r="B84" t="s">
        <v>462</v>
      </c>
      <c r="C84" t="s">
        <v>192</v>
      </c>
      <c r="D84" t="s">
        <v>470</v>
      </c>
      <c r="E84">
        <v>119242.09</v>
      </c>
      <c r="F84">
        <v>23654.09</v>
      </c>
      <c r="G84">
        <v>95588</v>
      </c>
      <c r="H84">
        <v>0.80159999999999998</v>
      </c>
    </row>
    <row r="85" spans="1:8" x14ac:dyDescent="0.3">
      <c r="A85" s="25">
        <v>45900</v>
      </c>
      <c r="B85" t="s">
        <v>462</v>
      </c>
      <c r="C85" t="s">
        <v>192</v>
      </c>
      <c r="D85" t="s">
        <v>469</v>
      </c>
      <c r="E85">
        <v>76402.990000000005</v>
      </c>
      <c r="F85">
        <v>15156.08</v>
      </c>
      <c r="G85">
        <v>61246.9</v>
      </c>
      <c r="H85">
        <v>0.80159999999999998</v>
      </c>
    </row>
    <row r="86" spans="1:8" x14ac:dyDescent="0.3">
      <c r="A86" s="25">
        <v>45900</v>
      </c>
      <c r="B86" t="s">
        <v>462</v>
      </c>
      <c r="C86" t="s">
        <v>192</v>
      </c>
      <c r="D86" t="s">
        <v>468</v>
      </c>
      <c r="E86">
        <v>55691.87</v>
      </c>
      <c r="F86">
        <v>11047.61</v>
      </c>
      <c r="G86">
        <v>44644.26</v>
      </c>
      <c r="H86">
        <v>0.80159999999999998</v>
      </c>
    </row>
    <row r="87" spans="1:8" x14ac:dyDescent="0.3">
      <c r="A87" s="25">
        <v>45900</v>
      </c>
      <c r="B87" t="s">
        <v>462</v>
      </c>
      <c r="C87" t="s">
        <v>192</v>
      </c>
      <c r="D87" t="s">
        <v>467</v>
      </c>
      <c r="E87">
        <v>102987.33</v>
      </c>
      <c r="F87">
        <v>20429.63</v>
      </c>
      <c r="G87">
        <v>82557.7</v>
      </c>
      <c r="H87">
        <v>0.80159999999999998</v>
      </c>
    </row>
    <row r="88" spans="1:8" x14ac:dyDescent="0.3">
      <c r="A88" s="25">
        <v>45900</v>
      </c>
      <c r="B88" t="s">
        <v>462</v>
      </c>
      <c r="C88" t="s">
        <v>192</v>
      </c>
      <c r="D88" t="s">
        <v>466</v>
      </c>
      <c r="E88">
        <v>59824.44</v>
      </c>
      <c r="F88">
        <v>11867.39</v>
      </c>
      <c r="G88">
        <v>47957.05</v>
      </c>
      <c r="H88">
        <v>0.80159999999999998</v>
      </c>
    </row>
    <row r="89" spans="1:8" x14ac:dyDescent="0.3">
      <c r="A89" s="25">
        <v>45900</v>
      </c>
      <c r="B89" t="s">
        <v>462</v>
      </c>
      <c r="C89" t="s">
        <v>192</v>
      </c>
      <c r="D89" t="s">
        <v>465</v>
      </c>
      <c r="E89">
        <v>99935.9</v>
      </c>
      <c r="F89">
        <v>19824.32</v>
      </c>
      <c r="G89">
        <v>80111.59</v>
      </c>
      <c r="H89">
        <v>0.80159999999999998</v>
      </c>
    </row>
    <row r="90" spans="1:8" x14ac:dyDescent="0.3">
      <c r="A90" s="25">
        <v>45900</v>
      </c>
      <c r="B90" t="s">
        <v>462</v>
      </c>
      <c r="C90" t="s">
        <v>192</v>
      </c>
      <c r="D90" t="s">
        <v>464</v>
      </c>
      <c r="E90">
        <v>61480.52</v>
      </c>
      <c r="F90">
        <v>12195.91</v>
      </c>
      <c r="G90">
        <v>49284.61</v>
      </c>
      <c r="H90">
        <v>0.80159999999999998</v>
      </c>
    </row>
    <row r="91" spans="1:8" x14ac:dyDescent="0.3">
      <c r="A91" s="25">
        <v>45900</v>
      </c>
      <c r="B91" t="s">
        <v>462</v>
      </c>
      <c r="C91" t="s">
        <v>192</v>
      </c>
      <c r="D91" t="s">
        <v>463</v>
      </c>
      <c r="E91">
        <v>75525.53</v>
      </c>
      <c r="F91">
        <v>14982.03</v>
      </c>
      <c r="G91">
        <v>60543.51</v>
      </c>
      <c r="H91">
        <v>0.80159999999999998</v>
      </c>
    </row>
    <row r="92" spans="1:8" x14ac:dyDescent="0.3">
      <c r="A92" s="25">
        <v>45930</v>
      </c>
      <c r="B92" t="s">
        <v>462</v>
      </c>
      <c r="C92" t="s">
        <v>192</v>
      </c>
      <c r="D92" t="s">
        <v>472</v>
      </c>
      <c r="E92">
        <v>169759.67</v>
      </c>
      <c r="F92">
        <v>22288.75</v>
      </c>
      <c r="G92">
        <v>147470.93</v>
      </c>
      <c r="H92">
        <v>0.86870000000000003</v>
      </c>
    </row>
    <row r="93" spans="1:8" x14ac:dyDescent="0.3">
      <c r="A93" s="25">
        <v>45930</v>
      </c>
      <c r="B93" t="s">
        <v>462</v>
      </c>
      <c r="C93" t="s">
        <v>192</v>
      </c>
      <c r="D93" t="s">
        <v>471</v>
      </c>
      <c r="E93">
        <v>199510.35</v>
      </c>
      <c r="F93">
        <v>26194.89</v>
      </c>
      <c r="G93">
        <v>173315.46</v>
      </c>
      <c r="H93">
        <v>0.86870000000000003</v>
      </c>
    </row>
    <row r="94" spans="1:8" x14ac:dyDescent="0.3">
      <c r="A94" s="25">
        <v>45930</v>
      </c>
      <c r="B94" t="s">
        <v>462</v>
      </c>
      <c r="C94" t="s">
        <v>192</v>
      </c>
      <c r="D94" t="s">
        <v>470</v>
      </c>
      <c r="E94">
        <v>101725.53</v>
      </c>
      <c r="F94">
        <v>13356.14</v>
      </c>
      <c r="G94">
        <v>88369.39</v>
      </c>
      <c r="H94">
        <v>0.86870000000000003</v>
      </c>
    </row>
    <row r="95" spans="1:8" x14ac:dyDescent="0.3">
      <c r="A95" s="25">
        <v>45930</v>
      </c>
      <c r="B95" t="s">
        <v>462</v>
      </c>
      <c r="C95" t="s">
        <v>192</v>
      </c>
      <c r="D95" t="s">
        <v>469</v>
      </c>
      <c r="E95">
        <v>42117.17</v>
      </c>
      <c r="F95">
        <v>5529.81</v>
      </c>
      <c r="G95">
        <v>36587.360000000001</v>
      </c>
      <c r="H95">
        <v>0.86870000000000003</v>
      </c>
    </row>
    <row r="96" spans="1:8" x14ac:dyDescent="0.3">
      <c r="A96" s="25">
        <v>45930</v>
      </c>
      <c r="B96" t="s">
        <v>462</v>
      </c>
      <c r="C96" t="s">
        <v>192</v>
      </c>
      <c r="D96" t="s">
        <v>468</v>
      </c>
      <c r="E96">
        <v>77598.64</v>
      </c>
      <c r="F96">
        <v>10188.379999999999</v>
      </c>
      <c r="G96">
        <v>67410.259999999995</v>
      </c>
      <c r="H96">
        <v>0.86870000000000003</v>
      </c>
    </row>
    <row r="97" spans="1:8" x14ac:dyDescent="0.3">
      <c r="A97" s="25">
        <v>45930</v>
      </c>
      <c r="B97" t="s">
        <v>462</v>
      </c>
      <c r="C97" t="s">
        <v>192</v>
      </c>
      <c r="D97" t="s">
        <v>467</v>
      </c>
      <c r="E97">
        <v>85333.79</v>
      </c>
      <c r="F97">
        <v>11203.97</v>
      </c>
      <c r="G97">
        <v>74129.81</v>
      </c>
      <c r="H97">
        <v>0.86870000000000003</v>
      </c>
    </row>
    <row r="98" spans="1:8" x14ac:dyDescent="0.3">
      <c r="A98" s="25">
        <v>45930</v>
      </c>
      <c r="B98" t="s">
        <v>462</v>
      </c>
      <c r="C98" t="s">
        <v>192</v>
      </c>
      <c r="D98" t="s">
        <v>466</v>
      </c>
      <c r="E98">
        <v>147273.26</v>
      </c>
      <c r="F98">
        <v>19336.37</v>
      </c>
      <c r="G98">
        <v>127936.89</v>
      </c>
      <c r="H98">
        <v>0.86870000000000003</v>
      </c>
    </row>
    <row r="99" spans="1:8" x14ac:dyDescent="0.3">
      <c r="A99" s="25">
        <v>45930</v>
      </c>
      <c r="B99" t="s">
        <v>462</v>
      </c>
      <c r="C99" t="s">
        <v>192</v>
      </c>
      <c r="D99" t="s">
        <v>465</v>
      </c>
      <c r="E99">
        <v>68975.77</v>
      </c>
      <c r="F99">
        <v>9056.23</v>
      </c>
      <c r="G99">
        <v>59919.54</v>
      </c>
      <c r="H99">
        <v>0.86870000000000003</v>
      </c>
    </row>
    <row r="100" spans="1:8" x14ac:dyDescent="0.3">
      <c r="A100" s="25">
        <v>45930</v>
      </c>
      <c r="B100" t="s">
        <v>462</v>
      </c>
      <c r="C100" t="s">
        <v>192</v>
      </c>
      <c r="D100" t="s">
        <v>464</v>
      </c>
      <c r="E100">
        <v>71597.070000000007</v>
      </c>
      <c r="F100">
        <v>9400.4</v>
      </c>
      <c r="G100">
        <v>62196.67</v>
      </c>
      <c r="H100">
        <v>0.86870000000000003</v>
      </c>
    </row>
    <row r="101" spans="1:8" x14ac:dyDescent="0.3">
      <c r="A101" s="25">
        <v>45930</v>
      </c>
      <c r="B101" t="s">
        <v>462</v>
      </c>
      <c r="C101" t="s">
        <v>192</v>
      </c>
      <c r="D101" t="s">
        <v>463</v>
      </c>
      <c r="E101">
        <v>81996.820000000007</v>
      </c>
      <c r="F101">
        <v>10765.85</v>
      </c>
      <c r="G101">
        <v>71230.97</v>
      </c>
      <c r="H101">
        <v>0.86870000000000003</v>
      </c>
    </row>
    <row r="102" spans="1:8" x14ac:dyDescent="0.3">
      <c r="A102" s="25">
        <v>45961</v>
      </c>
      <c r="B102" t="s">
        <v>462</v>
      </c>
      <c r="C102" t="s">
        <v>192</v>
      </c>
      <c r="D102" t="s">
        <v>472</v>
      </c>
      <c r="E102">
        <v>155656.47</v>
      </c>
      <c r="F102">
        <v>37891.64</v>
      </c>
      <c r="G102">
        <v>117764.83</v>
      </c>
      <c r="H102">
        <v>0.75660000000000005</v>
      </c>
    </row>
    <row r="103" spans="1:8" x14ac:dyDescent="0.3">
      <c r="A103" s="25">
        <v>45961</v>
      </c>
      <c r="B103" t="s">
        <v>462</v>
      </c>
      <c r="C103" t="s">
        <v>192</v>
      </c>
      <c r="D103" t="s">
        <v>471</v>
      </c>
      <c r="E103">
        <v>189925.85</v>
      </c>
      <c r="F103">
        <v>46233.88</v>
      </c>
      <c r="G103">
        <v>143691.97</v>
      </c>
      <c r="H103">
        <v>0.75660000000000005</v>
      </c>
    </row>
    <row r="104" spans="1:8" x14ac:dyDescent="0.3">
      <c r="A104" s="25">
        <v>45961</v>
      </c>
      <c r="B104" t="s">
        <v>462</v>
      </c>
      <c r="C104" t="s">
        <v>192</v>
      </c>
      <c r="D104" t="s">
        <v>470</v>
      </c>
      <c r="E104">
        <v>74091.149999999994</v>
      </c>
      <c r="F104">
        <v>18036.099999999999</v>
      </c>
      <c r="G104">
        <v>56055.05</v>
      </c>
      <c r="H104">
        <v>0.75660000000000005</v>
      </c>
    </row>
    <row r="105" spans="1:8" x14ac:dyDescent="0.3">
      <c r="A105" s="25">
        <v>45961</v>
      </c>
      <c r="B105" t="s">
        <v>462</v>
      </c>
      <c r="C105" t="s">
        <v>192</v>
      </c>
      <c r="D105" t="s">
        <v>469</v>
      </c>
      <c r="E105">
        <v>71920.67</v>
      </c>
      <c r="F105">
        <v>17507.73</v>
      </c>
      <c r="G105">
        <v>54412.94</v>
      </c>
      <c r="H105">
        <v>0.75660000000000005</v>
      </c>
    </row>
    <row r="106" spans="1:8" x14ac:dyDescent="0.3">
      <c r="A106" s="25">
        <v>45961</v>
      </c>
      <c r="B106" t="s">
        <v>462</v>
      </c>
      <c r="C106" t="s">
        <v>192</v>
      </c>
      <c r="D106" t="s">
        <v>468</v>
      </c>
      <c r="E106">
        <v>64108.39</v>
      </c>
      <c r="F106">
        <v>15605.98</v>
      </c>
      <c r="G106">
        <v>48502.41</v>
      </c>
      <c r="H106">
        <v>0.75660000000000005</v>
      </c>
    </row>
    <row r="107" spans="1:8" x14ac:dyDescent="0.3">
      <c r="A107" s="25">
        <v>45961</v>
      </c>
      <c r="B107" t="s">
        <v>462</v>
      </c>
      <c r="C107" t="s">
        <v>192</v>
      </c>
      <c r="D107" t="s">
        <v>467</v>
      </c>
      <c r="E107">
        <v>129500.84</v>
      </c>
      <c r="F107">
        <v>31524.54</v>
      </c>
      <c r="G107">
        <v>97976.3</v>
      </c>
      <c r="H107">
        <v>0.75660000000000005</v>
      </c>
    </row>
    <row r="108" spans="1:8" x14ac:dyDescent="0.3">
      <c r="A108" s="25">
        <v>45961</v>
      </c>
      <c r="B108" t="s">
        <v>462</v>
      </c>
      <c r="C108" t="s">
        <v>192</v>
      </c>
      <c r="D108" t="s">
        <v>466</v>
      </c>
      <c r="E108">
        <v>148215.95000000001</v>
      </c>
      <c r="F108">
        <v>36080.379999999997</v>
      </c>
      <c r="G108">
        <v>112135.56</v>
      </c>
      <c r="H108">
        <v>0.75660000000000005</v>
      </c>
    </row>
    <row r="109" spans="1:8" x14ac:dyDescent="0.3">
      <c r="A109" s="25">
        <v>45961</v>
      </c>
      <c r="B109" t="s">
        <v>462</v>
      </c>
      <c r="C109" t="s">
        <v>192</v>
      </c>
      <c r="D109" t="s">
        <v>465</v>
      </c>
      <c r="E109">
        <v>15737.82</v>
      </c>
      <c r="F109">
        <v>3831.08</v>
      </c>
      <c r="G109">
        <v>11906.74</v>
      </c>
      <c r="H109">
        <v>0.75660000000000005</v>
      </c>
    </row>
    <row r="110" spans="1:8" x14ac:dyDescent="0.3">
      <c r="A110" s="25">
        <v>45961</v>
      </c>
      <c r="B110" t="s">
        <v>462</v>
      </c>
      <c r="C110" t="s">
        <v>192</v>
      </c>
      <c r="D110" t="s">
        <v>464</v>
      </c>
      <c r="E110">
        <v>71422.67</v>
      </c>
      <c r="F110">
        <v>17386.509999999998</v>
      </c>
      <c r="G110">
        <v>54036.160000000003</v>
      </c>
      <c r="H110">
        <v>0.75660000000000005</v>
      </c>
    </row>
    <row r="111" spans="1:8" x14ac:dyDescent="0.3">
      <c r="A111" s="25">
        <v>45961</v>
      </c>
      <c r="B111" t="s">
        <v>462</v>
      </c>
      <c r="C111" t="s">
        <v>192</v>
      </c>
      <c r="D111" t="s">
        <v>463</v>
      </c>
      <c r="E111">
        <v>105243.86</v>
      </c>
      <c r="F111">
        <v>25619.64</v>
      </c>
      <c r="G111">
        <v>79624.22</v>
      </c>
      <c r="H111">
        <v>0.75660000000000005</v>
      </c>
    </row>
    <row r="112" spans="1:8" x14ac:dyDescent="0.3">
      <c r="A112" s="25">
        <v>45991</v>
      </c>
      <c r="B112" t="s">
        <v>462</v>
      </c>
      <c r="C112" t="s">
        <v>192</v>
      </c>
      <c r="D112" t="s">
        <v>472</v>
      </c>
      <c r="E112">
        <v>183958.05</v>
      </c>
      <c r="F112">
        <v>29505.83</v>
      </c>
      <c r="G112">
        <v>154452.22</v>
      </c>
      <c r="H112">
        <v>0.83960000000000001</v>
      </c>
    </row>
    <row r="113" spans="1:8" x14ac:dyDescent="0.3">
      <c r="A113" s="25">
        <v>45991</v>
      </c>
      <c r="B113" t="s">
        <v>462</v>
      </c>
      <c r="C113" t="s">
        <v>192</v>
      </c>
      <c r="D113" t="s">
        <v>471</v>
      </c>
      <c r="E113">
        <v>54405.34</v>
      </c>
      <c r="F113">
        <v>8726.31</v>
      </c>
      <c r="G113">
        <v>45679.03</v>
      </c>
      <c r="H113">
        <v>0.83960000000000001</v>
      </c>
    </row>
    <row r="114" spans="1:8" x14ac:dyDescent="0.3">
      <c r="A114" s="25">
        <v>45991</v>
      </c>
      <c r="B114" t="s">
        <v>462</v>
      </c>
      <c r="C114" t="s">
        <v>192</v>
      </c>
      <c r="D114" t="s">
        <v>470</v>
      </c>
      <c r="E114">
        <v>101987.22</v>
      </c>
      <c r="F114">
        <v>16358.17</v>
      </c>
      <c r="G114">
        <v>85629.04</v>
      </c>
      <c r="H114">
        <v>0.83960000000000001</v>
      </c>
    </row>
    <row r="115" spans="1:8" x14ac:dyDescent="0.3">
      <c r="A115" s="25">
        <v>45991</v>
      </c>
      <c r="B115" t="s">
        <v>462</v>
      </c>
      <c r="C115" t="s">
        <v>192</v>
      </c>
      <c r="D115" t="s">
        <v>469</v>
      </c>
      <c r="E115">
        <v>114599.16</v>
      </c>
      <c r="F115">
        <v>18381.060000000001</v>
      </c>
      <c r="G115">
        <v>96218.1</v>
      </c>
      <c r="H115">
        <v>0.83960000000000001</v>
      </c>
    </row>
    <row r="116" spans="1:8" x14ac:dyDescent="0.3">
      <c r="A116" s="25">
        <v>45991</v>
      </c>
      <c r="B116" t="s">
        <v>462</v>
      </c>
      <c r="C116" t="s">
        <v>192</v>
      </c>
      <c r="D116" t="s">
        <v>468</v>
      </c>
      <c r="E116">
        <v>74040.28</v>
      </c>
      <c r="F116">
        <v>11875.64</v>
      </c>
      <c r="G116">
        <v>62164.63</v>
      </c>
      <c r="H116">
        <v>0.83960000000000001</v>
      </c>
    </row>
    <row r="117" spans="1:8" x14ac:dyDescent="0.3">
      <c r="A117" s="25">
        <v>45991</v>
      </c>
      <c r="B117" t="s">
        <v>462</v>
      </c>
      <c r="C117" t="s">
        <v>192</v>
      </c>
      <c r="D117" t="s">
        <v>467</v>
      </c>
      <c r="E117">
        <v>107386.64</v>
      </c>
      <c r="F117">
        <v>17224.21</v>
      </c>
      <c r="G117">
        <v>90162.43</v>
      </c>
      <c r="H117">
        <v>0.83960000000000001</v>
      </c>
    </row>
    <row r="118" spans="1:8" x14ac:dyDescent="0.3">
      <c r="A118" s="25">
        <v>45991</v>
      </c>
      <c r="B118" t="s">
        <v>462</v>
      </c>
      <c r="C118" t="s">
        <v>192</v>
      </c>
      <c r="D118" t="s">
        <v>466</v>
      </c>
      <c r="E118">
        <v>141226.10999999999</v>
      </c>
      <c r="F118">
        <v>22651.87</v>
      </c>
      <c r="G118">
        <v>118574.24</v>
      </c>
      <c r="H118">
        <v>0.83960000000000001</v>
      </c>
    </row>
    <row r="119" spans="1:8" x14ac:dyDescent="0.3">
      <c r="A119" s="25">
        <v>45991</v>
      </c>
      <c r="B119" t="s">
        <v>462</v>
      </c>
      <c r="C119" t="s">
        <v>192</v>
      </c>
      <c r="D119" t="s">
        <v>465</v>
      </c>
      <c r="E119">
        <v>65533.5</v>
      </c>
      <c r="F119">
        <v>10511.2</v>
      </c>
      <c r="G119">
        <v>55022.29</v>
      </c>
      <c r="H119">
        <v>0.83960000000000001</v>
      </c>
    </row>
    <row r="120" spans="1:8" x14ac:dyDescent="0.3">
      <c r="A120" s="25">
        <v>45991</v>
      </c>
      <c r="B120" t="s">
        <v>462</v>
      </c>
      <c r="C120" t="s">
        <v>192</v>
      </c>
      <c r="D120" t="s">
        <v>464</v>
      </c>
      <c r="E120">
        <v>86763.1</v>
      </c>
      <c r="F120">
        <v>13916.31</v>
      </c>
      <c r="G120">
        <v>72846.789999999994</v>
      </c>
      <c r="H120">
        <v>0.83960000000000001</v>
      </c>
    </row>
    <row r="121" spans="1:8" x14ac:dyDescent="0.3">
      <c r="A121" s="25">
        <v>45991</v>
      </c>
      <c r="B121" t="s">
        <v>462</v>
      </c>
      <c r="C121" t="s">
        <v>192</v>
      </c>
      <c r="D121" t="s">
        <v>463</v>
      </c>
      <c r="E121">
        <v>86937.79</v>
      </c>
      <c r="F121">
        <v>13944.34</v>
      </c>
      <c r="G121">
        <v>72993.48</v>
      </c>
      <c r="H121">
        <v>0.83960000000000001</v>
      </c>
    </row>
    <row r="122" spans="1:8" x14ac:dyDescent="0.3">
      <c r="A122" s="25">
        <v>45657</v>
      </c>
      <c r="B122" t="s">
        <v>462</v>
      </c>
      <c r="C122" t="s">
        <v>191</v>
      </c>
      <c r="D122" t="s">
        <v>472</v>
      </c>
      <c r="E122">
        <v>154686</v>
      </c>
      <c r="F122">
        <v>26798.61</v>
      </c>
      <c r="G122">
        <v>127887.39</v>
      </c>
      <c r="H122">
        <v>0.82679999999999998</v>
      </c>
    </row>
    <row r="123" spans="1:8" x14ac:dyDescent="0.3">
      <c r="A123" s="25">
        <v>45657</v>
      </c>
      <c r="B123" t="s">
        <v>462</v>
      </c>
      <c r="C123" t="s">
        <v>191</v>
      </c>
      <c r="D123" t="s">
        <v>471</v>
      </c>
      <c r="E123">
        <v>147106.12</v>
      </c>
      <c r="F123">
        <v>25485.439999999999</v>
      </c>
      <c r="G123">
        <v>121620.69</v>
      </c>
      <c r="H123">
        <v>0.82679999999999998</v>
      </c>
    </row>
    <row r="124" spans="1:8" x14ac:dyDescent="0.3">
      <c r="A124" s="25">
        <v>45657</v>
      </c>
      <c r="B124" t="s">
        <v>462</v>
      </c>
      <c r="C124" t="s">
        <v>191</v>
      </c>
      <c r="D124" t="s">
        <v>470</v>
      </c>
      <c r="E124">
        <v>121503.64</v>
      </c>
      <c r="F124">
        <v>21049.93</v>
      </c>
      <c r="G124">
        <v>100453.71</v>
      </c>
      <c r="H124">
        <v>0.82679999999999998</v>
      </c>
    </row>
    <row r="125" spans="1:8" x14ac:dyDescent="0.3">
      <c r="A125" s="25">
        <v>45657</v>
      </c>
      <c r="B125" t="s">
        <v>462</v>
      </c>
      <c r="C125" t="s">
        <v>191</v>
      </c>
      <c r="D125" t="s">
        <v>469</v>
      </c>
      <c r="E125">
        <v>64558.17</v>
      </c>
      <c r="F125">
        <v>11184.4</v>
      </c>
      <c r="G125">
        <v>53373.77</v>
      </c>
      <c r="H125">
        <v>0.82679999999999998</v>
      </c>
    </row>
    <row r="126" spans="1:8" x14ac:dyDescent="0.3">
      <c r="A126" s="25">
        <v>45657</v>
      </c>
      <c r="B126" t="s">
        <v>462</v>
      </c>
      <c r="C126" t="s">
        <v>191</v>
      </c>
      <c r="D126" t="s">
        <v>468</v>
      </c>
      <c r="E126">
        <v>25810.92</v>
      </c>
      <c r="F126">
        <v>4471.62</v>
      </c>
      <c r="G126">
        <v>21339.3</v>
      </c>
      <c r="H126">
        <v>0.82679999999999998</v>
      </c>
    </row>
    <row r="127" spans="1:8" x14ac:dyDescent="0.3">
      <c r="A127" s="25">
        <v>45657</v>
      </c>
      <c r="B127" t="s">
        <v>462</v>
      </c>
      <c r="C127" t="s">
        <v>191</v>
      </c>
      <c r="D127" t="s">
        <v>467</v>
      </c>
      <c r="E127">
        <v>56184.800000000003</v>
      </c>
      <c r="F127">
        <v>9733.75</v>
      </c>
      <c r="G127">
        <v>46451.05</v>
      </c>
      <c r="H127">
        <v>0.82679999999999998</v>
      </c>
    </row>
    <row r="128" spans="1:8" x14ac:dyDescent="0.3">
      <c r="A128" s="25">
        <v>45657</v>
      </c>
      <c r="B128" t="s">
        <v>462</v>
      </c>
      <c r="C128" t="s">
        <v>191</v>
      </c>
      <c r="D128" t="s">
        <v>466</v>
      </c>
      <c r="E128">
        <v>46957.89</v>
      </c>
      <c r="F128">
        <v>8135.23</v>
      </c>
      <c r="G128">
        <v>38822.660000000003</v>
      </c>
      <c r="H128">
        <v>0.82679999999999998</v>
      </c>
    </row>
    <row r="129" spans="1:8" x14ac:dyDescent="0.3">
      <c r="A129" s="25">
        <v>45657</v>
      </c>
      <c r="B129" t="s">
        <v>462</v>
      </c>
      <c r="C129" t="s">
        <v>191</v>
      </c>
      <c r="D129" t="s">
        <v>465</v>
      </c>
      <c r="E129">
        <v>40389.949999999997</v>
      </c>
      <c r="F129">
        <v>6997.37</v>
      </c>
      <c r="G129">
        <v>33392.58</v>
      </c>
      <c r="H129">
        <v>0.82679999999999998</v>
      </c>
    </row>
    <row r="130" spans="1:8" x14ac:dyDescent="0.3">
      <c r="A130" s="25">
        <v>45657</v>
      </c>
      <c r="B130" t="s">
        <v>462</v>
      </c>
      <c r="C130" t="s">
        <v>191</v>
      </c>
      <c r="D130" t="s">
        <v>464</v>
      </c>
      <c r="E130">
        <v>97275.97</v>
      </c>
      <c r="F130">
        <v>16852.599999999999</v>
      </c>
      <c r="G130">
        <v>80423.38</v>
      </c>
      <c r="H130">
        <v>0.82679999999999998</v>
      </c>
    </row>
    <row r="131" spans="1:8" x14ac:dyDescent="0.3">
      <c r="A131" s="25">
        <v>45657</v>
      </c>
      <c r="B131" t="s">
        <v>462</v>
      </c>
      <c r="C131" t="s">
        <v>191</v>
      </c>
      <c r="D131" t="s">
        <v>463</v>
      </c>
      <c r="E131">
        <v>54721.22</v>
      </c>
      <c r="F131">
        <v>9480.18</v>
      </c>
      <c r="G131">
        <v>45241.03</v>
      </c>
      <c r="H131">
        <v>0.82679999999999998</v>
      </c>
    </row>
    <row r="132" spans="1:8" x14ac:dyDescent="0.3">
      <c r="A132" s="25">
        <v>45688</v>
      </c>
      <c r="B132" t="s">
        <v>462</v>
      </c>
      <c r="C132" t="s">
        <v>191</v>
      </c>
      <c r="D132" t="s">
        <v>472</v>
      </c>
      <c r="E132">
        <v>133926.94</v>
      </c>
      <c r="F132">
        <v>17200.61</v>
      </c>
      <c r="G132">
        <v>116726.34</v>
      </c>
      <c r="H132">
        <v>0.87160000000000004</v>
      </c>
    </row>
    <row r="133" spans="1:8" x14ac:dyDescent="0.3">
      <c r="A133" s="25">
        <v>45688</v>
      </c>
      <c r="B133" t="s">
        <v>462</v>
      </c>
      <c r="C133" t="s">
        <v>191</v>
      </c>
      <c r="D133" t="s">
        <v>471</v>
      </c>
      <c r="E133">
        <v>119045.66</v>
      </c>
      <c r="F133">
        <v>15289.36</v>
      </c>
      <c r="G133">
        <v>103756.3</v>
      </c>
      <c r="H133">
        <v>0.87160000000000004</v>
      </c>
    </row>
    <row r="134" spans="1:8" x14ac:dyDescent="0.3">
      <c r="A134" s="25">
        <v>45688</v>
      </c>
      <c r="B134" t="s">
        <v>462</v>
      </c>
      <c r="C134" t="s">
        <v>191</v>
      </c>
      <c r="D134" t="s">
        <v>470</v>
      </c>
      <c r="E134">
        <v>128334.55</v>
      </c>
      <c r="F134">
        <v>16482.36</v>
      </c>
      <c r="G134">
        <v>111852.19</v>
      </c>
      <c r="H134">
        <v>0.87160000000000004</v>
      </c>
    </row>
    <row r="135" spans="1:8" x14ac:dyDescent="0.3">
      <c r="A135" s="25">
        <v>45688</v>
      </c>
      <c r="B135" t="s">
        <v>462</v>
      </c>
      <c r="C135" t="s">
        <v>191</v>
      </c>
      <c r="D135" t="s">
        <v>469</v>
      </c>
      <c r="E135">
        <v>64071.7</v>
      </c>
      <c r="F135">
        <v>8228.9</v>
      </c>
      <c r="G135">
        <v>55842.8</v>
      </c>
      <c r="H135">
        <v>0.87160000000000004</v>
      </c>
    </row>
    <row r="136" spans="1:8" x14ac:dyDescent="0.3">
      <c r="A136" s="25">
        <v>45688</v>
      </c>
      <c r="B136" t="s">
        <v>462</v>
      </c>
      <c r="C136" t="s">
        <v>191</v>
      </c>
      <c r="D136" t="s">
        <v>468</v>
      </c>
      <c r="E136">
        <v>36053.15</v>
      </c>
      <c r="F136">
        <v>4630.3999999999996</v>
      </c>
      <c r="G136">
        <v>31422.74</v>
      </c>
      <c r="H136">
        <v>0.87160000000000004</v>
      </c>
    </row>
    <row r="137" spans="1:8" x14ac:dyDescent="0.3">
      <c r="A137" s="25">
        <v>45688</v>
      </c>
      <c r="B137" t="s">
        <v>462</v>
      </c>
      <c r="C137" t="s">
        <v>191</v>
      </c>
      <c r="D137" t="s">
        <v>467</v>
      </c>
      <c r="E137">
        <v>72686.990000000005</v>
      </c>
      <c r="F137">
        <v>9335.39</v>
      </c>
      <c r="G137">
        <v>63351.6</v>
      </c>
      <c r="H137">
        <v>0.87160000000000004</v>
      </c>
    </row>
    <row r="138" spans="1:8" x14ac:dyDescent="0.3">
      <c r="A138" s="25">
        <v>45688</v>
      </c>
      <c r="B138" t="s">
        <v>462</v>
      </c>
      <c r="C138" t="s">
        <v>191</v>
      </c>
      <c r="D138" t="s">
        <v>466</v>
      </c>
      <c r="E138">
        <v>111173.68</v>
      </c>
      <c r="F138">
        <v>14278.34</v>
      </c>
      <c r="G138">
        <v>96895.34</v>
      </c>
      <c r="H138">
        <v>0.87160000000000004</v>
      </c>
    </row>
    <row r="139" spans="1:8" x14ac:dyDescent="0.3">
      <c r="A139" s="25">
        <v>45688</v>
      </c>
      <c r="B139" t="s">
        <v>462</v>
      </c>
      <c r="C139" t="s">
        <v>191</v>
      </c>
      <c r="D139" t="s">
        <v>465</v>
      </c>
      <c r="E139">
        <v>25017.4</v>
      </c>
      <c r="F139">
        <v>3213.05</v>
      </c>
      <c r="G139">
        <v>21804.34</v>
      </c>
      <c r="H139">
        <v>0.87160000000000004</v>
      </c>
    </row>
    <row r="140" spans="1:8" x14ac:dyDescent="0.3">
      <c r="A140" s="25">
        <v>45688</v>
      </c>
      <c r="B140" t="s">
        <v>462</v>
      </c>
      <c r="C140" t="s">
        <v>191</v>
      </c>
      <c r="D140" t="s">
        <v>464</v>
      </c>
      <c r="E140">
        <v>81517.23</v>
      </c>
      <c r="F140">
        <v>10469.48</v>
      </c>
      <c r="G140">
        <v>71047.740000000005</v>
      </c>
      <c r="H140">
        <v>0.87160000000000004</v>
      </c>
    </row>
    <row r="141" spans="1:8" x14ac:dyDescent="0.3">
      <c r="A141" s="25">
        <v>45688</v>
      </c>
      <c r="B141" t="s">
        <v>462</v>
      </c>
      <c r="C141" t="s">
        <v>191</v>
      </c>
      <c r="D141" t="s">
        <v>463</v>
      </c>
      <c r="E141">
        <v>78382.100000000006</v>
      </c>
      <c r="F141">
        <v>10066.84</v>
      </c>
      <c r="G141">
        <v>68315.28</v>
      </c>
      <c r="H141">
        <v>0.87160000000000004</v>
      </c>
    </row>
    <row r="142" spans="1:8" x14ac:dyDescent="0.3">
      <c r="A142" s="25">
        <v>45716</v>
      </c>
      <c r="B142" t="s">
        <v>462</v>
      </c>
      <c r="C142" t="s">
        <v>191</v>
      </c>
      <c r="D142" t="s">
        <v>472</v>
      </c>
      <c r="E142">
        <v>146902.9</v>
      </c>
      <c r="F142">
        <v>23294.35</v>
      </c>
      <c r="G142">
        <v>123608.54</v>
      </c>
      <c r="H142">
        <v>0.84140000000000004</v>
      </c>
    </row>
    <row r="143" spans="1:8" x14ac:dyDescent="0.3">
      <c r="A143" s="25">
        <v>45716</v>
      </c>
      <c r="B143" t="s">
        <v>462</v>
      </c>
      <c r="C143" t="s">
        <v>191</v>
      </c>
      <c r="D143" t="s">
        <v>471</v>
      </c>
      <c r="E143">
        <v>145176.62</v>
      </c>
      <c r="F143">
        <v>23020.62</v>
      </c>
      <c r="G143">
        <v>122156</v>
      </c>
      <c r="H143">
        <v>0.84140000000000004</v>
      </c>
    </row>
    <row r="144" spans="1:8" x14ac:dyDescent="0.3">
      <c r="A144" s="25">
        <v>45716</v>
      </c>
      <c r="B144" t="s">
        <v>462</v>
      </c>
      <c r="C144" t="s">
        <v>191</v>
      </c>
      <c r="D144" t="s">
        <v>470</v>
      </c>
      <c r="E144">
        <v>112829.13</v>
      </c>
      <c r="F144">
        <v>17891.28</v>
      </c>
      <c r="G144">
        <v>94937.84</v>
      </c>
      <c r="H144">
        <v>0.84140000000000004</v>
      </c>
    </row>
    <row r="145" spans="1:8" x14ac:dyDescent="0.3">
      <c r="A145" s="25">
        <v>45716</v>
      </c>
      <c r="B145" t="s">
        <v>462</v>
      </c>
      <c r="C145" t="s">
        <v>191</v>
      </c>
      <c r="D145" t="s">
        <v>469</v>
      </c>
      <c r="E145">
        <v>98270.14</v>
      </c>
      <c r="F145">
        <v>15582.67</v>
      </c>
      <c r="G145">
        <v>82687.47</v>
      </c>
      <c r="H145">
        <v>0.84140000000000004</v>
      </c>
    </row>
    <row r="146" spans="1:8" x14ac:dyDescent="0.3">
      <c r="A146" s="25">
        <v>45716</v>
      </c>
      <c r="B146" t="s">
        <v>462</v>
      </c>
      <c r="C146" t="s">
        <v>191</v>
      </c>
      <c r="D146" t="s">
        <v>468</v>
      </c>
      <c r="E146">
        <v>39607.660000000003</v>
      </c>
      <c r="F146">
        <v>6280.58</v>
      </c>
      <c r="G146">
        <v>33327.08</v>
      </c>
      <c r="H146">
        <v>0.84140000000000004</v>
      </c>
    </row>
    <row r="147" spans="1:8" x14ac:dyDescent="0.3">
      <c r="A147" s="25">
        <v>45716</v>
      </c>
      <c r="B147" t="s">
        <v>462</v>
      </c>
      <c r="C147" t="s">
        <v>191</v>
      </c>
      <c r="D147" t="s">
        <v>467</v>
      </c>
      <c r="E147">
        <v>55152.800000000003</v>
      </c>
      <c r="F147">
        <v>8745.56</v>
      </c>
      <c r="G147">
        <v>46407.24</v>
      </c>
      <c r="H147">
        <v>0.84140000000000004</v>
      </c>
    </row>
    <row r="148" spans="1:8" x14ac:dyDescent="0.3">
      <c r="A148" s="25">
        <v>45716</v>
      </c>
      <c r="B148" t="s">
        <v>462</v>
      </c>
      <c r="C148" t="s">
        <v>191</v>
      </c>
      <c r="D148" t="s">
        <v>466</v>
      </c>
      <c r="E148">
        <v>53160.37</v>
      </c>
      <c r="F148">
        <v>8429.6299999999992</v>
      </c>
      <c r="G148">
        <v>44730.74</v>
      </c>
      <c r="H148">
        <v>0.84140000000000004</v>
      </c>
    </row>
    <row r="149" spans="1:8" x14ac:dyDescent="0.3">
      <c r="A149" s="25">
        <v>45716</v>
      </c>
      <c r="B149" t="s">
        <v>462</v>
      </c>
      <c r="C149" t="s">
        <v>191</v>
      </c>
      <c r="D149" t="s">
        <v>465</v>
      </c>
      <c r="E149">
        <v>37043.43</v>
      </c>
      <c r="F149">
        <v>5873.97</v>
      </c>
      <c r="G149">
        <v>31169.46</v>
      </c>
      <c r="H149">
        <v>0.84140000000000004</v>
      </c>
    </row>
    <row r="150" spans="1:8" x14ac:dyDescent="0.3">
      <c r="A150" s="25">
        <v>45716</v>
      </c>
      <c r="B150" t="s">
        <v>462</v>
      </c>
      <c r="C150" t="s">
        <v>191</v>
      </c>
      <c r="D150" t="s">
        <v>464</v>
      </c>
      <c r="E150">
        <v>108926.73</v>
      </c>
      <c r="F150">
        <v>17272.48</v>
      </c>
      <c r="G150">
        <v>91654.25</v>
      </c>
      <c r="H150">
        <v>0.84140000000000004</v>
      </c>
    </row>
    <row r="151" spans="1:8" x14ac:dyDescent="0.3">
      <c r="A151" s="25">
        <v>45716</v>
      </c>
      <c r="B151" t="s">
        <v>462</v>
      </c>
      <c r="C151" t="s">
        <v>191</v>
      </c>
      <c r="D151" t="s">
        <v>463</v>
      </c>
      <c r="E151">
        <v>41124.89</v>
      </c>
      <c r="F151">
        <v>6521.16</v>
      </c>
      <c r="G151">
        <v>34603.75</v>
      </c>
      <c r="H151">
        <v>0.84140000000000004</v>
      </c>
    </row>
    <row r="152" spans="1:8" x14ac:dyDescent="0.3">
      <c r="A152" s="25">
        <v>45747</v>
      </c>
      <c r="B152" t="s">
        <v>462</v>
      </c>
      <c r="C152" t="s">
        <v>191</v>
      </c>
      <c r="D152" t="s">
        <v>472</v>
      </c>
      <c r="E152">
        <v>191303.94</v>
      </c>
      <c r="F152">
        <v>23745.95</v>
      </c>
      <c r="G152">
        <v>167557.99</v>
      </c>
      <c r="H152">
        <v>0.87590000000000001</v>
      </c>
    </row>
    <row r="153" spans="1:8" x14ac:dyDescent="0.3">
      <c r="A153" s="25">
        <v>45747</v>
      </c>
      <c r="B153" t="s">
        <v>462</v>
      </c>
      <c r="C153" t="s">
        <v>191</v>
      </c>
      <c r="D153" t="s">
        <v>471</v>
      </c>
      <c r="E153">
        <v>156961.48000000001</v>
      </c>
      <c r="F153">
        <v>19483.13</v>
      </c>
      <c r="G153">
        <v>137478.35</v>
      </c>
      <c r="H153">
        <v>0.87590000000000001</v>
      </c>
    </row>
    <row r="154" spans="1:8" x14ac:dyDescent="0.3">
      <c r="A154" s="25">
        <v>45747</v>
      </c>
      <c r="B154" t="s">
        <v>462</v>
      </c>
      <c r="C154" t="s">
        <v>191</v>
      </c>
      <c r="D154" t="s">
        <v>470</v>
      </c>
      <c r="E154">
        <v>116218.8</v>
      </c>
      <c r="F154">
        <v>14425.87</v>
      </c>
      <c r="G154">
        <v>101792.93</v>
      </c>
      <c r="H154">
        <v>0.87590000000000001</v>
      </c>
    </row>
    <row r="155" spans="1:8" x14ac:dyDescent="0.3">
      <c r="A155" s="25">
        <v>45747</v>
      </c>
      <c r="B155" t="s">
        <v>462</v>
      </c>
      <c r="C155" t="s">
        <v>191</v>
      </c>
      <c r="D155" t="s">
        <v>469</v>
      </c>
      <c r="E155">
        <v>66194.42</v>
      </c>
      <c r="F155">
        <v>8216.5</v>
      </c>
      <c r="G155">
        <v>57977.919999999998</v>
      </c>
      <c r="H155">
        <v>0.87590000000000001</v>
      </c>
    </row>
    <row r="156" spans="1:8" x14ac:dyDescent="0.3">
      <c r="A156" s="25">
        <v>45747</v>
      </c>
      <c r="B156" t="s">
        <v>462</v>
      </c>
      <c r="C156" t="s">
        <v>191</v>
      </c>
      <c r="D156" t="s">
        <v>468</v>
      </c>
      <c r="E156">
        <v>56064.160000000003</v>
      </c>
      <c r="F156">
        <v>6959.07</v>
      </c>
      <c r="G156">
        <v>49105.09</v>
      </c>
      <c r="H156">
        <v>0.87590000000000001</v>
      </c>
    </row>
    <row r="157" spans="1:8" x14ac:dyDescent="0.3">
      <c r="A157" s="25">
        <v>45747</v>
      </c>
      <c r="B157" t="s">
        <v>462</v>
      </c>
      <c r="C157" t="s">
        <v>191</v>
      </c>
      <c r="D157" t="s">
        <v>467</v>
      </c>
      <c r="E157">
        <v>37094.550000000003</v>
      </c>
      <c r="F157">
        <v>4604.43</v>
      </c>
      <c r="G157">
        <v>32490.12</v>
      </c>
      <c r="H157">
        <v>0.87590000000000001</v>
      </c>
    </row>
    <row r="158" spans="1:8" x14ac:dyDescent="0.3">
      <c r="A158" s="25">
        <v>45747</v>
      </c>
      <c r="B158" t="s">
        <v>462</v>
      </c>
      <c r="C158" t="s">
        <v>191</v>
      </c>
      <c r="D158" t="s">
        <v>466</v>
      </c>
      <c r="E158">
        <v>122196.21</v>
      </c>
      <c r="F158">
        <v>15167.83</v>
      </c>
      <c r="G158">
        <v>107028.38</v>
      </c>
      <c r="H158">
        <v>0.87590000000000001</v>
      </c>
    </row>
    <row r="159" spans="1:8" x14ac:dyDescent="0.3">
      <c r="A159" s="25">
        <v>45747</v>
      </c>
      <c r="B159" t="s">
        <v>462</v>
      </c>
      <c r="C159" t="s">
        <v>191</v>
      </c>
      <c r="D159" t="s">
        <v>465</v>
      </c>
      <c r="E159">
        <v>10190.469999999999</v>
      </c>
      <c r="F159">
        <v>1264.9100000000001</v>
      </c>
      <c r="G159">
        <v>8925.5499999999993</v>
      </c>
      <c r="H159">
        <v>0.87590000000000001</v>
      </c>
    </row>
    <row r="160" spans="1:8" x14ac:dyDescent="0.3">
      <c r="A160" s="25">
        <v>45747</v>
      </c>
      <c r="B160" t="s">
        <v>462</v>
      </c>
      <c r="C160" t="s">
        <v>191</v>
      </c>
      <c r="D160" t="s">
        <v>464</v>
      </c>
      <c r="E160">
        <v>49679.92</v>
      </c>
      <c r="F160">
        <v>6166.61</v>
      </c>
      <c r="G160">
        <v>43513.3</v>
      </c>
      <c r="H160">
        <v>0.87590000000000001</v>
      </c>
    </row>
    <row r="161" spans="1:8" x14ac:dyDescent="0.3">
      <c r="A161" s="25">
        <v>45747</v>
      </c>
      <c r="B161" t="s">
        <v>462</v>
      </c>
      <c r="C161" t="s">
        <v>191</v>
      </c>
      <c r="D161" t="s">
        <v>463</v>
      </c>
      <c r="E161">
        <v>77311.86</v>
      </c>
      <c r="F161">
        <v>9596.49</v>
      </c>
      <c r="G161">
        <v>67715.399999999994</v>
      </c>
      <c r="H161">
        <v>0.87590000000000001</v>
      </c>
    </row>
    <row r="162" spans="1:8" x14ac:dyDescent="0.3">
      <c r="A162" s="25">
        <v>45777</v>
      </c>
      <c r="B162" t="s">
        <v>462</v>
      </c>
      <c r="C162" t="s">
        <v>191</v>
      </c>
      <c r="D162" t="s">
        <v>472</v>
      </c>
      <c r="E162">
        <v>219249.45</v>
      </c>
      <c r="F162">
        <v>49024.75</v>
      </c>
      <c r="G162">
        <v>170224.7</v>
      </c>
      <c r="H162">
        <v>0.77639999999999998</v>
      </c>
    </row>
    <row r="163" spans="1:8" x14ac:dyDescent="0.3">
      <c r="A163" s="25">
        <v>45777</v>
      </c>
      <c r="B163" t="s">
        <v>462</v>
      </c>
      <c r="C163" t="s">
        <v>191</v>
      </c>
      <c r="D163" t="s">
        <v>471</v>
      </c>
      <c r="E163">
        <v>112166.46</v>
      </c>
      <c r="F163">
        <v>25080.720000000001</v>
      </c>
      <c r="G163">
        <v>87085.75</v>
      </c>
      <c r="H163">
        <v>0.77639999999999998</v>
      </c>
    </row>
    <row r="164" spans="1:8" x14ac:dyDescent="0.3">
      <c r="A164" s="25">
        <v>45777</v>
      </c>
      <c r="B164" t="s">
        <v>462</v>
      </c>
      <c r="C164" t="s">
        <v>191</v>
      </c>
      <c r="D164" t="s">
        <v>470</v>
      </c>
      <c r="E164">
        <v>107044.56</v>
      </c>
      <c r="F164">
        <v>23935.45</v>
      </c>
      <c r="G164">
        <v>83109.119999999995</v>
      </c>
      <c r="H164">
        <v>0.77639999999999998</v>
      </c>
    </row>
    <row r="165" spans="1:8" x14ac:dyDescent="0.3">
      <c r="A165" s="25">
        <v>45777</v>
      </c>
      <c r="B165" t="s">
        <v>462</v>
      </c>
      <c r="C165" t="s">
        <v>191</v>
      </c>
      <c r="D165" t="s">
        <v>469</v>
      </c>
      <c r="E165">
        <v>95215.87</v>
      </c>
      <c r="F165">
        <v>21290.52</v>
      </c>
      <c r="G165">
        <v>73925.350000000006</v>
      </c>
      <c r="H165">
        <v>0.77639999999999998</v>
      </c>
    </row>
    <row r="166" spans="1:8" x14ac:dyDescent="0.3">
      <c r="A166" s="25">
        <v>45777</v>
      </c>
      <c r="B166" t="s">
        <v>462</v>
      </c>
      <c r="C166" t="s">
        <v>191</v>
      </c>
      <c r="D166" t="s">
        <v>468</v>
      </c>
      <c r="E166">
        <v>21144.89</v>
      </c>
      <c r="F166">
        <v>4728.05</v>
      </c>
      <c r="G166">
        <v>16416.830000000002</v>
      </c>
      <c r="H166">
        <v>0.77639999999999998</v>
      </c>
    </row>
    <row r="167" spans="1:8" x14ac:dyDescent="0.3">
      <c r="A167" s="25">
        <v>45777</v>
      </c>
      <c r="B167" t="s">
        <v>462</v>
      </c>
      <c r="C167" t="s">
        <v>191</v>
      </c>
      <c r="D167" t="s">
        <v>467</v>
      </c>
      <c r="E167">
        <v>91592.04</v>
      </c>
      <c r="F167">
        <v>20480.22</v>
      </c>
      <c r="G167">
        <v>71111.820000000007</v>
      </c>
      <c r="H167">
        <v>0.77639999999999998</v>
      </c>
    </row>
    <row r="168" spans="1:8" x14ac:dyDescent="0.3">
      <c r="A168" s="25">
        <v>45777</v>
      </c>
      <c r="B168" t="s">
        <v>462</v>
      </c>
      <c r="C168" t="s">
        <v>191</v>
      </c>
      <c r="D168" t="s">
        <v>466</v>
      </c>
      <c r="E168">
        <v>63392.21</v>
      </c>
      <c r="F168">
        <v>14174.66</v>
      </c>
      <c r="G168">
        <v>49217.54</v>
      </c>
      <c r="H168">
        <v>0.77639999999999998</v>
      </c>
    </row>
    <row r="169" spans="1:8" x14ac:dyDescent="0.3">
      <c r="A169" s="25">
        <v>45777</v>
      </c>
      <c r="B169" t="s">
        <v>462</v>
      </c>
      <c r="C169" t="s">
        <v>191</v>
      </c>
      <c r="D169" t="s">
        <v>465</v>
      </c>
      <c r="E169">
        <v>68024.679999999993</v>
      </c>
      <c r="F169">
        <v>15210.5</v>
      </c>
      <c r="G169">
        <v>52814.19</v>
      </c>
      <c r="H169">
        <v>0.77639999999999998</v>
      </c>
    </row>
    <row r="170" spans="1:8" x14ac:dyDescent="0.3">
      <c r="A170" s="25">
        <v>45777</v>
      </c>
      <c r="B170" t="s">
        <v>462</v>
      </c>
      <c r="C170" t="s">
        <v>191</v>
      </c>
      <c r="D170" t="s">
        <v>464</v>
      </c>
      <c r="E170">
        <v>79232.23</v>
      </c>
      <c r="F170">
        <v>17716.54</v>
      </c>
      <c r="G170">
        <v>61515.7</v>
      </c>
      <c r="H170">
        <v>0.77639999999999998</v>
      </c>
    </row>
    <row r="171" spans="1:8" x14ac:dyDescent="0.3">
      <c r="A171" s="25">
        <v>45777</v>
      </c>
      <c r="B171" t="s">
        <v>462</v>
      </c>
      <c r="C171" t="s">
        <v>191</v>
      </c>
      <c r="D171" t="s">
        <v>463</v>
      </c>
      <c r="E171">
        <v>27451.91</v>
      </c>
      <c r="F171">
        <v>6138.32</v>
      </c>
      <c r="G171">
        <v>21313.58</v>
      </c>
      <c r="H171">
        <v>0.77639999999999998</v>
      </c>
    </row>
    <row r="172" spans="1:8" x14ac:dyDescent="0.3">
      <c r="A172" s="25">
        <v>45808</v>
      </c>
      <c r="B172" t="s">
        <v>462</v>
      </c>
      <c r="C172" t="s">
        <v>191</v>
      </c>
      <c r="D172" t="s">
        <v>472</v>
      </c>
      <c r="E172">
        <v>186901.05</v>
      </c>
      <c r="F172">
        <v>20124.75</v>
      </c>
      <c r="G172">
        <v>166776.29999999999</v>
      </c>
      <c r="H172">
        <v>0.89229999999999998</v>
      </c>
    </row>
    <row r="173" spans="1:8" x14ac:dyDescent="0.3">
      <c r="A173" s="25">
        <v>45808</v>
      </c>
      <c r="B173" t="s">
        <v>462</v>
      </c>
      <c r="C173" t="s">
        <v>191</v>
      </c>
      <c r="D173" t="s">
        <v>471</v>
      </c>
      <c r="E173">
        <v>138692.85999999999</v>
      </c>
      <c r="F173">
        <v>14933.89</v>
      </c>
      <c r="G173">
        <v>123758.97</v>
      </c>
      <c r="H173">
        <v>0.89229999999999998</v>
      </c>
    </row>
    <row r="174" spans="1:8" x14ac:dyDescent="0.3">
      <c r="A174" s="25">
        <v>45808</v>
      </c>
      <c r="B174" t="s">
        <v>462</v>
      </c>
      <c r="C174" t="s">
        <v>191</v>
      </c>
      <c r="D174" t="s">
        <v>470</v>
      </c>
      <c r="E174">
        <v>152120.15</v>
      </c>
      <c r="F174">
        <v>16379.68</v>
      </c>
      <c r="G174">
        <v>135740.46</v>
      </c>
      <c r="H174">
        <v>0.89229999999999998</v>
      </c>
    </row>
    <row r="175" spans="1:8" x14ac:dyDescent="0.3">
      <c r="A175" s="25">
        <v>45808</v>
      </c>
      <c r="B175" t="s">
        <v>462</v>
      </c>
      <c r="C175" t="s">
        <v>191</v>
      </c>
      <c r="D175" t="s">
        <v>469</v>
      </c>
      <c r="E175">
        <v>69866.8</v>
      </c>
      <c r="F175">
        <v>7522.97</v>
      </c>
      <c r="G175">
        <v>62343.82</v>
      </c>
      <c r="H175">
        <v>0.89229999999999998</v>
      </c>
    </row>
    <row r="176" spans="1:8" x14ac:dyDescent="0.3">
      <c r="A176" s="25">
        <v>45808</v>
      </c>
      <c r="B176" t="s">
        <v>462</v>
      </c>
      <c r="C176" t="s">
        <v>191</v>
      </c>
      <c r="D176" t="s">
        <v>468</v>
      </c>
      <c r="E176">
        <v>8460.8700000000008</v>
      </c>
      <c r="F176">
        <v>911.03</v>
      </c>
      <c r="G176">
        <v>7549.84</v>
      </c>
      <c r="H176">
        <v>0.89229999999999998</v>
      </c>
    </row>
    <row r="177" spans="1:8" x14ac:dyDescent="0.3">
      <c r="A177" s="25">
        <v>45808</v>
      </c>
      <c r="B177" t="s">
        <v>462</v>
      </c>
      <c r="C177" t="s">
        <v>191</v>
      </c>
      <c r="D177" t="s">
        <v>467</v>
      </c>
      <c r="E177">
        <v>127513.77</v>
      </c>
      <c r="F177">
        <v>13730.17</v>
      </c>
      <c r="G177">
        <v>113783.6</v>
      </c>
      <c r="H177">
        <v>0.89229999999999998</v>
      </c>
    </row>
    <row r="178" spans="1:8" x14ac:dyDescent="0.3">
      <c r="A178" s="25">
        <v>45808</v>
      </c>
      <c r="B178" t="s">
        <v>462</v>
      </c>
      <c r="C178" t="s">
        <v>191</v>
      </c>
      <c r="D178" t="s">
        <v>466</v>
      </c>
      <c r="E178">
        <v>46182.81</v>
      </c>
      <c r="F178">
        <v>4972.78</v>
      </c>
      <c r="G178">
        <v>41210.03</v>
      </c>
      <c r="H178">
        <v>0.89229999999999998</v>
      </c>
    </row>
    <row r="179" spans="1:8" x14ac:dyDescent="0.3">
      <c r="A179" s="25">
        <v>45808</v>
      </c>
      <c r="B179" t="s">
        <v>462</v>
      </c>
      <c r="C179" t="s">
        <v>191</v>
      </c>
      <c r="D179" t="s">
        <v>465</v>
      </c>
      <c r="E179">
        <v>25208.16</v>
      </c>
      <c r="F179">
        <v>2714.31</v>
      </c>
      <c r="G179">
        <v>22493.84</v>
      </c>
      <c r="H179">
        <v>0.89229999999999998</v>
      </c>
    </row>
    <row r="180" spans="1:8" x14ac:dyDescent="0.3">
      <c r="A180" s="25">
        <v>45808</v>
      </c>
      <c r="B180" t="s">
        <v>462</v>
      </c>
      <c r="C180" t="s">
        <v>191</v>
      </c>
      <c r="D180" t="s">
        <v>464</v>
      </c>
      <c r="E180">
        <v>71368.25</v>
      </c>
      <c r="F180">
        <v>7684.64</v>
      </c>
      <c r="G180">
        <v>63683.6</v>
      </c>
      <c r="H180">
        <v>0.89229999999999998</v>
      </c>
    </row>
    <row r="181" spans="1:8" x14ac:dyDescent="0.3">
      <c r="A181" s="25">
        <v>45808</v>
      </c>
      <c r="B181" t="s">
        <v>462</v>
      </c>
      <c r="C181" t="s">
        <v>191</v>
      </c>
      <c r="D181" t="s">
        <v>463</v>
      </c>
      <c r="E181">
        <v>99039.89</v>
      </c>
      <c r="F181">
        <v>10664.22</v>
      </c>
      <c r="G181">
        <v>88375.7</v>
      </c>
      <c r="H181">
        <v>0.89229999999999998</v>
      </c>
    </row>
    <row r="182" spans="1:8" x14ac:dyDescent="0.3">
      <c r="A182" s="25">
        <v>45838</v>
      </c>
      <c r="B182" t="s">
        <v>462</v>
      </c>
      <c r="C182" t="s">
        <v>191</v>
      </c>
      <c r="D182" t="s">
        <v>472</v>
      </c>
      <c r="E182">
        <v>145516.94</v>
      </c>
      <c r="F182">
        <v>15135.23</v>
      </c>
      <c r="G182">
        <v>130381.72</v>
      </c>
      <c r="H182">
        <v>0.89600000000000002</v>
      </c>
    </row>
    <row r="183" spans="1:8" x14ac:dyDescent="0.3">
      <c r="A183" s="25">
        <v>45838</v>
      </c>
      <c r="B183" t="s">
        <v>462</v>
      </c>
      <c r="C183" t="s">
        <v>191</v>
      </c>
      <c r="D183" t="s">
        <v>471</v>
      </c>
      <c r="E183">
        <v>140529.71</v>
      </c>
      <c r="F183">
        <v>14616.5</v>
      </c>
      <c r="G183">
        <v>125913.21</v>
      </c>
      <c r="H183">
        <v>0.89600000000000002</v>
      </c>
    </row>
    <row r="184" spans="1:8" x14ac:dyDescent="0.3">
      <c r="A184" s="25">
        <v>45838</v>
      </c>
      <c r="B184" t="s">
        <v>462</v>
      </c>
      <c r="C184" t="s">
        <v>191</v>
      </c>
      <c r="D184" t="s">
        <v>470</v>
      </c>
      <c r="E184">
        <v>128610.32</v>
      </c>
      <c r="F184">
        <v>13376.77</v>
      </c>
      <c r="G184">
        <v>115233.55</v>
      </c>
      <c r="H184">
        <v>0.89600000000000002</v>
      </c>
    </row>
    <row r="185" spans="1:8" x14ac:dyDescent="0.3">
      <c r="A185" s="25">
        <v>45838</v>
      </c>
      <c r="B185" t="s">
        <v>462</v>
      </c>
      <c r="C185" t="s">
        <v>191</v>
      </c>
      <c r="D185" t="s">
        <v>469</v>
      </c>
      <c r="E185">
        <v>76142.039999999994</v>
      </c>
      <c r="F185">
        <v>7919.54</v>
      </c>
      <c r="G185">
        <v>68222.5</v>
      </c>
      <c r="H185">
        <v>0.89600000000000002</v>
      </c>
    </row>
    <row r="186" spans="1:8" x14ac:dyDescent="0.3">
      <c r="A186" s="25">
        <v>45838</v>
      </c>
      <c r="B186" t="s">
        <v>462</v>
      </c>
      <c r="C186" t="s">
        <v>191</v>
      </c>
      <c r="D186" t="s">
        <v>468</v>
      </c>
      <c r="E186">
        <v>81045.539999999994</v>
      </c>
      <c r="F186">
        <v>8429.5499999999993</v>
      </c>
      <c r="G186">
        <v>72615.990000000005</v>
      </c>
      <c r="H186">
        <v>0.89600000000000002</v>
      </c>
    </row>
    <row r="187" spans="1:8" x14ac:dyDescent="0.3">
      <c r="A187" s="25">
        <v>45838</v>
      </c>
      <c r="B187" t="s">
        <v>462</v>
      </c>
      <c r="C187" t="s">
        <v>191</v>
      </c>
      <c r="D187" t="s">
        <v>467</v>
      </c>
      <c r="E187">
        <v>70237.179999999993</v>
      </c>
      <c r="F187">
        <v>7305.37</v>
      </c>
      <c r="G187">
        <v>62931.81</v>
      </c>
      <c r="H187">
        <v>0.89600000000000002</v>
      </c>
    </row>
    <row r="188" spans="1:8" x14ac:dyDescent="0.3">
      <c r="A188" s="25">
        <v>45838</v>
      </c>
      <c r="B188" t="s">
        <v>462</v>
      </c>
      <c r="C188" t="s">
        <v>191</v>
      </c>
      <c r="D188" t="s">
        <v>466</v>
      </c>
      <c r="E188">
        <v>76467.759999999995</v>
      </c>
      <c r="F188">
        <v>7953.42</v>
      </c>
      <c r="G188">
        <v>68514.350000000006</v>
      </c>
      <c r="H188">
        <v>0.89600000000000002</v>
      </c>
    </row>
    <row r="189" spans="1:8" x14ac:dyDescent="0.3">
      <c r="A189" s="25">
        <v>45838</v>
      </c>
      <c r="B189" t="s">
        <v>462</v>
      </c>
      <c r="C189" t="s">
        <v>191</v>
      </c>
      <c r="D189" t="s">
        <v>465</v>
      </c>
      <c r="E189">
        <v>46858.26</v>
      </c>
      <c r="F189">
        <v>4873.7299999999996</v>
      </c>
      <c r="G189">
        <v>41984.53</v>
      </c>
      <c r="H189">
        <v>0.89600000000000002</v>
      </c>
    </row>
    <row r="190" spans="1:8" x14ac:dyDescent="0.3">
      <c r="A190" s="25">
        <v>45838</v>
      </c>
      <c r="B190" t="s">
        <v>462</v>
      </c>
      <c r="C190" t="s">
        <v>191</v>
      </c>
      <c r="D190" t="s">
        <v>464</v>
      </c>
      <c r="E190">
        <v>66636.56</v>
      </c>
      <c r="F190">
        <v>6930.87</v>
      </c>
      <c r="G190">
        <v>59705.69</v>
      </c>
      <c r="H190">
        <v>0.89600000000000002</v>
      </c>
    </row>
    <row r="191" spans="1:8" x14ac:dyDescent="0.3">
      <c r="A191" s="25">
        <v>45838</v>
      </c>
      <c r="B191" t="s">
        <v>462</v>
      </c>
      <c r="C191" t="s">
        <v>191</v>
      </c>
      <c r="D191" t="s">
        <v>463</v>
      </c>
      <c r="E191">
        <v>80844.820000000007</v>
      </c>
      <c r="F191">
        <v>8408.67</v>
      </c>
      <c r="G191">
        <v>72436.14</v>
      </c>
      <c r="H191">
        <v>0.89600000000000002</v>
      </c>
    </row>
    <row r="192" spans="1:8" x14ac:dyDescent="0.3">
      <c r="A192" s="25">
        <v>45869</v>
      </c>
      <c r="B192" t="s">
        <v>462</v>
      </c>
      <c r="C192" t="s">
        <v>191</v>
      </c>
      <c r="D192" t="s">
        <v>472</v>
      </c>
      <c r="E192">
        <v>208912.36</v>
      </c>
      <c r="F192">
        <v>22071.33</v>
      </c>
      <c r="G192">
        <v>186841.02</v>
      </c>
      <c r="H192">
        <v>0.89439999999999997</v>
      </c>
    </row>
    <row r="193" spans="1:8" x14ac:dyDescent="0.3">
      <c r="A193" s="25">
        <v>45869</v>
      </c>
      <c r="B193" t="s">
        <v>462</v>
      </c>
      <c r="C193" t="s">
        <v>191</v>
      </c>
      <c r="D193" t="s">
        <v>471</v>
      </c>
      <c r="E193">
        <v>132142.22</v>
      </c>
      <c r="F193">
        <v>13960.66</v>
      </c>
      <c r="G193">
        <v>118181.56</v>
      </c>
      <c r="H193">
        <v>0.89439999999999997</v>
      </c>
    </row>
    <row r="194" spans="1:8" x14ac:dyDescent="0.3">
      <c r="A194" s="25">
        <v>45869</v>
      </c>
      <c r="B194" t="s">
        <v>462</v>
      </c>
      <c r="C194" t="s">
        <v>191</v>
      </c>
      <c r="D194" t="s">
        <v>470</v>
      </c>
      <c r="E194">
        <v>102766.62</v>
      </c>
      <c r="F194">
        <v>10857.17</v>
      </c>
      <c r="G194">
        <v>91909.45</v>
      </c>
      <c r="H194">
        <v>0.89439999999999997</v>
      </c>
    </row>
    <row r="195" spans="1:8" x14ac:dyDescent="0.3">
      <c r="A195" s="25">
        <v>45869</v>
      </c>
      <c r="B195" t="s">
        <v>462</v>
      </c>
      <c r="C195" t="s">
        <v>191</v>
      </c>
      <c r="D195" t="s">
        <v>469</v>
      </c>
      <c r="E195">
        <v>130063.53</v>
      </c>
      <c r="F195">
        <v>13741.05</v>
      </c>
      <c r="G195">
        <v>116322.48</v>
      </c>
      <c r="H195">
        <v>0.89439999999999997</v>
      </c>
    </row>
    <row r="196" spans="1:8" x14ac:dyDescent="0.3">
      <c r="A196" s="25">
        <v>45869</v>
      </c>
      <c r="B196" t="s">
        <v>462</v>
      </c>
      <c r="C196" t="s">
        <v>191</v>
      </c>
      <c r="D196" t="s">
        <v>468</v>
      </c>
      <c r="E196">
        <v>32745.31</v>
      </c>
      <c r="F196">
        <v>3459.5</v>
      </c>
      <c r="G196">
        <v>29285.81</v>
      </c>
      <c r="H196">
        <v>0.89439999999999997</v>
      </c>
    </row>
    <row r="197" spans="1:8" x14ac:dyDescent="0.3">
      <c r="A197" s="25">
        <v>45869</v>
      </c>
      <c r="B197" t="s">
        <v>462</v>
      </c>
      <c r="C197" t="s">
        <v>191</v>
      </c>
      <c r="D197" t="s">
        <v>467</v>
      </c>
      <c r="E197">
        <v>20352.689999999999</v>
      </c>
      <c r="F197">
        <v>2150.2399999999998</v>
      </c>
      <c r="G197">
        <v>18202.46</v>
      </c>
      <c r="H197">
        <v>0.89439999999999997</v>
      </c>
    </row>
    <row r="198" spans="1:8" x14ac:dyDescent="0.3">
      <c r="A198" s="25">
        <v>45869</v>
      </c>
      <c r="B198" t="s">
        <v>462</v>
      </c>
      <c r="C198" t="s">
        <v>191</v>
      </c>
      <c r="D198" t="s">
        <v>466</v>
      </c>
      <c r="E198">
        <v>119996.11</v>
      </c>
      <c r="F198">
        <v>12677.44</v>
      </c>
      <c r="G198">
        <v>107318.67</v>
      </c>
      <c r="H198">
        <v>0.89439999999999997</v>
      </c>
    </row>
    <row r="199" spans="1:8" x14ac:dyDescent="0.3">
      <c r="A199" s="25">
        <v>45869</v>
      </c>
      <c r="B199" t="s">
        <v>462</v>
      </c>
      <c r="C199" t="s">
        <v>191</v>
      </c>
      <c r="D199" t="s">
        <v>465</v>
      </c>
      <c r="E199">
        <v>103010.49</v>
      </c>
      <c r="F199">
        <v>10882.93</v>
      </c>
      <c r="G199">
        <v>92127.55</v>
      </c>
      <c r="H199">
        <v>0.89439999999999997</v>
      </c>
    </row>
    <row r="200" spans="1:8" x14ac:dyDescent="0.3">
      <c r="A200" s="25">
        <v>45869</v>
      </c>
      <c r="B200" t="s">
        <v>462</v>
      </c>
      <c r="C200" t="s">
        <v>191</v>
      </c>
      <c r="D200" t="s">
        <v>464</v>
      </c>
      <c r="E200">
        <v>67736.63</v>
      </c>
      <c r="F200">
        <v>7156.29</v>
      </c>
      <c r="G200">
        <v>60580.34</v>
      </c>
      <c r="H200">
        <v>0.89439999999999997</v>
      </c>
    </row>
    <row r="201" spans="1:8" x14ac:dyDescent="0.3">
      <c r="A201" s="25">
        <v>45869</v>
      </c>
      <c r="B201" t="s">
        <v>462</v>
      </c>
      <c r="C201" t="s">
        <v>191</v>
      </c>
      <c r="D201" t="s">
        <v>463</v>
      </c>
      <c r="E201">
        <v>76408.800000000003</v>
      </c>
      <c r="F201">
        <v>8072.51</v>
      </c>
      <c r="G201">
        <v>68336.3</v>
      </c>
      <c r="H201">
        <v>0.89439999999999997</v>
      </c>
    </row>
    <row r="202" spans="1:8" x14ac:dyDescent="0.3">
      <c r="A202" s="25">
        <v>45900</v>
      </c>
      <c r="B202" t="s">
        <v>462</v>
      </c>
      <c r="C202" t="s">
        <v>191</v>
      </c>
      <c r="D202" t="s">
        <v>472</v>
      </c>
      <c r="E202">
        <v>204780.68</v>
      </c>
      <c r="F202">
        <v>27432.82</v>
      </c>
      <c r="G202">
        <v>177347.86</v>
      </c>
      <c r="H202">
        <v>0.86599999999999999</v>
      </c>
    </row>
    <row r="203" spans="1:8" x14ac:dyDescent="0.3">
      <c r="A203" s="25">
        <v>45900</v>
      </c>
      <c r="B203" t="s">
        <v>462</v>
      </c>
      <c r="C203" t="s">
        <v>191</v>
      </c>
      <c r="D203" t="s">
        <v>471</v>
      </c>
      <c r="E203">
        <v>120825.07</v>
      </c>
      <c r="F203">
        <v>16185.96</v>
      </c>
      <c r="G203">
        <v>104639.11</v>
      </c>
      <c r="H203">
        <v>0.86599999999999999</v>
      </c>
    </row>
    <row r="204" spans="1:8" x14ac:dyDescent="0.3">
      <c r="A204" s="25">
        <v>45900</v>
      </c>
      <c r="B204" t="s">
        <v>462</v>
      </c>
      <c r="C204" t="s">
        <v>191</v>
      </c>
      <c r="D204" t="s">
        <v>470</v>
      </c>
      <c r="E204">
        <v>112273.19</v>
      </c>
      <c r="F204">
        <v>15040.34</v>
      </c>
      <c r="G204">
        <v>97232.86</v>
      </c>
      <c r="H204">
        <v>0.86599999999999999</v>
      </c>
    </row>
    <row r="205" spans="1:8" x14ac:dyDescent="0.3">
      <c r="A205" s="25">
        <v>45900</v>
      </c>
      <c r="B205" t="s">
        <v>462</v>
      </c>
      <c r="C205" t="s">
        <v>191</v>
      </c>
      <c r="D205" t="s">
        <v>469</v>
      </c>
      <c r="E205">
        <v>55419.15</v>
      </c>
      <c r="F205">
        <v>7424.06</v>
      </c>
      <c r="G205">
        <v>47995.1</v>
      </c>
      <c r="H205">
        <v>0.86599999999999999</v>
      </c>
    </row>
    <row r="206" spans="1:8" x14ac:dyDescent="0.3">
      <c r="A206" s="25">
        <v>45900</v>
      </c>
      <c r="B206" t="s">
        <v>462</v>
      </c>
      <c r="C206" t="s">
        <v>191</v>
      </c>
      <c r="D206" t="s">
        <v>468</v>
      </c>
      <c r="E206">
        <v>58840.37</v>
      </c>
      <c r="F206">
        <v>7882.37</v>
      </c>
      <c r="G206">
        <v>50958</v>
      </c>
      <c r="H206">
        <v>0.86599999999999999</v>
      </c>
    </row>
    <row r="207" spans="1:8" x14ac:dyDescent="0.3">
      <c r="A207" s="25">
        <v>45900</v>
      </c>
      <c r="B207" t="s">
        <v>462</v>
      </c>
      <c r="C207" t="s">
        <v>191</v>
      </c>
      <c r="D207" t="s">
        <v>467</v>
      </c>
      <c r="E207">
        <v>96508.14</v>
      </c>
      <c r="F207">
        <v>12928.42</v>
      </c>
      <c r="G207">
        <v>83579.72</v>
      </c>
      <c r="H207">
        <v>0.86599999999999999</v>
      </c>
    </row>
    <row r="208" spans="1:8" x14ac:dyDescent="0.3">
      <c r="A208" s="25">
        <v>45900</v>
      </c>
      <c r="B208" t="s">
        <v>462</v>
      </c>
      <c r="C208" t="s">
        <v>191</v>
      </c>
      <c r="D208" t="s">
        <v>466</v>
      </c>
      <c r="E208">
        <v>76346.399999999994</v>
      </c>
      <c r="F208">
        <v>10227.51</v>
      </c>
      <c r="G208">
        <v>66118.89</v>
      </c>
      <c r="H208">
        <v>0.86599999999999999</v>
      </c>
    </row>
    <row r="209" spans="1:8" x14ac:dyDescent="0.3">
      <c r="A209" s="25">
        <v>45900</v>
      </c>
      <c r="B209" t="s">
        <v>462</v>
      </c>
      <c r="C209" t="s">
        <v>191</v>
      </c>
      <c r="D209" t="s">
        <v>465</v>
      </c>
      <c r="E209">
        <v>55337.93</v>
      </c>
      <c r="F209">
        <v>7413.18</v>
      </c>
      <c r="G209">
        <v>47924.75</v>
      </c>
      <c r="H209">
        <v>0.86599999999999999</v>
      </c>
    </row>
    <row r="210" spans="1:8" x14ac:dyDescent="0.3">
      <c r="A210" s="25">
        <v>45900</v>
      </c>
      <c r="B210" t="s">
        <v>462</v>
      </c>
      <c r="C210" t="s">
        <v>191</v>
      </c>
      <c r="D210" t="s">
        <v>464</v>
      </c>
      <c r="E210">
        <v>54784</v>
      </c>
      <c r="F210">
        <v>7338.97</v>
      </c>
      <c r="G210">
        <v>47445.03</v>
      </c>
      <c r="H210">
        <v>0.86599999999999999</v>
      </c>
    </row>
    <row r="211" spans="1:8" x14ac:dyDescent="0.3">
      <c r="A211" s="25">
        <v>45900</v>
      </c>
      <c r="B211" t="s">
        <v>462</v>
      </c>
      <c r="C211" t="s">
        <v>191</v>
      </c>
      <c r="D211" t="s">
        <v>463</v>
      </c>
      <c r="E211">
        <v>62804.61</v>
      </c>
      <c r="F211">
        <v>8413.44</v>
      </c>
      <c r="G211">
        <v>54391.16</v>
      </c>
      <c r="H211">
        <v>0.86599999999999999</v>
      </c>
    </row>
    <row r="212" spans="1:8" x14ac:dyDescent="0.3">
      <c r="A212" s="25">
        <v>45930</v>
      </c>
      <c r="B212" t="s">
        <v>462</v>
      </c>
      <c r="C212" t="s">
        <v>191</v>
      </c>
      <c r="D212" t="s">
        <v>472</v>
      </c>
      <c r="E212">
        <v>258653.91</v>
      </c>
      <c r="F212">
        <v>33709.910000000003</v>
      </c>
      <c r="G212">
        <v>224944</v>
      </c>
      <c r="H212">
        <v>0.86970000000000003</v>
      </c>
    </row>
    <row r="213" spans="1:8" x14ac:dyDescent="0.3">
      <c r="A213" s="25">
        <v>45930</v>
      </c>
      <c r="B213" t="s">
        <v>462</v>
      </c>
      <c r="C213" t="s">
        <v>191</v>
      </c>
      <c r="D213" t="s">
        <v>471</v>
      </c>
      <c r="E213">
        <v>128541.88</v>
      </c>
      <c r="F213">
        <v>16752.64</v>
      </c>
      <c r="G213">
        <v>111789.24</v>
      </c>
      <c r="H213">
        <v>0.86970000000000003</v>
      </c>
    </row>
    <row r="214" spans="1:8" x14ac:dyDescent="0.3">
      <c r="A214" s="25">
        <v>45930</v>
      </c>
      <c r="B214" t="s">
        <v>462</v>
      </c>
      <c r="C214" t="s">
        <v>191</v>
      </c>
      <c r="D214" t="s">
        <v>470</v>
      </c>
      <c r="E214">
        <v>89719.88</v>
      </c>
      <c r="F214">
        <v>11693.03</v>
      </c>
      <c r="G214">
        <v>78026.850000000006</v>
      </c>
      <c r="H214">
        <v>0.86970000000000003</v>
      </c>
    </row>
    <row r="215" spans="1:8" x14ac:dyDescent="0.3">
      <c r="A215" s="25">
        <v>45930</v>
      </c>
      <c r="B215" t="s">
        <v>462</v>
      </c>
      <c r="C215" t="s">
        <v>191</v>
      </c>
      <c r="D215" t="s">
        <v>469</v>
      </c>
      <c r="E215">
        <v>111735.61</v>
      </c>
      <c r="F215">
        <v>14562.31</v>
      </c>
      <c r="G215">
        <v>97173.31</v>
      </c>
      <c r="H215">
        <v>0.86970000000000003</v>
      </c>
    </row>
    <row r="216" spans="1:8" x14ac:dyDescent="0.3">
      <c r="A216" s="25">
        <v>45930</v>
      </c>
      <c r="B216" t="s">
        <v>462</v>
      </c>
      <c r="C216" t="s">
        <v>191</v>
      </c>
      <c r="D216" t="s">
        <v>468</v>
      </c>
      <c r="E216">
        <v>55187.55</v>
      </c>
      <c r="F216">
        <v>7192.5</v>
      </c>
      <c r="G216">
        <v>47995.05</v>
      </c>
      <c r="H216">
        <v>0.86970000000000003</v>
      </c>
    </row>
    <row r="217" spans="1:8" x14ac:dyDescent="0.3">
      <c r="A217" s="25">
        <v>45930</v>
      </c>
      <c r="B217" t="s">
        <v>462</v>
      </c>
      <c r="C217" t="s">
        <v>191</v>
      </c>
      <c r="D217" t="s">
        <v>467</v>
      </c>
      <c r="E217">
        <v>10691.19</v>
      </c>
      <c r="F217">
        <v>1393.36</v>
      </c>
      <c r="G217">
        <v>9297.83</v>
      </c>
      <c r="H217">
        <v>0.86970000000000003</v>
      </c>
    </row>
    <row r="218" spans="1:8" x14ac:dyDescent="0.3">
      <c r="A218" s="25">
        <v>45930</v>
      </c>
      <c r="B218" t="s">
        <v>462</v>
      </c>
      <c r="C218" t="s">
        <v>191</v>
      </c>
      <c r="D218" t="s">
        <v>466</v>
      </c>
      <c r="E218">
        <v>14232.96</v>
      </c>
      <c r="F218">
        <v>1854.96</v>
      </c>
      <c r="G218">
        <v>12378.01</v>
      </c>
      <c r="H218">
        <v>0.86970000000000003</v>
      </c>
    </row>
    <row r="219" spans="1:8" x14ac:dyDescent="0.3">
      <c r="A219" s="25">
        <v>45930</v>
      </c>
      <c r="B219" t="s">
        <v>462</v>
      </c>
      <c r="C219" t="s">
        <v>191</v>
      </c>
      <c r="D219" t="s">
        <v>465</v>
      </c>
      <c r="E219">
        <v>84408.41</v>
      </c>
      <c r="F219">
        <v>11000.8</v>
      </c>
      <c r="G219">
        <v>73407.61</v>
      </c>
      <c r="H219">
        <v>0.86970000000000003</v>
      </c>
    </row>
    <row r="220" spans="1:8" x14ac:dyDescent="0.3">
      <c r="A220" s="25">
        <v>45930</v>
      </c>
      <c r="B220" t="s">
        <v>462</v>
      </c>
      <c r="C220" t="s">
        <v>191</v>
      </c>
      <c r="D220" t="s">
        <v>464</v>
      </c>
      <c r="E220">
        <v>91544.06</v>
      </c>
      <c r="F220">
        <v>11930.78</v>
      </c>
      <c r="G220">
        <v>79613.289999999994</v>
      </c>
      <c r="H220">
        <v>0.86970000000000003</v>
      </c>
    </row>
    <row r="221" spans="1:8" x14ac:dyDescent="0.3">
      <c r="A221" s="25">
        <v>45930</v>
      </c>
      <c r="B221" t="s">
        <v>462</v>
      </c>
      <c r="C221" t="s">
        <v>191</v>
      </c>
      <c r="D221" t="s">
        <v>463</v>
      </c>
      <c r="E221">
        <v>19054.47</v>
      </c>
      <c r="F221">
        <v>2483.3200000000002</v>
      </c>
      <c r="G221">
        <v>16571.12</v>
      </c>
      <c r="H221">
        <v>0.86970000000000003</v>
      </c>
    </row>
    <row r="222" spans="1:8" x14ac:dyDescent="0.3">
      <c r="A222" s="25">
        <v>45961</v>
      </c>
      <c r="B222" t="s">
        <v>462</v>
      </c>
      <c r="C222" t="s">
        <v>191</v>
      </c>
      <c r="D222" t="s">
        <v>472</v>
      </c>
      <c r="E222">
        <v>175634.08</v>
      </c>
      <c r="F222">
        <v>36242.480000000003</v>
      </c>
      <c r="G222">
        <v>139391.6</v>
      </c>
      <c r="H222">
        <v>0.79359999999999997</v>
      </c>
    </row>
    <row r="223" spans="1:8" x14ac:dyDescent="0.3">
      <c r="A223" s="25">
        <v>45961</v>
      </c>
      <c r="B223" t="s">
        <v>462</v>
      </c>
      <c r="C223" t="s">
        <v>191</v>
      </c>
      <c r="D223" t="s">
        <v>471</v>
      </c>
      <c r="E223">
        <v>104824.64</v>
      </c>
      <c r="F223">
        <v>21630.799999999999</v>
      </c>
      <c r="G223">
        <v>83193.84</v>
      </c>
      <c r="H223">
        <v>0.79359999999999997</v>
      </c>
    </row>
    <row r="224" spans="1:8" x14ac:dyDescent="0.3">
      <c r="A224" s="25">
        <v>45961</v>
      </c>
      <c r="B224" t="s">
        <v>462</v>
      </c>
      <c r="C224" t="s">
        <v>191</v>
      </c>
      <c r="D224" t="s">
        <v>470</v>
      </c>
      <c r="E224">
        <v>129055.69</v>
      </c>
      <c r="F224">
        <v>26630.93</v>
      </c>
      <c r="G224">
        <v>102424.76</v>
      </c>
      <c r="H224">
        <v>0.79359999999999997</v>
      </c>
    </row>
    <row r="225" spans="1:8" x14ac:dyDescent="0.3">
      <c r="A225" s="25">
        <v>45961</v>
      </c>
      <c r="B225" t="s">
        <v>462</v>
      </c>
      <c r="C225" t="s">
        <v>191</v>
      </c>
      <c r="D225" t="s">
        <v>469</v>
      </c>
      <c r="E225">
        <v>85346.25</v>
      </c>
      <c r="F225">
        <v>17611.39</v>
      </c>
      <c r="G225">
        <v>67734.87</v>
      </c>
      <c r="H225">
        <v>0.79359999999999997</v>
      </c>
    </row>
    <row r="226" spans="1:8" x14ac:dyDescent="0.3">
      <c r="A226" s="25">
        <v>45961</v>
      </c>
      <c r="B226" t="s">
        <v>462</v>
      </c>
      <c r="C226" t="s">
        <v>191</v>
      </c>
      <c r="D226" t="s">
        <v>468</v>
      </c>
      <c r="E226">
        <v>53653.15</v>
      </c>
      <c r="F226">
        <v>11071.45</v>
      </c>
      <c r="G226">
        <v>42581.7</v>
      </c>
      <c r="H226">
        <v>0.79359999999999997</v>
      </c>
    </row>
    <row r="227" spans="1:8" x14ac:dyDescent="0.3">
      <c r="A227" s="25">
        <v>45961</v>
      </c>
      <c r="B227" t="s">
        <v>462</v>
      </c>
      <c r="C227" t="s">
        <v>191</v>
      </c>
      <c r="D227" t="s">
        <v>467</v>
      </c>
      <c r="E227">
        <v>19221.009999999998</v>
      </c>
      <c r="F227">
        <v>3966.3</v>
      </c>
      <c r="G227">
        <v>15254.71</v>
      </c>
      <c r="H227">
        <v>0.79359999999999997</v>
      </c>
    </row>
    <row r="228" spans="1:8" x14ac:dyDescent="0.3">
      <c r="A228" s="25">
        <v>45961</v>
      </c>
      <c r="B228" t="s">
        <v>462</v>
      </c>
      <c r="C228" t="s">
        <v>191</v>
      </c>
      <c r="D228" t="s">
        <v>466</v>
      </c>
      <c r="E228">
        <v>101819.42</v>
      </c>
      <c r="F228">
        <v>21010.66</v>
      </c>
      <c r="G228">
        <v>80808.759999999995</v>
      </c>
      <c r="H228">
        <v>0.79359999999999997</v>
      </c>
    </row>
    <row r="229" spans="1:8" x14ac:dyDescent="0.3">
      <c r="A229" s="25">
        <v>45961</v>
      </c>
      <c r="B229" t="s">
        <v>462</v>
      </c>
      <c r="C229" t="s">
        <v>191</v>
      </c>
      <c r="D229" t="s">
        <v>465</v>
      </c>
      <c r="E229">
        <v>76660.289999999994</v>
      </c>
      <c r="F229">
        <v>15819.02</v>
      </c>
      <c r="G229">
        <v>60841.27</v>
      </c>
      <c r="H229">
        <v>0.79359999999999997</v>
      </c>
    </row>
    <row r="230" spans="1:8" x14ac:dyDescent="0.3">
      <c r="A230" s="25">
        <v>45961</v>
      </c>
      <c r="B230" t="s">
        <v>462</v>
      </c>
      <c r="C230" t="s">
        <v>191</v>
      </c>
      <c r="D230" t="s">
        <v>464</v>
      </c>
      <c r="E230">
        <v>61071.13</v>
      </c>
      <c r="F230">
        <v>12602.16</v>
      </c>
      <c r="G230">
        <v>48468.959999999999</v>
      </c>
      <c r="H230">
        <v>0.79359999999999997</v>
      </c>
    </row>
    <row r="231" spans="1:8" x14ac:dyDescent="0.3">
      <c r="A231" s="25">
        <v>45961</v>
      </c>
      <c r="B231" t="s">
        <v>462</v>
      </c>
      <c r="C231" t="s">
        <v>191</v>
      </c>
      <c r="D231" t="s">
        <v>463</v>
      </c>
      <c r="E231">
        <v>126821.33</v>
      </c>
      <c r="F231">
        <v>26169.86</v>
      </c>
      <c r="G231">
        <v>100651.48</v>
      </c>
      <c r="H231">
        <v>0.79359999999999997</v>
      </c>
    </row>
    <row r="232" spans="1:8" x14ac:dyDescent="0.3">
      <c r="A232" s="25">
        <v>45991</v>
      </c>
      <c r="B232" t="s">
        <v>462</v>
      </c>
      <c r="C232" t="s">
        <v>191</v>
      </c>
      <c r="D232" t="s">
        <v>472</v>
      </c>
      <c r="E232">
        <v>150516.28</v>
      </c>
      <c r="F232">
        <v>16693.64</v>
      </c>
      <c r="G232">
        <v>133822.64000000001</v>
      </c>
      <c r="H232">
        <v>0.8891</v>
      </c>
    </row>
    <row r="233" spans="1:8" x14ac:dyDescent="0.3">
      <c r="A233" s="25">
        <v>45991</v>
      </c>
      <c r="B233" t="s">
        <v>462</v>
      </c>
      <c r="C233" t="s">
        <v>191</v>
      </c>
      <c r="D233" t="s">
        <v>471</v>
      </c>
      <c r="E233">
        <v>170446.98</v>
      </c>
      <c r="F233">
        <v>18904.14</v>
      </c>
      <c r="G233">
        <v>151542.85</v>
      </c>
      <c r="H233">
        <v>0.8891</v>
      </c>
    </row>
    <row r="234" spans="1:8" x14ac:dyDescent="0.3">
      <c r="A234" s="25">
        <v>45991</v>
      </c>
      <c r="B234" t="s">
        <v>462</v>
      </c>
      <c r="C234" t="s">
        <v>191</v>
      </c>
      <c r="D234" t="s">
        <v>470</v>
      </c>
      <c r="E234">
        <v>125235.23</v>
      </c>
      <c r="F234">
        <v>13889.74</v>
      </c>
      <c r="G234">
        <v>111345.49</v>
      </c>
      <c r="H234">
        <v>0.8891</v>
      </c>
    </row>
    <row r="235" spans="1:8" x14ac:dyDescent="0.3">
      <c r="A235" s="25">
        <v>45991</v>
      </c>
      <c r="B235" t="s">
        <v>462</v>
      </c>
      <c r="C235" t="s">
        <v>191</v>
      </c>
      <c r="D235" t="s">
        <v>469</v>
      </c>
      <c r="E235">
        <v>81454.929999999993</v>
      </c>
      <c r="F235">
        <v>9034.1</v>
      </c>
      <c r="G235">
        <v>72420.83</v>
      </c>
      <c r="H235">
        <v>0.8891</v>
      </c>
    </row>
    <row r="236" spans="1:8" x14ac:dyDescent="0.3">
      <c r="A236" s="25">
        <v>45991</v>
      </c>
      <c r="B236" t="s">
        <v>462</v>
      </c>
      <c r="C236" t="s">
        <v>191</v>
      </c>
      <c r="D236" t="s">
        <v>468</v>
      </c>
      <c r="E236">
        <v>79373.78</v>
      </c>
      <c r="F236">
        <v>8803.2800000000007</v>
      </c>
      <c r="G236">
        <v>70570.5</v>
      </c>
      <c r="H236">
        <v>0.8891</v>
      </c>
    </row>
    <row r="237" spans="1:8" x14ac:dyDescent="0.3">
      <c r="A237" s="25">
        <v>45991</v>
      </c>
      <c r="B237" t="s">
        <v>462</v>
      </c>
      <c r="C237" t="s">
        <v>191</v>
      </c>
      <c r="D237" t="s">
        <v>467</v>
      </c>
      <c r="E237">
        <v>74033.649999999994</v>
      </c>
      <c r="F237">
        <v>8211.01</v>
      </c>
      <c r="G237">
        <v>65822.64</v>
      </c>
      <c r="H237">
        <v>0.8891</v>
      </c>
    </row>
    <row r="238" spans="1:8" x14ac:dyDescent="0.3">
      <c r="A238" s="25">
        <v>45991</v>
      </c>
      <c r="B238" t="s">
        <v>462</v>
      </c>
      <c r="C238" t="s">
        <v>191</v>
      </c>
      <c r="D238" t="s">
        <v>466</v>
      </c>
      <c r="E238">
        <v>40043.160000000003</v>
      </c>
      <c r="F238">
        <v>4441.1499999999996</v>
      </c>
      <c r="G238">
        <v>35602.01</v>
      </c>
      <c r="H238">
        <v>0.8891</v>
      </c>
    </row>
    <row r="239" spans="1:8" x14ac:dyDescent="0.3">
      <c r="A239" s="25">
        <v>45991</v>
      </c>
      <c r="B239" t="s">
        <v>462</v>
      </c>
      <c r="C239" t="s">
        <v>191</v>
      </c>
      <c r="D239" t="s">
        <v>465</v>
      </c>
      <c r="E239">
        <v>48406.93</v>
      </c>
      <c r="F239">
        <v>5368.77</v>
      </c>
      <c r="G239">
        <v>43038.16</v>
      </c>
      <c r="H239">
        <v>0.8891</v>
      </c>
    </row>
    <row r="240" spans="1:8" x14ac:dyDescent="0.3">
      <c r="A240" s="25">
        <v>45991</v>
      </c>
      <c r="B240" t="s">
        <v>462</v>
      </c>
      <c r="C240" t="s">
        <v>191</v>
      </c>
      <c r="D240" t="s">
        <v>464</v>
      </c>
      <c r="E240">
        <v>76575.95</v>
      </c>
      <c r="F240">
        <v>8492.98</v>
      </c>
      <c r="G240">
        <v>68082.97</v>
      </c>
      <c r="H240">
        <v>0.8891</v>
      </c>
    </row>
    <row r="241" spans="1:8" x14ac:dyDescent="0.3">
      <c r="A241" s="25">
        <v>45991</v>
      </c>
      <c r="B241" t="s">
        <v>462</v>
      </c>
      <c r="C241" t="s">
        <v>191</v>
      </c>
      <c r="D241" t="s">
        <v>463</v>
      </c>
      <c r="E241">
        <v>80659.33</v>
      </c>
      <c r="F241">
        <v>8945.8700000000008</v>
      </c>
      <c r="G241">
        <v>71713.45</v>
      </c>
      <c r="H241">
        <v>0.8891</v>
      </c>
    </row>
    <row r="242" spans="1:8" x14ac:dyDescent="0.3">
      <c r="A242" s="25">
        <v>45657</v>
      </c>
      <c r="B242" t="s">
        <v>462</v>
      </c>
      <c r="C242" t="s">
        <v>193</v>
      </c>
      <c r="D242" t="s">
        <v>472</v>
      </c>
      <c r="E242">
        <v>226463.83</v>
      </c>
      <c r="F242">
        <v>46271.12</v>
      </c>
      <c r="G242">
        <v>180192.71</v>
      </c>
      <c r="H242">
        <v>0.79569999999999996</v>
      </c>
    </row>
    <row r="243" spans="1:8" x14ac:dyDescent="0.3">
      <c r="A243" s="25">
        <v>45657</v>
      </c>
      <c r="B243" t="s">
        <v>462</v>
      </c>
      <c r="C243" t="s">
        <v>193</v>
      </c>
      <c r="D243" t="s">
        <v>471</v>
      </c>
      <c r="E243">
        <v>143591.38</v>
      </c>
      <c r="F243">
        <v>29338.61</v>
      </c>
      <c r="G243">
        <v>114252.77</v>
      </c>
      <c r="H243">
        <v>0.79569999999999996</v>
      </c>
    </row>
    <row r="244" spans="1:8" x14ac:dyDescent="0.3">
      <c r="A244" s="25">
        <v>45657</v>
      </c>
      <c r="B244" t="s">
        <v>462</v>
      </c>
      <c r="C244" t="s">
        <v>193</v>
      </c>
      <c r="D244" t="s">
        <v>470</v>
      </c>
      <c r="E244">
        <v>108467.03</v>
      </c>
      <c r="F244">
        <v>22162</v>
      </c>
      <c r="G244">
        <v>86305.03</v>
      </c>
      <c r="H244">
        <v>0.79569999999999996</v>
      </c>
    </row>
    <row r="245" spans="1:8" x14ac:dyDescent="0.3">
      <c r="A245" s="25">
        <v>45657</v>
      </c>
      <c r="B245" t="s">
        <v>462</v>
      </c>
      <c r="C245" t="s">
        <v>193</v>
      </c>
      <c r="D245" t="s">
        <v>469</v>
      </c>
      <c r="E245">
        <v>101071.62</v>
      </c>
      <c r="F245">
        <v>20650.97</v>
      </c>
      <c r="G245">
        <v>80420.649999999994</v>
      </c>
      <c r="H245">
        <v>0.79569999999999996</v>
      </c>
    </row>
    <row r="246" spans="1:8" x14ac:dyDescent="0.3">
      <c r="A246" s="25">
        <v>45657</v>
      </c>
      <c r="B246" t="s">
        <v>462</v>
      </c>
      <c r="C246" t="s">
        <v>193</v>
      </c>
      <c r="D246" t="s">
        <v>468</v>
      </c>
      <c r="E246">
        <v>65475.07</v>
      </c>
      <c r="F246">
        <v>13377.88</v>
      </c>
      <c r="G246">
        <v>52097.2</v>
      </c>
      <c r="H246">
        <v>0.79569999999999996</v>
      </c>
    </row>
    <row r="247" spans="1:8" x14ac:dyDescent="0.3">
      <c r="A247" s="25">
        <v>45657</v>
      </c>
      <c r="B247" t="s">
        <v>462</v>
      </c>
      <c r="C247" t="s">
        <v>193</v>
      </c>
      <c r="D247" t="s">
        <v>467</v>
      </c>
      <c r="E247">
        <v>71419.990000000005</v>
      </c>
      <c r="F247">
        <v>14592.54</v>
      </c>
      <c r="G247">
        <v>56827.45</v>
      </c>
      <c r="H247">
        <v>0.79569999999999996</v>
      </c>
    </row>
    <row r="248" spans="1:8" x14ac:dyDescent="0.3">
      <c r="A248" s="25">
        <v>45657</v>
      </c>
      <c r="B248" t="s">
        <v>462</v>
      </c>
      <c r="C248" t="s">
        <v>193</v>
      </c>
      <c r="D248" t="s">
        <v>466</v>
      </c>
      <c r="E248">
        <v>71069.14</v>
      </c>
      <c r="F248">
        <v>14520.86</v>
      </c>
      <c r="G248">
        <v>56548.28</v>
      </c>
      <c r="H248">
        <v>0.79569999999999996</v>
      </c>
    </row>
    <row r="249" spans="1:8" x14ac:dyDescent="0.3">
      <c r="A249" s="25">
        <v>45657</v>
      </c>
      <c r="B249" t="s">
        <v>462</v>
      </c>
      <c r="C249" t="s">
        <v>193</v>
      </c>
      <c r="D249" t="s">
        <v>465</v>
      </c>
      <c r="E249">
        <v>76445.11</v>
      </c>
      <c r="F249">
        <v>15619.28</v>
      </c>
      <c r="G249">
        <v>60825.84</v>
      </c>
      <c r="H249">
        <v>0.79569999999999996</v>
      </c>
    </row>
    <row r="250" spans="1:8" x14ac:dyDescent="0.3">
      <c r="A250" s="25">
        <v>45657</v>
      </c>
      <c r="B250" t="s">
        <v>462</v>
      </c>
      <c r="C250" t="s">
        <v>193</v>
      </c>
      <c r="D250" t="s">
        <v>464</v>
      </c>
      <c r="E250">
        <v>58672.2</v>
      </c>
      <c r="F250">
        <v>11987.91</v>
      </c>
      <c r="G250">
        <v>46684.29</v>
      </c>
      <c r="H250">
        <v>0.79569999999999996</v>
      </c>
    </row>
    <row r="251" spans="1:8" x14ac:dyDescent="0.3">
      <c r="A251" s="25">
        <v>45657</v>
      </c>
      <c r="B251" t="s">
        <v>462</v>
      </c>
      <c r="C251" t="s">
        <v>193</v>
      </c>
      <c r="D251" t="s">
        <v>463</v>
      </c>
      <c r="E251">
        <v>112460.93</v>
      </c>
      <c r="F251">
        <v>22978.03</v>
      </c>
      <c r="G251">
        <v>89482.89</v>
      </c>
      <c r="H251">
        <v>0.79569999999999996</v>
      </c>
    </row>
    <row r="252" spans="1:8" x14ac:dyDescent="0.3">
      <c r="A252" s="25">
        <v>45688</v>
      </c>
      <c r="B252" t="s">
        <v>462</v>
      </c>
      <c r="C252" t="s">
        <v>193</v>
      </c>
      <c r="D252" t="s">
        <v>472</v>
      </c>
      <c r="E252">
        <v>201948.82</v>
      </c>
      <c r="F252">
        <v>32867.760000000002</v>
      </c>
      <c r="G252">
        <v>169081.06</v>
      </c>
      <c r="H252">
        <v>0.83720000000000006</v>
      </c>
    </row>
    <row r="253" spans="1:8" x14ac:dyDescent="0.3">
      <c r="A253" s="25">
        <v>45688</v>
      </c>
      <c r="B253" t="s">
        <v>462</v>
      </c>
      <c r="C253" t="s">
        <v>193</v>
      </c>
      <c r="D253" t="s">
        <v>471</v>
      </c>
      <c r="E253">
        <v>213045.43</v>
      </c>
      <c r="F253">
        <v>34673.769999999997</v>
      </c>
      <c r="G253">
        <v>178371.66</v>
      </c>
      <c r="H253">
        <v>0.83720000000000006</v>
      </c>
    </row>
    <row r="254" spans="1:8" x14ac:dyDescent="0.3">
      <c r="A254" s="25">
        <v>45688</v>
      </c>
      <c r="B254" t="s">
        <v>462</v>
      </c>
      <c r="C254" t="s">
        <v>193</v>
      </c>
      <c r="D254" t="s">
        <v>470</v>
      </c>
      <c r="E254">
        <v>112299.1</v>
      </c>
      <c r="F254">
        <v>18277.009999999998</v>
      </c>
      <c r="G254">
        <v>94022.09</v>
      </c>
      <c r="H254">
        <v>0.83720000000000006</v>
      </c>
    </row>
    <row r="255" spans="1:8" x14ac:dyDescent="0.3">
      <c r="A255" s="25">
        <v>45688</v>
      </c>
      <c r="B255" t="s">
        <v>462</v>
      </c>
      <c r="C255" t="s">
        <v>193</v>
      </c>
      <c r="D255" t="s">
        <v>469</v>
      </c>
      <c r="E255">
        <v>102298.59</v>
      </c>
      <c r="F255">
        <v>16649.400000000001</v>
      </c>
      <c r="G255">
        <v>85649.2</v>
      </c>
      <c r="H255">
        <v>0.83720000000000006</v>
      </c>
    </row>
    <row r="256" spans="1:8" x14ac:dyDescent="0.3">
      <c r="A256" s="25">
        <v>45688</v>
      </c>
      <c r="B256" t="s">
        <v>462</v>
      </c>
      <c r="C256" t="s">
        <v>193</v>
      </c>
      <c r="D256" t="s">
        <v>468</v>
      </c>
      <c r="E256">
        <v>49587.11</v>
      </c>
      <c r="F256">
        <v>8070.45</v>
      </c>
      <c r="G256">
        <v>41516.660000000003</v>
      </c>
      <c r="H256">
        <v>0.83720000000000006</v>
      </c>
    </row>
    <row r="257" spans="1:8" x14ac:dyDescent="0.3">
      <c r="A257" s="25">
        <v>45688</v>
      </c>
      <c r="B257" t="s">
        <v>462</v>
      </c>
      <c r="C257" t="s">
        <v>193</v>
      </c>
      <c r="D257" t="s">
        <v>467</v>
      </c>
      <c r="E257">
        <v>103203.81</v>
      </c>
      <c r="F257">
        <v>16796.72</v>
      </c>
      <c r="G257">
        <v>86407.09</v>
      </c>
      <c r="H257">
        <v>0.83720000000000006</v>
      </c>
    </row>
    <row r="258" spans="1:8" x14ac:dyDescent="0.3">
      <c r="A258" s="25">
        <v>45688</v>
      </c>
      <c r="B258" t="s">
        <v>462</v>
      </c>
      <c r="C258" t="s">
        <v>193</v>
      </c>
      <c r="D258" t="s">
        <v>466</v>
      </c>
      <c r="E258">
        <v>94403.12</v>
      </c>
      <c r="F258">
        <v>15364.38</v>
      </c>
      <c r="G258">
        <v>79038.740000000005</v>
      </c>
      <c r="H258">
        <v>0.83720000000000006</v>
      </c>
    </row>
    <row r="259" spans="1:8" x14ac:dyDescent="0.3">
      <c r="A259" s="25">
        <v>45688</v>
      </c>
      <c r="B259" t="s">
        <v>462</v>
      </c>
      <c r="C259" t="s">
        <v>193</v>
      </c>
      <c r="D259" t="s">
        <v>465</v>
      </c>
      <c r="E259">
        <v>35631.370000000003</v>
      </c>
      <c r="F259">
        <v>5799.11</v>
      </c>
      <c r="G259">
        <v>29832.26</v>
      </c>
      <c r="H259">
        <v>0.83720000000000006</v>
      </c>
    </row>
    <row r="260" spans="1:8" x14ac:dyDescent="0.3">
      <c r="A260" s="25">
        <v>45688</v>
      </c>
      <c r="B260" t="s">
        <v>462</v>
      </c>
      <c r="C260" t="s">
        <v>193</v>
      </c>
      <c r="D260" t="s">
        <v>464</v>
      </c>
      <c r="E260">
        <v>56805.919999999998</v>
      </c>
      <c r="F260">
        <v>9245.33</v>
      </c>
      <c r="G260">
        <v>47560.59</v>
      </c>
      <c r="H260">
        <v>0.83720000000000006</v>
      </c>
    </row>
    <row r="261" spans="1:8" x14ac:dyDescent="0.3">
      <c r="A261" s="25">
        <v>45688</v>
      </c>
      <c r="B261" t="s">
        <v>462</v>
      </c>
      <c r="C261" t="s">
        <v>193</v>
      </c>
      <c r="D261" t="s">
        <v>463</v>
      </c>
      <c r="E261">
        <v>99759.73</v>
      </c>
      <c r="F261">
        <v>16236.19</v>
      </c>
      <c r="G261">
        <v>83523.539999999994</v>
      </c>
      <c r="H261">
        <v>0.83720000000000006</v>
      </c>
    </row>
    <row r="262" spans="1:8" x14ac:dyDescent="0.3">
      <c r="A262" s="25">
        <v>45716</v>
      </c>
      <c r="B262" t="s">
        <v>462</v>
      </c>
      <c r="C262" t="s">
        <v>193</v>
      </c>
      <c r="D262" t="s">
        <v>472</v>
      </c>
      <c r="E262">
        <v>260291.25</v>
      </c>
      <c r="F262">
        <v>26189.96</v>
      </c>
      <c r="G262">
        <v>234101.29</v>
      </c>
      <c r="H262">
        <v>0.89939999999999998</v>
      </c>
    </row>
    <row r="263" spans="1:8" x14ac:dyDescent="0.3">
      <c r="A263" s="25">
        <v>45716</v>
      </c>
      <c r="B263" t="s">
        <v>462</v>
      </c>
      <c r="C263" t="s">
        <v>193</v>
      </c>
      <c r="D263" t="s">
        <v>471</v>
      </c>
      <c r="E263">
        <v>85435.67</v>
      </c>
      <c r="F263">
        <v>8596.36</v>
      </c>
      <c r="G263">
        <v>76839.31</v>
      </c>
      <c r="H263">
        <v>0.89939999999999998</v>
      </c>
    </row>
    <row r="264" spans="1:8" x14ac:dyDescent="0.3">
      <c r="A264" s="25">
        <v>45716</v>
      </c>
      <c r="B264" t="s">
        <v>462</v>
      </c>
      <c r="C264" t="s">
        <v>193</v>
      </c>
      <c r="D264" t="s">
        <v>470</v>
      </c>
      <c r="E264">
        <v>76875.38</v>
      </c>
      <c r="F264">
        <v>7735.04</v>
      </c>
      <c r="G264">
        <v>69140.34</v>
      </c>
      <c r="H264">
        <v>0.89939999999999998</v>
      </c>
    </row>
    <row r="265" spans="1:8" x14ac:dyDescent="0.3">
      <c r="A265" s="25">
        <v>45716</v>
      </c>
      <c r="B265" t="s">
        <v>462</v>
      </c>
      <c r="C265" t="s">
        <v>193</v>
      </c>
      <c r="D265" t="s">
        <v>469</v>
      </c>
      <c r="E265">
        <v>110421.74</v>
      </c>
      <c r="F265">
        <v>11110.4</v>
      </c>
      <c r="G265">
        <v>99311.34</v>
      </c>
      <c r="H265">
        <v>0.89939999999999998</v>
      </c>
    </row>
    <row r="266" spans="1:8" x14ac:dyDescent="0.3">
      <c r="A266" s="25">
        <v>45716</v>
      </c>
      <c r="B266" t="s">
        <v>462</v>
      </c>
      <c r="C266" t="s">
        <v>193</v>
      </c>
      <c r="D266" t="s">
        <v>468</v>
      </c>
      <c r="E266">
        <v>138266.51</v>
      </c>
      <c r="F266">
        <v>13912.08</v>
      </c>
      <c r="G266">
        <v>124354.42</v>
      </c>
      <c r="H266">
        <v>0.89939999999999998</v>
      </c>
    </row>
    <row r="267" spans="1:8" x14ac:dyDescent="0.3">
      <c r="A267" s="25">
        <v>45716</v>
      </c>
      <c r="B267" t="s">
        <v>462</v>
      </c>
      <c r="C267" t="s">
        <v>193</v>
      </c>
      <c r="D267" t="s">
        <v>467</v>
      </c>
      <c r="E267">
        <v>142459.98000000001</v>
      </c>
      <c r="F267">
        <v>14334.02</v>
      </c>
      <c r="G267">
        <v>128125.96</v>
      </c>
      <c r="H267">
        <v>0.89939999999999998</v>
      </c>
    </row>
    <row r="268" spans="1:8" x14ac:dyDescent="0.3">
      <c r="A268" s="25">
        <v>45716</v>
      </c>
      <c r="B268" t="s">
        <v>462</v>
      </c>
      <c r="C268" t="s">
        <v>193</v>
      </c>
      <c r="D268" t="s">
        <v>466</v>
      </c>
      <c r="E268">
        <v>81742.460000000006</v>
      </c>
      <c r="F268">
        <v>8224.75</v>
      </c>
      <c r="G268">
        <v>73517.710000000006</v>
      </c>
      <c r="H268">
        <v>0.89939999999999998</v>
      </c>
    </row>
    <row r="269" spans="1:8" x14ac:dyDescent="0.3">
      <c r="A269" s="25">
        <v>45716</v>
      </c>
      <c r="B269" t="s">
        <v>462</v>
      </c>
      <c r="C269" t="s">
        <v>193</v>
      </c>
      <c r="D269" t="s">
        <v>465</v>
      </c>
      <c r="E269">
        <v>56136.22</v>
      </c>
      <c r="F269">
        <v>5648.31</v>
      </c>
      <c r="G269">
        <v>50487.92</v>
      </c>
      <c r="H269">
        <v>0.89939999999999998</v>
      </c>
    </row>
    <row r="270" spans="1:8" x14ac:dyDescent="0.3">
      <c r="A270" s="25">
        <v>45716</v>
      </c>
      <c r="B270" t="s">
        <v>462</v>
      </c>
      <c r="C270" t="s">
        <v>193</v>
      </c>
      <c r="D270" t="s">
        <v>464</v>
      </c>
      <c r="E270">
        <v>48575.79</v>
      </c>
      <c r="F270">
        <v>4887.59</v>
      </c>
      <c r="G270">
        <v>43688.19</v>
      </c>
      <c r="H270">
        <v>0.89939999999999998</v>
      </c>
    </row>
    <row r="271" spans="1:8" x14ac:dyDescent="0.3">
      <c r="A271" s="25">
        <v>45716</v>
      </c>
      <c r="B271" t="s">
        <v>462</v>
      </c>
      <c r="C271" t="s">
        <v>193</v>
      </c>
      <c r="D271" t="s">
        <v>463</v>
      </c>
      <c r="E271">
        <v>41424.46</v>
      </c>
      <c r="F271">
        <v>4168.05</v>
      </c>
      <c r="G271">
        <v>37256.42</v>
      </c>
      <c r="H271">
        <v>0.89939999999999998</v>
      </c>
    </row>
    <row r="272" spans="1:8" x14ac:dyDescent="0.3">
      <c r="A272" s="25">
        <v>45747</v>
      </c>
      <c r="B272" t="s">
        <v>462</v>
      </c>
      <c r="C272" t="s">
        <v>193</v>
      </c>
      <c r="D272" t="s">
        <v>472</v>
      </c>
      <c r="E272">
        <v>217891.18</v>
      </c>
      <c r="F272">
        <v>36550.720000000001</v>
      </c>
      <c r="G272">
        <v>181340.46</v>
      </c>
      <c r="H272">
        <v>0.83230000000000004</v>
      </c>
    </row>
    <row r="273" spans="1:8" x14ac:dyDescent="0.3">
      <c r="A273" s="25">
        <v>45747</v>
      </c>
      <c r="B273" t="s">
        <v>462</v>
      </c>
      <c r="C273" t="s">
        <v>193</v>
      </c>
      <c r="D273" t="s">
        <v>471</v>
      </c>
      <c r="E273">
        <v>165965.39000000001</v>
      </c>
      <c r="F273">
        <v>27840.29</v>
      </c>
      <c r="G273">
        <v>138125.09</v>
      </c>
      <c r="H273">
        <v>0.83230000000000004</v>
      </c>
    </row>
    <row r="274" spans="1:8" x14ac:dyDescent="0.3">
      <c r="A274" s="25">
        <v>45747</v>
      </c>
      <c r="B274" t="s">
        <v>462</v>
      </c>
      <c r="C274" t="s">
        <v>193</v>
      </c>
      <c r="D274" t="s">
        <v>470</v>
      </c>
      <c r="E274">
        <v>132087.29999999999</v>
      </c>
      <c r="F274">
        <v>22157.33</v>
      </c>
      <c r="G274">
        <v>109929.97</v>
      </c>
      <c r="H274">
        <v>0.83230000000000004</v>
      </c>
    </row>
    <row r="275" spans="1:8" x14ac:dyDescent="0.3">
      <c r="A275" s="25">
        <v>45747</v>
      </c>
      <c r="B275" t="s">
        <v>462</v>
      </c>
      <c r="C275" t="s">
        <v>193</v>
      </c>
      <c r="D275" t="s">
        <v>469</v>
      </c>
      <c r="E275">
        <v>78111.28</v>
      </c>
      <c r="F275">
        <v>13102.98</v>
      </c>
      <c r="G275">
        <v>65008.3</v>
      </c>
      <c r="H275">
        <v>0.83230000000000004</v>
      </c>
    </row>
    <row r="276" spans="1:8" x14ac:dyDescent="0.3">
      <c r="A276" s="25">
        <v>45747</v>
      </c>
      <c r="B276" t="s">
        <v>462</v>
      </c>
      <c r="C276" t="s">
        <v>193</v>
      </c>
      <c r="D276" t="s">
        <v>468</v>
      </c>
      <c r="E276">
        <v>46202.36</v>
      </c>
      <c r="F276">
        <v>7750.34</v>
      </c>
      <c r="G276">
        <v>38452.03</v>
      </c>
      <c r="H276">
        <v>0.83230000000000004</v>
      </c>
    </row>
    <row r="277" spans="1:8" x14ac:dyDescent="0.3">
      <c r="A277" s="25">
        <v>45747</v>
      </c>
      <c r="B277" t="s">
        <v>462</v>
      </c>
      <c r="C277" t="s">
        <v>193</v>
      </c>
      <c r="D277" t="s">
        <v>467</v>
      </c>
      <c r="E277">
        <v>36590.78</v>
      </c>
      <c r="F277">
        <v>6138.01</v>
      </c>
      <c r="G277">
        <v>30452.76</v>
      </c>
      <c r="H277">
        <v>0.83230000000000004</v>
      </c>
    </row>
    <row r="278" spans="1:8" x14ac:dyDescent="0.3">
      <c r="A278" s="25">
        <v>45747</v>
      </c>
      <c r="B278" t="s">
        <v>462</v>
      </c>
      <c r="C278" t="s">
        <v>193</v>
      </c>
      <c r="D278" t="s">
        <v>466</v>
      </c>
      <c r="E278">
        <v>88114.880000000005</v>
      </c>
      <c r="F278">
        <v>14781.06</v>
      </c>
      <c r="G278">
        <v>73333.820000000007</v>
      </c>
      <c r="H278">
        <v>0.83230000000000004</v>
      </c>
    </row>
    <row r="279" spans="1:8" x14ac:dyDescent="0.3">
      <c r="A279" s="25">
        <v>45747</v>
      </c>
      <c r="B279" t="s">
        <v>462</v>
      </c>
      <c r="C279" t="s">
        <v>193</v>
      </c>
      <c r="D279" t="s">
        <v>465</v>
      </c>
      <c r="E279">
        <v>63801.79</v>
      </c>
      <c r="F279">
        <v>10702.6</v>
      </c>
      <c r="G279">
        <v>53099.199999999997</v>
      </c>
      <c r="H279">
        <v>0.83230000000000004</v>
      </c>
    </row>
    <row r="280" spans="1:8" x14ac:dyDescent="0.3">
      <c r="A280" s="25">
        <v>45747</v>
      </c>
      <c r="B280" t="s">
        <v>462</v>
      </c>
      <c r="C280" t="s">
        <v>193</v>
      </c>
      <c r="D280" t="s">
        <v>464</v>
      </c>
      <c r="E280">
        <v>112918.51</v>
      </c>
      <c r="F280">
        <v>18941.810000000001</v>
      </c>
      <c r="G280">
        <v>93976.7</v>
      </c>
      <c r="H280">
        <v>0.83230000000000004</v>
      </c>
    </row>
    <row r="281" spans="1:8" x14ac:dyDescent="0.3">
      <c r="A281" s="25">
        <v>45747</v>
      </c>
      <c r="B281" t="s">
        <v>462</v>
      </c>
      <c r="C281" t="s">
        <v>193</v>
      </c>
      <c r="D281" t="s">
        <v>463</v>
      </c>
      <c r="E281">
        <v>50166.31</v>
      </c>
      <c r="F281">
        <v>8415.27</v>
      </c>
      <c r="G281">
        <v>41751.040000000001</v>
      </c>
      <c r="H281">
        <v>0.83230000000000004</v>
      </c>
    </row>
    <row r="282" spans="1:8" x14ac:dyDescent="0.3">
      <c r="A282" s="25">
        <v>45777</v>
      </c>
      <c r="B282" t="s">
        <v>462</v>
      </c>
      <c r="C282" t="s">
        <v>193</v>
      </c>
      <c r="D282" t="s">
        <v>472</v>
      </c>
      <c r="E282">
        <v>271598.40999999997</v>
      </c>
      <c r="F282">
        <v>58637.48</v>
      </c>
      <c r="G282">
        <v>212960.93</v>
      </c>
      <c r="H282">
        <v>0.78410000000000002</v>
      </c>
    </row>
    <row r="283" spans="1:8" x14ac:dyDescent="0.3">
      <c r="A283" s="25">
        <v>45777</v>
      </c>
      <c r="B283" t="s">
        <v>462</v>
      </c>
      <c r="C283" t="s">
        <v>193</v>
      </c>
      <c r="D283" t="s">
        <v>471</v>
      </c>
      <c r="E283">
        <v>163228.04999999999</v>
      </c>
      <c r="F283">
        <v>35240.559999999998</v>
      </c>
      <c r="G283">
        <v>127987.49</v>
      </c>
      <c r="H283">
        <v>0.78410000000000002</v>
      </c>
    </row>
    <row r="284" spans="1:8" x14ac:dyDescent="0.3">
      <c r="A284" s="25">
        <v>45777</v>
      </c>
      <c r="B284" t="s">
        <v>462</v>
      </c>
      <c r="C284" t="s">
        <v>193</v>
      </c>
      <c r="D284" t="s">
        <v>470</v>
      </c>
      <c r="E284">
        <v>108824.21</v>
      </c>
      <c r="F284">
        <v>23494.9</v>
      </c>
      <c r="G284">
        <v>85329.31</v>
      </c>
      <c r="H284">
        <v>0.78410000000000002</v>
      </c>
    </row>
    <row r="285" spans="1:8" x14ac:dyDescent="0.3">
      <c r="A285" s="25">
        <v>45777</v>
      </c>
      <c r="B285" t="s">
        <v>462</v>
      </c>
      <c r="C285" t="s">
        <v>193</v>
      </c>
      <c r="D285" t="s">
        <v>469</v>
      </c>
      <c r="E285">
        <v>105371.47</v>
      </c>
      <c r="F285">
        <v>22749.46</v>
      </c>
      <c r="G285">
        <v>82622.009999999995</v>
      </c>
      <c r="H285">
        <v>0.78410000000000002</v>
      </c>
    </row>
    <row r="286" spans="1:8" x14ac:dyDescent="0.3">
      <c r="A286" s="25">
        <v>45777</v>
      </c>
      <c r="B286" t="s">
        <v>462</v>
      </c>
      <c r="C286" t="s">
        <v>193</v>
      </c>
      <c r="D286" t="s">
        <v>468</v>
      </c>
      <c r="E286">
        <v>68270.25</v>
      </c>
      <c r="F286">
        <v>14739.39</v>
      </c>
      <c r="G286">
        <v>53530.86</v>
      </c>
      <c r="H286">
        <v>0.78410000000000002</v>
      </c>
    </row>
    <row r="287" spans="1:8" x14ac:dyDescent="0.3">
      <c r="A287" s="25">
        <v>45777</v>
      </c>
      <c r="B287" t="s">
        <v>462</v>
      </c>
      <c r="C287" t="s">
        <v>193</v>
      </c>
      <c r="D287" t="s">
        <v>467</v>
      </c>
      <c r="E287">
        <v>45522.52</v>
      </c>
      <c r="F287">
        <v>9828.2099999999991</v>
      </c>
      <c r="G287">
        <v>35694.31</v>
      </c>
      <c r="H287">
        <v>0.78410000000000002</v>
      </c>
    </row>
    <row r="288" spans="1:8" x14ac:dyDescent="0.3">
      <c r="A288" s="25">
        <v>45777</v>
      </c>
      <c r="B288" t="s">
        <v>462</v>
      </c>
      <c r="C288" t="s">
        <v>193</v>
      </c>
      <c r="D288" t="s">
        <v>466</v>
      </c>
      <c r="E288">
        <v>98013.59</v>
      </c>
      <c r="F288">
        <v>21160.91</v>
      </c>
      <c r="G288">
        <v>76852.679999999993</v>
      </c>
      <c r="H288">
        <v>0.78410000000000002</v>
      </c>
    </row>
    <row r="289" spans="1:8" x14ac:dyDescent="0.3">
      <c r="A289" s="25">
        <v>45777</v>
      </c>
      <c r="B289" t="s">
        <v>462</v>
      </c>
      <c r="C289" t="s">
        <v>193</v>
      </c>
      <c r="D289" t="s">
        <v>465</v>
      </c>
      <c r="E289">
        <v>92668.35</v>
      </c>
      <c r="F289">
        <v>20006.88</v>
      </c>
      <c r="G289">
        <v>72661.460000000006</v>
      </c>
      <c r="H289">
        <v>0.78410000000000002</v>
      </c>
    </row>
    <row r="290" spans="1:8" x14ac:dyDescent="0.3">
      <c r="A290" s="25">
        <v>45777</v>
      </c>
      <c r="B290" t="s">
        <v>462</v>
      </c>
      <c r="C290" t="s">
        <v>193</v>
      </c>
      <c r="D290" t="s">
        <v>464</v>
      </c>
      <c r="E290">
        <v>108002.11</v>
      </c>
      <c r="F290">
        <v>23317.41</v>
      </c>
      <c r="G290">
        <v>84684.7</v>
      </c>
      <c r="H290">
        <v>0.78410000000000002</v>
      </c>
    </row>
    <row r="291" spans="1:8" x14ac:dyDescent="0.3">
      <c r="A291" s="25">
        <v>45777</v>
      </c>
      <c r="B291" t="s">
        <v>462</v>
      </c>
      <c r="C291" t="s">
        <v>193</v>
      </c>
      <c r="D291" t="s">
        <v>463</v>
      </c>
      <c r="E291">
        <v>67063.199999999997</v>
      </c>
      <c r="F291">
        <v>14478.79</v>
      </c>
      <c r="G291">
        <v>52584.42</v>
      </c>
      <c r="H291">
        <v>0.78410000000000002</v>
      </c>
    </row>
    <row r="292" spans="1:8" x14ac:dyDescent="0.3">
      <c r="A292" s="25">
        <v>45808</v>
      </c>
      <c r="B292" t="s">
        <v>462</v>
      </c>
      <c r="C292" t="s">
        <v>193</v>
      </c>
      <c r="D292" t="s">
        <v>472</v>
      </c>
      <c r="E292">
        <v>213941.45</v>
      </c>
      <c r="F292">
        <v>26840.35</v>
      </c>
      <c r="G292">
        <v>187101.1</v>
      </c>
      <c r="H292">
        <v>0.87450000000000006</v>
      </c>
    </row>
    <row r="293" spans="1:8" x14ac:dyDescent="0.3">
      <c r="A293" s="25">
        <v>45808</v>
      </c>
      <c r="B293" t="s">
        <v>462</v>
      </c>
      <c r="C293" t="s">
        <v>193</v>
      </c>
      <c r="D293" t="s">
        <v>471</v>
      </c>
      <c r="E293">
        <v>121133.53</v>
      </c>
      <c r="F293">
        <v>15196.99</v>
      </c>
      <c r="G293">
        <v>105936.54</v>
      </c>
      <c r="H293">
        <v>0.87450000000000006</v>
      </c>
    </row>
    <row r="294" spans="1:8" x14ac:dyDescent="0.3">
      <c r="A294" s="25">
        <v>45808</v>
      </c>
      <c r="B294" t="s">
        <v>462</v>
      </c>
      <c r="C294" t="s">
        <v>193</v>
      </c>
      <c r="D294" t="s">
        <v>470</v>
      </c>
      <c r="E294">
        <v>161486.95000000001</v>
      </c>
      <c r="F294">
        <v>20259.59</v>
      </c>
      <c r="G294">
        <v>141227.35999999999</v>
      </c>
      <c r="H294">
        <v>0.87450000000000006</v>
      </c>
    </row>
    <row r="295" spans="1:8" x14ac:dyDescent="0.3">
      <c r="A295" s="25">
        <v>45808</v>
      </c>
      <c r="B295" t="s">
        <v>462</v>
      </c>
      <c r="C295" t="s">
        <v>193</v>
      </c>
      <c r="D295" t="s">
        <v>469</v>
      </c>
      <c r="E295">
        <v>53298.12</v>
      </c>
      <c r="F295">
        <v>6686.6</v>
      </c>
      <c r="G295">
        <v>46611.53</v>
      </c>
      <c r="H295">
        <v>0.87450000000000006</v>
      </c>
    </row>
    <row r="296" spans="1:8" x14ac:dyDescent="0.3">
      <c r="A296" s="25">
        <v>45808</v>
      </c>
      <c r="B296" t="s">
        <v>462</v>
      </c>
      <c r="C296" t="s">
        <v>193</v>
      </c>
      <c r="D296" t="s">
        <v>468</v>
      </c>
      <c r="E296">
        <v>99981.67</v>
      </c>
      <c r="F296">
        <v>12543.35</v>
      </c>
      <c r="G296">
        <v>87438.32</v>
      </c>
      <c r="H296">
        <v>0.87450000000000006</v>
      </c>
    </row>
    <row r="297" spans="1:8" x14ac:dyDescent="0.3">
      <c r="A297" s="25">
        <v>45808</v>
      </c>
      <c r="B297" t="s">
        <v>462</v>
      </c>
      <c r="C297" t="s">
        <v>193</v>
      </c>
      <c r="D297" t="s">
        <v>467</v>
      </c>
      <c r="E297">
        <v>103465.47</v>
      </c>
      <c r="F297">
        <v>12980.42</v>
      </c>
      <c r="G297">
        <v>90485.05</v>
      </c>
      <c r="H297">
        <v>0.87450000000000006</v>
      </c>
    </row>
    <row r="298" spans="1:8" x14ac:dyDescent="0.3">
      <c r="A298" s="25">
        <v>45808</v>
      </c>
      <c r="B298" t="s">
        <v>462</v>
      </c>
      <c r="C298" t="s">
        <v>193</v>
      </c>
      <c r="D298" t="s">
        <v>466</v>
      </c>
      <c r="E298">
        <v>175553.76</v>
      </c>
      <c r="F298">
        <v>22024.36</v>
      </c>
      <c r="G298">
        <v>153529.4</v>
      </c>
      <c r="H298">
        <v>0.87450000000000006</v>
      </c>
    </row>
    <row r="299" spans="1:8" x14ac:dyDescent="0.3">
      <c r="A299" s="25">
        <v>45808</v>
      </c>
      <c r="B299" t="s">
        <v>462</v>
      </c>
      <c r="C299" t="s">
        <v>193</v>
      </c>
      <c r="D299" t="s">
        <v>465</v>
      </c>
      <c r="E299">
        <v>41272.69</v>
      </c>
      <c r="F299">
        <v>5177.93</v>
      </c>
      <c r="G299">
        <v>36094.76</v>
      </c>
      <c r="H299">
        <v>0.87450000000000006</v>
      </c>
    </row>
    <row r="300" spans="1:8" x14ac:dyDescent="0.3">
      <c r="A300" s="25">
        <v>45808</v>
      </c>
      <c r="B300" t="s">
        <v>462</v>
      </c>
      <c r="C300" t="s">
        <v>193</v>
      </c>
      <c r="D300" t="s">
        <v>464</v>
      </c>
      <c r="E300">
        <v>46945.05</v>
      </c>
      <c r="F300">
        <v>5889.56</v>
      </c>
      <c r="G300">
        <v>41055.49</v>
      </c>
      <c r="H300">
        <v>0.87450000000000006</v>
      </c>
    </row>
    <row r="301" spans="1:8" x14ac:dyDescent="0.3">
      <c r="A301" s="25">
        <v>45808</v>
      </c>
      <c r="B301" t="s">
        <v>462</v>
      </c>
      <c r="C301" t="s">
        <v>193</v>
      </c>
      <c r="D301" t="s">
        <v>463</v>
      </c>
      <c r="E301">
        <v>10706.28</v>
      </c>
      <c r="F301">
        <v>1343.17</v>
      </c>
      <c r="G301">
        <v>9363.1</v>
      </c>
      <c r="H301">
        <v>0.87450000000000006</v>
      </c>
    </row>
    <row r="302" spans="1:8" x14ac:dyDescent="0.3">
      <c r="A302" s="25">
        <v>45838</v>
      </c>
      <c r="B302" t="s">
        <v>462</v>
      </c>
      <c r="C302" t="s">
        <v>193</v>
      </c>
      <c r="D302" t="s">
        <v>472</v>
      </c>
      <c r="E302">
        <v>254896.44</v>
      </c>
      <c r="F302">
        <v>45697.3</v>
      </c>
      <c r="G302">
        <v>209199.14</v>
      </c>
      <c r="H302">
        <v>0.82069999999999999</v>
      </c>
    </row>
    <row r="303" spans="1:8" x14ac:dyDescent="0.3">
      <c r="A303" s="25">
        <v>45838</v>
      </c>
      <c r="B303" t="s">
        <v>462</v>
      </c>
      <c r="C303" t="s">
        <v>193</v>
      </c>
      <c r="D303" t="s">
        <v>471</v>
      </c>
      <c r="E303">
        <v>162792.35999999999</v>
      </c>
      <c r="F303">
        <v>29185.07</v>
      </c>
      <c r="G303">
        <v>133607.29</v>
      </c>
      <c r="H303">
        <v>0.82069999999999999</v>
      </c>
    </row>
    <row r="304" spans="1:8" x14ac:dyDescent="0.3">
      <c r="A304" s="25">
        <v>45838</v>
      </c>
      <c r="B304" t="s">
        <v>462</v>
      </c>
      <c r="C304" t="s">
        <v>193</v>
      </c>
      <c r="D304" t="s">
        <v>470</v>
      </c>
      <c r="E304">
        <v>132148.72</v>
      </c>
      <c r="F304">
        <v>23691.35</v>
      </c>
      <c r="G304">
        <v>108457.38</v>
      </c>
      <c r="H304">
        <v>0.82069999999999999</v>
      </c>
    </row>
    <row r="305" spans="1:8" x14ac:dyDescent="0.3">
      <c r="A305" s="25">
        <v>45838</v>
      </c>
      <c r="B305" t="s">
        <v>462</v>
      </c>
      <c r="C305" t="s">
        <v>193</v>
      </c>
      <c r="D305" t="s">
        <v>469</v>
      </c>
      <c r="E305">
        <v>21071.7</v>
      </c>
      <c r="F305">
        <v>3777.69</v>
      </c>
      <c r="G305">
        <v>17294.009999999998</v>
      </c>
      <c r="H305">
        <v>0.82069999999999999</v>
      </c>
    </row>
    <row r="306" spans="1:8" x14ac:dyDescent="0.3">
      <c r="A306" s="25">
        <v>45838</v>
      </c>
      <c r="B306" t="s">
        <v>462</v>
      </c>
      <c r="C306" t="s">
        <v>193</v>
      </c>
      <c r="D306" t="s">
        <v>468</v>
      </c>
      <c r="E306">
        <v>49083.89</v>
      </c>
      <c r="F306">
        <v>8799.66</v>
      </c>
      <c r="G306">
        <v>40284.239999999998</v>
      </c>
      <c r="H306">
        <v>0.82069999999999999</v>
      </c>
    </row>
    <row r="307" spans="1:8" x14ac:dyDescent="0.3">
      <c r="A307" s="25">
        <v>45838</v>
      </c>
      <c r="B307" t="s">
        <v>462</v>
      </c>
      <c r="C307" t="s">
        <v>193</v>
      </c>
      <c r="D307" t="s">
        <v>467</v>
      </c>
      <c r="E307">
        <v>97451.51</v>
      </c>
      <c r="F307">
        <v>17470.900000000001</v>
      </c>
      <c r="G307">
        <v>79980.61</v>
      </c>
      <c r="H307">
        <v>0.82069999999999999</v>
      </c>
    </row>
    <row r="308" spans="1:8" x14ac:dyDescent="0.3">
      <c r="A308" s="25">
        <v>45838</v>
      </c>
      <c r="B308" t="s">
        <v>462</v>
      </c>
      <c r="C308" t="s">
        <v>193</v>
      </c>
      <c r="D308" t="s">
        <v>466</v>
      </c>
      <c r="E308">
        <v>57548.01</v>
      </c>
      <c r="F308">
        <v>10317.09</v>
      </c>
      <c r="G308">
        <v>47230.92</v>
      </c>
      <c r="H308">
        <v>0.82069999999999999</v>
      </c>
    </row>
    <row r="309" spans="1:8" x14ac:dyDescent="0.3">
      <c r="A309" s="25">
        <v>45838</v>
      </c>
      <c r="B309" t="s">
        <v>462</v>
      </c>
      <c r="C309" t="s">
        <v>193</v>
      </c>
      <c r="D309" t="s">
        <v>465</v>
      </c>
      <c r="E309">
        <v>89417.61</v>
      </c>
      <c r="F309">
        <v>16030.6</v>
      </c>
      <c r="G309">
        <v>73387.009999999995</v>
      </c>
      <c r="H309">
        <v>0.82069999999999999</v>
      </c>
    </row>
    <row r="310" spans="1:8" x14ac:dyDescent="0.3">
      <c r="A310" s="25">
        <v>45838</v>
      </c>
      <c r="B310" t="s">
        <v>462</v>
      </c>
      <c r="C310" t="s">
        <v>193</v>
      </c>
      <c r="D310" t="s">
        <v>464</v>
      </c>
      <c r="E310">
        <v>85535.73</v>
      </c>
      <c r="F310">
        <v>15334.67</v>
      </c>
      <c r="G310">
        <v>70201.06</v>
      </c>
      <c r="H310">
        <v>0.82069999999999999</v>
      </c>
    </row>
    <row r="311" spans="1:8" x14ac:dyDescent="0.3">
      <c r="A311" s="25">
        <v>45838</v>
      </c>
      <c r="B311" t="s">
        <v>462</v>
      </c>
      <c r="C311" t="s">
        <v>193</v>
      </c>
      <c r="D311" t="s">
        <v>463</v>
      </c>
      <c r="E311">
        <v>97334.81</v>
      </c>
      <c r="F311">
        <v>17449.98</v>
      </c>
      <c r="G311">
        <v>79884.81</v>
      </c>
      <c r="H311">
        <v>0.82069999999999999</v>
      </c>
    </row>
    <row r="312" spans="1:8" x14ac:dyDescent="0.3">
      <c r="A312" s="25">
        <v>45869</v>
      </c>
      <c r="B312" t="s">
        <v>462</v>
      </c>
      <c r="C312" t="s">
        <v>193</v>
      </c>
      <c r="D312" t="s">
        <v>472</v>
      </c>
      <c r="E312">
        <v>240384.72</v>
      </c>
      <c r="F312">
        <v>49677.69</v>
      </c>
      <c r="G312">
        <v>190707.03</v>
      </c>
      <c r="H312">
        <v>0.79330000000000001</v>
      </c>
    </row>
    <row r="313" spans="1:8" x14ac:dyDescent="0.3">
      <c r="A313" s="25">
        <v>45869</v>
      </c>
      <c r="B313" t="s">
        <v>462</v>
      </c>
      <c r="C313" t="s">
        <v>193</v>
      </c>
      <c r="D313" t="s">
        <v>471</v>
      </c>
      <c r="E313">
        <v>111391.56</v>
      </c>
      <c r="F313">
        <v>23020.080000000002</v>
      </c>
      <c r="G313">
        <v>88371.48</v>
      </c>
      <c r="H313">
        <v>0.79330000000000001</v>
      </c>
    </row>
    <row r="314" spans="1:8" x14ac:dyDescent="0.3">
      <c r="A314" s="25">
        <v>45869</v>
      </c>
      <c r="B314" t="s">
        <v>462</v>
      </c>
      <c r="C314" t="s">
        <v>193</v>
      </c>
      <c r="D314" t="s">
        <v>470</v>
      </c>
      <c r="E314">
        <v>146289.22</v>
      </c>
      <c r="F314">
        <v>30232</v>
      </c>
      <c r="G314">
        <v>116057.22</v>
      </c>
      <c r="H314">
        <v>0.79330000000000001</v>
      </c>
    </row>
    <row r="315" spans="1:8" x14ac:dyDescent="0.3">
      <c r="A315" s="25">
        <v>45869</v>
      </c>
      <c r="B315" t="s">
        <v>462</v>
      </c>
      <c r="C315" t="s">
        <v>193</v>
      </c>
      <c r="D315" t="s">
        <v>469</v>
      </c>
      <c r="E315">
        <v>34139.08</v>
      </c>
      <c r="F315">
        <v>7055.15</v>
      </c>
      <c r="G315">
        <v>27083.93</v>
      </c>
      <c r="H315">
        <v>0.79330000000000001</v>
      </c>
    </row>
    <row r="316" spans="1:8" x14ac:dyDescent="0.3">
      <c r="A316" s="25">
        <v>45869</v>
      </c>
      <c r="B316" t="s">
        <v>462</v>
      </c>
      <c r="C316" t="s">
        <v>193</v>
      </c>
      <c r="D316" t="s">
        <v>468</v>
      </c>
      <c r="E316">
        <v>88550.48</v>
      </c>
      <c r="F316">
        <v>18299.759999999998</v>
      </c>
      <c r="G316">
        <v>70250.720000000001</v>
      </c>
      <c r="H316">
        <v>0.79330000000000001</v>
      </c>
    </row>
    <row r="317" spans="1:8" x14ac:dyDescent="0.3">
      <c r="A317" s="25">
        <v>45869</v>
      </c>
      <c r="B317" t="s">
        <v>462</v>
      </c>
      <c r="C317" t="s">
        <v>193</v>
      </c>
      <c r="D317" t="s">
        <v>467</v>
      </c>
      <c r="E317">
        <v>63219.14</v>
      </c>
      <c r="F317">
        <v>13064.81</v>
      </c>
      <c r="G317">
        <v>50154.33</v>
      </c>
      <c r="H317">
        <v>0.79330000000000001</v>
      </c>
    </row>
    <row r="318" spans="1:8" x14ac:dyDescent="0.3">
      <c r="A318" s="25">
        <v>45869</v>
      </c>
      <c r="B318" t="s">
        <v>462</v>
      </c>
      <c r="C318" t="s">
        <v>193</v>
      </c>
      <c r="D318" t="s">
        <v>466</v>
      </c>
      <c r="E318">
        <v>116325.72</v>
      </c>
      <c r="F318">
        <v>24039.77</v>
      </c>
      <c r="G318">
        <v>92285.95</v>
      </c>
      <c r="H318">
        <v>0.79330000000000001</v>
      </c>
    </row>
    <row r="319" spans="1:8" x14ac:dyDescent="0.3">
      <c r="A319" s="25">
        <v>45869</v>
      </c>
      <c r="B319" t="s">
        <v>462</v>
      </c>
      <c r="C319" t="s">
        <v>193</v>
      </c>
      <c r="D319" t="s">
        <v>465</v>
      </c>
      <c r="E319">
        <v>27897.95</v>
      </c>
      <c r="F319">
        <v>5765.37</v>
      </c>
      <c r="G319">
        <v>22132.59</v>
      </c>
      <c r="H319">
        <v>0.79330000000000001</v>
      </c>
    </row>
    <row r="320" spans="1:8" x14ac:dyDescent="0.3">
      <c r="A320" s="25">
        <v>45869</v>
      </c>
      <c r="B320" t="s">
        <v>462</v>
      </c>
      <c r="C320" t="s">
        <v>193</v>
      </c>
      <c r="D320" t="s">
        <v>464</v>
      </c>
      <c r="E320">
        <v>95706.54</v>
      </c>
      <c r="F320">
        <v>19778.63</v>
      </c>
      <c r="G320">
        <v>75927.91</v>
      </c>
      <c r="H320">
        <v>0.79330000000000001</v>
      </c>
    </row>
    <row r="321" spans="1:8" x14ac:dyDescent="0.3">
      <c r="A321" s="25">
        <v>45869</v>
      </c>
      <c r="B321" t="s">
        <v>462</v>
      </c>
      <c r="C321" t="s">
        <v>193</v>
      </c>
      <c r="D321" t="s">
        <v>463</v>
      </c>
      <c r="E321">
        <v>82570.41</v>
      </c>
      <c r="F321">
        <v>17063.919999999998</v>
      </c>
      <c r="G321">
        <v>65506.48</v>
      </c>
      <c r="H321">
        <v>0.79330000000000001</v>
      </c>
    </row>
    <row r="322" spans="1:8" x14ac:dyDescent="0.3">
      <c r="A322" s="25">
        <v>45900</v>
      </c>
      <c r="B322" t="s">
        <v>462</v>
      </c>
      <c r="C322" t="s">
        <v>193</v>
      </c>
      <c r="D322" t="s">
        <v>472</v>
      </c>
      <c r="E322">
        <v>261488.26</v>
      </c>
      <c r="F322">
        <v>53460.41</v>
      </c>
      <c r="G322">
        <v>208027.85</v>
      </c>
      <c r="H322">
        <v>0.79559999999999997</v>
      </c>
    </row>
    <row r="323" spans="1:8" x14ac:dyDescent="0.3">
      <c r="A323" s="25">
        <v>45900</v>
      </c>
      <c r="B323" t="s">
        <v>462</v>
      </c>
      <c r="C323" t="s">
        <v>193</v>
      </c>
      <c r="D323" t="s">
        <v>471</v>
      </c>
      <c r="E323">
        <v>122907.02</v>
      </c>
      <c r="F323">
        <v>25127.93</v>
      </c>
      <c r="G323">
        <v>97779.08</v>
      </c>
      <c r="H323">
        <v>0.79559999999999997</v>
      </c>
    </row>
    <row r="324" spans="1:8" x14ac:dyDescent="0.3">
      <c r="A324" s="25">
        <v>45900</v>
      </c>
      <c r="B324" t="s">
        <v>462</v>
      </c>
      <c r="C324" t="s">
        <v>193</v>
      </c>
      <c r="D324" t="s">
        <v>470</v>
      </c>
      <c r="E324">
        <v>114236.51</v>
      </c>
      <c r="F324">
        <v>23355.279999999999</v>
      </c>
      <c r="G324">
        <v>90881.23</v>
      </c>
      <c r="H324">
        <v>0.79559999999999997</v>
      </c>
    </row>
    <row r="325" spans="1:8" x14ac:dyDescent="0.3">
      <c r="A325" s="25">
        <v>45900</v>
      </c>
      <c r="B325" t="s">
        <v>462</v>
      </c>
      <c r="C325" t="s">
        <v>193</v>
      </c>
      <c r="D325" t="s">
        <v>469</v>
      </c>
      <c r="E325">
        <v>38549.47</v>
      </c>
      <c r="F325">
        <v>7881.31</v>
      </c>
      <c r="G325">
        <v>30668.16</v>
      </c>
      <c r="H325">
        <v>0.79559999999999997</v>
      </c>
    </row>
    <row r="326" spans="1:8" x14ac:dyDescent="0.3">
      <c r="A326" s="25">
        <v>45900</v>
      </c>
      <c r="B326" t="s">
        <v>462</v>
      </c>
      <c r="C326" t="s">
        <v>193</v>
      </c>
      <c r="D326" t="s">
        <v>468</v>
      </c>
      <c r="E326">
        <v>90999.24</v>
      </c>
      <c r="F326">
        <v>18604.490000000002</v>
      </c>
      <c r="G326">
        <v>72394.740000000005</v>
      </c>
      <c r="H326">
        <v>0.79559999999999997</v>
      </c>
    </row>
    <row r="327" spans="1:8" x14ac:dyDescent="0.3">
      <c r="A327" s="25">
        <v>45900</v>
      </c>
      <c r="B327" t="s">
        <v>462</v>
      </c>
      <c r="C327" t="s">
        <v>193</v>
      </c>
      <c r="D327" t="s">
        <v>467</v>
      </c>
      <c r="E327">
        <v>86534.06</v>
      </c>
      <c r="F327">
        <v>17691.599999999999</v>
      </c>
      <c r="G327">
        <v>68842.460000000006</v>
      </c>
      <c r="H327">
        <v>0.79559999999999997</v>
      </c>
    </row>
    <row r="328" spans="1:8" x14ac:dyDescent="0.3">
      <c r="A328" s="25">
        <v>45900</v>
      </c>
      <c r="B328" t="s">
        <v>462</v>
      </c>
      <c r="C328" t="s">
        <v>193</v>
      </c>
      <c r="D328" t="s">
        <v>466</v>
      </c>
      <c r="E328">
        <v>102258.11</v>
      </c>
      <c r="F328">
        <v>20906.330000000002</v>
      </c>
      <c r="G328">
        <v>81351.77</v>
      </c>
      <c r="H328">
        <v>0.79559999999999997</v>
      </c>
    </row>
    <row r="329" spans="1:8" x14ac:dyDescent="0.3">
      <c r="A329" s="25">
        <v>45900</v>
      </c>
      <c r="B329" t="s">
        <v>462</v>
      </c>
      <c r="C329" t="s">
        <v>193</v>
      </c>
      <c r="D329" t="s">
        <v>465</v>
      </c>
      <c r="E329">
        <v>101190.28</v>
      </c>
      <c r="F329">
        <v>20688.02</v>
      </c>
      <c r="G329">
        <v>80502.259999999995</v>
      </c>
      <c r="H329">
        <v>0.79559999999999997</v>
      </c>
    </row>
    <row r="330" spans="1:8" x14ac:dyDescent="0.3">
      <c r="A330" s="25">
        <v>45900</v>
      </c>
      <c r="B330" t="s">
        <v>462</v>
      </c>
      <c r="C330" t="s">
        <v>193</v>
      </c>
      <c r="D330" t="s">
        <v>464</v>
      </c>
      <c r="E330">
        <v>50712.4</v>
      </c>
      <c r="F330">
        <v>10367.98</v>
      </c>
      <c r="G330">
        <v>40344.42</v>
      </c>
      <c r="H330">
        <v>0.79559999999999997</v>
      </c>
    </row>
    <row r="331" spans="1:8" x14ac:dyDescent="0.3">
      <c r="A331" s="25">
        <v>45900</v>
      </c>
      <c r="B331" t="s">
        <v>462</v>
      </c>
      <c r="C331" t="s">
        <v>193</v>
      </c>
      <c r="D331" t="s">
        <v>463</v>
      </c>
      <c r="E331">
        <v>116559.95</v>
      </c>
      <c r="F331">
        <v>23830.32</v>
      </c>
      <c r="G331">
        <v>92729.66</v>
      </c>
      <c r="H331">
        <v>0.79559999999999997</v>
      </c>
    </row>
    <row r="332" spans="1:8" x14ac:dyDescent="0.3">
      <c r="A332" s="25">
        <v>45930</v>
      </c>
      <c r="B332" t="s">
        <v>462</v>
      </c>
      <c r="C332" t="s">
        <v>193</v>
      </c>
      <c r="D332" t="s">
        <v>472</v>
      </c>
      <c r="E332">
        <v>181213.09</v>
      </c>
      <c r="F332">
        <v>42189.51</v>
      </c>
      <c r="G332">
        <v>139023.57</v>
      </c>
      <c r="H332">
        <v>0.76719999999999999</v>
      </c>
    </row>
    <row r="333" spans="1:8" x14ac:dyDescent="0.3">
      <c r="A333" s="25">
        <v>45930</v>
      </c>
      <c r="B333" t="s">
        <v>462</v>
      </c>
      <c r="C333" t="s">
        <v>193</v>
      </c>
      <c r="D333" t="s">
        <v>471</v>
      </c>
      <c r="E333">
        <v>120793.99</v>
      </c>
      <c r="F333">
        <v>28122.91</v>
      </c>
      <c r="G333">
        <v>92671.08</v>
      </c>
      <c r="H333">
        <v>0.76719999999999999</v>
      </c>
    </row>
    <row r="334" spans="1:8" x14ac:dyDescent="0.3">
      <c r="A334" s="25">
        <v>45930</v>
      </c>
      <c r="B334" t="s">
        <v>462</v>
      </c>
      <c r="C334" t="s">
        <v>193</v>
      </c>
      <c r="D334" t="s">
        <v>470</v>
      </c>
      <c r="E334">
        <v>130303.76</v>
      </c>
      <c r="F334">
        <v>30336.95</v>
      </c>
      <c r="G334">
        <v>99966.81</v>
      </c>
      <c r="H334">
        <v>0.76719999999999999</v>
      </c>
    </row>
    <row r="335" spans="1:8" x14ac:dyDescent="0.3">
      <c r="A335" s="25">
        <v>45930</v>
      </c>
      <c r="B335" t="s">
        <v>462</v>
      </c>
      <c r="C335" t="s">
        <v>193</v>
      </c>
      <c r="D335" t="s">
        <v>469</v>
      </c>
      <c r="E335">
        <v>93371.3</v>
      </c>
      <c r="F335">
        <v>21738.44</v>
      </c>
      <c r="G335">
        <v>71632.86</v>
      </c>
      <c r="H335">
        <v>0.76719999999999999</v>
      </c>
    </row>
    <row r="336" spans="1:8" x14ac:dyDescent="0.3">
      <c r="A336" s="25">
        <v>45930</v>
      </c>
      <c r="B336" t="s">
        <v>462</v>
      </c>
      <c r="C336" t="s">
        <v>193</v>
      </c>
      <c r="D336" t="s">
        <v>468</v>
      </c>
      <c r="E336">
        <v>82399.58</v>
      </c>
      <c r="F336">
        <v>19184.04</v>
      </c>
      <c r="G336">
        <v>63215.55</v>
      </c>
      <c r="H336">
        <v>0.76719999999999999</v>
      </c>
    </row>
    <row r="337" spans="1:8" x14ac:dyDescent="0.3">
      <c r="A337" s="25">
        <v>45930</v>
      </c>
      <c r="B337" t="s">
        <v>462</v>
      </c>
      <c r="C337" t="s">
        <v>193</v>
      </c>
      <c r="D337" t="s">
        <v>467</v>
      </c>
      <c r="E337">
        <v>96630.25</v>
      </c>
      <c r="F337">
        <v>22497.18</v>
      </c>
      <c r="G337">
        <v>74133.070000000007</v>
      </c>
      <c r="H337">
        <v>0.76719999999999999</v>
      </c>
    </row>
    <row r="338" spans="1:8" x14ac:dyDescent="0.3">
      <c r="A338" s="25">
        <v>45930</v>
      </c>
      <c r="B338" t="s">
        <v>462</v>
      </c>
      <c r="C338" t="s">
        <v>193</v>
      </c>
      <c r="D338" t="s">
        <v>466</v>
      </c>
      <c r="E338">
        <v>119513.95</v>
      </c>
      <c r="F338">
        <v>27824.9</v>
      </c>
      <c r="G338">
        <v>91689.06</v>
      </c>
      <c r="H338">
        <v>0.76719999999999999</v>
      </c>
    </row>
    <row r="339" spans="1:8" x14ac:dyDescent="0.3">
      <c r="A339" s="25">
        <v>45930</v>
      </c>
      <c r="B339" t="s">
        <v>462</v>
      </c>
      <c r="C339" t="s">
        <v>193</v>
      </c>
      <c r="D339" t="s">
        <v>465</v>
      </c>
      <c r="E339">
        <v>120965.74</v>
      </c>
      <c r="F339">
        <v>28162.9</v>
      </c>
      <c r="G339">
        <v>92802.84</v>
      </c>
      <c r="H339">
        <v>0.76719999999999999</v>
      </c>
    </row>
    <row r="340" spans="1:8" x14ac:dyDescent="0.3">
      <c r="A340" s="25">
        <v>45930</v>
      </c>
      <c r="B340" t="s">
        <v>462</v>
      </c>
      <c r="C340" t="s">
        <v>193</v>
      </c>
      <c r="D340" t="s">
        <v>464</v>
      </c>
      <c r="E340">
        <v>53017.43</v>
      </c>
      <c r="F340">
        <v>12343.37</v>
      </c>
      <c r="G340">
        <v>40674.06</v>
      </c>
      <c r="H340">
        <v>0.76719999999999999</v>
      </c>
    </row>
    <row r="341" spans="1:8" x14ac:dyDescent="0.3">
      <c r="A341" s="25">
        <v>45930</v>
      </c>
      <c r="B341" t="s">
        <v>462</v>
      </c>
      <c r="C341" t="s">
        <v>193</v>
      </c>
      <c r="D341" t="s">
        <v>463</v>
      </c>
      <c r="E341">
        <v>65902.429999999993</v>
      </c>
      <c r="F341">
        <v>15343.21</v>
      </c>
      <c r="G341">
        <v>50559.22</v>
      </c>
      <c r="H341">
        <v>0.76719999999999999</v>
      </c>
    </row>
    <row r="342" spans="1:8" x14ac:dyDescent="0.3">
      <c r="A342" s="25">
        <v>45961</v>
      </c>
      <c r="B342" t="s">
        <v>462</v>
      </c>
      <c r="C342" t="s">
        <v>193</v>
      </c>
      <c r="D342" t="s">
        <v>472</v>
      </c>
      <c r="E342">
        <v>262413.28000000003</v>
      </c>
      <c r="F342">
        <v>30588.57</v>
      </c>
      <c r="G342">
        <v>231824.71</v>
      </c>
      <c r="H342">
        <v>0.88339999999999996</v>
      </c>
    </row>
    <row r="343" spans="1:8" x14ac:dyDescent="0.3">
      <c r="A343" s="25">
        <v>45961</v>
      </c>
      <c r="B343" t="s">
        <v>462</v>
      </c>
      <c r="C343" t="s">
        <v>193</v>
      </c>
      <c r="D343" t="s">
        <v>471</v>
      </c>
      <c r="E343">
        <v>133456.22</v>
      </c>
      <c r="F343">
        <v>15556.51</v>
      </c>
      <c r="G343">
        <v>117899.71</v>
      </c>
      <c r="H343">
        <v>0.88339999999999996</v>
      </c>
    </row>
    <row r="344" spans="1:8" x14ac:dyDescent="0.3">
      <c r="A344" s="25">
        <v>45961</v>
      </c>
      <c r="B344" t="s">
        <v>462</v>
      </c>
      <c r="C344" t="s">
        <v>193</v>
      </c>
      <c r="D344" t="s">
        <v>470</v>
      </c>
      <c r="E344">
        <v>153637.07999999999</v>
      </c>
      <c r="F344">
        <v>17908.919999999998</v>
      </c>
      <c r="G344">
        <v>135728.16</v>
      </c>
      <c r="H344">
        <v>0.88339999999999996</v>
      </c>
    </row>
    <row r="345" spans="1:8" x14ac:dyDescent="0.3">
      <c r="A345" s="25">
        <v>45961</v>
      </c>
      <c r="B345" t="s">
        <v>462</v>
      </c>
      <c r="C345" t="s">
        <v>193</v>
      </c>
      <c r="D345" t="s">
        <v>469</v>
      </c>
      <c r="E345">
        <v>99665.53</v>
      </c>
      <c r="F345">
        <v>11617.65</v>
      </c>
      <c r="G345">
        <v>88047.88</v>
      </c>
      <c r="H345">
        <v>0.88339999999999996</v>
      </c>
    </row>
    <row r="346" spans="1:8" x14ac:dyDescent="0.3">
      <c r="A346" s="25">
        <v>45961</v>
      </c>
      <c r="B346" t="s">
        <v>462</v>
      </c>
      <c r="C346" t="s">
        <v>193</v>
      </c>
      <c r="D346" t="s">
        <v>468</v>
      </c>
      <c r="E346">
        <v>11612.68</v>
      </c>
      <c r="F346">
        <v>1353.65</v>
      </c>
      <c r="G346">
        <v>10259.030000000001</v>
      </c>
      <c r="H346">
        <v>0.88339999999999996</v>
      </c>
    </row>
    <row r="347" spans="1:8" x14ac:dyDescent="0.3">
      <c r="A347" s="25">
        <v>45961</v>
      </c>
      <c r="B347" t="s">
        <v>462</v>
      </c>
      <c r="C347" t="s">
        <v>193</v>
      </c>
      <c r="D347" t="s">
        <v>467</v>
      </c>
      <c r="E347">
        <v>96193.21</v>
      </c>
      <c r="F347">
        <v>11212.9</v>
      </c>
      <c r="G347">
        <v>84980.31</v>
      </c>
      <c r="H347">
        <v>0.88339999999999996</v>
      </c>
    </row>
    <row r="348" spans="1:8" x14ac:dyDescent="0.3">
      <c r="A348" s="25">
        <v>45961</v>
      </c>
      <c r="B348" t="s">
        <v>462</v>
      </c>
      <c r="C348" t="s">
        <v>193</v>
      </c>
      <c r="D348" t="s">
        <v>466</v>
      </c>
      <c r="E348">
        <v>59020</v>
      </c>
      <c r="F348">
        <v>6879.75</v>
      </c>
      <c r="G348">
        <v>52140.25</v>
      </c>
      <c r="H348">
        <v>0.88339999999999996</v>
      </c>
    </row>
    <row r="349" spans="1:8" x14ac:dyDescent="0.3">
      <c r="A349" s="25">
        <v>45961</v>
      </c>
      <c r="B349" t="s">
        <v>462</v>
      </c>
      <c r="C349" t="s">
        <v>193</v>
      </c>
      <c r="D349" t="s">
        <v>465</v>
      </c>
      <c r="E349">
        <v>131383.85999999999</v>
      </c>
      <c r="F349">
        <v>15314.94</v>
      </c>
      <c r="G349">
        <v>116068.92</v>
      </c>
      <c r="H349">
        <v>0.88339999999999996</v>
      </c>
    </row>
    <row r="350" spans="1:8" x14ac:dyDescent="0.3">
      <c r="A350" s="25">
        <v>45961</v>
      </c>
      <c r="B350" t="s">
        <v>462</v>
      </c>
      <c r="C350" t="s">
        <v>193</v>
      </c>
      <c r="D350" t="s">
        <v>464</v>
      </c>
      <c r="E350">
        <v>98236.05</v>
      </c>
      <c r="F350">
        <v>11451.02</v>
      </c>
      <c r="G350">
        <v>86785.03</v>
      </c>
      <c r="H350">
        <v>0.88339999999999996</v>
      </c>
    </row>
    <row r="351" spans="1:8" x14ac:dyDescent="0.3">
      <c r="A351" s="25">
        <v>45961</v>
      </c>
      <c r="B351" t="s">
        <v>462</v>
      </c>
      <c r="C351" t="s">
        <v>193</v>
      </c>
      <c r="D351" t="s">
        <v>463</v>
      </c>
      <c r="E351">
        <v>49930.81</v>
      </c>
      <c r="F351">
        <v>5820.25</v>
      </c>
      <c r="G351">
        <v>44110.559999999998</v>
      </c>
      <c r="H351">
        <v>0.88339999999999996</v>
      </c>
    </row>
    <row r="352" spans="1:8" x14ac:dyDescent="0.3">
      <c r="A352" s="25">
        <v>45991</v>
      </c>
      <c r="B352" t="s">
        <v>462</v>
      </c>
      <c r="C352" t="s">
        <v>193</v>
      </c>
      <c r="D352" t="s">
        <v>472</v>
      </c>
      <c r="E352">
        <v>234482.5</v>
      </c>
      <c r="F352">
        <v>55591.5</v>
      </c>
      <c r="G352">
        <v>178891</v>
      </c>
      <c r="H352">
        <v>0.76290000000000002</v>
      </c>
    </row>
    <row r="353" spans="1:8" x14ac:dyDescent="0.3">
      <c r="A353" s="25">
        <v>45991</v>
      </c>
      <c r="B353" t="s">
        <v>462</v>
      </c>
      <c r="C353" t="s">
        <v>193</v>
      </c>
      <c r="D353" t="s">
        <v>471</v>
      </c>
      <c r="E353">
        <v>168186.59</v>
      </c>
      <c r="F353">
        <v>39873.96</v>
      </c>
      <c r="G353">
        <v>128312.63</v>
      </c>
      <c r="H353">
        <v>0.76290000000000002</v>
      </c>
    </row>
    <row r="354" spans="1:8" x14ac:dyDescent="0.3">
      <c r="A354" s="25">
        <v>45991</v>
      </c>
      <c r="B354" t="s">
        <v>462</v>
      </c>
      <c r="C354" t="s">
        <v>193</v>
      </c>
      <c r="D354" t="s">
        <v>470</v>
      </c>
      <c r="E354">
        <v>145250.85</v>
      </c>
      <c r="F354">
        <v>34436.31</v>
      </c>
      <c r="G354">
        <v>110814.53</v>
      </c>
      <c r="H354">
        <v>0.76290000000000002</v>
      </c>
    </row>
    <row r="355" spans="1:8" x14ac:dyDescent="0.3">
      <c r="A355" s="25">
        <v>45991</v>
      </c>
      <c r="B355" t="s">
        <v>462</v>
      </c>
      <c r="C355" t="s">
        <v>193</v>
      </c>
      <c r="D355" t="s">
        <v>469</v>
      </c>
      <c r="E355">
        <v>66883.97</v>
      </c>
      <c r="F355">
        <v>15856.96</v>
      </c>
      <c r="G355">
        <v>51027.01</v>
      </c>
      <c r="H355">
        <v>0.76290000000000002</v>
      </c>
    </row>
    <row r="356" spans="1:8" x14ac:dyDescent="0.3">
      <c r="A356" s="25">
        <v>45991</v>
      </c>
      <c r="B356" t="s">
        <v>462</v>
      </c>
      <c r="C356" t="s">
        <v>193</v>
      </c>
      <c r="D356" t="s">
        <v>468</v>
      </c>
      <c r="E356">
        <v>61887.41</v>
      </c>
      <c r="F356">
        <v>14672.37</v>
      </c>
      <c r="G356">
        <v>47215.040000000001</v>
      </c>
      <c r="H356">
        <v>0.76290000000000002</v>
      </c>
    </row>
    <row r="357" spans="1:8" x14ac:dyDescent="0.3">
      <c r="A357" s="25">
        <v>45991</v>
      </c>
      <c r="B357" t="s">
        <v>462</v>
      </c>
      <c r="C357" t="s">
        <v>193</v>
      </c>
      <c r="D357" t="s">
        <v>467</v>
      </c>
      <c r="E357">
        <v>36354.58</v>
      </c>
      <c r="F357">
        <v>8619</v>
      </c>
      <c r="G357">
        <v>27735.57</v>
      </c>
      <c r="H357">
        <v>0.76290000000000002</v>
      </c>
    </row>
    <row r="358" spans="1:8" x14ac:dyDescent="0.3">
      <c r="A358" s="25">
        <v>45991</v>
      </c>
      <c r="B358" t="s">
        <v>462</v>
      </c>
      <c r="C358" t="s">
        <v>193</v>
      </c>
      <c r="D358" t="s">
        <v>466</v>
      </c>
      <c r="E358">
        <v>94879.45</v>
      </c>
      <c r="F358">
        <v>22494.18</v>
      </c>
      <c r="G358">
        <v>72385.27</v>
      </c>
      <c r="H358">
        <v>0.76290000000000002</v>
      </c>
    </row>
    <row r="359" spans="1:8" x14ac:dyDescent="0.3">
      <c r="A359" s="25">
        <v>45991</v>
      </c>
      <c r="B359" t="s">
        <v>462</v>
      </c>
      <c r="C359" t="s">
        <v>193</v>
      </c>
      <c r="D359" t="s">
        <v>465</v>
      </c>
      <c r="E359">
        <v>78604.240000000005</v>
      </c>
      <c r="F359">
        <v>18635.63</v>
      </c>
      <c r="G359">
        <v>59968.62</v>
      </c>
      <c r="H359">
        <v>0.76290000000000002</v>
      </c>
    </row>
    <row r="360" spans="1:8" x14ac:dyDescent="0.3">
      <c r="A360" s="25">
        <v>45991</v>
      </c>
      <c r="B360" t="s">
        <v>462</v>
      </c>
      <c r="C360" t="s">
        <v>193</v>
      </c>
      <c r="D360" t="s">
        <v>464</v>
      </c>
      <c r="E360">
        <v>71033.7</v>
      </c>
      <c r="F360">
        <v>16840.79</v>
      </c>
      <c r="G360">
        <v>54192.91</v>
      </c>
      <c r="H360">
        <v>0.76290000000000002</v>
      </c>
    </row>
    <row r="361" spans="1:8" x14ac:dyDescent="0.3">
      <c r="A361" s="25">
        <v>45991</v>
      </c>
      <c r="B361" t="s">
        <v>462</v>
      </c>
      <c r="C361" t="s">
        <v>193</v>
      </c>
      <c r="D361" t="s">
        <v>463</v>
      </c>
      <c r="E361">
        <v>63355.53</v>
      </c>
      <c r="F361">
        <v>15020.44</v>
      </c>
      <c r="G361">
        <v>48335.1</v>
      </c>
      <c r="H361">
        <v>0.76290000000000002</v>
      </c>
    </row>
    <row r="362" spans="1:8" x14ac:dyDescent="0.3">
      <c r="A362" s="25">
        <v>45657</v>
      </c>
      <c r="B362" t="s">
        <v>462</v>
      </c>
      <c r="C362" t="s">
        <v>186</v>
      </c>
      <c r="D362" t="s">
        <v>472</v>
      </c>
      <c r="E362">
        <v>655856.68000000005</v>
      </c>
      <c r="F362">
        <v>128313.23</v>
      </c>
      <c r="G362">
        <v>527543.44999999995</v>
      </c>
      <c r="H362">
        <v>0.8044</v>
      </c>
    </row>
    <row r="363" spans="1:8" x14ac:dyDescent="0.3">
      <c r="A363" s="25">
        <v>45657</v>
      </c>
      <c r="B363" t="s">
        <v>462</v>
      </c>
      <c r="C363" t="s">
        <v>186</v>
      </c>
      <c r="D363" t="s">
        <v>471</v>
      </c>
      <c r="E363">
        <v>387626.67</v>
      </c>
      <c r="F363">
        <v>75836.13</v>
      </c>
      <c r="G363">
        <v>311790.55</v>
      </c>
      <c r="H363">
        <v>0.8044</v>
      </c>
    </row>
    <row r="364" spans="1:8" x14ac:dyDescent="0.3">
      <c r="A364" s="25">
        <v>45657</v>
      </c>
      <c r="B364" t="s">
        <v>462</v>
      </c>
      <c r="C364" t="s">
        <v>186</v>
      </c>
      <c r="D364" t="s">
        <v>470</v>
      </c>
      <c r="E364">
        <v>282356.93</v>
      </c>
      <c r="F364">
        <v>55240.93</v>
      </c>
      <c r="G364">
        <v>227116.01</v>
      </c>
      <c r="H364">
        <v>0.8044</v>
      </c>
    </row>
    <row r="365" spans="1:8" x14ac:dyDescent="0.3">
      <c r="A365" s="25">
        <v>45657</v>
      </c>
      <c r="B365" t="s">
        <v>462</v>
      </c>
      <c r="C365" t="s">
        <v>186</v>
      </c>
      <c r="D365" t="s">
        <v>469</v>
      </c>
      <c r="E365">
        <v>192410.1</v>
      </c>
      <c r="F365">
        <v>37643.53</v>
      </c>
      <c r="G365">
        <v>154766.57</v>
      </c>
      <c r="H365">
        <v>0.8044</v>
      </c>
    </row>
    <row r="366" spans="1:8" x14ac:dyDescent="0.3">
      <c r="A366" s="25">
        <v>45657</v>
      </c>
      <c r="B366" t="s">
        <v>462</v>
      </c>
      <c r="C366" t="s">
        <v>186</v>
      </c>
      <c r="D366" t="s">
        <v>468</v>
      </c>
      <c r="E366">
        <v>218258.34</v>
      </c>
      <c r="F366">
        <v>42700.54</v>
      </c>
      <c r="G366">
        <v>175557.81</v>
      </c>
      <c r="H366">
        <v>0.8044</v>
      </c>
    </row>
    <row r="367" spans="1:8" x14ac:dyDescent="0.3">
      <c r="A367" s="25">
        <v>45657</v>
      </c>
      <c r="B367" t="s">
        <v>462</v>
      </c>
      <c r="C367" t="s">
        <v>186</v>
      </c>
      <c r="D367" t="s">
        <v>467</v>
      </c>
      <c r="E367">
        <v>276192.93</v>
      </c>
      <c r="F367">
        <v>54034.99</v>
      </c>
      <c r="G367">
        <v>222157.94</v>
      </c>
      <c r="H367">
        <v>0.8044</v>
      </c>
    </row>
    <row r="368" spans="1:8" x14ac:dyDescent="0.3">
      <c r="A368" s="25">
        <v>45657</v>
      </c>
      <c r="B368" t="s">
        <v>462</v>
      </c>
      <c r="C368" t="s">
        <v>186</v>
      </c>
      <c r="D368" t="s">
        <v>466</v>
      </c>
      <c r="E368">
        <v>280049.93</v>
      </c>
      <c r="F368">
        <v>54789.58</v>
      </c>
      <c r="G368">
        <v>225260.35</v>
      </c>
      <c r="H368">
        <v>0.8044</v>
      </c>
    </row>
    <row r="369" spans="1:8" x14ac:dyDescent="0.3">
      <c r="A369" s="25">
        <v>45657</v>
      </c>
      <c r="B369" t="s">
        <v>462</v>
      </c>
      <c r="C369" t="s">
        <v>186</v>
      </c>
      <c r="D369" t="s">
        <v>465</v>
      </c>
      <c r="E369">
        <v>103269.75999999999</v>
      </c>
      <c r="F369">
        <v>20203.919999999998</v>
      </c>
      <c r="G369">
        <v>83065.84</v>
      </c>
      <c r="H369">
        <v>0.8044</v>
      </c>
    </row>
    <row r="370" spans="1:8" x14ac:dyDescent="0.3">
      <c r="A370" s="25">
        <v>45657</v>
      </c>
      <c r="B370" t="s">
        <v>462</v>
      </c>
      <c r="C370" t="s">
        <v>186</v>
      </c>
      <c r="D370" t="s">
        <v>464</v>
      </c>
      <c r="E370">
        <v>214293.63</v>
      </c>
      <c r="F370">
        <v>41924.870000000003</v>
      </c>
      <c r="G370">
        <v>172368.76</v>
      </c>
      <c r="H370">
        <v>0.8044</v>
      </c>
    </row>
    <row r="371" spans="1:8" x14ac:dyDescent="0.3">
      <c r="A371" s="25">
        <v>45657</v>
      </c>
      <c r="B371" t="s">
        <v>462</v>
      </c>
      <c r="C371" t="s">
        <v>186</v>
      </c>
      <c r="D371" t="s">
        <v>463</v>
      </c>
      <c r="E371">
        <v>181833.69</v>
      </c>
      <c r="F371">
        <v>35574.33</v>
      </c>
      <c r="G371">
        <v>146259.35</v>
      </c>
      <c r="H371">
        <v>0.8044</v>
      </c>
    </row>
    <row r="372" spans="1:8" x14ac:dyDescent="0.3">
      <c r="A372" s="25">
        <v>45688</v>
      </c>
      <c r="B372" t="s">
        <v>462</v>
      </c>
      <c r="C372" t="s">
        <v>186</v>
      </c>
      <c r="D372" t="s">
        <v>472</v>
      </c>
      <c r="E372">
        <v>571178.69999999995</v>
      </c>
      <c r="F372">
        <v>83196.66</v>
      </c>
      <c r="G372">
        <v>487982.04</v>
      </c>
      <c r="H372">
        <v>0.85429999999999995</v>
      </c>
    </row>
    <row r="373" spans="1:8" x14ac:dyDescent="0.3">
      <c r="A373" s="25">
        <v>45688</v>
      </c>
      <c r="B373" t="s">
        <v>462</v>
      </c>
      <c r="C373" t="s">
        <v>186</v>
      </c>
      <c r="D373" t="s">
        <v>471</v>
      </c>
      <c r="E373">
        <v>536791.61</v>
      </c>
      <c r="F373">
        <v>78187.91</v>
      </c>
      <c r="G373">
        <v>458603.69</v>
      </c>
      <c r="H373">
        <v>0.85429999999999995</v>
      </c>
    </row>
    <row r="374" spans="1:8" x14ac:dyDescent="0.3">
      <c r="A374" s="25">
        <v>45688</v>
      </c>
      <c r="B374" t="s">
        <v>462</v>
      </c>
      <c r="C374" t="s">
        <v>186</v>
      </c>
      <c r="D374" t="s">
        <v>470</v>
      </c>
      <c r="E374">
        <v>279081.90000000002</v>
      </c>
      <c r="F374">
        <v>40650.47</v>
      </c>
      <c r="G374">
        <v>238431.43</v>
      </c>
      <c r="H374">
        <v>0.85429999999999995</v>
      </c>
    </row>
    <row r="375" spans="1:8" x14ac:dyDescent="0.3">
      <c r="A375" s="25">
        <v>45688</v>
      </c>
      <c r="B375" t="s">
        <v>462</v>
      </c>
      <c r="C375" t="s">
        <v>186</v>
      </c>
      <c r="D375" t="s">
        <v>469</v>
      </c>
      <c r="E375">
        <v>285796.93</v>
      </c>
      <c r="F375">
        <v>41628.57</v>
      </c>
      <c r="G375">
        <v>244168.37</v>
      </c>
      <c r="H375">
        <v>0.85429999999999995</v>
      </c>
    </row>
    <row r="376" spans="1:8" x14ac:dyDescent="0.3">
      <c r="A376" s="25">
        <v>45688</v>
      </c>
      <c r="B376" t="s">
        <v>462</v>
      </c>
      <c r="C376" t="s">
        <v>186</v>
      </c>
      <c r="D376" t="s">
        <v>468</v>
      </c>
      <c r="E376">
        <v>110522.81</v>
      </c>
      <c r="F376">
        <v>16098.52</v>
      </c>
      <c r="G376">
        <v>94424.3</v>
      </c>
      <c r="H376">
        <v>0.85429999999999995</v>
      </c>
    </row>
    <row r="377" spans="1:8" x14ac:dyDescent="0.3">
      <c r="A377" s="25">
        <v>45688</v>
      </c>
      <c r="B377" t="s">
        <v>462</v>
      </c>
      <c r="C377" t="s">
        <v>186</v>
      </c>
      <c r="D377" t="s">
        <v>467</v>
      </c>
      <c r="E377">
        <v>243788.09</v>
      </c>
      <c r="F377">
        <v>35509.65</v>
      </c>
      <c r="G377">
        <v>208278.44</v>
      </c>
      <c r="H377">
        <v>0.85429999999999995</v>
      </c>
    </row>
    <row r="378" spans="1:8" x14ac:dyDescent="0.3">
      <c r="A378" s="25">
        <v>45688</v>
      </c>
      <c r="B378" t="s">
        <v>462</v>
      </c>
      <c r="C378" t="s">
        <v>186</v>
      </c>
      <c r="D378" t="s">
        <v>466</v>
      </c>
      <c r="E378">
        <v>263015.34000000003</v>
      </c>
      <c r="F378">
        <v>38310.25</v>
      </c>
      <c r="G378">
        <v>224705.09</v>
      </c>
      <c r="H378">
        <v>0.85429999999999995</v>
      </c>
    </row>
    <row r="379" spans="1:8" x14ac:dyDescent="0.3">
      <c r="A379" s="25">
        <v>45688</v>
      </c>
      <c r="B379" t="s">
        <v>462</v>
      </c>
      <c r="C379" t="s">
        <v>186</v>
      </c>
      <c r="D379" t="s">
        <v>465</v>
      </c>
      <c r="E379">
        <v>287165.94</v>
      </c>
      <c r="F379">
        <v>41827.97</v>
      </c>
      <c r="G379">
        <v>245337.97</v>
      </c>
      <c r="H379">
        <v>0.85429999999999995</v>
      </c>
    </row>
    <row r="380" spans="1:8" x14ac:dyDescent="0.3">
      <c r="A380" s="25">
        <v>45688</v>
      </c>
      <c r="B380" t="s">
        <v>462</v>
      </c>
      <c r="C380" t="s">
        <v>186</v>
      </c>
      <c r="D380" t="s">
        <v>464</v>
      </c>
      <c r="E380">
        <v>231722.65</v>
      </c>
      <c r="F380">
        <v>33752.22</v>
      </c>
      <c r="G380">
        <v>197970.43</v>
      </c>
      <c r="H380">
        <v>0.85429999999999995</v>
      </c>
    </row>
    <row r="381" spans="1:8" x14ac:dyDescent="0.3">
      <c r="A381" s="25">
        <v>45688</v>
      </c>
      <c r="B381" t="s">
        <v>462</v>
      </c>
      <c r="C381" t="s">
        <v>186</v>
      </c>
      <c r="D381" t="s">
        <v>463</v>
      </c>
      <c r="E381">
        <v>82447.03</v>
      </c>
      <c r="F381">
        <v>12009.07</v>
      </c>
      <c r="G381">
        <v>70437.960000000006</v>
      </c>
      <c r="H381">
        <v>0.85429999999999995</v>
      </c>
    </row>
    <row r="382" spans="1:8" x14ac:dyDescent="0.3">
      <c r="A382" s="25">
        <v>45716</v>
      </c>
      <c r="B382" t="s">
        <v>462</v>
      </c>
      <c r="C382" t="s">
        <v>186</v>
      </c>
      <c r="D382" t="s">
        <v>472</v>
      </c>
      <c r="E382">
        <v>539019.03</v>
      </c>
      <c r="F382">
        <v>77481.509999999995</v>
      </c>
      <c r="G382">
        <v>461537.53</v>
      </c>
      <c r="H382">
        <v>0.85629999999999995</v>
      </c>
    </row>
    <row r="383" spans="1:8" x14ac:dyDescent="0.3">
      <c r="A383" s="25">
        <v>45716</v>
      </c>
      <c r="B383" t="s">
        <v>462</v>
      </c>
      <c r="C383" t="s">
        <v>186</v>
      </c>
      <c r="D383" t="s">
        <v>471</v>
      </c>
      <c r="E383">
        <v>605129.84</v>
      </c>
      <c r="F383">
        <v>86984.63</v>
      </c>
      <c r="G383">
        <v>518145.21</v>
      </c>
      <c r="H383">
        <v>0.85629999999999995</v>
      </c>
    </row>
    <row r="384" spans="1:8" x14ac:dyDescent="0.3">
      <c r="A384" s="25">
        <v>45716</v>
      </c>
      <c r="B384" t="s">
        <v>462</v>
      </c>
      <c r="C384" t="s">
        <v>186</v>
      </c>
      <c r="D384" t="s">
        <v>470</v>
      </c>
      <c r="E384">
        <v>339247.61</v>
      </c>
      <c r="F384">
        <v>48765.279999999999</v>
      </c>
      <c r="G384">
        <v>290482.32</v>
      </c>
      <c r="H384">
        <v>0.85629999999999995</v>
      </c>
    </row>
    <row r="385" spans="1:8" x14ac:dyDescent="0.3">
      <c r="A385" s="25">
        <v>45716</v>
      </c>
      <c r="B385" t="s">
        <v>462</v>
      </c>
      <c r="C385" t="s">
        <v>186</v>
      </c>
      <c r="D385" t="s">
        <v>469</v>
      </c>
      <c r="E385">
        <v>223586.36</v>
      </c>
      <c r="F385">
        <v>32139.51</v>
      </c>
      <c r="G385">
        <v>191446.85</v>
      </c>
      <c r="H385">
        <v>0.85629999999999995</v>
      </c>
    </row>
    <row r="386" spans="1:8" x14ac:dyDescent="0.3">
      <c r="A386" s="25">
        <v>45716</v>
      </c>
      <c r="B386" t="s">
        <v>462</v>
      </c>
      <c r="C386" t="s">
        <v>186</v>
      </c>
      <c r="D386" t="s">
        <v>468</v>
      </c>
      <c r="E386">
        <v>234015.33</v>
      </c>
      <c r="F386">
        <v>33638.629999999997</v>
      </c>
      <c r="G386">
        <v>200376.71</v>
      </c>
      <c r="H386">
        <v>0.85629999999999995</v>
      </c>
    </row>
    <row r="387" spans="1:8" x14ac:dyDescent="0.3">
      <c r="A387" s="25">
        <v>45716</v>
      </c>
      <c r="B387" t="s">
        <v>462</v>
      </c>
      <c r="C387" t="s">
        <v>186</v>
      </c>
      <c r="D387" t="s">
        <v>467</v>
      </c>
      <c r="E387">
        <v>167403.67000000001</v>
      </c>
      <c r="F387">
        <v>24063.51</v>
      </c>
      <c r="G387">
        <v>143340.16</v>
      </c>
      <c r="H387">
        <v>0.85629999999999995</v>
      </c>
    </row>
    <row r="388" spans="1:8" x14ac:dyDescent="0.3">
      <c r="A388" s="25">
        <v>45716</v>
      </c>
      <c r="B388" t="s">
        <v>462</v>
      </c>
      <c r="C388" t="s">
        <v>186</v>
      </c>
      <c r="D388" t="s">
        <v>466</v>
      </c>
      <c r="E388">
        <v>186843.45</v>
      </c>
      <c r="F388">
        <v>26857.89</v>
      </c>
      <c r="G388">
        <v>159985.56</v>
      </c>
      <c r="H388">
        <v>0.85629999999999995</v>
      </c>
    </row>
    <row r="389" spans="1:8" x14ac:dyDescent="0.3">
      <c r="A389" s="25">
        <v>45716</v>
      </c>
      <c r="B389" t="s">
        <v>462</v>
      </c>
      <c r="C389" t="s">
        <v>186</v>
      </c>
      <c r="D389" t="s">
        <v>465</v>
      </c>
      <c r="E389">
        <v>85574.1</v>
      </c>
      <c r="F389">
        <v>12300.88</v>
      </c>
      <c r="G389">
        <v>73273.22</v>
      </c>
      <c r="H389">
        <v>0.85629999999999995</v>
      </c>
    </row>
    <row r="390" spans="1:8" x14ac:dyDescent="0.3">
      <c r="A390" s="25">
        <v>45716</v>
      </c>
      <c r="B390" t="s">
        <v>462</v>
      </c>
      <c r="C390" t="s">
        <v>186</v>
      </c>
      <c r="D390" t="s">
        <v>464</v>
      </c>
      <c r="E390">
        <v>239991.08</v>
      </c>
      <c r="F390">
        <v>34497.61</v>
      </c>
      <c r="G390">
        <v>205493.47</v>
      </c>
      <c r="H390">
        <v>0.85629999999999995</v>
      </c>
    </row>
    <row r="391" spans="1:8" x14ac:dyDescent="0.3">
      <c r="A391" s="25">
        <v>45716</v>
      </c>
      <c r="B391" t="s">
        <v>462</v>
      </c>
      <c r="C391" t="s">
        <v>186</v>
      </c>
      <c r="D391" t="s">
        <v>463</v>
      </c>
      <c r="E391">
        <v>156551.38</v>
      </c>
      <c r="F391">
        <v>22503.54</v>
      </c>
      <c r="G391">
        <v>134047.84</v>
      </c>
      <c r="H391">
        <v>0.85629999999999995</v>
      </c>
    </row>
    <row r="392" spans="1:8" x14ac:dyDescent="0.3">
      <c r="A392" s="25">
        <v>45747</v>
      </c>
      <c r="B392" t="s">
        <v>462</v>
      </c>
      <c r="C392" t="s">
        <v>186</v>
      </c>
      <c r="D392" t="s">
        <v>472</v>
      </c>
      <c r="E392">
        <v>665151.21</v>
      </c>
      <c r="F392">
        <v>99877.58</v>
      </c>
      <c r="G392">
        <v>565273.63</v>
      </c>
      <c r="H392">
        <v>0.8498</v>
      </c>
    </row>
    <row r="393" spans="1:8" x14ac:dyDescent="0.3">
      <c r="A393" s="25">
        <v>45747</v>
      </c>
      <c r="B393" t="s">
        <v>462</v>
      </c>
      <c r="C393" t="s">
        <v>186</v>
      </c>
      <c r="D393" t="s">
        <v>471</v>
      </c>
      <c r="E393">
        <v>326852.75</v>
      </c>
      <c r="F393">
        <v>49079.46</v>
      </c>
      <c r="G393">
        <v>277773.3</v>
      </c>
      <c r="H393">
        <v>0.8498</v>
      </c>
    </row>
    <row r="394" spans="1:8" x14ac:dyDescent="0.3">
      <c r="A394" s="25">
        <v>45747</v>
      </c>
      <c r="B394" t="s">
        <v>462</v>
      </c>
      <c r="C394" t="s">
        <v>186</v>
      </c>
      <c r="D394" t="s">
        <v>470</v>
      </c>
      <c r="E394">
        <v>294063.64</v>
      </c>
      <c r="F394">
        <v>44155.92</v>
      </c>
      <c r="G394">
        <v>249907.72</v>
      </c>
      <c r="H394">
        <v>0.8498</v>
      </c>
    </row>
    <row r="395" spans="1:8" x14ac:dyDescent="0.3">
      <c r="A395" s="25">
        <v>45747</v>
      </c>
      <c r="B395" t="s">
        <v>462</v>
      </c>
      <c r="C395" t="s">
        <v>186</v>
      </c>
      <c r="D395" t="s">
        <v>469</v>
      </c>
      <c r="E395">
        <v>93426.21</v>
      </c>
      <c r="F395">
        <v>14028.67</v>
      </c>
      <c r="G395">
        <v>79397.55</v>
      </c>
      <c r="H395">
        <v>0.8498</v>
      </c>
    </row>
    <row r="396" spans="1:8" x14ac:dyDescent="0.3">
      <c r="A396" s="25">
        <v>45747</v>
      </c>
      <c r="B396" t="s">
        <v>462</v>
      </c>
      <c r="C396" t="s">
        <v>186</v>
      </c>
      <c r="D396" t="s">
        <v>468</v>
      </c>
      <c r="E396">
        <v>249095.85</v>
      </c>
      <c r="F396">
        <v>37403.660000000003</v>
      </c>
      <c r="G396">
        <v>211692.19</v>
      </c>
      <c r="H396">
        <v>0.8498</v>
      </c>
    </row>
    <row r="397" spans="1:8" x14ac:dyDescent="0.3">
      <c r="A397" s="25">
        <v>45747</v>
      </c>
      <c r="B397" t="s">
        <v>462</v>
      </c>
      <c r="C397" t="s">
        <v>186</v>
      </c>
      <c r="D397" t="s">
        <v>467</v>
      </c>
      <c r="E397">
        <v>332025.03999999998</v>
      </c>
      <c r="F397">
        <v>49856.12</v>
      </c>
      <c r="G397">
        <v>282168.92</v>
      </c>
      <c r="H397">
        <v>0.8498</v>
      </c>
    </row>
    <row r="398" spans="1:8" x14ac:dyDescent="0.3">
      <c r="A398" s="25">
        <v>45747</v>
      </c>
      <c r="B398" t="s">
        <v>462</v>
      </c>
      <c r="C398" t="s">
        <v>186</v>
      </c>
      <c r="D398" t="s">
        <v>466</v>
      </c>
      <c r="E398">
        <v>197232.57</v>
      </c>
      <c r="F398">
        <v>29615.99</v>
      </c>
      <c r="G398">
        <v>167616.57999999999</v>
      </c>
      <c r="H398">
        <v>0.8498</v>
      </c>
    </row>
    <row r="399" spans="1:8" x14ac:dyDescent="0.3">
      <c r="A399" s="25">
        <v>45747</v>
      </c>
      <c r="B399" t="s">
        <v>462</v>
      </c>
      <c r="C399" t="s">
        <v>186</v>
      </c>
      <c r="D399" t="s">
        <v>465</v>
      </c>
      <c r="E399">
        <v>228989.58</v>
      </c>
      <c r="F399">
        <v>34384.550000000003</v>
      </c>
      <c r="G399">
        <v>194605.03</v>
      </c>
      <c r="H399">
        <v>0.8498</v>
      </c>
    </row>
    <row r="400" spans="1:8" x14ac:dyDescent="0.3">
      <c r="A400" s="25">
        <v>45747</v>
      </c>
      <c r="B400" t="s">
        <v>462</v>
      </c>
      <c r="C400" t="s">
        <v>186</v>
      </c>
      <c r="D400" t="s">
        <v>464</v>
      </c>
      <c r="E400">
        <v>226253.82</v>
      </c>
      <c r="F400">
        <v>33973.75</v>
      </c>
      <c r="G400">
        <v>192280.07</v>
      </c>
      <c r="H400">
        <v>0.8498</v>
      </c>
    </row>
    <row r="401" spans="1:8" x14ac:dyDescent="0.3">
      <c r="A401" s="25">
        <v>45747</v>
      </c>
      <c r="B401" t="s">
        <v>462</v>
      </c>
      <c r="C401" t="s">
        <v>186</v>
      </c>
      <c r="D401" t="s">
        <v>463</v>
      </c>
      <c r="E401">
        <v>228789.81</v>
      </c>
      <c r="F401">
        <v>34354.559999999998</v>
      </c>
      <c r="G401">
        <v>194435.25</v>
      </c>
      <c r="H401">
        <v>0.8498</v>
      </c>
    </row>
    <row r="402" spans="1:8" x14ac:dyDescent="0.3">
      <c r="A402" s="25">
        <v>45777</v>
      </c>
      <c r="B402" t="s">
        <v>462</v>
      </c>
      <c r="C402" t="s">
        <v>186</v>
      </c>
      <c r="D402" t="s">
        <v>472</v>
      </c>
      <c r="E402">
        <v>540774.57999999996</v>
      </c>
      <c r="F402">
        <v>114581.98</v>
      </c>
      <c r="G402">
        <v>426192.6</v>
      </c>
      <c r="H402">
        <v>0.78810000000000002</v>
      </c>
    </row>
    <row r="403" spans="1:8" x14ac:dyDescent="0.3">
      <c r="A403" s="25">
        <v>45777</v>
      </c>
      <c r="B403" t="s">
        <v>462</v>
      </c>
      <c r="C403" t="s">
        <v>186</v>
      </c>
      <c r="D403" t="s">
        <v>471</v>
      </c>
      <c r="E403">
        <v>600694.34</v>
      </c>
      <c r="F403">
        <v>127278.07</v>
      </c>
      <c r="G403">
        <v>473416.27</v>
      </c>
      <c r="H403">
        <v>0.78810000000000002</v>
      </c>
    </row>
    <row r="404" spans="1:8" x14ac:dyDescent="0.3">
      <c r="A404" s="25">
        <v>45777</v>
      </c>
      <c r="B404" t="s">
        <v>462</v>
      </c>
      <c r="C404" t="s">
        <v>186</v>
      </c>
      <c r="D404" t="s">
        <v>470</v>
      </c>
      <c r="E404">
        <v>182216.99</v>
      </c>
      <c r="F404">
        <v>38609.03</v>
      </c>
      <c r="G404">
        <v>143607.96</v>
      </c>
      <c r="H404">
        <v>0.78810000000000002</v>
      </c>
    </row>
    <row r="405" spans="1:8" x14ac:dyDescent="0.3">
      <c r="A405" s="25">
        <v>45777</v>
      </c>
      <c r="B405" t="s">
        <v>462</v>
      </c>
      <c r="C405" t="s">
        <v>186</v>
      </c>
      <c r="D405" t="s">
        <v>469</v>
      </c>
      <c r="E405">
        <v>314889.15000000002</v>
      </c>
      <c r="F405">
        <v>66720.259999999995</v>
      </c>
      <c r="G405">
        <v>248168.89</v>
      </c>
      <c r="H405">
        <v>0.78810000000000002</v>
      </c>
    </row>
    <row r="406" spans="1:8" x14ac:dyDescent="0.3">
      <c r="A406" s="25">
        <v>45777</v>
      </c>
      <c r="B406" t="s">
        <v>462</v>
      </c>
      <c r="C406" t="s">
        <v>186</v>
      </c>
      <c r="D406" t="s">
        <v>468</v>
      </c>
      <c r="E406">
        <v>107552.89</v>
      </c>
      <c r="F406">
        <v>22788.84</v>
      </c>
      <c r="G406">
        <v>84764.06</v>
      </c>
      <c r="H406">
        <v>0.78810000000000002</v>
      </c>
    </row>
    <row r="407" spans="1:8" x14ac:dyDescent="0.3">
      <c r="A407" s="25">
        <v>45777</v>
      </c>
      <c r="B407" t="s">
        <v>462</v>
      </c>
      <c r="C407" t="s">
        <v>186</v>
      </c>
      <c r="D407" t="s">
        <v>467</v>
      </c>
      <c r="E407">
        <v>200415.59</v>
      </c>
      <c r="F407">
        <v>42465.04</v>
      </c>
      <c r="G407">
        <v>157950.54999999999</v>
      </c>
      <c r="H407">
        <v>0.78810000000000002</v>
      </c>
    </row>
    <row r="408" spans="1:8" x14ac:dyDescent="0.3">
      <c r="A408" s="25">
        <v>45777</v>
      </c>
      <c r="B408" t="s">
        <v>462</v>
      </c>
      <c r="C408" t="s">
        <v>186</v>
      </c>
      <c r="D408" t="s">
        <v>466</v>
      </c>
      <c r="E408">
        <v>347288.33</v>
      </c>
      <c r="F408">
        <v>73585.16</v>
      </c>
      <c r="G408">
        <v>273703.17</v>
      </c>
      <c r="H408">
        <v>0.78810000000000002</v>
      </c>
    </row>
    <row r="409" spans="1:8" x14ac:dyDescent="0.3">
      <c r="A409" s="25">
        <v>45777</v>
      </c>
      <c r="B409" t="s">
        <v>462</v>
      </c>
      <c r="C409" t="s">
        <v>186</v>
      </c>
      <c r="D409" t="s">
        <v>465</v>
      </c>
      <c r="E409">
        <v>208881.41</v>
      </c>
      <c r="F409">
        <v>44258.82</v>
      </c>
      <c r="G409">
        <v>164622.59</v>
      </c>
      <c r="H409">
        <v>0.78810000000000002</v>
      </c>
    </row>
    <row r="410" spans="1:8" x14ac:dyDescent="0.3">
      <c r="A410" s="25">
        <v>45777</v>
      </c>
      <c r="B410" t="s">
        <v>462</v>
      </c>
      <c r="C410" t="s">
        <v>186</v>
      </c>
      <c r="D410" t="s">
        <v>464</v>
      </c>
      <c r="E410">
        <v>191568.08</v>
      </c>
      <c r="F410">
        <v>40590.39</v>
      </c>
      <c r="G410">
        <v>150977.69</v>
      </c>
      <c r="H410">
        <v>0.78810000000000002</v>
      </c>
    </row>
    <row r="411" spans="1:8" x14ac:dyDescent="0.3">
      <c r="A411" s="25">
        <v>45777</v>
      </c>
      <c r="B411" t="s">
        <v>462</v>
      </c>
      <c r="C411" t="s">
        <v>186</v>
      </c>
      <c r="D411" t="s">
        <v>463</v>
      </c>
      <c r="E411">
        <v>241841.09</v>
      </c>
      <c r="F411">
        <v>51242.47</v>
      </c>
      <c r="G411">
        <v>190598.61</v>
      </c>
      <c r="H411">
        <v>0.78810000000000002</v>
      </c>
    </row>
    <row r="412" spans="1:8" x14ac:dyDescent="0.3">
      <c r="A412" s="25">
        <v>45808</v>
      </c>
      <c r="B412" t="s">
        <v>462</v>
      </c>
      <c r="C412" t="s">
        <v>186</v>
      </c>
      <c r="D412" t="s">
        <v>472</v>
      </c>
      <c r="E412">
        <v>533237.01</v>
      </c>
      <c r="F412">
        <v>70060.36</v>
      </c>
      <c r="G412">
        <v>463176.65</v>
      </c>
      <c r="H412">
        <v>0.86860000000000004</v>
      </c>
    </row>
    <row r="413" spans="1:8" x14ac:dyDescent="0.3">
      <c r="A413" s="25">
        <v>45808</v>
      </c>
      <c r="B413" t="s">
        <v>462</v>
      </c>
      <c r="C413" t="s">
        <v>186</v>
      </c>
      <c r="D413" t="s">
        <v>471</v>
      </c>
      <c r="E413">
        <v>268342.78999999998</v>
      </c>
      <c r="F413">
        <v>35256.730000000003</v>
      </c>
      <c r="G413">
        <v>233086.06</v>
      </c>
      <c r="H413">
        <v>0.86860000000000004</v>
      </c>
    </row>
    <row r="414" spans="1:8" x14ac:dyDescent="0.3">
      <c r="A414" s="25">
        <v>45808</v>
      </c>
      <c r="B414" t="s">
        <v>462</v>
      </c>
      <c r="C414" t="s">
        <v>186</v>
      </c>
      <c r="D414" t="s">
        <v>470</v>
      </c>
      <c r="E414">
        <v>346080.8</v>
      </c>
      <c r="F414">
        <v>45470.49</v>
      </c>
      <c r="G414">
        <v>300610.31</v>
      </c>
      <c r="H414">
        <v>0.86860000000000004</v>
      </c>
    </row>
    <row r="415" spans="1:8" x14ac:dyDescent="0.3">
      <c r="A415" s="25">
        <v>45808</v>
      </c>
      <c r="B415" t="s">
        <v>462</v>
      </c>
      <c r="C415" t="s">
        <v>186</v>
      </c>
      <c r="D415" t="s">
        <v>469</v>
      </c>
      <c r="E415">
        <v>201834.25</v>
      </c>
      <c r="F415">
        <v>26518.38</v>
      </c>
      <c r="G415">
        <v>175315.87</v>
      </c>
      <c r="H415">
        <v>0.86860000000000004</v>
      </c>
    </row>
    <row r="416" spans="1:8" x14ac:dyDescent="0.3">
      <c r="A416" s="25">
        <v>45808</v>
      </c>
      <c r="B416" t="s">
        <v>462</v>
      </c>
      <c r="C416" t="s">
        <v>186</v>
      </c>
      <c r="D416" t="s">
        <v>468</v>
      </c>
      <c r="E416">
        <v>263021.59000000003</v>
      </c>
      <c r="F416">
        <v>34557.589999999997</v>
      </c>
      <c r="G416">
        <v>228463.99</v>
      </c>
      <c r="H416">
        <v>0.86860000000000004</v>
      </c>
    </row>
    <row r="417" spans="1:8" x14ac:dyDescent="0.3">
      <c r="A417" s="25">
        <v>45808</v>
      </c>
      <c r="B417" t="s">
        <v>462</v>
      </c>
      <c r="C417" t="s">
        <v>186</v>
      </c>
      <c r="D417" t="s">
        <v>467</v>
      </c>
      <c r="E417">
        <v>247011.69</v>
      </c>
      <c r="F417">
        <v>32454.1</v>
      </c>
      <c r="G417">
        <v>214557.59</v>
      </c>
      <c r="H417">
        <v>0.86860000000000004</v>
      </c>
    </row>
    <row r="418" spans="1:8" x14ac:dyDescent="0.3">
      <c r="A418" s="25">
        <v>45808</v>
      </c>
      <c r="B418" t="s">
        <v>462</v>
      </c>
      <c r="C418" t="s">
        <v>186</v>
      </c>
      <c r="D418" t="s">
        <v>466</v>
      </c>
      <c r="E418">
        <v>236008.68</v>
      </c>
      <c r="F418">
        <v>31008.45</v>
      </c>
      <c r="G418">
        <v>205000.23</v>
      </c>
      <c r="H418">
        <v>0.86860000000000004</v>
      </c>
    </row>
    <row r="419" spans="1:8" x14ac:dyDescent="0.3">
      <c r="A419" s="25">
        <v>45808</v>
      </c>
      <c r="B419" t="s">
        <v>462</v>
      </c>
      <c r="C419" t="s">
        <v>186</v>
      </c>
      <c r="D419" t="s">
        <v>465</v>
      </c>
      <c r="E419">
        <v>234807.01</v>
      </c>
      <c r="F419">
        <v>30850.57</v>
      </c>
      <c r="G419">
        <v>203956.44</v>
      </c>
      <c r="H419">
        <v>0.86860000000000004</v>
      </c>
    </row>
    <row r="420" spans="1:8" x14ac:dyDescent="0.3">
      <c r="A420" s="25">
        <v>45808</v>
      </c>
      <c r="B420" t="s">
        <v>462</v>
      </c>
      <c r="C420" t="s">
        <v>186</v>
      </c>
      <c r="D420" t="s">
        <v>464</v>
      </c>
      <c r="E420">
        <v>298753.57</v>
      </c>
      <c r="F420">
        <v>39252.31</v>
      </c>
      <c r="G420">
        <v>259501.26</v>
      </c>
      <c r="H420">
        <v>0.86860000000000004</v>
      </c>
    </row>
    <row r="421" spans="1:8" x14ac:dyDescent="0.3">
      <c r="A421" s="25">
        <v>45808</v>
      </c>
      <c r="B421" t="s">
        <v>462</v>
      </c>
      <c r="C421" t="s">
        <v>186</v>
      </c>
      <c r="D421" t="s">
        <v>463</v>
      </c>
      <c r="E421">
        <v>271157.53999999998</v>
      </c>
      <c r="F421">
        <v>35626.54</v>
      </c>
      <c r="G421">
        <v>235531</v>
      </c>
      <c r="H421">
        <v>0.86860000000000004</v>
      </c>
    </row>
    <row r="422" spans="1:8" x14ac:dyDescent="0.3">
      <c r="A422" s="25">
        <v>45838</v>
      </c>
      <c r="B422" t="s">
        <v>462</v>
      </c>
      <c r="C422" t="s">
        <v>186</v>
      </c>
      <c r="D422" t="s">
        <v>472</v>
      </c>
      <c r="E422">
        <v>557019.59</v>
      </c>
      <c r="F422">
        <v>83195.070000000007</v>
      </c>
      <c r="G422">
        <v>473824.52</v>
      </c>
      <c r="H422">
        <v>0.85060000000000002</v>
      </c>
    </row>
    <row r="423" spans="1:8" x14ac:dyDescent="0.3">
      <c r="A423" s="25">
        <v>45838</v>
      </c>
      <c r="B423" t="s">
        <v>462</v>
      </c>
      <c r="C423" t="s">
        <v>186</v>
      </c>
      <c r="D423" t="s">
        <v>471</v>
      </c>
      <c r="E423">
        <v>338431.36</v>
      </c>
      <c r="F423">
        <v>50547.27</v>
      </c>
      <c r="G423">
        <v>287884.09000000003</v>
      </c>
      <c r="H423">
        <v>0.85060000000000002</v>
      </c>
    </row>
    <row r="424" spans="1:8" x14ac:dyDescent="0.3">
      <c r="A424" s="25">
        <v>45838</v>
      </c>
      <c r="B424" t="s">
        <v>462</v>
      </c>
      <c r="C424" t="s">
        <v>186</v>
      </c>
      <c r="D424" t="s">
        <v>470</v>
      </c>
      <c r="E424">
        <v>366315.31</v>
      </c>
      <c r="F424">
        <v>54711.95</v>
      </c>
      <c r="G424">
        <v>311603.36</v>
      </c>
      <c r="H424">
        <v>0.85060000000000002</v>
      </c>
    </row>
    <row r="425" spans="1:8" x14ac:dyDescent="0.3">
      <c r="A425" s="25">
        <v>45838</v>
      </c>
      <c r="B425" t="s">
        <v>462</v>
      </c>
      <c r="C425" t="s">
        <v>186</v>
      </c>
      <c r="D425" t="s">
        <v>469</v>
      </c>
      <c r="E425">
        <v>255873.29</v>
      </c>
      <c r="F425">
        <v>38216.6</v>
      </c>
      <c r="G425">
        <v>217656.69</v>
      </c>
      <c r="H425">
        <v>0.85060000000000002</v>
      </c>
    </row>
    <row r="426" spans="1:8" x14ac:dyDescent="0.3">
      <c r="A426" s="25">
        <v>45838</v>
      </c>
      <c r="B426" t="s">
        <v>462</v>
      </c>
      <c r="C426" t="s">
        <v>186</v>
      </c>
      <c r="D426" t="s">
        <v>468</v>
      </c>
      <c r="E426">
        <v>111815.52</v>
      </c>
      <c r="F426">
        <v>16700.490000000002</v>
      </c>
      <c r="G426">
        <v>95115.03</v>
      </c>
      <c r="H426">
        <v>0.85060000000000002</v>
      </c>
    </row>
    <row r="427" spans="1:8" x14ac:dyDescent="0.3">
      <c r="A427" s="25">
        <v>45838</v>
      </c>
      <c r="B427" t="s">
        <v>462</v>
      </c>
      <c r="C427" t="s">
        <v>186</v>
      </c>
      <c r="D427" t="s">
        <v>467</v>
      </c>
      <c r="E427">
        <v>458038.49</v>
      </c>
      <c r="F427">
        <v>68411.5</v>
      </c>
      <c r="G427">
        <v>389626.99</v>
      </c>
      <c r="H427">
        <v>0.85060000000000002</v>
      </c>
    </row>
    <row r="428" spans="1:8" x14ac:dyDescent="0.3">
      <c r="A428" s="25">
        <v>45838</v>
      </c>
      <c r="B428" t="s">
        <v>462</v>
      </c>
      <c r="C428" t="s">
        <v>186</v>
      </c>
      <c r="D428" t="s">
        <v>466</v>
      </c>
      <c r="E428">
        <v>298624.46000000002</v>
      </c>
      <c r="F428">
        <v>44601.81</v>
      </c>
      <c r="G428">
        <v>254022.65</v>
      </c>
      <c r="H428">
        <v>0.85060000000000002</v>
      </c>
    </row>
    <row r="429" spans="1:8" x14ac:dyDescent="0.3">
      <c r="A429" s="25">
        <v>45838</v>
      </c>
      <c r="B429" t="s">
        <v>462</v>
      </c>
      <c r="C429" t="s">
        <v>186</v>
      </c>
      <c r="D429" t="s">
        <v>465</v>
      </c>
      <c r="E429">
        <v>268812.14</v>
      </c>
      <c r="F429">
        <v>40149.120000000003</v>
      </c>
      <c r="G429">
        <v>228663.03</v>
      </c>
      <c r="H429">
        <v>0.85060000000000002</v>
      </c>
    </row>
    <row r="430" spans="1:8" x14ac:dyDescent="0.3">
      <c r="A430" s="25">
        <v>45838</v>
      </c>
      <c r="B430" t="s">
        <v>462</v>
      </c>
      <c r="C430" t="s">
        <v>186</v>
      </c>
      <c r="D430" t="s">
        <v>464</v>
      </c>
      <c r="E430">
        <v>147669.98000000001</v>
      </c>
      <c r="F430">
        <v>22055.62</v>
      </c>
      <c r="G430">
        <v>125614.36</v>
      </c>
      <c r="H430">
        <v>0.85060000000000002</v>
      </c>
    </row>
    <row r="431" spans="1:8" x14ac:dyDescent="0.3">
      <c r="A431" s="25">
        <v>45838</v>
      </c>
      <c r="B431" t="s">
        <v>462</v>
      </c>
      <c r="C431" t="s">
        <v>186</v>
      </c>
      <c r="D431" t="s">
        <v>463</v>
      </c>
      <c r="E431">
        <v>134092.17000000001</v>
      </c>
      <c r="F431">
        <v>20027.68</v>
      </c>
      <c r="G431">
        <v>114064.49</v>
      </c>
      <c r="H431">
        <v>0.85060000000000002</v>
      </c>
    </row>
    <row r="432" spans="1:8" x14ac:dyDescent="0.3">
      <c r="A432" s="25">
        <v>45869</v>
      </c>
      <c r="B432" t="s">
        <v>462</v>
      </c>
      <c r="C432" t="s">
        <v>186</v>
      </c>
      <c r="D432" t="s">
        <v>472</v>
      </c>
      <c r="E432">
        <v>536472.32999999996</v>
      </c>
      <c r="F432">
        <v>100374.12</v>
      </c>
      <c r="G432">
        <v>436098.21</v>
      </c>
      <c r="H432">
        <v>0.81289999999999996</v>
      </c>
    </row>
    <row r="433" spans="1:8" x14ac:dyDescent="0.3">
      <c r="A433" s="25">
        <v>45869</v>
      </c>
      <c r="B433" t="s">
        <v>462</v>
      </c>
      <c r="C433" t="s">
        <v>186</v>
      </c>
      <c r="D433" t="s">
        <v>471</v>
      </c>
      <c r="E433">
        <v>462422.03</v>
      </c>
      <c r="F433">
        <v>86519.29</v>
      </c>
      <c r="G433">
        <v>375902.74</v>
      </c>
      <c r="H433">
        <v>0.81289999999999996</v>
      </c>
    </row>
    <row r="434" spans="1:8" x14ac:dyDescent="0.3">
      <c r="A434" s="25">
        <v>45869</v>
      </c>
      <c r="B434" t="s">
        <v>462</v>
      </c>
      <c r="C434" t="s">
        <v>186</v>
      </c>
      <c r="D434" t="s">
        <v>470</v>
      </c>
      <c r="E434">
        <v>449013.08</v>
      </c>
      <c r="F434">
        <v>84010.47</v>
      </c>
      <c r="G434">
        <v>365002.61</v>
      </c>
      <c r="H434">
        <v>0.81289999999999996</v>
      </c>
    </row>
    <row r="435" spans="1:8" x14ac:dyDescent="0.3">
      <c r="A435" s="25">
        <v>45869</v>
      </c>
      <c r="B435" t="s">
        <v>462</v>
      </c>
      <c r="C435" t="s">
        <v>186</v>
      </c>
      <c r="D435" t="s">
        <v>469</v>
      </c>
      <c r="E435">
        <v>185166.61</v>
      </c>
      <c r="F435">
        <v>34644.720000000001</v>
      </c>
      <c r="G435">
        <v>150521.88</v>
      </c>
      <c r="H435">
        <v>0.81289999999999996</v>
      </c>
    </row>
    <row r="436" spans="1:8" x14ac:dyDescent="0.3">
      <c r="A436" s="25">
        <v>45869</v>
      </c>
      <c r="B436" t="s">
        <v>462</v>
      </c>
      <c r="C436" t="s">
        <v>186</v>
      </c>
      <c r="D436" t="s">
        <v>468</v>
      </c>
      <c r="E436">
        <v>183171.67</v>
      </c>
      <c r="F436">
        <v>34271.47</v>
      </c>
      <c r="G436">
        <v>148900.20000000001</v>
      </c>
      <c r="H436">
        <v>0.81289999999999996</v>
      </c>
    </row>
    <row r="437" spans="1:8" x14ac:dyDescent="0.3">
      <c r="A437" s="25">
        <v>45869</v>
      </c>
      <c r="B437" t="s">
        <v>462</v>
      </c>
      <c r="C437" t="s">
        <v>186</v>
      </c>
      <c r="D437" t="s">
        <v>467</v>
      </c>
      <c r="E437">
        <v>325619.34999999998</v>
      </c>
      <c r="F437">
        <v>60923.47</v>
      </c>
      <c r="G437">
        <v>264695.88</v>
      </c>
      <c r="H437">
        <v>0.81289999999999996</v>
      </c>
    </row>
    <row r="438" spans="1:8" x14ac:dyDescent="0.3">
      <c r="A438" s="25">
        <v>45869</v>
      </c>
      <c r="B438" t="s">
        <v>462</v>
      </c>
      <c r="C438" t="s">
        <v>186</v>
      </c>
      <c r="D438" t="s">
        <v>466</v>
      </c>
      <c r="E438">
        <v>379377.3</v>
      </c>
      <c r="F438">
        <v>70981.600000000006</v>
      </c>
      <c r="G438">
        <v>308395.7</v>
      </c>
      <c r="H438">
        <v>0.81289999999999996</v>
      </c>
    </row>
    <row r="439" spans="1:8" x14ac:dyDescent="0.3">
      <c r="A439" s="25">
        <v>45869</v>
      </c>
      <c r="B439" t="s">
        <v>462</v>
      </c>
      <c r="C439" t="s">
        <v>186</v>
      </c>
      <c r="D439" t="s">
        <v>465</v>
      </c>
      <c r="E439">
        <v>151391.65</v>
      </c>
      <c r="F439">
        <v>28325.42</v>
      </c>
      <c r="G439">
        <v>123066.23</v>
      </c>
      <c r="H439">
        <v>0.81289999999999996</v>
      </c>
    </row>
    <row r="440" spans="1:8" x14ac:dyDescent="0.3">
      <c r="A440" s="25">
        <v>45869</v>
      </c>
      <c r="B440" t="s">
        <v>462</v>
      </c>
      <c r="C440" t="s">
        <v>186</v>
      </c>
      <c r="D440" t="s">
        <v>464</v>
      </c>
      <c r="E440">
        <v>276249.42</v>
      </c>
      <c r="F440">
        <v>51686.34</v>
      </c>
      <c r="G440">
        <v>224563.08</v>
      </c>
      <c r="H440">
        <v>0.81289999999999996</v>
      </c>
    </row>
    <row r="441" spans="1:8" x14ac:dyDescent="0.3">
      <c r="A441" s="25">
        <v>45869</v>
      </c>
      <c r="B441" t="s">
        <v>462</v>
      </c>
      <c r="C441" t="s">
        <v>186</v>
      </c>
      <c r="D441" t="s">
        <v>463</v>
      </c>
      <c r="E441">
        <v>30836.22</v>
      </c>
      <c r="F441">
        <v>5769.46</v>
      </c>
      <c r="G441">
        <v>25066.77</v>
      </c>
      <c r="H441">
        <v>0.81289999999999996</v>
      </c>
    </row>
    <row r="442" spans="1:8" x14ac:dyDescent="0.3">
      <c r="A442" s="25">
        <v>45900</v>
      </c>
      <c r="B442" t="s">
        <v>462</v>
      </c>
      <c r="C442" t="s">
        <v>186</v>
      </c>
      <c r="D442" t="s">
        <v>472</v>
      </c>
      <c r="E442">
        <v>498596.85</v>
      </c>
      <c r="F442">
        <v>90267.96</v>
      </c>
      <c r="G442">
        <v>408328.89</v>
      </c>
      <c r="H442">
        <v>0.81899999999999995</v>
      </c>
    </row>
    <row r="443" spans="1:8" x14ac:dyDescent="0.3">
      <c r="A443" s="25">
        <v>45900</v>
      </c>
      <c r="B443" t="s">
        <v>462</v>
      </c>
      <c r="C443" t="s">
        <v>186</v>
      </c>
      <c r="D443" t="s">
        <v>471</v>
      </c>
      <c r="E443">
        <v>524015.66</v>
      </c>
      <c r="F443">
        <v>94869.88</v>
      </c>
      <c r="G443">
        <v>429145.78</v>
      </c>
      <c r="H443">
        <v>0.81899999999999995</v>
      </c>
    </row>
    <row r="444" spans="1:8" x14ac:dyDescent="0.3">
      <c r="A444" s="25">
        <v>45900</v>
      </c>
      <c r="B444" t="s">
        <v>462</v>
      </c>
      <c r="C444" t="s">
        <v>186</v>
      </c>
      <c r="D444" t="s">
        <v>470</v>
      </c>
      <c r="E444">
        <v>287192.62</v>
      </c>
      <c r="F444">
        <v>51994.5</v>
      </c>
      <c r="G444">
        <v>235198.13</v>
      </c>
      <c r="H444">
        <v>0.81899999999999995</v>
      </c>
    </row>
    <row r="445" spans="1:8" x14ac:dyDescent="0.3">
      <c r="A445" s="25">
        <v>45900</v>
      </c>
      <c r="B445" t="s">
        <v>462</v>
      </c>
      <c r="C445" t="s">
        <v>186</v>
      </c>
      <c r="D445" t="s">
        <v>469</v>
      </c>
      <c r="E445">
        <v>255656.67</v>
      </c>
      <c r="F445">
        <v>46285.1</v>
      </c>
      <c r="G445">
        <v>209371.57</v>
      </c>
      <c r="H445">
        <v>0.81899999999999995</v>
      </c>
    </row>
    <row r="446" spans="1:8" x14ac:dyDescent="0.3">
      <c r="A446" s="25">
        <v>45900</v>
      </c>
      <c r="B446" t="s">
        <v>462</v>
      </c>
      <c r="C446" t="s">
        <v>186</v>
      </c>
      <c r="D446" t="s">
        <v>468</v>
      </c>
      <c r="E446">
        <v>88292.21</v>
      </c>
      <c r="F446">
        <v>15984.77</v>
      </c>
      <c r="G446">
        <v>72307.44</v>
      </c>
      <c r="H446">
        <v>0.81899999999999995</v>
      </c>
    </row>
    <row r="447" spans="1:8" x14ac:dyDescent="0.3">
      <c r="A447" s="25">
        <v>45900</v>
      </c>
      <c r="B447" t="s">
        <v>462</v>
      </c>
      <c r="C447" t="s">
        <v>186</v>
      </c>
      <c r="D447" t="s">
        <v>467</v>
      </c>
      <c r="E447">
        <v>159181.91</v>
      </c>
      <c r="F447">
        <v>28818.93</v>
      </c>
      <c r="G447">
        <v>130362.98</v>
      </c>
      <c r="H447">
        <v>0.81899999999999995</v>
      </c>
    </row>
    <row r="448" spans="1:8" x14ac:dyDescent="0.3">
      <c r="A448" s="25">
        <v>45900</v>
      </c>
      <c r="B448" t="s">
        <v>462</v>
      </c>
      <c r="C448" t="s">
        <v>186</v>
      </c>
      <c r="D448" t="s">
        <v>466</v>
      </c>
      <c r="E448">
        <v>353263.41</v>
      </c>
      <c r="F448">
        <v>63956.21</v>
      </c>
      <c r="G448">
        <v>289307.2</v>
      </c>
      <c r="H448">
        <v>0.81899999999999995</v>
      </c>
    </row>
    <row r="449" spans="1:8" x14ac:dyDescent="0.3">
      <c r="A449" s="25">
        <v>45900</v>
      </c>
      <c r="B449" t="s">
        <v>462</v>
      </c>
      <c r="C449" t="s">
        <v>186</v>
      </c>
      <c r="D449" t="s">
        <v>465</v>
      </c>
      <c r="E449">
        <v>218855.63</v>
      </c>
      <c r="F449">
        <v>39622.49</v>
      </c>
      <c r="G449">
        <v>179233.14</v>
      </c>
      <c r="H449">
        <v>0.81899999999999995</v>
      </c>
    </row>
    <row r="450" spans="1:8" x14ac:dyDescent="0.3">
      <c r="A450" s="25">
        <v>45900</v>
      </c>
      <c r="B450" t="s">
        <v>462</v>
      </c>
      <c r="C450" t="s">
        <v>186</v>
      </c>
      <c r="D450" t="s">
        <v>464</v>
      </c>
      <c r="E450">
        <v>349754.06</v>
      </c>
      <c r="F450">
        <v>63320.87</v>
      </c>
      <c r="G450">
        <v>286433.2</v>
      </c>
      <c r="H450">
        <v>0.81899999999999995</v>
      </c>
    </row>
    <row r="451" spans="1:8" x14ac:dyDescent="0.3">
      <c r="A451" s="25">
        <v>45900</v>
      </c>
      <c r="B451" t="s">
        <v>462</v>
      </c>
      <c r="C451" t="s">
        <v>186</v>
      </c>
      <c r="D451" t="s">
        <v>463</v>
      </c>
      <c r="E451">
        <v>222422.15</v>
      </c>
      <c r="F451">
        <v>40268.19</v>
      </c>
      <c r="G451">
        <v>182153.96</v>
      </c>
      <c r="H451">
        <v>0.81899999999999995</v>
      </c>
    </row>
    <row r="452" spans="1:8" x14ac:dyDescent="0.3">
      <c r="A452" s="25">
        <v>45930</v>
      </c>
      <c r="B452" t="s">
        <v>462</v>
      </c>
      <c r="C452" t="s">
        <v>186</v>
      </c>
      <c r="D452" t="s">
        <v>472</v>
      </c>
      <c r="E452">
        <v>541677</v>
      </c>
      <c r="F452">
        <v>90645.54</v>
      </c>
      <c r="G452">
        <v>451031.46</v>
      </c>
      <c r="H452">
        <v>0.8327</v>
      </c>
    </row>
    <row r="453" spans="1:8" x14ac:dyDescent="0.3">
      <c r="A453" s="25">
        <v>45930</v>
      </c>
      <c r="B453" t="s">
        <v>462</v>
      </c>
      <c r="C453" t="s">
        <v>186</v>
      </c>
      <c r="D453" t="s">
        <v>471</v>
      </c>
      <c r="E453">
        <v>364737.4</v>
      </c>
      <c r="F453">
        <v>61036.04</v>
      </c>
      <c r="G453">
        <v>303701.36</v>
      </c>
      <c r="H453">
        <v>0.8327</v>
      </c>
    </row>
    <row r="454" spans="1:8" x14ac:dyDescent="0.3">
      <c r="A454" s="25">
        <v>45930</v>
      </c>
      <c r="B454" t="s">
        <v>462</v>
      </c>
      <c r="C454" t="s">
        <v>186</v>
      </c>
      <c r="D454" t="s">
        <v>470</v>
      </c>
      <c r="E454">
        <v>349740.51</v>
      </c>
      <c r="F454">
        <v>58526.43</v>
      </c>
      <c r="G454">
        <v>291214.08000000002</v>
      </c>
      <c r="H454">
        <v>0.8327</v>
      </c>
    </row>
    <row r="455" spans="1:8" x14ac:dyDescent="0.3">
      <c r="A455" s="25">
        <v>45930</v>
      </c>
      <c r="B455" t="s">
        <v>462</v>
      </c>
      <c r="C455" t="s">
        <v>186</v>
      </c>
      <c r="D455" t="s">
        <v>469</v>
      </c>
      <c r="E455">
        <v>320586.40999999997</v>
      </c>
      <c r="F455">
        <v>53647.71</v>
      </c>
      <c r="G455">
        <v>266938.71000000002</v>
      </c>
      <c r="H455">
        <v>0.8327</v>
      </c>
    </row>
    <row r="456" spans="1:8" x14ac:dyDescent="0.3">
      <c r="A456" s="25">
        <v>45930</v>
      </c>
      <c r="B456" t="s">
        <v>462</v>
      </c>
      <c r="C456" t="s">
        <v>186</v>
      </c>
      <c r="D456" t="s">
        <v>468</v>
      </c>
      <c r="E456">
        <v>194251.33</v>
      </c>
      <c r="F456">
        <v>32506.49</v>
      </c>
      <c r="G456">
        <v>161744.84</v>
      </c>
      <c r="H456">
        <v>0.8327</v>
      </c>
    </row>
    <row r="457" spans="1:8" x14ac:dyDescent="0.3">
      <c r="A457" s="25">
        <v>45930</v>
      </c>
      <c r="B457" t="s">
        <v>462</v>
      </c>
      <c r="C457" t="s">
        <v>186</v>
      </c>
      <c r="D457" t="s">
        <v>467</v>
      </c>
      <c r="E457">
        <v>404549.76</v>
      </c>
      <c r="F457">
        <v>67698.34</v>
      </c>
      <c r="G457">
        <v>336851.42</v>
      </c>
      <c r="H457">
        <v>0.8327</v>
      </c>
    </row>
    <row r="458" spans="1:8" x14ac:dyDescent="0.3">
      <c r="A458" s="25">
        <v>45930</v>
      </c>
      <c r="B458" t="s">
        <v>462</v>
      </c>
      <c r="C458" t="s">
        <v>186</v>
      </c>
      <c r="D458" t="s">
        <v>466</v>
      </c>
      <c r="E458">
        <v>257828.69</v>
      </c>
      <c r="F458">
        <v>43145.68</v>
      </c>
      <c r="G458">
        <v>214683.01</v>
      </c>
      <c r="H458">
        <v>0.8327</v>
      </c>
    </row>
    <row r="459" spans="1:8" x14ac:dyDescent="0.3">
      <c r="A459" s="25">
        <v>45930</v>
      </c>
      <c r="B459" t="s">
        <v>462</v>
      </c>
      <c r="C459" t="s">
        <v>186</v>
      </c>
      <c r="D459" t="s">
        <v>465</v>
      </c>
      <c r="E459">
        <v>94252.34</v>
      </c>
      <c r="F459">
        <v>15772.41</v>
      </c>
      <c r="G459">
        <v>78479.92</v>
      </c>
      <c r="H459">
        <v>0.8327</v>
      </c>
    </row>
    <row r="460" spans="1:8" x14ac:dyDescent="0.3">
      <c r="A460" s="25">
        <v>45930</v>
      </c>
      <c r="B460" t="s">
        <v>462</v>
      </c>
      <c r="C460" t="s">
        <v>186</v>
      </c>
      <c r="D460" t="s">
        <v>464</v>
      </c>
      <c r="E460">
        <v>223547.72</v>
      </c>
      <c r="F460">
        <v>37409.019999999997</v>
      </c>
      <c r="G460">
        <v>186138.71</v>
      </c>
      <c r="H460">
        <v>0.8327</v>
      </c>
    </row>
    <row r="461" spans="1:8" x14ac:dyDescent="0.3">
      <c r="A461" s="25">
        <v>45930</v>
      </c>
      <c r="B461" t="s">
        <v>462</v>
      </c>
      <c r="C461" t="s">
        <v>186</v>
      </c>
      <c r="D461" t="s">
        <v>463</v>
      </c>
      <c r="E461">
        <v>222598.35</v>
      </c>
      <c r="F461">
        <v>37250.15</v>
      </c>
      <c r="G461">
        <v>185348.2</v>
      </c>
      <c r="H461">
        <v>0.8327</v>
      </c>
    </row>
    <row r="462" spans="1:8" x14ac:dyDescent="0.3">
      <c r="A462" s="25">
        <v>45961</v>
      </c>
      <c r="B462" t="s">
        <v>462</v>
      </c>
      <c r="C462" t="s">
        <v>186</v>
      </c>
      <c r="D462" t="s">
        <v>472</v>
      </c>
      <c r="E462">
        <v>695782.09</v>
      </c>
      <c r="F462">
        <v>129838.46</v>
      </c>
      <c r="G462">
        <v>565943.63</v>
      </c>
      <c r="H462">
        <v>0.81340000000000001</v>
      </c>
    </row>
    <row r="463" spans="1:8" x14ac:dyDescent="0.3">
      <c r="A463" s="25">
        <v>45961</v>
      </c>
      <c r="B463" t="s">
        <v>462</v>
      </c>
      <c r="C463" t="s">
        <v>186</v>
      </c>
      <c r="D463" t="s">
        <v>471</v>
      </c>
      <c r="E463">
        <v>396180.31</v>
      </c>
      <c r="F463">
        <v>73930.39</v>
      </c>
      <c r="G463">
        <v>322249.92</v>
      </c>
      <c r="H463">
        <v>0.81340000000000001</v>
      </c>
    </row>
    <row r="464" spans="1:8" x14ac:dyDescent="0.3">
      <c r="A464" s="25">
        <v>45961</v>
      </c>
      <c r="B464" t="s">
        <v>462</v>
      </c>
      <c r="C464" t="s">
        <v>186</v>
      </c>
      <c r="D464" t="s">
        <v>470</v>
      </c>
      <c r="E464">
        <v>493952.18</v>
      </c>
      <c r="F464">
        <v>92175.4</v>
      </c>
      <c r="G464">
        <v>401776.79</v>
      </c>
      <c r="H464">
        <v>0.81340000000000001</v>
      </c>
    </row>
    <row r="465" spans="1:8" x14ac:dyDescent="0.3">
      <c r="A465" s="25">
        <v>45961</v>
      </c>
      <c r="B465" t="s">
        <v>462</v>
      </c>
      <c r="C465" t="s">
        <v>186</v>
      </c>
      <c r="D465" t="s">
        <v>469</v>
      </c>
      <c r="E465">
        <v>312334.93</v>
      </c>
      <c r="F465">
        <v>58284.18</v>
      </c>
      <c r="G465">
        <v>254050.75</v>
      </c>
      <c r="H465">
        <v>0.81340000000000001</v>
      </c>
    </row>
    <row r="466" spans="1:8" x14ac:dyDescent="0.3">
      <c r="A466" s="25">
        <v>45961</v>
      </c>
      <c r="B466" t="s">
        <v>462</v>
      </c>
      <c r="C466" t="s">
        <v>186</v>
      </c>
      <c r="D466" t="s">
        <v>468</v>
      </c>
      <c r="E466">
        <v>129765.64</v>
      </c>
      <c r="F466">
        <v>24215.3</v>
      </c>
      <c r="G466">
        <v>105550.34</v>
      </c>
      <c r="H466">
        <v>0.81340000000000001</v>
      </c>
    </row>
    <row r="467" spans="1:8" x14ac:dyDescent="0.3">
      <c r="A467" s="25">
        <v>45961</v>
      </c>
      <c r="B467" t="s">
        <v>462</v>
      </c>
      <c r="C467" t="s">
        <v>186</v>
      </c>
      <c r="D467" t="s">
        <v>467</v>
      </c>
      <c r="E467">
        <v>212032.75</v>
      </c>
      <c r="F467">
        <v>39566.99</v>
      </c>
      <c r="G467">
        <v>172465.75</v>
      </c>
      <c r="H467">
        <v>0.81340000000000001</v>
      </c>
    </row>
    <row r="468" spans="1:8" x14ac:dyDescent="0.3">
      <c r="A468" s="25">
        <v>45961</v>
      </c>
      <c r="B468" t="s">
        <v>462</v>
      </c>
      <c r="C468" t="s">
        <v>186</v>
      </c>
      <c r="D468" t="s">
        <v>466</v>
      </c>
      <c r="E468">
        <v>126033.79</v>
      </c>
      <c r="F468">
        <v>23518.9</v>
      </c>
      <c r="G468">
        <v>102514.88</v>
      </c>
      <c r="H468">
        <v>0.81340000000000001</v>
      </c>
    </row>
    <row r="469" spans="1:8" x14ac:dyDescent="0.3">
      <c r="A469" s="25">
        <v>45961</v>
      </c>
      <c r="B469" t="s">
        <v>462</v>
      </c>
      <c r="C469" t="s">
        <v>186</v>
      </c>
      <c r="D469" t="s">
        <v>465</v>
      </c>
      <c r="E469">
        <v>184207.59</v>
      </c>
      <c r="F469">
        <v>34374.6</v>
      </c>
      <c r="G469">
        <v>149832.99</v>
      </c>
      <c r="H469">
        <v>0.81340000000000001</v>
      </c>
    </row>
    <row r="470" spans="1:8" x14ac:dyDescent="0.3">
      <c r="A470" s="25">
        <v>45961</v>
      </c>
      <c r="B470" t="s">
        <v>462</v>
      </c>
      <c r="C470" t="s">
        <v>186</v>
      </c>
      <c r="D470" t="s">
        <v>464</v>
      </c>
      <c r="E470">
        <v>289224.96000000002</v>
      </c>
      <c r="F470">
        <v>53971.67</v>
      </c>
      <c r="G470">
        <v>235253.29</v>
      </c>
      <c r="H470">
        <v>0.81340000000000001</v>
      </c>
    </row>
    <row r="471" spans="1:8" x14ac:dyDescent="0.3">
      <c r="A471" s="25">
        <v>45961</v>
      </c>
      <c r="B471" t="s">
        <v>462</v>
      </c>
      <c r="C471" t="s">
        <v>186</v>
      </c>
      <c r="D471" t="s">
        <v>463</v>
      </c>
      <c r="E471">
        <v>215965.14</v>
      </c>
      <c r="F471">
        <v>40300.800000000003</v>
      </c>
      <c r="G471">
        <v>175664.35</v>
      </c>
      <c r="H471">
        <v>0.81340000000000001</v>
      </c>
    </row>
    <row r="472" spans="1:8" x14ac:dyDescent="0.3">
      <c r="A472" s="25">
        <v>45991</v>
      </c>
      <c r="B472" t="s">
        <v>462</v>
      </c>
      <c r="C472" t="s">
        <v>186</v>
      </c>
      <c r="D472" t="s">
        <v>472</v>
      </c>
      <c r="E472">
        <v>672764.75</v>
      </c>
      <c r="F472">
        <v>115267.64</v>
      </c>
      <c r="G472">
        <v>557497.11</v>
      </c>
      <c r="H472">
        <v>0.82869999999999999</v>
      </c>
    </row>
    <row r="473" spans="1:8" x14ac:dyDescent="0.3">
      <c r="A473" s="25">
        <v>45991</v>
      </c>
      <c r="B473" t="s">
        <v>462</v>
      </c>
      <c r="C473" t="s">
        <v>186</v>
      </c>
      <c r="D473" t="s">
        <v>471</v>
      </c>
      <c r="E473">
        <v>394562.41</v>
      </c>
      <c r="F473">
        <v>67602.05</v>
      </c>
      <c r="G473">
        <v>326960.36</v>
      </c>
      <c r="H473">
        <v>0.82869999999999999</v>
      </c>
    </row>
    <row r="474" spans="1:8" x14ac:dyDescent="0.3">
      <c r="A474" s="25">
        <v>45991</v>
      </c>
      <c r="B474" t="s">
        <v>462</v>
      </c>
      <c r="C474" t="s">
        <v>186</v>
      </c>
      <c r="D474" t="s">
        <v>470</v>
      </c>
      <c r="E474">
        <v>238422.73</v>
      </c>
      <c r="F474">
        <v>40849.980000000003</v>
      </c>
      <c r="G474">
        <v>197572.75</v>
      </c>
      <c r="H474">
        <v>0.82869999999999999</v>
      </c>
    </row>
    <row r="475" spans="1:8" x14ac:dyDescent="0.3">
      <c r="A475" s="25">
        <v>45991</v>
      </c>
      <c r="B475" t="s">
        <v>462</v>
      </c>
      <c r="C475" t="s">
        <v>186</v>
      </c>
      <c r="D475" t="s">
        <v>469</v>
      </c>
      <c r="E475">
        <v>319925.01</v>
      </c>
      <c r="F475">
        <v>54814.11</v>
      </c>
      <c r="G475">
        <v>265110.89</v>
      </c>
      <c r="H475">
        <v>0.82869999999999999</v>
      </c>
    </row>
    <row r="476" spans="1:8" x14ac:dyDescent="0.3">
      <c r="A476" s="25">
        <v>45991</v>
      </c>
      <c r="B476" t="s">
        <v>462</v>
      </c>
      <c r="C476" t="s">
        <v>186</v>
      </c>
      <c r="D476" t="s">
        <v>468</v>
      </c>
      <c r="E476">
        <v>209137.54</v>
      </c>
      <c r="F476">
        <v>35832.42</v>
      </c>
      <c r="G476">
        <v>173305.12</v>
      </c>
      <c r="H476">
        <v>0.82869999999999999</v>
      </c>
    </row>
    <row r="477" spans="1:8" x14ac:dyDescent="0.3">
      <c r="A477" s="25">
        <v>45991</v>
      </c>
      <c r="B477" t="s">
        <v>462</v>
      </c>
      <c r="C477" t="s">
        <v>186</v>
      </c>
      <c r="D477" t="s">
        <v>467</v>
      </c>
      <c r="E477">
        <v>281999.03999999998</v>
      </c>
      <c r="F477">
        <v>48316.09</v>
      </c>
      <c r="G477">
        <v>233682.94</v>
      </c>
      <c r="H477">
        <v>0.82869999999999999</v>
      </c>
    </row>
    <row r="478" spans="1:8" x14ac:dyDescent="0.3">
      <c r="A478" s="25">
        <v>45991</v>
      </c>
      <c r="B478" t="s">
        <v>462</v>
      </c>
      <c r="C478" t="s">
        <v>186</v>
      </c>
      <c r="D478" t="s">
        <v>466</v>
      </c>
      <c r="E478">
        <v>279737.68</v>
      </c>
      <c r="F478">
        <v>47928.65</v>
      </c>
      <c r="G478">
        <v>231809.04</v>
      </c>
      <c r="H478">
        <v>0.82869999999999999</v>
      </c>
    </row>
    <row r="479" spans="1:8" x14ac:dyDescent="0.3">
      <c r="A479" s="25">
        <v>45991</v>
      </c>
      <c r="B479" t="s">
        <v>462</v>
      </c>
      <c r="C479" t="s">
        <v>186</v>
      </c>
      <c r="D479" t="s">
        <v>465</v>
      </c>
      <c r="E479">
        <v>161157.68</v>
      </c>
      <c r="F479">
        <v>27611.83</v>
      </c>
      <c r="G479">
        <v>133545.85</v>
      </c>
      <c r="H479">
        <v>0.82869999999999999</v>
      </c>
    </row>
    <row r="480" spans="1:8" x14ac:dyDescent="0.3">
      <c r="A480" s="25">
        <v>45991</v>
      </c>
      <c r="B480" t="s">
        <v>462</v>
      </c>
      <c r="C480" t="s">
        <v>186</v>
      </c>
      <c r="D480" t="s">
        <v>464</v>
      </c>
      <c r="E480">
        <v>203996.07</v>
      </c>
      <c r="F480">
        <v>34951.51</v>
      </c>
      <c r="G480">
        <v>169044.55</v>
      </c>
      <c r="H480">
        <v>0.82869999999999999</v>
      </c>
    </row>
    <row r="481" spans="1:8" x14ac:dyDescent="0.3">
      <c r="A481" s="25">
        <v>45991</v>
      </c>
      <c r="B481" t="s">
        <v>462</v>
      </c>
      <c r="C481" t="s">
        <v>186</v>
      </c>
      <c r="D481" t="s">
        <v>463</v>
      </c>
      <c r="E481">
        <v>202799.32</v>
      </c>
      <c r="F481">
        <v>34746.480000000003</v>
      </c>
      <c r="G481">
        <v>168052.86</v>
      </c>
      <c r="H481">
        <v>0.82869999999999999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D043-B818-44F2-8CA3-9E08972824E2}">
  <sheetPr>
    <tabColor theme="9" tint="0.39997558519241921"/>
  </sheetPr>
  <dimension ref="A1:J961"/>
  <sheetViews>
    <sheetView workbookViewId="0">
      <selection activeCell="M10" sqref="M10"/>
    </sheetView>
  </sheetViews>
  <sheetFormatPr defaultRowHeight="14.4" x14ac:dyDescent="0.3"/>
  <cols>
    <col min="1" max="1" width="22.44140625" customWidth="1"/>
    <col min="2" max="2" width="18.33203125" customWidth="1"/>
    <col min="3" max="3" width="17" customWidth="1"/>
    <col min="4" max="4" width="15" customWidth="1"/>
    <col min="5" max="5" width="37" bestFit="1" customWidth="1"/>
    <col min="6" max="6" width="48.6640625" bestFit="1" customWidth="1"/>
    <col min="7" max="7" width="10" bestFit="1" customWidth="1"/>
    <col min="8" max="8" width="6" bestFit="1" customWidth="1"/>
    <col min="9" max="9" width="6.6640625" bestFit="1" customWidth="1"/>
  </cols>
  <sheetData>
    <row r="1" spans="1:10" x14ac:dyDescent="0.3">
      <c r="A1" s="13" t="s">
        <v>290</v>
      </c>
      <c r="B1" s="13" t="s">
        <v>22</v>
      </c>
      <c r="C1" s="13" t="s">
        <v>197</v>
      </c>
      <c r="D1" s="13" t="s">
        <v>461</v>
      </c>
      <c r="E1" s="13" t="s">
        <v>333</v>
      </c>
      <c r="F1" s="13" t="s">
        <v>11</v>
      </c>
      <c r="G1" s="13" t="s">
        <v>194</v>
      </c>
      <c r="H1" s="13" t="s">
        <v>460</v>
      </c>
      <c r="I1" s="13" t="s">
        <v>459</v>
      </c>
      <c r="J1" s="13" t="s">
        <v>379</v>
      </c>
    </row>
    <row r="2" spans="1:10" x14ac:dyDescent="0.3">
      <c r="A2" t="s">
        <v>462</v>
      </c>
      <c r="B2" t="s">
        <v>192</v>
      </c>
      <c r="C2" s="25">
        <v>45657</v>
      </c>
      <c r="D2">
        <v>798119</v>
      </c>
      <c r="E2" t="s">
        <v>463</v>
      </c>
      <c r="F2" t="s">
        <v>551</v>
      </c>
      <c r="G2">
        <v>39960.01</v>
      </c>
      <c r="H2">
        <v>8287</v>
      </c>
      <c r="I2">
        <v>4.82</v>
      </c>
      <c r="J2">
        <v>5.3051000000000004</v>
      </c>
    </row>
    <row r="3" spans="1:10" x14ac:dyDescent="0.3">
      <c r="A3" t="s">
        <v>462</v>
      </c>
      <c r="B3" t="s">
        <v>192</v>
      </c>
      <c r="C3" s="25">
        <v>45688</v>
      </c>
      <c r="D3">
        <v>798119</v>
      </c>
      <c r="E3" t="s">
        <v>463</v>
      </c>
      <c r="F3" t="s">
        <v>551</v>
      </c>
      <c r="G3">
        <v>52201.63</v>
      </c>
      <c r="H3">
        <v>8668</v>
      </c>
      <c r="I3">
        <v>6.02</v>
      </c>
      <c r="J3">
        <v>6.2568000000000001</v>
      </c>
    </row>
    <row r="4" spans="1:10" x14ac:dyDescent="0.3">
      <c r="A4" t="s">
        <v>462</v>
      </c>
      <c r="B4" t="s">
        <v>192</v>
      </c>
      <c r="C4" s="25">
        <v>45716</v>
      </c>
      <c r="D4">
        <v>798119</v>
      </c>
      <c r="E4" t="s">
        <v>463</v>
      </c>
      <c r="F4" t="s">
        <v>551</v>
      </c>
      <c r="G4">
        <v>47279.82</v>
      </c>
      <c r="H4">
        <v>4989</v>
      </c>
      <c r="I4">
        <v>9.48</v>
      </c>
      <c r="J4">
        <v>6.4237000000000002</v>
      </c>
    </row>
    <row r="5" spans="1:10" x14ac:dyDescent="0.3">
      <c r="A5" t="s">
        <v>462</v>
      </c>
      <c r="B5" t="s">
        <v>192</v>
      </c>
      <c r="C5" s="25">
        <v>45747</v>
      </c>
      <c r="D5">
        <v>798119</v>
      </c>
      <c r="E5" t="s">
        <v>463</v>
      </c>
      <c r="F5" t="s">
        <v>551</v>
      </c>
      <c r="G5">
        <v>35536.730000000003</v>
      </c>
      <c r="H5">
        <v>1891</v>
      </c>
      <c r="I5">
        <v>18.79</v>
      </c>
      <c r="J5">
        <v>4.3544999999999998</v>
      </c>
    </row>
    <row r="6" spans="1:10" x14ac:dyDescent="0.3">
      <c r="A6" t="s">
        <v>462</v>
      </c>
      <c r="B6" t="s">
        <v>192</v>
      </c>
      <c r="C6" s="25">
        <v>45777</v>
      </c>
      <c r="D6">
        <v>798119</v>
      </c>
      <c r="E6" t="s">
        <v>463</v>
      </c>
      <c r="F6" t="s">
        <v>551</v>
      </c>
      <c r="G6">
        <v>43743.519999999997</v>
      </c>
      <c r="H6">
        <v>25676</v>
      </c>
      <c r="I6">
        <v>1.7</v>
      </c>
      <c r="J6">
        <v>5.8925000000000001</v>
      </c>
    </row>
    <row r="7" spans="1:10" x14ac:dyDescent="0.3">
      <c r="A7" t="s">
        <v>462</v>
      </c>
      <c r="B7" t="s">
        <v>192</v>
      </c>
      <c r="C7" s="25">
        <v>45808</v>
      </c>
      <c r="D7">
        <v>798119</v>
      </c>
      <c r="E7" t="s">
        <v>463</v>
      </c>
      <c r="F7" t="s">
        <v>551</v>
      </c>
      <c r="G7">
        <v>40765.360000000001</v>
      </c>
      <c r="H7">
        <v>11214</v>
      </c>
      <c r="I7">
        <v>3.64</v>
      </c>
      <c r="J7">
        <v>5.13</v>
      </c>
    </row>
    <row r="8" spans="1:10" x14ac:dyDescent="0.3">
      <c r="A8" t="s">
        <v>462</v>
      </c>
      <c r="B8" t="s">
        <v>192</v>
      </c>
      <c r="C8" s="25">
        <v>45838</v>
      </c>
      <c r="D8">
        <v>798119</v>
      </c>
      <c r="E8" t="s">
        <v>463</v>
      </c>
      <c r="F8" t="s">
        <v>551</v>
      </c>
      <c r="G8">
        <v>43037.760000000002</v>
      </c>
      <c r="H8">
        <v>3549</v>
      </c>
      <c r="I8">
        <v>12.13</v>
      </c>
      <c r="J8">
        <v>5.2446000000000002</v>
      </c>
    </row>
    <row r="9" spans="1:10" x14ac:dyDescent="0.3">
      <c r="A9" t="s">
        <v>462</v>
      </c>
      <c r="B9" t="s">
        <v>192</v>
      </c>
      <c r="C9" s="25">
        <v>45869</v>
      </c>
      <c r="D9">
        <v>798119</v>
      </c>
      <c r="E9" t="s">
        <v>463</v>
      </c>
      <c r="F9" t="s">
        <v>551</v>
      </c>
      <c r="G9">
        <v>39561.910000000003</v>
      </c>
      <c r="H9">
        <v>17687</v>
      </c>
      <c r="I9">
        <v>2.2400000000000002</v>
      </c>
      <c r="J9">
        <v>5.3853</v>
      </c>
    </row>
    <row r="10" spans="1:10" x14ac:dyDescent="0.3">
      <c r="A10" t="s">
        <v>462</v>
      </c>
      <c r="B10" t="s">
        <v>192</v>
      </c>
      <c r="C10" s="25">
        <v>45900</v>
      </c>
      <c r="D10">
        <v>798119</v>
      </c>
      <c r="E10" t="s">
        <v>463</v>
      </c>
      <c r="F10" t="s">
        <v>551</v>
      </c>
      <c r="G10">
        <v>40589</v>
      </c>
      <c r="H10">
        <v>2846</v>
      </c>
      <c r="I10">
        <v>14.26</v>
      </c>
      <c r="J10">
        <v>5.1990999999999996</v>
      </c>
    </row>
    <row r="11" spans="1:10" x14ac:dyDescent="0.3">
      <c r="A11" t="s">
        <v>462</v>
      </c>
      <c r="B11" t="s">
        <v>192</v>
      </c>
      <c r="C11" s="25">
        <v>45930</v>
      </c>
      <c r="D11">
        <v>798119</v>
      </c>
      <c r="E11" t="s">
        <v>463</v>
      </c>
      <c r="F11" t="s">
        <v>551</v>
      </c>
      <c r="G11">
        <v>52975.24</v>
      </c>
      <c r="H11">
        <v>3527</v>
      </c>
      <c r="I11">
        <v>15.02</v>
      </c>
      <c r="J11">
        <v>5.8305999999999996</v>
      </c>
    </row>
    <row r="12" spans="1:10" x14ac:dyDescent="0.3">
      <c r="A12" t="s">
        <v>462</v>
      </c>
      <c r="B12" t="s">
        <v>192</v>
      </c>
      <c r="C12" s="25">
        <v>45961</v>
      </c>
      <c r="D12">
        <v>798119</v>
      </c>
      <c r="E12" t="s">
        <v>463</v>
      </c>
      <c r="F12" t="s">
        <v>551</v>
      </c>
      <c r="G12">
        <v>41748.239999999998</v>
      </c>
      <c r="H12">
        <v>2431</v>
      </c>
      <c r="I12">
        <v>17.18</v>
      </c>
      <c r="J12">
        <v>5.3792</v>
      </c>
    </row>
    <row r="13" spans="1:10" x14ac:dyDescent="0.3">
      <c r="A13" t="s">
        <v>462</v>
      </c>
      <c r="B13" t="s">
        <v>192</v>
      </c>
      <c r="C13" s="25">
        <v>45991</v>
      </c>
      <c r="D13">
        <v>798119</v>
      </c>
      <c r="E13" t="s">
        <v>463</v>
      </c>
      <c r="F13" t="s">
        <v>551</v>
      </c>
      <c r="G13">
        <v>43213.02</v>
      </c>
      <c r="H13">
        <v>2848</v>
      </c>
      <c r="I13">
        <v>15.17</v>
      </c>
      <c r="J13">
        <v>5.0616000000000003</v>
      </c>
    </row>
    <row r="14" spans="1:10" x14ac:dyDescent="0.3">
      <c r="A14" t="s">
        <v>462</v>
      </c>
      <c r="B14" t="s">
        <v>192</v>
      </c>
      <c r="C14" s="25">
        <v>45657</v>
      </c>
      <c r="D14">
        <v>583670</v>
      </c>
      <c r="E14" t="s">
        <v>468</v>
      </c>
      <c r="F14" t="s">
        <v>550</v>
      </c>
      <c r="G14">
        <v>44168.13</v>
      </c>
      <c r="H14">
        <v>2364</v>
      </c>
      <c r="I14">
        <v>18.68</v>
      </c>
      <c r="J14">
        <v>5.8636999999999997</v>
      </c>
    </row>
    <row r="15" spans="1:10" x14ac:dyDescent="0.3">
      <c r="A15" t="s">
        <v>462</v>
      </c>
      <c r="B15" t="s">
        <v>192</v>
      </c>
      <c r="C15" s="25">
        <v>45688</v>
      </c>
      <c r="D15">
        <v>583670</v>
      </c>
      <c r="E15" t="s">
        <v>468</v>
      </c>
      <c r="F15" t="s">
        <v>550</v>
      </c>
      <c r="G15">
        <v>48616.95</v>
      </c>
      <c r="H15">
        <v>3110</v>
      </c>
      <c r="I15">
        <v>15.63</v>
      </c>
      <c r="J15">
        <v>5.8270999999999997</v>
      </c>
    </row>
    <row r="16" spans="1:10" x14ac:dyDescent="0.3">
      <c r="A16" t="s">
        <v>462</v>
      </c>
      <c r="B16" t="s">
        <v>192</v>
      </c>
      <c r="C16" s="25">
        <v>45716</v>
      </c>
      <c r="D16">
        <v>583670</v>
      </c>
      <c r="E16" t="s">
        <v>468</v>
      </c>
      <c r="F16" t="s">
        <v>550</v>
      </c>
      <c r="G16">
        <v>35287.699999999997</v>
      </c>
      <c r="H16">
        <v>26719</v>
      </c>
      <c r="I16">
        <v>1.32</v>
      </c>
      <c r="J16">
        <v>4.7944000000000004</v>
      </c>
    </row>
    <row r="17" spans="1:10" x14ac:dyDescent="0.3">
      <c r="A17" t="s">
        <v>462</v>
      </c>
      <c r="B17" t="s">
        <v>192</v>
      </c>
      <c r="C17" s="25">
        <v>45747</v>
      </c>
      <c r="D17">
        <v>583670</v>
      </c>
      <c r="E17" t="s">
        <v>468</v>
      </c>
      <c r="F17" t="s">
        <v>550</v>
      </c>
      <c r="G17">
        <v>41369.33</v>
      </c>
      <c r="H17">
        <v>2331</v>
      </c>
      <c r="I17">
        <v>17.75</v>
      </c>
      <c r="J17">
        <v>5.0692000000000004</v>
      </c>
    </row>
    <row r="18" spans="1:10" x14ac:dyDescent="0.3">
      <c r="A18" t="s">
        <v>462</v>
      </c>
      <c r="B18" t="s">
        <v>192</v>
      </c>
      <c r="C18" s="25">
        <v>45777</v>
      </c>
      <c r="D18">
        <v>583670</v>
      </c>
      <c r="E18" t="s">
        <v>468</v>
      </c>
      <c r="F18" t="s">
        <v>550</v>
      </c>
      <c r="G18">
        <v>33781.74</v>
      </c>
      <c r="H18">
        <v>2281</v>
      </c>
      <c r="I18">
        <v>14.81</v>
      </c>
      <c r="J18">
        <v>4.5506000000000002</v>
      </c>
    </row>
    <row r="19" spans="1:10" x14ac:dyDescent="0.3">
      <c r="A19" t="s">
        <v>462</v>
      </c>
      <c r="B19" t="s">
        <v>192</v>
      </c>
      <c r="C19" s="25">
        <v>45808</v>
      </c>
      <c r="D19">
        <v>583670</v>
      </c>
      <c r="E19" t="s">
        <v>468</v>
      </c>
      <c r="F19" t="s">
        <v>550</v>
      </c>
      <c r="G19">
        <v>33163.57</v>
      </c>
      <c r="H19">
        <v>3585</v>
      </c>
      <c r="I19">
        <v>9.25</v>
      </c>
      <c r="J19">
        <v>4.1734</v>
      </c>
    </row>
    <row r="20" spans="1:10" x14ac:dyDescent="0.3">
      <c r="A20" t="s">
        <v>462</v>
      </c>
      <c r="B20" t="s">
        <v>192</v>
      </c>
      <c r="C20" s="25">
        <v>45838</v>
      </c>
      <c r="D20">
        <v>583670</v>
      </c>
      <c r="E20" t="s">
        <v>468</v>
      </c>
      <c r="F20" t="s">
        <v>550</v>
      </c>
      <c r="G20">
        <v>39084.089999999997</v>
      </c>
      <c r="H20">
        <v>4600</v>
      </c>
      <c r="I20">
        <v>8.5</v>
      </c>
      <c r="J20">
        <v>4.7628000000000004</v>
      </c>
    </row>
    <row r="21" spans="1:10" x14ac:dyDescent="0.3">
      <c r="A21" t="s">
        <v>462</v>
      </c>
      <c r="B21" t="s">
        <v>192</v>
      </c>
      <c r="C21" s="25">
        <v>45869</v>
      </c>
      <c r="D21">
        <v>583670</v>
      </c>
      <c r="E21" t="s">
        <v>468</v>
      </c>
      <c r="F21" t="s">
        <v>550</v>
      </c>
      <c r="G21">
        <v>38312.639999999999</v>
      </c>
      <c r="H21">
        <v>12982</v>
      </c>
      <c r="I21">
        <v>2.95</v>
      </c>
      <c r="J21">
        <v>5.2152000000000003</v>
      </c>
    </row>
    <row r="22" spans="1:10" x14ac:dyDescent="0.3">
      <c r="A22" t="s">
        <v>462</v>
      </c>
      <c r="B22" t="s">
        <v>192</v>
      </c>
      <c r="C22" s="25">
        <v>45900</v>
      </c>
      <c r="D22">
        <v>583670</v>
      </c>
      <c r="E22" t="s">
        <v>468</v>
      </c>
      <c r="F22" t="s">
        <v>550</v>
      </c>
      <c r="G22">
        <v>29123.65</v>
      </c>
      <c r="H22">
        <v>1725</v>
      </c>
      <c r="I22">
        <v>16.88</v>
      </c>
      <c r="J22">
        <v>3.7305000000000001</v>
      </c>
    </row>
    <row r="23" spans="1:10" x14ac:dyDescent="0.3">
      <c r="A23" t="s">
        <v>462</v>
      </c>
      <c r="B23" t="s">
        <v>192</v>
      </c>
      <c r="C23" s="25">
        <v>45930</v>
      </c>
      <c r="D23">
        <v>583670</v>
      </c>
      <c r="E23" t="s">
        <v>468</v>
      </c>
      <c r="F23" t="s">
        <v>550</v>
      </c>
      <c r="G23">
        <v>48696.03</v>
      </c>
      <c r="H23">
        <v>3200</v>
      </c>
      <c r="I23">
        <v>15.22</v>
      </c>
      <c r="J23">
        <v>5.3597000000000001</v>
      </c>
    </row>
    <row r="24" spans="1:10" x14ac:dyDescent="0.3">
      <c r="A24" t="s">
        <v>462</v>
      </c>
      <c r="B24" t="s">
        <v>192</v>
      </c>
      <c r="C24" s="25">
        <v>45961</v>
      </c>
      <c r="D24">
        <v>583670</v>
      </c>
      <c r="E24" t="s">
        <v>468</v>
      </c>
      <c r="F24" t="s">
        <v>550</v>
      </c>
      <c r="G24">
        <v>44016.43</v>
      </c>
      <c r="H24">
        <v>4140</v>
      </c>
      <c r="I24">
        <v>10.63</v>
      </c>
      <c r="J24">
        <v>5.6714000000000002</v>
      </c>
    </row>
    <row r="25" spans="1:10" x14ac:dyDescent="0.3">
      <c r="A25" t="s">
        <v>462</v>
      </c>
      <c r="B25" t="s">
        <v>192</v>
      </c>
      <c r="C25" s="25">
        <v>45991</v>
      </c>
      <c r="D25">
        <v>583670</v>
      </c>
      <c r="E25" t="s">
        <v>468</v>
      </c>
      <c r="F25" t="s">
        <v>550</v>
      </c>
      <c r="G25">
        <v>43101.82</v>
      </c>
      <c r="H25">
        <v>4095</v>
      </c>
      <c r="I25">
        <v>10.52</v>
      </c>
      <c r="J25">
        <v>5.0486000000000004</v>
      </c>
    </row>
    <row r="26" spans="1:10" x14ac:dyDescent="0.3">
      <c r="A26" t="s">
        <v>462</v>
      </c>
      <c r="B26" t="s">
        <v>192</v>
      </c>
      <c r="C26" s="25">
        <v>45657</v>
      </c>
      <c r="D26">
        <v>728714</v>
      </c>
      <c r="E26" t="s">
        <v>472</v>
      </c>
      <c r="F26" t="s">
        <v>549</v>
      </c>
      <c r="G26">
        <v>32839.040000000001</v>
      </c>
      <c r="H26">
        <v>2485</v>
      </c>
      <c r="I26">
        <v>13.21</v>
      </c>
      <c r="J26">
        <v>4.3597000000000001</v>
      </c>
    </row>
    <row r="27" spans="1:10" x14ac:dyDescent="0.3">
      <c r="A27" t="s">
        <v>462</v>
      </c>
      <c r="B27" t="s">
        <v>192</v>
      </c>
      <c r="C27" s="25">
        <v>45688</v>
      </c>
      <c r="D27">
        <v>728714</v>
      </c>
      <c r="E27" t="s">
        <v>472</v>
      </c>
      <c r="F27" t="s">
        <v>549</v>
      </c>
      <c r="G27">
        <v>40665.699999999997</v>
      </c>
      <c r="H27">
        <v>7965</v>
      </c>
      <c r="I27">
        <v>5.1100000000000003</v>
      </c>
      <c r="J27">
        <v>4.8741000000000003</v>
      </c>
    </row>
    <row r="28" spans="1:10" x14ac:dyDescent="0.3">
      <c r="A28" t="s">
        <v>462</v>
      </c>
      <c r="B28" t="s">
        <v>192</v>
      </c>
      <c r="C28" s="25">
        <v>45716</v>
      </c>
      <c r="D28">
        <v>728714</v>
      </c>
      <c r="E28" t="s">
        <v>472</v>
      </c>
      <c r="F28" t="s">
        <v>549</v>
      </c>
      <c r="G28">
        <v>35622.44</v>
      </c>
      <c r="H28">
        <v>16927</v>
      </c>
      <c r="I28">
        <v>2.1</v>
      </c>
      <c r="J28">
        <v>4.8398000000000003</v>
      </c>
    </row>
    <row r="29" spans="1:10" x14ac:dyDescent="0.3">
      <c r="A29" t="s">
        <v>462</v>
      </c>
      <c r="B29" t="s">
        <v>192</v>
      </c>
      <c r="C29" s="25">
        <v>45747</v>
      </c>
      <c r="D29">
        <v>728714</v>
      </c>
      <c r="E29" t="s">
        <v>472</v>
      </c>
      <c r="F29" t="s">
        <v>549</v>
      </c>
      <c r="G29">
        <v>36300.300000000003</v>
      </c>
      <c r="H29">
        <v>2663</v>
      </c>
      <c r="I29">
        <v>13.63</v>
      </c>
      <c r="J29">
        <v>4.4480000000000004</v>
      </c>
    </row>
    <row r="30" spans="1:10" x14ac:dyDescent="0.3">
      <c r="A30" t="s">
        <v>462</v>
      </c>
      <c r="B30" t="s">
        <v>192</v>
      </c>
      <c r="C30" s="25">
        <v>45777</v>
      </c>
      <c r="D30">
        <v>728714</v>
      </c>
      <c r="E30" t="s">
        <v>472</v>
      </c>
      <c r="F30" t="s">
        <v>549</v>
      </c>
      <c r="G30">
        <v>35304.33</v>
      </c>
      <c r="H30">
        <v>35295</v>
      </c>
      <c r="I30">
        <v>1</v>
      </c>
      <c r="J30">
        <v>4.7557</v>
      </c>
    </row>
    <row r="31" spans="1:10" x14ac:dyDescent="0.3">
      <c r="A31" t="s">
        <v>462</v>
      </c>
      <c r="B31" t="s">
        <v>192</v>
      </c>
      <c r="C31" s="25">
        <v>45808</v>
      </c>
      <c r="D31">
        <v>728714</v>
      </c>
      <c r="E31" t="s">
        <v>472</v>
      </c>
      <c r="F31" t="s">
        <v>549</v>
      </c>
      <c r="G31">
        <v>31450.69</v>
      </c>
      <c r="H31">
        <v>1812</v>
      </c>
      <c r="I31">
        <v>17.36</v>
      </c>
      <c r="J31">
        <v>3.9579</v>
      </c>
    </row>
    <row r="32" spans="1:10" x14ac:dyDescent="0.3">
      <c r="A32" t="s">
        <v>462</v>
      </c>
      <c r="B32" t="s">
        <v>192</v>
      </c>
      <c r="C32" s="25">
        <v>45838</v>
      </c>
      <c r="D32">
        <v>728714</v>
      </c>
      <c r="E32" t="s">
        <v>472</v>
      </c>
      <c r="F32" t="s">
        <v>549</v>
      </c>
      <c r="G32">
        <v>45574.12</v>
      </c>
      <c r="H32">
        <v>2713</v>
      </c>
      <c r="I32">
        <v>16.8</v>
      </c>
      <c r="J32">
        <v>5.5537000000000001</v>
      </c>
    </row>
    <row r="33" spans="1:10" x14ac:dyDescent="0.3">
      <c r="A33" t="s">
        <v>462</v>
      </c>
      <c r="B33" t="s">
        <v>192</v>
      </c>
      <c r="C33" s="25">
        <v>45869</v>
      </c>
      <c r="D33">
        <v>728714</v>
      </c>
      <c r="E33" t="s">
        <v>472</v>
      </c>
      <c r="F33" t="s">
        <v>549</v>
      </c>
      <c r="G33">
        <v>37847.85</v>
      </c>
      <c r="H33">
        <v>2181</v>
      </c>
      <c r="I33">
        <v>17.350000000000001</v>
      </c>
      <c r="J33">
        <v>5.1520000000000001</v>
      </c>
    </row>
    <row r="34" spans="1:10" x14ac:dyDescent="0.3">
      <c r="A34" t="s">
        <v>462</v>
      </c>
      <c r="B34" t="s">
        <v>192</v>
      </c>
      <c r="C34" s="25">
        <v>45900</v>
      </c>
      <c r="D34">
        <v>728714</v>
      </c>
      <c r="E34" t="s">
        <v>472</v>
      </c>
      <c r="F34" t="s">
        <v>549</v>
      </c>
      <c r="G34">
        <v>30955.06</v>
      </c>
      <c r="H34">
        <v>1726</v>
      </c>
      <c r="I34">
        <v>17.93</v>
      </c>
      <c r="J34">
        <v>3.9651000000000001</v>
      </c>
    </row>
    <row r="35" spans="1:10" x14ac:dyDescent="0.3">
      <c r="A35" t="s">
        <v>462</v>
      </c>
      <c r="B35" t="s">
        <v>192</v>
      </c>
      <c r="C35" s="25">
        <v>45930</v>
      </c>
      <c r="D35">
        <v>728714</v>
      </c>
      <c r="E35" t="s">
        <v>472</v>
      </c>
      <c r="F35" t="s">
        <v>549</v>
      </c>
      <c r="G35">
        <v>50359.43</v>
      </c>
      <c r="H35">
        <v>5383</v>
      </c>
      <c r="I35">
        <v>9.35</v>
      </c>
      <c r="J35">
        <v>5.5427</v>
      </c>
    </row>
    <row r="36" spans="1:10" x14ac:dyDescent="0.3">
      <c r="A36" t="s">
        <v>462</v>
      </c>
      <c r="B36" t="s">
        <v>192</v>
      </c>
      <c r="C36" s="25">
        <v>45961</v>
      </c>
      <c r="D36">
        <v>728714</v>
      </c>
      <c r="E36" t="s">
        <v>472</v>
      </c>
      <c r="F36" t="s">
        <v>549</v>
      </c>
      <c r="G36">
        <v>46536.86</v>
      </c>
      <c r="H36">
        <v>3876</v>
      </c>
      <c r="I36">
        <v>12.01</v>
      </c>
      <c r="J36">
        <v>5.9962</v>
      </c>
    </row>
    <row r="37" spans="1:10" x14ac:dyDescent="0.3">
      <c r="A37" t="s">
        <v>462</v>
      </c>
      <c r="B37" t="s">
        <v>192</v>
      </c>
      <c r="C37" s="25">
        <v>45991</v>
      </c>
      <c r="D37">
        <v>728714</v>
      </c>
      <c r="E37" t="s">
        <v>472</v>
      </c>
      <c r="F37" t="s">
        <v>549</v>
      </c>
      <c r="G37">
        <v>43405.67</v>
      </c>
      <c r="H37">
        <v>2849</v>
      </c>
      <c r="I37">
        <v>15.23</v>
      </c>
      <c r="J37">
        <v>5.0842000000000001</v>
      </c>
    </row>
    <row r="38" spans="1:10" x14ac:dyDescent="0.3">
      <c r="A38" t="s">
        <v>462</v>
      </c>
      <c r="B38" t="s">
        <v>192</v>
      </c>
      <c r="C38" s="25">
        <v>45657</v>
      </c>
      <c r="D38">
        <v>595236</v>
      </c>
      <c r="E38" t="s">
        <v>469</v>
      </c>
      <c r="F38" t="s">
        <v>548</v>
      </c>
      <c r="G38">
        <v>42909.07</v>
      </c>
      <c r="H38">
        <v>3087</v>
      </c>
      <c r="I38">
        <v>13.9</v>
      </c>
      <c r="J38">
        <v>5.6966000000000001</v>
      </c>
    </row>
    <row r="39" spans="1:10" x14ac:dyDescent="0.3">
      <c r="A39" t="s">
        <v>462</v>
      </c>
      <c r="B39" t="s">
        <v>192</v>
      </c>
      <c r="C39" s="25">
        <v>45688</v>
      </c>
      <c r="D39">
        <v>595236</v>
      </c>
      <c r="E39" t="s">
        <v>469</v>
      </c>
      <c r="F39" t="s">
        <v>548</v>
      </c>
      <c r="G39">
        <v>34566.480000000003</v>
      </c>
      <c r="H39">
        <v>9936</v>
      </c>
      <c r="I39">
        <v>3.48</v>
      </c>
      <c r="J39">
        <v>4.1430999999999996</v>
      </c>
    </row>
    <row r="40" spans="1:10" x14ac:dyDescent="0.3">
      <c r="A40" t="s">
        <v>462</v>
      </c>
      <c r="B40" t="s">
        <v>192</v>
      </c>
      <c r="C40" s="25">
        <v>45716</v>
      </c>
      <c r="D40">
        <v>595236</v>
      </c>
      <c r="E40" t="s">
        <v>469</v>
      </c>
      <c r="F40" t="s">
        <v>548</v>
      </c>
      <c r="G40">
        <v>34075.550000000003</v>
      </c>
      <c r="H40">
        <v>8413</v>
      </c>
      <c r="I40">
        <v>4.05</v>
      </c>
      <c r="J40">
        <v>4.6296999999999997</v>
      </c>
    </row>
    <row r="41" spans="1:10" x14ac:dyDescent="0.3">
      <c r="A41" t="s">
        <v>462</v>
      </c>
      <c r="B41" t="s">
        <v>192</v>
      </c>
      <c r="C41" s="25">
        <v>45747</v>
      </c>
      <c r="D41">
        <v>595236</v>
      </c>
      <c r="E41" t="s">
        <v>469</v>
      </c>
      <c r="F41" t="s">
        <v>548</v>
      </c>
      <c r="G41">
        <v>32370.11</v>
      </c>
      <c r="H41">
        <v>3563</v>
      </c>
      <c r="I41">
        <v>9.09</v>
      </c>
      <c r="J41">
        <v>3.9664999999999999</v>
      </c>
    </row>
    <row r="42" spans="1:10" x14ac:dyDescent="0.3">
      <c r="A42" t="s">
        <v>462</v>
      </c>
      <c r="B42" t="s">
        <v>192</v>
      </c>
      <c r="C42" s="25">
        <v>45777</v>
      </c>
      <c r="D42">
        <v>595236</v>
      </c>
      <c r="E42" t="s">
        <v>469</v>
      </c>
      <c r="F42" t="s">
        <v>548</v>
      </c>
      <c r="G42">
        <v>34141.730000000003</v>
      </c>
      <c r="H42">
        <v>1750</v>
      </c>
      <c r="I42">
        <v>19.510000000000002</v>
      </c>
      <c r="J42">
        <v>4.5991</v>
      </c>
    </row>
    <row r="43" spans="1:10" x14ac:dyDescent="0.3">
      <c r="A43" t="s">
        <v>462</v>
      </c>
      <c r="B43" t="s">
        <v>192</v>
      </c>
      <c r="C43" s="25">
        <v>45808</v>
      </c>
      <c r="D43">
        <v>595236</v>
      </c>
      <c r="E43" t="s">
        <v>469</v>
      </c>
      <c r="F43" t="s">
        <v>548</v>
      </c>
      <c r="G43">
        <v>41135</v>
      </c>
      <c r="H43">
        <v>4926</v>
      </c>
      <c r="I43">
        <v>8.35</v>
      </c>
      <c r="J43">
        <v>5.1765999999999996</v>
      </c>
    </row>
    <row r="44" spans="1:10" x14ac:dyDescent="0.3">
      <c r="A44" t="s">
        <v>462</v>
      </c>
      <c r="B44" t="s">
        <v>192</v>
      </c>
      <c r="C44" s="25">
        <v>45838</v>
      </c>
      <c r="D44">
        <v>595236</v>
      </c>
      <c r="E44" t="s">
        <v>469</v>
      </c>
      <c r="F44" t="s">
        <v>548</v>
      </c>
      <c r="G44">
        <v>33278.83</v>
      </c>
      <c r="H44">
        <v>2040</v>
      </c>
      <c r="I44">
        <v>16.309999999999999</v>
      </c>
      <c r="J44">
        <v>4.0553999999999997</v>
      </c>
    </row>
    <row r="45" spans="1:10" x14ac:dyDescent="0.3">
      <c r="A45" t="s">
        <v>462</v>
      </c>
      <c r="B45" t="s">
        <v>192</v>
      </c>
      <c r="C45" s="25">
        <v>45869</v>
      </c>
      <c r="D45">
        <v>595236</v>
      </c>
      <c r="E45" t="s">
        <v>469</v>
      </c>
      <c r="F45" t="s">
        <v>548</v>
      </c>
      <c r="G45">
        <v>37679.68</v>
      </c>
      <c r="H45">
        <v>2630</v>
      </c>
      <c r="I45">
        <v>14.33</v>
      </c>
      <c r="J45">
        <v>5.1291000000000002</v>
      </c>
    </row>
    <row r="46" spans="1:10" x14ac:dyDescent="0.3">
      <c r="A46" t="s">
        <v>462</v>
      </c>
      <c r="B46" t="s">
        <v>192</v>
      </c>
      <c r="C46" s="25">
        <v>45900</v>
      </c>
      <c r="D46">
        <v>595236</v>
      </c>
      <c r="E46" t="s">
        <v>469</v>
      </c>
      <c r="F46" t="s">
        <v>548</v>
      </c>
      <c r="G46">
        <v>33249.75</v>
      </c>
      <c r="H46">
        <v>3134</v>
      </c>
      <c r="I46">
        <v>10.61</v>
      </c>
      <c r="J46">
        <v>4.2590000000000003</v>
      </c>
    </row>
    <row r="47" spans="1:10" x14ac:dyDescent="0.3">
      <c r="A47" t="s">
        <v>462</v>
      </c>
      <c r="B47" t="s">
        <v>192</v>
      </c>
      <c r="C47" s="25">
        <v>45930</v>
      </c>
      <c r="D47">
        <v>595236</v>
      </c>
      <c r="E47" t="s">
        <v>469</v>
      </c>
      <c r="F47" t="s">
        <v>548</v>
      </c>
      <c r="G47">
        <v>44888.56</v>
      </c>
      <c r="H47">
        <v>2541</v>
      </c>
      <c r="I47">
        <v>17.66</v>
      </c>
      <c r="J47">
        <v>4.9405999999999999</v>
      </c>
    </row>
    <row r="48" spans="1:10" x14ac:dyDescent="0.3">
      <c r="A48" t="s">
        <v>462</v>
      </c>
      <c r="B48" t="s">
        <v>192</v>
      </c>
      <c r="C48" s="25">
        <v>45961</v>
      </c>
      <c r="D48">
        <v>595236</v>
      </c>
      <c r="E48" t="s">
        <v>469</v>
      </c>
      <c r="F48" t="s">
        <v>548</v>
      </c>
      <c r="G48">
        <v>35725.629999999997</v>
      </c>
      <c r="H48">
        <v>5145</v>
      </c>
      <c r="I48">
        <v>6.94</v>
      </c>
      <c r="J48">
        <v>4.6032000000000002</v>
      </c>
    </row>
    <row r="49" spans="1:10" x14ac:dyDescent="0.3">
      <c r="A49" t="s">
        <v>462</v>
      </c>
      <c r="B49" t="s">
        <v>192</v>
      </c>
      <c r="C49" s="25">
        <v>45991</v>
      </c>
      <c r="D49">
        <v>595236</v>
      </c>
      <c r="E49" t="s">
        <v>469</v>
      </c>
      <c r="F49" t="s">
        <v>548</v>
      </c>
      <c r="G49">
        <v>30148.14</v>
      </c>
      <c r="H49">
        <v>2025</v>
      </c>
      <c r="I49">
        <v>14.89</v>
      </c>
      <c r="J49">
        <v>3.5312999999999999</v>
      </c>
    </row>
    <row r="50" spans="1:10" x14ac:dyDescent="0.3">
      <c r="A50" t="s">
        <v>462</v>
      </c>
      <c r="B50" t="s">
        <v>192</v>
      </c>
      <c r="C50" s="25">
        <v>45657</v>
      </c>
      <c r="D50">
        <v>842490</v>
      </c>
      <c r="E50" t="s">
        <v>467</v>
      </c>
      <c r="F50" t="s">
        <v>547</v>
      </c>
      <c r="G50">
        <v>35776.300000000003</v>
      </c>
      <c r="H50">
        <v>8013</v>
      </c>
      <c r="I50">
        <v>4.46</v>
      </c>
      <c r="J50">
        <v>4.7496</v>
      </c>
    </row>
    <row r="51" spans="1:10" x14ac:dyDescent="0.3">
      <c r="A51" t="s">
        <v>462</v>
      </c>
      <c r="B51" t="s">
        <v>192</v>
      </c>
      <c r="C51" s="25">
        <v>45688</v>
      </c>
      <c r="D51">
        <v>842490</v>
      </c>
      <c r="E51" t="s">
        <v>467</v>
      </c>
      <c r="F51" t="s">
        <v>547</v>
      </c>
      <c r="G51">
        <v>34900.28</v>
      </c>
      <c r="H51">
        <v>1757</v>
      </c>
      <c r="I51">
        <v>19.86</v>
      </c>
      <c r="J51">
        <v>4.1830999999999996</v>
      </c>
    </row>
    <row r="52" spans="1:10" x14ac:dyDescent="0.3">
      <c r="A52" t="s">
        <v>462</v>
      </c>
      <c r="B52" t="s">
        <v>192</v>
      </c>
      <c r="C52" s="25">
        <v>45716</v>
      </c>
      <c r="D52">
        <v>842490</v>
      </c>
      <c r="E52" t="s">
        <v>467</v>
      </c>
      <c r="F52" t="s">
        <v>547</v>
      </c>
      <c r="G52">
        <v>32121.439999999999</v>
      </c>
      <c r="H52">
        <v>4894</v>
      </c>
      <c r="I52">
        <v>6.56</v>
      </c>
      <c r="J52">
        <v>4.3642000000000003</v>
      </c>
    </row>
    <row r="53" spans="1:10" x14ac:dyDescent="0.3">
      <c r="A53" t="s">
        <v>462</v>
      </c>
      <c r="B53" t="s">
        <v>192</v>
      </c>
      <c r="C53" s="25">
        <v>45747</v>
      </c>
      <c r="D53">
        <v>842490</v>
      </c>
      <c r="E53" t="s">
        <v>467</v>
      </c>
      <c r="F53" t="s">
        <v>547</v>
      </c>
      <c r="G53">
        <v>37624.68</v>
      </c>
      <c r="H53">
        <v>17097</v>
      </c>
      <c r="I53">
        <v>2.2000000000000002</v>
      </c>
      <c r="J53">
        <v>4.6102999999999996</v>
      </c>
    </row>
    <row r="54" spans="1:10" x14ac:dyDescent="0.3">
      <c r="A54" t="s">
        <v>462</v>
      </c>
      <c r="B54" t="s">
        <v>192</v>
      </c>
      <c r="C54" s="25">
        <v>45777</v>
      </c>
      <c r="D54">
        <v>842490</v>
      </c>
      <c r="E54" t="s">
        <v>467</v>
      </c>
      <c r="F54" t="s">
        <v>547</v>
      </c>
      <c r="G54">
        <v>34744.36</v>
      </c>
      <c r="H54">
        <v>3556</v>
      </c>
      <c r="I54">
        <v>9.77</v>
      </c>
      <c r="J54">
        <v>4.6802999999999999</v>
      </c>
    </row>
    <row r="55" spans="1:10" x14ac:dyDescent="0.3">
      <c r="A55" t="s">
        <v>462</v>
      </c>
      <c r="B55" t="s">
        <v>192</v>
      </c>
      <c r="C55" s="25">
        <v>45808</v>
      </c>
      <c r="D55">
        <v>842490</v>
      </c>
      <c r="E55" t="s">
        <v>467</v>
      </c>
      <c r="F55" t="s">
        <v>547</v>
      </c>
      <c r="G55">
        <v>42912.27</v>
      </c>
      <c r="H55">
        <v>14491</v>
      </c>
      <c r="I55">
        <v>2.96</v>
      </c>
      <c r="J55">
        <v>5.4001999999999999</v>
      </c>
    </row>
    <row r="56" spans="1:10" x14ac:dyDescent="0.3">
      <c r="A56" t="s">
        <v>462</v>
      </c>
      <c r="B56" t="s">
        <v>192</v>
      </c>
      <c r="C56" s="25">
        <v>45838</v>
      </c>
      <c r="D56">
        <v>842490</v>
      </c>
      <c r="E56" t="s">
        <v>467</v>
      </c>
      <c r="F56" t="s">
        <v>547</v>
      </c>
      <c r="G56">
        <v>29013.68</v>
      </c>
      <c r="H56">
        <v>3408</v>
      </c>
      <c r="I56">
        <v>8.51</v>
      </c>
      <c r="J56">
        <v>3.5356000000000001</v>
      </c>
    </row>
    <row r="57" spans="1:10" x14ac:dyDescent="0.3">
      <c r="A57" t="s">
        <v>462</v>
      </c>
      <c r="B57" t="s">
        <v>192</v>
      </c>
      <c r="C57" s="25">
        <v>45869</v>
      </c>
      <c r="D57">
        <v>842490</v>
      </c>
      <c r="E57" t="s">
        <v>467</v>
      </c>
      <c r="F57" t="s">
        <v>547</v>
      </c>
      <c r="G57">
        <v>29921.61</v>
      </c>
      <c r="H57">
        <v>1997</v>
      </c>
      <c r="I57">
        <v>14.99</v>
      </c>
      <c r="J57">
        <v>4.0730000000000004</v>
      </c>
    </row>
    <row r="58" spans="1:10" x14ac:dyDescent="0.3">
      <c r="A58" t="s">
        <v>462</v>
      </c>
      <c r="B58" t="s">
        <v>192</v>
      </c>
      <c r="C58" s="25">
        <v>45900</v>
      </c>
      <c r="D58">
        <v>842490</v>
      </c>
      <c r="E58" t="s">
        <v>467</v>
      </c>
      <c r="F58" t="s">
        <v>547</v>
      </c>
      <c r="G58">
        <v>34694.449999999997</v>
      </c>
      <c r="H58">
        <v>1807</v>
      </c>
      <c r="I58">
        <v>19.2</v>
      </c>
      <c r="J58">
        <v>4.4440999999999997</v>
      </c>
    </row>
    <row r="59" spans="1:10" x14ac:dyDescent="0.3">
      <c r="A59" t="s">
        <v>462</v>
      </c>
      <c r="B59" t="s">
        <v>192</v>
      </c>
      <c r="C59" s="25">
        <v>45930</v>
      </c>
      <c r="D59">
        <v>842490</v>
      </c>
      <c r="E59" t="s">
        <v>467</v>
      </c>
      <c r="F59" t="s">
        <v>547</v>
      </c>
      <c r="G59">
        <v>36581.040000000001</v>
      </c>
      <c r="H59">
        <v>2207</v>
      </c>
      <c r="I59">
        <v>16.579999999999998</v>
      </c>
      <c r="J59">
        <v>4.0262000000000002</v>
      </c>
    </row>
    <row r="60" spans="1:10" x14ac:dyDescent="0.3">
      <c r="A60" t="s">
        <v>462</v>
      </c>
      <c r="B60" t="s">
        <v>192</v>
      </c>
      <c r="C60" s="25">
        <v>45961</v>
      </c>
      <c r="D60">
        <v>842490</v>
      </c>
      <c r="E60" t="s">
        <v>467</v>
      </c>
      <c r="F60" t="s">
        <v>547</v>
      </c>
      <c r="G60">
        <v>39567.550000000003</v>
      </c>
      <c r="H60">
        <v>9071</v>
      </c>
      <c r="I60">
        <v>4.3600000000000003</v>
      </c>
      <c r="J60">
        <v>5.0982000000000003</v>
      </c>
    </row>
    <row r="61" spans="1:10" x14ac:dyDescent="0.3">
      <c r="A61" t="s">
        <v>462</v>
      </c>
      <c r="B61" t="s">
        <v>192</v>
      </c>
      <c r="C61" s="25">
        <v>45991</v>
      </c>
      <c r="D61">
        <v>842490</v>
      </c>
      <c r="E61" t="s">
        <v>467</v>
      </c>
      <c r="F61" t="s">
        <v>547</v>
      </c>
      <c r="G61">
        <v>44372.87</v>
      </c>
      <c r="H61">
        <v>3258</v>
      </c>
      <c r="I61">
        <v>13.62</v>
      </c>
      <c r="J61">
        <v>5.1974999999999998</v>
      </c>
    </row>
    <row r="62" spans="1:10" x14ac:dyDescent="0.3">
      <c r="A62" t="s">
        <v>462</v>
      </c>
      <c r="B62" t="s">
        <v>192</v>
      </c>
      <c r="C62" s="25">
        <v>45657</v>
      </c>
      <c r="D62">
        <v>271992</v>
      </c>
      <c r="E62" t="s">
        <v>464</v>
      </c>
      <c r="F62" t="s">
        <v>546</v>
      </c>
      <c r="G62">
        <v>32816.080000000002</v>
      </c>
      <c r="H62">
        <v>2830</v>
      </c>
      <c r="I62">
        <v>11.6</v>
      </c>
      <c r="J62">
        <v>4.3566000000000003</v>
      </c>
    </row>
    <row r="63" spans="1:10" x14ac:dyDescent="0.3">
      <c r="A63" t="s">
        <v>462</v>
      </c>
      <c r="B63" t="s">
        <v>192</v>
      </c>
      <c r="C63" s="25">
        <v>45688</v>
      </c>
      <c r="D63">
        <v>271992</v>
      </c>
      <c r="E63" t="s">
        <v>464</v>
      </c>
      <c r="F63" t="s">
        <v>546</v>
      </c>
      <c r="G63">
        <v>32801.32</v>
      </c>
      <c r="H63">
        <v>2511</v>
      </c>
      <c r="I63">
        <v>13.06</v>
      </c>
      <c r="J63">
        <v>3.9315000000000002</v>
      </c>
    </row>
    <row r="64" spans="1:10" x14ac:dyDescent="0.3">
      <c r="A64" t="s">
        <v>462</v>
      </c>
      <c r="B64" t="s">
        <v>192</v>
      </c>
      <c r="C64" s="25">
        <v>45716</v>
      </c>
      <c r="D64">
        <v>271992</v>
      </c>
      <c r="E64" t="s">
        <v>464</v>
      </c>
      <c r="F64" t="s">
        <v>546</v>
      </c>
      <c r="G64">
        <v>23802.22</v>
      </c>
      <c r="H64">
        <v>4555</v>
      </c>
      <c r="I64">
        <v>5.23</v>
      </c>
      <c r="J64">
        <v>3.2339000000000002</v>
      </c>
    </row>
    <row r="65" spans="1:10" x14ac:dyDescent="0.3">
      <c r="A65" t="s">
        <v>462</v>
      </c>
      <c r="B65" t="s">
        <v>192</v>
      </c>
      <c r="C65" s="25">
        <v>45747</v>
      </c>
      <c r="D65">
        <v>271992</v>
      </c>
      <c r="E65" t="s">
        <v>464</v>
      </c>
      <c r="F65" t="s">
        <v>546</v>
      </c>
      <c r="G65">
        <v>39898.959999999999</v>
      </c>
      <c r="H65">
        <v>27567</v>
      </c>
      <c r="I65">
        <v>1.45</v>
      </c>
      <c r="J65">
        <v>4.8890000000000002</v>
      </c>
    </row>
    <row r="66" spans="1:10" x14ac:dyDescent="0.3">
      <c r="A66" t="s">
        <v>462</v>
      </c>
      <c r="B66" t="s">
        <v>192</v>
      </c>
      <c r="C66" s="25">
        <v>45777</v>
      </c>
      <c r="D66">
        <v>271992</v>
      </c>
      <c r="E66" t="s">
        <v>464</v>
      </c>
      <c r="F66" t="s">
        <v>546</v>
      </c>
      <c r="G66">
        <v>33592.31</v>
      </c>
      <c r="H66">
        <v>1997</v>
      </c>
      <c r="I66">
        <v>16.82</v>
      </c>
      <c r="J66">
        <v>4.5251000000000001</v>
      </c>
    </row>
    <row r="67" spans="1:10" x14ac:dyDescent="0.3">
      <c r="A67" t="s">
        <v>462</v>
      </c>
      <c r="B67" t="s">
        <v>192</v>
      </c>
      <c r="C67" s="25">
        <v>45808</v>
      </c>
      <c r="D67">
        <v>271992</v>
      </c>
      <c r="E67" t="s">
        <v>464</v>
      </c>
      <c r="F67" t="s">
        <v>546</v>
      </c>
      <c r="G67">
        <v>38083.370000000003</v>
      </c>
      <c r="H67">
        <v>2506</v>
      </c>
      <c r="I67">
        <v>15.19</v>
      </c>
      <c r="J67">
        <v>4.7925000000000004</v>
      </c>
    </row>
    <row r="68" spans="1:10" x14ac:dyDescent="0.3">
      <c r="A68" t="s">
        <v>462</v>
      </c>
      <c r="B68" t="s">
        <v>192</v>
      </c>
      <c r="C68" s="25">
        <v>45838</v>
      </c>
      <c r="D68">
        <v>271992</v>
      </c>
      <c r="E68" t="s">
        <v>464</v>
      </c>
      <c r="F68" t="s">
        <v>546</v>
      </c>
      <c r="G68">
        <v>36828.93</v>
      </c>
      <c r="H68">
        <v>7451</v>
      </c>
      <c r="I68">
        <v>4.9400000000000004</v>
      </c>
      <c r="J68">
        <v>4.4880000000000004</v>
      </c>
    </row>
    <row r="69" spans="1:10" x14ac:dyDescent="0.3">
      <c r="A69" t="s">
        <v>462</v>
      </c>
      <c r="B69" t="s">
        <v>192</v>
      </c>
      <c r="C69" s="25">
        <v>45869</v>
      </c>
      <c r="D69">
        <v>271992</v>
      </c>
      <c r="E69" t="s">
        <v>464</v>
      </c>
      <c r="F69" t="s">
        <v>546</v>
      </c>
      <c r="G69">
        <v>34549.65</v>
      </c>
      <c r="H69">
        <v>1730</v>
      </c>
      <c r="I69">
        <v>19.97</v>
      </c>
      <c r="J69">
        <v>4.7030000000000003</v>
      </c>
    </row>
    <row r="70" spans="1:10" x14ac:dyDescent="0.3">
      <c r="A70" t="s">
        <v>462</v>
      </c>
      <c r="B70" t="s">
        <v>192</v>
      </c>
      <c r="C70" s="25">
        <v>45900</v>
      </c>
      <c r="D70">
        <v>271992</v>
      </c>
      <c r="E70" t="s">
        <v>464</v>
      </c>
      <c r="F70" t="s">
        <v>546</v>
      </c>
      <c r="G70">
        <v>41690.43</v>
      </c>
      <c r="H70">
        <v>2796</v>
      </c>
      <c r="I70">
        <v>14.91</v>
      </c>
      <c r="J70">
        <v>5.3402000000000003</v>
      </c>
    </row>
    <row r="71" spans="1:10" x14ac:dyDescent="0.3">
      <c r="A71" t="s">
        <v>462</v>
      </c>
      <c r="B71" t="s">
        <v>192</v>
      </c>
      <c r="C71" s="25">
        <v>45930</v>
      </c>
      <c r="D71">
        <v>271992</v>
      </c>
      <c r="E71" t="s">
        <v>464</v>
      </c>
      <c r="F71" t="s">
        <v>546</v>
      </c>
      <c r="G71">
        <v>40612.69</v>
      </c>
      <c r="H71">
        <v>2231</v>
      </c>
      <c r="I71">
        <v>18.2</v>
      </c>
      <c r="J71">
        <v>4.47</v>
      </c>
    </row>
    <row r="72" spans="1:10" x14ac:dyDescent="0.3">
      <c r="A72" t="s">
        <v>462</v>
      </c>
      <c r="B72" t="s">
        <v>192</v>
      </c>
      <c r="C72" s="25">
        <v>45961</v>
      </c>
      <c r="D72">
        <v>271992</v>
      </c>
      <c r="E72" t="s">
        <v>464</v>
      </c>
      <c r="F72" t="s">
        <v>546</v>
      </c>
      <c r="G72">
        <v>34692.92</v>
      </c>
      <c r="H72">
        <v>3209</v>
      </c>
      <c r="I72">
        <v>10.81</v>
      </c>
      <c r="J72">
        <v>4.4701000000000004</v>
      </c>
    </row>
    <row r="73" spans="1:10" x14ac:dyDescent="0.3">
      <c r="A73" t="s">
        <v>462</v>
      </c>
      <c r="B73" t="s">
        <v>192</v>
      </c>
      <c r="C73" s="25">
        <v>45991</v>
      </c>
      <c r="D73">
        <v>271992</v>
      </c>
      <c r="E73" t="s">
        <v>464</v>
      </c>
      <c r="F73" t="s">
        <v>546</v>
      </c>
      <c r="G73">
        <v>43122.69</v>
      </c>
      <c r="H73">
        <v>3250</v>
      </c>
      <c r="I73">
        <v>13.27</v>
      </c>
      <c r="J73">
        <v>5.0510000000000002</v>
      </c>
    </row>
    <row r="74" spans="1:10" x14ac:dyDescent="0.3">
      <c r="A74" t="s">
        <v>462</v>
      </c>
      <c r="B74" t="s">
        <v>192</v>
      </c>
      <c r="C74" s="25">
        <v>45657</v>
      </c>
      <c r="D74">
        <v>310873</v>
      </c>
      <c r="E74" t="s">
        <v>472</v>
      </c>
      <c r="F74" t="s">
        <v>545</v>
      </c>
      <c r="G74">
        <v>39259.51</v>
      </c>
      <c r="H74">
        <v>21625</v>
      </c>
      <c r="I74">
        <v>1.82</v>
      </c>
      <c r="J74">
        <v>5.2121000000000004</v>
      </c>
    </row>
    <row r="75" spans="1:10" x14ac:dyDescent="0.3">
      <c r="A75" t="s">
        <v>462</v>
      </c>
      <c r="B75" t="s">
        <v>192</v>
      </c>
      <c r="C75" s="25">
        <v>45688</v>
      </c>
      <c r="D75">
        <v>310873</v>
      </c>
      <c r="E75" t="s">
        <v>472</v>
      </c>
      <c r="F75" t="s">
        <v>545</v>
      </c>
      <c r="G75">
        <v>22919.37</v>
      </c>
      <c r="H75">
        <v>4145</v>
      </c>
      <c r="I75">
        <v>5.53</v>
      </c>
      <c r="J75">
        <v>2.7471000000000001</v>
      </c>
    </row>
    <row r="76" spans="1:10" x14ac:dyDescent="0.3">
      <c r="A76" t="s">
        <v>462</v>
      </c>
      <c r="B76" t="s">
        <v>192</v>
      </c>
      <c r="C76" s="25">
        <v>45716</v>
      </c>
      <c r="D76">
        <v>310873</v>
      </c>
      <c r="E76" t="s">
        <v>472</v>
      </c>
      <c r="F76" t="s">
        <v>545</v>
      </c>
      <c r="G76">
        <v>25904.85</v>
      </c>
      <c r="H76">
        <v>3338</v>
      </c>
      <c r="I76">
        <v>7.76</v>
      </c>
      <c r="J76">
        <v>3.5196000000000001</v>
      </c>
    </row>
    <row r="77" spans="1:10" x14ac:dyDescent="0.3">
      <c r="A77" t="s">
        <v>462</v>
      </c>
      <c r="B77" t="s">
        <v>192</v>
      </c>
      <c r="C77" s="25">
        <v>45747</v>
      </c>
      <c r="D77">
        <v>310873</v>
      </c>
      <c r="E77" t="s">
        <v>472</v>
      </c>
      <c r="F77" t="s">
        <v>545</v>
      </c>
      <c r="G77">
        <v>26270.21</v>
      </c>
      <c r="H77">
        <v>1422</v>
      </c>
      <c r="I77">
        <v>18.47</v>
      </c>
      <c r="J77">
        <v>3.2189999999999999</v>
      </c>
    </row>
    <row r="78" spans="1:10" x14ac:dyDescent="0.3">
      <c r="A78" t="s">
        <v>462</v>
      </c>
      <c r="B78" t="s">
        <v>192</v>
      </c>
      <c r="C78" s="25">
        <v>45777</v>
      </c>
      <c r="D78">
        <v>310873</v>
      </c>
      <c r="E78" t="s">
        <v>472</v>
      </c>
      <c r="F78" t="s">
        <v>545</v>
      </c>
      <c r="G78">
        <v>28416.16</v>
      </c>
      <c r="H78">
        <v>4061</v>
      </c>
      <c r="I78">
        <v>7</v>
      </c>
      <c r="J78">
        <v>3.8277999999999999</v>
      </c>
    </row>
    <row r="79" spans="1:10" x14ac:dyDescent="0.3">
      <c r="A79" t="s">
        <v>462</v>
      </c>
      <c r="B79" t="s">
        <v>192</v>
      </c>
      <c r="C79" s="25">
        <v>45808</v>
      </c>
      <c r="D79">
        <v>310873</v>
      </c>
      <c r="E79" t="s">
        <v>472</v>
      </c>
      <c r="F79" t="s">
        <v>545</v>
      </c>
      <c r="G79">
        <v>35537.54</v>
      </c>
      <c r="H79">
        <v>2200</v>
      </c>
      <c r="I79">
        <v>16.149999999999999</v>
      </c>
      <c r="J79">
        <v>4.4722</v>
      </c>
    </row>
    <row r="80" spans="1:10" x14ac:dyDescent="0.3">
      <c r="A80" t="s">
        <v>462</v>
      </c>
      <c r="B80" t="s">
        <v>192</v>
      </c>
      <c r="C80" s="25">
        <v>45838</v>
      </c>
      <c r="D80">
        <v>310873</v>
      </c>
      <c r="E80" t="s">
        <v>472</v>
      </c>
      <c r="F80" t="s">
        <v>545</v>
      </c>
      <c r="G80">
        <v>37373.07</v>
      </c>
      <c r="H80">
        <v>26014</v>
      </c>
      <c r="I80">
        <v>1.44</v>
      </c>
      <c r="J80">
        <v>4.5542999999999996</v>
      </c>
    </row>
    <row r="81" spans="1:10" x14ac:dyDescent="0.3">
      <c r="A81" t="s">
        <v>462</v>
      </c>
      <c r="B81" t="s">
        <v>192</v>
      </c>
      <c r="C81" s="25">
        <v>45869</v>
      </c>
      <c r="D81">
        <v>310873</v>
      </c>
      <c r="E81" t="s">
        <v>472</v>
      </c>
      <c r="F81" t="s">
        <v>545</v>
      </c>
      <c r="G81">
        <v>33056.11</v>
      </c>
      <c r="H81">
        <v>12070</v>
      </c>
      <c r="I81">
        <v>2.74</v>
      </c>
      <c r="J81">
        <v>4.4996999999999998</v>
      </c>
    </row>
    <row r="82" spans="1:10" x14ac:dyDescent="0.3">
      <c r="A82" t="s">
        <v>462</v>
      </c>
      <c r="B82" t="s">
        <v>192</v>
      </c>
      <c r="C82" s="25">
        <v>45900</v>
      </c>
      <c r="D82">
        <v>310873</v>
      </c>
      <c r="E82" t="s">
        <v>472</v>
      </c>
      <c r="F82" t="s">
        <v>545</v>
      </c>
      <c r="G82">
        <v>39863.1</v>
      </c>
      <c r="H82">
        <v>2562</v>
      </c>
      <c r="I82">
        <v>15.56</v>
      </c>
      <c r="J82">
        <v>5.1060999999999996</v>
      </c>
    </row>
    <row r="83" spans="1:10" x14ac:dyDescent="0.3">
      <c r="A83" t="s">
        <v>462</v>
      </c>
      <c r="B83" t="s">
        <v>192</v>
      </c>
      <c r="C83" s="25">
        <v>45930</v>
      </c>
      <c r="D83">
        <v>310873</v>
      </c>
      <c r="E83" t="s">
        <v>472</v>
      </c>
      <c r="F83" t="s">
        <v>545</v>
      </c>
      <c r="G83">
        <v>44981.23</v>
      </c>
      <c r="H83">
        <v>2493</v>
      </c>
      <c r="I83">
        <v>18.04</v>
      </c>
      <c r="J83">
        <v>4.9508000000000001</v>
      </c>
    </row>
    <row r="84" spans="1:10" x14ac:dyDescent="0.3">
      <c r="A84" t="s">
        <v>462</v>
      </c>
      <c r="B84" t="s">
        <v>192</v>
      </c>
      <c r="C84" s="25">
        <v>45961</v>
      </c>
      <c r="D84">
        <v>310873</v>
      </c>
      <c r="E84" t="s">
        <v>472</v>
      </c>
      <c r="F84" t="s">
        <v>545</v>
      </c>
      <c r="G84">
        <v>29003.38</v>
      </c>
      <c r="H84">
        <v>6965</v>
      </c>
      <c r="I84">
        <v>4.16</v>
      </c>
      <c r="J84">
        <v>3.7370000000000001</v>
      </c>
    </row>
    <row r="85" spans="1:10" x14ac:dyDescent="0.3">
      <c r="A85" t="s">
        <v>462</v>
      </c>
      <c r="B85" t="s">
        <v>192</v>
      </c>
      <c r="C85" s="25">
        <v>45991</v>
      </c>
      <c r="D85">
        <v>310873</v>
      </c>
      <c r="E85" t="s">
        <v>472</v>
      </c>
      <c r="F85" t="s">
        <v>545</v>
      </c>
      <c r="G85">
        <v>36481.480000000003</v>
      </c>
      <c r="H85">
        <v>1933</v>
      </c>
      <c r="I85">
        <v>18.87</v>
      </c>
      <c r="J85">
        <v>4.2731000000000003</v>
      </c>
    </row>
    <row r="86" spans="1:10" x14ac:dyDescent="0.3">
      <c r="A86" t="s">
        <v>462</v>
      </c>
      <c r="B86" t="s">
        <v>192</v>
      </c>
      <c r="C86" s="25">
        <v>45657</v>
      </c>
      <c r="D86">
        <v>993423</v>
      </c>
      <c r="E86" t="s">
        <v>464</v>
      </c>
      <c r="F86" t="s">
        <v>544</v>
      </c>
      <c r="G86">
        <v>31892.39</v>
      </c>
      <c r="H86">
        <v>2015</v>
      </c>
      <c r="I86">
        <v>15.82</v>
      </c>
      <c r="J86">
        <v>4.234</v>
      </c>
    </row>
    <row r="87" spans="1:10" x14ac:dyDescent="0.3">
      <c r="A87" t="s">
        <v>462</v>
      </c>
      <c r="B87" t="s">
        <v>192</v>
      </c>
      <c r="C87" s="25">
        <v>45688</v>
      </c>
      <c r="D87">
        <v>993423</v>
      </c>
      <c r="E87" t="s">
        <v>464</v>
      </c>
      <c r="F87" t="s">
        <v>544</v>
      </c>
      <c r="G87">
        <v>29342.52</v>
      </c>
      <c r="H87">
        <v>2338</v>
      </c>
      <c r="I87">
        <v>12.55</v>
      </c>
      <c r="J87">
        <v>3.5169000000000001</v>
      </c>
    </row>
    <row r="88" spans="1:10" x14ac:dyDescent="0.3">
      <c r="A88" t="s">
        <v>462</v>
      </c>
      <c r="B88" t="s">
        <v>192</v>
      </c>
      <c r="C88" s="25">
        <v>45716</v>
      </c>
      <c r="D88">
        <v>993423</v>
      </c>
      <c r="E88" t="s">
        <v>464</v>
      </c>
      <c r="F88" t="s">
        <v>544</v>
      </c>
      <c r="G88">
        <v>29888.62</v>
      </c>
      <c r="H88">
        <v>2679</v>
      </c>
      <c r="I88">
        <v>11.16</v>
      </c>
      <c r="J88">
        <v>4.0608000000000004</v>
      </c>
    </row>
    <row r="89" spans="1:10" x14ac:dyDescent="0.3">
      <c r="A89" t="s">
        <v>462</v>
      </c>
      <c r="B89" t="s">
        <v>192</v>
      </c>
      <c r="C89" s="25">
        <v>45747</v>
      </c>
      <c r="D89">
        <v>993423</v>
      </c>
      <c r="E89" t="s">
        <v>464</v>
      </c>
      <c r="F89" t="s">
        <v>544</v>
      </c>
      <c r="G89">
        <v>39155.42</v>
      </c>
      <c r="H89">
        <v>2328</v>
      </c>
      <c r="I89">
        <v>16.82</v>
      </c>
      <c r="J89">
        <v>4.7979000000000003</v>
      </c>
    </row>
    <row r="90" spans="1:10" x14ac:dyDescent="0.3">
      <c r="A90" t="s">
        <v>462</v>
      </c>
      <c r="B90" t="s">
        <v>192</v>
      </c>
      <c r="C90" s="25">
        <v>45777</v>
      </c>
      <c r="D90">
        <v>993423</v>
      </c>
      <c r="E90" t="s">
        <v>464</v>
      </c>
      <c r="F90" t="s">
        <v>544</v>
      </c>
      <c r="G90">
        <v>31293.119999999999</v>
      </c>
      <c r="H90">
        <v>2395</v>
      </c>
      <c r="I90">
        <v>13.07</v>
      </c>
      <c r="J90">
        <v>4.2153999999999998</v>
      </c>
    </row>
    <row r="91" spans="1:10" x14ac:dyDescent="0.3">
      <c r="A91" t="s">
        <v>462</v>
      </c>
      <c r="B91" t="s">
        <v>192</v>
      </c>
      <c r="C91" s="25">
        <v>45808</v>
      </c>
      <c r="D91">
        <v>993423</v>
      </c>
      <c r="E91" t="s">
        <v>464</v>
      </c>
      <c r="F91" t="s">
        <v>544</v>
      </c>
      <c r="G91">
        <v>39415.769999999997</v>
      </c>
      <c r="H91">
        <v>5647</v>
      </c>
      <c r="I91">
        <v>6.98</v>
      </c>
      <c r="J91">
        <v>4.9602000000000004</v>
      </c>
    </row>
    <row r="92" spans="1:10" x14ac:dyDescent="0.3">
      <c r="A92" t="s">
        <v>462</v>
      </c>
      <c r="B92" t="s">
        <v>192</v>
      </c>
      <c r="C92" s="25">
        <v>45838</v>
      </c>
      <c r="D92">
        <v>993423</v>
      </c>
      <c r="E92" t="s">
        <v>464</v>
      </c>
      <c r="F92" t="s">
        <v>544</v>
      </c>
      <c r="G92">
        <v>32448.31</v>
      </c>
      <c r="H92">
        <v>1766</v>
      </c>
      <c r="I92">
        <v>18.38</v>
      </c>
      <c r="J92">
        <v>3.9542000000000002</v>
      </c>
    </row>
    <row r="93" spans="1:10" x14ac:dyDescent="0.3">
      <c r="A93" t="s">
        <v>462</v>
      </c>
      <c r="B93" t="s">
        <v>192</v>
      </c>
      <c r="C93" s="25">
        <v>45869</v>
      </c>
      <c r="D93">
        <v>993423</v>
      </c>
      <c r="E93" t="s">
        <v>464</v>
      </c>
      <c r="F93" t="s">
        <v>544</v>
      </c>
      <c r="G93">
        <v>40413.360000000001</v>
      </c>
      <c r="H93">
        <v>2835</v>
      </c>
      <c r="I93">
        <v>14.25</v>
      </c>
      <c r="J93">
        <v>5.5011999999999999</v>
      </c>
    </row>
    <row r="94" spans="1:10" x14ac:dyDescent="0.3">
      <c r="A94" t="s">
        <v>462</v>
      </c>
      <c r="B94" t="s">
        <v>192</v>
      </c>
      <c r="C94" s="25">
        <v>45900</v>
      </c>
      <c r="D94">
        <v>993423</v>
      </c>
      <c r="E94" t="s">
        <v>464</v>
      </c>
      <c r="F94" t="s">
        <v>544</v>
      </c>
      <c r="G94">
        <v>27281.53</v>
      </c>
      <c r="H94">
        <v>4722</v>
      </c>
      <c r="I94">
        <v>5.78</v>
      </c>
      <c r="J94">
        <v>3.4944999999999999</v>
      </c>
    </row>
    <row r="95" spans="1:10" x14ac:dyDescent="0.3">
      <c r="A95" t="s">
        <v>462</v>
      </c>
      <c r="B95" t="s">
        <v>192</v>
      </c>
      <c r="C95" s="25">
        <v>45930</v>
      </c>
      <c r="D95">
        <v>993423</v>
      </c>
      <c r="E95" t="s">
        <v>464</v>
      </c>
      <c r="F95" t="s">
        <v>544</v>
      </c>
      <c r="G95">
        <v>33549.370000000003</v>
      </c>
      <c r="H95">
        <v>1685</v>
      </c>
      <c r="I95">
        <v>19.91</v>
      </c>
      <c r="J95">
        <v>3.6926000000000001</v>
      </c>
    </row>
    <row r="96" spans="1:10" x14ac:dyDescent="0.3">
      <c r="A96" t="s">
        <v>462</v>
      </c>
      <c r="B96" t="s">
        <v>192</v>
      </c>
      <c r="C96" s="25">
        <v>45961</v>
      </c>
      <c r="D96">
        <v>993423</v>
      </c>
      <c r="E96" t="s">
        <v>464</v>
      </c>
      <c r="F96" t="s">
        <v>544</v>
      </c>
      <c r="G96">
        <v>22540.85</v>
      </c>
      <c r="H96">
        <v>4253</v>
      </c>
      <c r="I96">
        <v>5.3</v>
      </c>
      <c r="J96">
        <v>2.9043999999999999</v>
      </c>
    </row>
    <row r="97" spans="1:10" x14ac:dyDescent="0.3">
      <c r="A97" t="s">
        <v>462</v>
      </c>
      <c r="B97" t="s">
        <v>192</v>
      </c>
      <c r="C97" s="25">
        <v>45991</v>
      </c>
      <c r="D97">
        <v>993423</v>
      </c>
      <c r="E97" t="s">
        <v>464</v>
      </c>
      <c r="F97" t="s">
        <v>544</v>
      </c>
      <c r="G97">
        <v>32310.42</v>
      </c>
      <c r="H97">
        <v>4831</v>
      </c>
      <c r="I97">
        <v>6.69</v>
      </c>
      <c r="J97">
        <v>3.7846000000000002</v>
      </c>
    </row>
    <row r="98" spans="1:10" x14ac:dyDescent="0.3">
      <c r="A98" t="s">
        <v>462</v>
      </c>
      <c r="B98" t="s">
        <v>192</v>
      </c>
      <c r="C98" s="25">
        <v>45657</v>
      </c>
      <c r="D98">
        <v>303889</v>
      </c>
      <c r="E98" t="s">
        <v>466</v>
      </c>
      <c r="F98" t="s">
        <v>543</v>
      </c>
      <c r="G98">
        <v>28314.87</v>
      </c>
      <c r="H98">
        <v>1827</v>
      </c>
      <c r="I98">
        <v>15.5</v>
      </c>
      <c r="J98">
        <v>3.7591000000000001</v>
      </c>
    </row>
    <row r="99" spans="1:10" x14ac:dyDescent="0.3">
      <c r="A99" t="s">
        <v>462</v>
      </c>
      <c r="B99" t="s">
        <v>192</v>
      </c>
      <c r="C99" s="25">
        <v>45688</v>
      </c>
      <c r="D99">
        <v>303889</v>
      </c>
      <c r="E99" t="s">
        <v>466</v>
      </c>
      <c r="F99" t="s">
        <v>543</v>
      </c>
      <c r="G99">
        <v>34011.589999999997</v>
      </c>
      <c r="H99">
        <v>10779</v>
      </c>
      <c r="I99">
        <v>3.16</v>
      </c>
      <c r="J99">
        <v>4.0766</v>
      </c>
    </row>
    <row r="100" spans="1:10" x14ac:dyDescent="0.3">
      <c r="A100" t="s">
        <v>462</v>
      </c>
      <c r="B100" t="s">
        <v>192</v>
      </c>
      <c r="C100" s="25">
        <v>45716</v>
      </c>
      <c r="D100">
        <v>303889</v>
      </c>
      <c r="E100" t="s">
        <v>466</v>
      </c>
      <c r="F100" t="s">
        <v>543</v>
      </c>
      <c r="G100">
        <v>17281.98</v>
      </c>
      <c r="H100">
        <v>873</v>
      </c>
      <c r="I100">
        <v>19.79</v>
      </c>
      <c r="J100">
        <v>2.3479999999999999</v>
      </c>
    </row>
    <row r="101" spans="1:10" x14ac:dyDescent="0.3">
      <c r="A101" t="s">
        <v>462</v>
      </c>
      <c r="B101" t="s">
        <v>192</v>
      </c>
      <c r="C101" s="25">
        <v>45747</v>
      </c>
      <c r="D101">
        <v>303889</v>
      </c>
      <c r="E101" t="s">
        <v>466</v>
      </c>
      <c r="F101" t="s">
        <v>543</v>
      </c>
      <c r="G101">
        <v>29573.69</v>
      </c>
      <c r="H101">
        <v>15392</v>
      </c>
      <c r="I101">
        <v>1.92</v>
      </c>
      <c r="J101">
        <v>3.6238000000000001</v>
      </c>
    </row>
    <row r="102" spans="1:10" x14ac:dyDescent="0.3">
      <c r="A102" t="s">
        <v>462</v>
      </c>
      <c r="B102" t="s">
        <v>192</v>
      </c>
      <c r="C102" s="25">
        <v>45777</v>
      </c>
      <c r="D102">
        <v>303889</v>
      </c>
      <c r="E102" t="s">
        <v>466</v>
      </c>
      <c r="F102" t="s">
        <v>543</v>
      </c>
      <c r="G102">
        <v>25881.18</v>
      </c>
      <c r="H102">
        <v>2026</v>
      </c>
      <c r="I102">
        <v>12.77</v>
      </c>
      <c r="J102">
        <v>3.4863</v>
      </c>
    </row>
    <row r="103" spans="1:10" x14ac:dyDescent="0.3">
      <c r="A103" t="s">
        <v>462</v>
      </c>
      <c r="B103" t="s">
        <v>192</v>
      </c>
      <c r="C103" s="25">
        <v>45808</v>
      </c>
      <c r="D103">
        <v>303889</v>
      </c>
      <c r="E103" t="s">
        <v>466</v>
      </c>
      <c r="F103" t="s">
        <v>543</v>
      </c>
      <c r="G103">
        <v>24104.400000000001</v>
      </c>
      <c r="H103">
        <v>2173</v>
      </c>
      <c r="I103">
        <v>11.09</v>
      </c>
      <c r="J103">
        <v>3.0333999999999999</v>
      </c>
    </row>
    <row r="104" spans="1:10" x14ac:dyDescent="0.3">
      <c r="A104" t="s">
        <v>462</v>
      </c>
      <c r="B104" t="s">
        <v>192</v>
      </c>
      <c r="C104" s="25">
        <v>45838</v>
      </c>
      <c r="D104">
        <v>303889</v>
      </c>
      <c r="E104" t="s">
        <v>466</v>
      </c>
      <c r="F104" t="s">
        <v>543</v>
      </c>
      <c r="G104">
        <v>29573.29</v>
      </c>
      <c r="H104">
        <v>2235</v>
      </c>
      <c r="I104">
        <v>13.23</v>
      </c>
      <c r="J104">
        <v>3.6038000000000001</v>
      </c>
    </row>
    <row r="105" spans="1:10" x14ac:dyDescent="0.3">
      <c r="A105" t="s">
        <v>462</v>
      </c>
      <c r="B105" t="s">
        <v>192</v>
      </c>
      <c r="C105" s="25">
        <v>45869</v>
      </c>
      <c r="D105">
        <v>303889</v>
      </c>
      <c r="E105" t="s">
        <v>466</v>
      </c>
      <c r="F105" t="s">
        <v>543</v>
      </c>
      <c r="G105">
        <v>28782.32</v>
      </c>
      <c r="H105">
        <v>4202</v>
      </c>
      <c r="I105">
        <v>6.85</v>
      </c>
      <c r="J105">
        <v>3.9178999999999999</v>
      </c>
    </row>
    <row r="106" spans="1:10" x14ac:dyDescent="0.3">
      <c r="A106" t="s">
        <v>462</v>
      </c>
      <c r="B106" t="s">
        <v>192</v>
      </c>
      <c r="C106" s="25">
        <v>45900</v>
      </c>
      <c r="D106">
        <v>303889</v>
      </c>
      <c r="E106" t="s">
        <v>466</v>
      </c>
      <c r="F106" t="s">
        <v>543</v>
      </c>
      <c r="G106">
        <v>32122.59</v>
      </c>
      <c r="H106">
        <v>2344</v>
      </c>
      <c r="I106">
        <v>13.71</v>
      </c>
      <c r="J106">
        <v>4.1147</v>
      </c>
    </row>
    <row r="107" spans="1:10" x14ac:dyDescent="0.3">
      <c r="A107" t="s">
        <v>462</v>
      </c>
      <c r="B107" t="s">
        <v>192</v>
      </c>
      <c r="C107" s="25">
        <v>45930</v>
      </c>
      <c r="D107">
        <v>303889</v>
      </c>
      <c r="E107" t="s">
        <v>466</v>
      </c>
      <c r="F107" t="s">
        <v>543</v>
      </c>
      <c r="G107">
        <v>31178.92</v>
      </c>
      <c r="H107">
        <v>4986</v>
      </c>
      <c r="I107">
        <v>6.25</v>
      </c>
      <c r="J107">
        <v>3.4317000000000002</v>
      </c>
    </row>
    <row r="108" spans="1:10" x14ac:dyDescent="0.3">
      <c r="A108" t="s">
        <v>462</v>
      </c>
      <c r="B108" t="s">
        <v>192</v>
      </c>
      <c r="C108" s="25">
        <v>45961</v>
      </c>
      <c r="D108">
        <v>303889</v>
      </c>
      <c r="E108" t="s">
        <v>466</v>
      </c>
      <c r="F108" t="s">
        <v>543</v>
      </c>
      <c r="G108">
        <v>34010.089999999997</v>
      </c>
      <c r="H108">
        <v>1799</v>
      </c>
      <c r="I108">
        <v>18.899999999999999</v>
      </c>
      <c r="J108">
        <v>4.3821000000000003</v>
      </c>
    </row>
    <row r="109" spans="1:10" x14ac:dyDescent="0.3">
      <c r="A109" t="s">
        <v>462</v>
      </c>
      <c r="B109" t="s">
        <v>192</v>
      </c>
      <c r="C109" s="25">
        <v>45991</v>
      </c>
      <c r="D109">
        <v>303889</v>
      </c>
      <c r="E109" t="s">
        <v>466</v>
      </c>
      <c r="F109" t="s">
        <v>543</v>
      </c>
      <c r="G109">
        <v>34765.879999999997</v>
      </c>
      <c r="H109">
        <v>5674</v>
      </c>
      <c r="I109">
        <v>6.13</v>
      </c>
      <c r="J109">
        <v>4.0721999999999996</v>
      </c>
    </row>
    <row r="110" spans="1:10" x14ac:dyDescent="0.3">
      <c r="A110" t="s">
        <v>462</v>
      </c>
      <c r="B110" t="s">
        <v>192</v>
      </c>
      <c r="C110" s="25">
        <v>45657</v>
      </c>
      <c r="D110">
        <v>930605</v>
      </c>
      <c r="E110" t="s">
        <v>465</v>
      </c>
      <c r="F110" t="s">
        <v>542</v>
      </c>
      <c r="G110">
        <v>26990.41</v>
      </c>
      <c r="H110">
        <v>9488</v>
      </c>
      <c r="I110">
        <v>2.84</v>
      </c>
      <c r="J110">
        <v>3.5832000000000002</v>
      </c>
    </row>
    <row r="111" spans="1:10" x14ac:dyDescent="0.3">
      <c r="A111" t="s">
        <v>462</v>
      </c>
      <c r="B111" t="s">
        <v>192</v>
      </c>
      <c r="C111" s="25">
        <v>45688</v>
      </c>
      <c r="D111">
        <v>930605</v>
      </c>
      <c r="E111" t="s">
        <v>465</v>
      </c>
      <c r="F111" t="s">
        <v>542</v>
      </c>
      <c r="G111">
        <v>29298.17</v>
      </c>
      <c r="H111">
        <v>2536</v>
      </c>
      <c r="I111">
        <v>11.55</v>
      </c>
      <c r="J111">
        <v>3.5116000000000001</v>
      </c>
    </row>
    <row r="112" spans="1:10" x14ac:dyDescent="0.3">
      <c r="A112" t="s">
        <v>462</v>
      </c>
      <c r="B112" t="s">
        <v>192</v>
      </c>
      <c r="C112" s="25">
        <v>45716</v>
      </c>
      <c r="D112">
        <v>930605</v>
      </c>
      <c r="E112" t="s">
        <v>465</v>
      </c>
      <c r="F112" t="s">
        <v>542</v>
      </c>
      <c r="G112">
        <v>22777.16</v>
      </c>
      <c r="H112">
        <v>1521</v>
      </c>
      <c r="I112">
        <v>14.97</v>
      </c>
      <c r="J112">
        <v>3.0945999999999998</v>
      </c>
    </row>
    <row r="113" spans="1:10" x14ac:dyDescent="0.3">
      <c r="A113" t="s">
        <v>462</v>
      </c>
      <c r="B113" t="s">
        <v>192</v>
      </c>
      <c r="C113" s="25">
        <v>45747</v>
      </c>
      <c r="D113">
        <v>930605</v>
      </c>
      <c r="E113" t="s">
        <v>465</v>
      </c>
      <c r="F113" t="s">
        <v>542</v>
      </c>
      <c r="G113">
        <v>25118.6</v>
      </c>
      <c r="H113">
        <v>1992</v>
      </c>
      <c r="I113">
        <v>12.61</v>
      </c>
      <c r="J113">
        <v>3.0779000000000001</v>
      </c>
    </row>
    <row r="114" spans="1:10" x14ac:dyDescent="0.3">
      <c r="A114" t="s">
        <v>462</v>
      </c>
      <c r="B114" t="s">
        <v>192</v>
      </c>
      <c r="C114" s="25">
        <v>45777</v>
      </c>
      <c r="D114">
        <v>930605</v>
      </c>
      <c r="E114" t="s">
        <v>465</v>
      </c>
      <c r="F114" t="s">
        <v>542</v>
      </c>
      <c r="G114">
        <v>21498.19</v>
      </c>
      <c r="H114">
        <v>4267</v>
      </c>
      <c r="I114">
        <v>5.04</v>
      </c>
      <c r="J114">
        <v>2.8959000000000001</v>
      </c>
    </row>
    <row r="115" spans="1:10" x14ac:dyDescent="0.3">
      <c r="A115" t="s">
        <v>462</v>
      </c>
      <c r="B115" t="s">
        <v>192</v>
      </c>
      <c r="C115" s="25">
        <v>45808</v>
      </c>
      <c r="D115">
        <v>930605</v>
      </c>
      <c r="E115" t="s">
        <v>465</v>
      </c>
      <c r="F115" t="s">
        <v>542</v>
      </c>
      <c r="G115">
        <v>24875.94</v>
      </c>
      <c r="H115">
        <v>2692</v>
      </c>
      <c r="I115">
        <v>9.24</v>
      </c>
      <c r="J115">
        <v>3.1305000000000001</v>
      </c>
    </row>
    <row r="116" spans="1:10" x14ac:dyDescent="0.3">
      <c r="A116" t="s">
        <v>462</v>
      </c>
      <c r="B116" t="s">
        <v>192</v>
      </c>
      <c r="C116" s="25">
        <v>45838</v>
      </c>
      <c r="D116">
        <v>930605</v>
      </c>
      <c r="E116" t="s">
        <v>465</v>
      </c>
      <c r="F116" t="s">
        <v>542</v>
      </c>
      <c r="G116">
        <v>28359.759999999998</v>
      </c>
      <c r="H116">
        <v>13196</v>
      </c>
      <c r="I116">
        <v>2.15</v>
      </c>
      <c r="J116">
        <v>3.4559000000000002</v>
      </c>
    </row>
    <row r="117" spans="1:10" x14ac:dyDescent="0.3">
      <c r="A117" t="s">
        <v>462</v>
      </c>
      <c r="B117" t="s">
        <v>192</v>
      </c>
      <c r="C117" s="25">
        <v>45869</v>
      </c>
      <c r="D117">
        <v>930605</v>
      </c>
      <c r="E117" t="s">
        <v>465</v>
      </c>
      <c r="F117" t="s">
        <v>542</v>
      </c>
      <c r="G117">
        <v>29137.58</v>
      </c>
      <c r="H117">
        <v>1494</v>
      </c>
      <c r="I117">
        <v>19.510000000000002</v>
      </c>
      <c r="J117">
        <v>3.9662999999999999</v>
      </c>
    </row>
    <row r="118" spans="1:10" x14ac:dyDescent="0.3">
      <c r="A118" t="s">
        <v>462</v>
      </c>
      <c r="B118" t="s">
        <v>192</v>
      </c>
      <c r="C118" s="25">
        <v>45900</v>
      </c>
      <c r="D118">
        <v>930605</v>
      </c>
      <c r="E118" t="s">
        <v>465</v>
      </c>
      <c r="F118" t="s">
        <v>542</v>
      </c>
      <c r="G118">
        <v>24667.4</v>
      </c>
      <c r="H118">
        <v>2666</v>
      </c>
      <c r="I118">
        <v>9.25</v>
      </c>
      <c r="J118">
        <v>3.1597</v>
      </c>
    </row>
    <row r="119" spans="1:10" x14ac:dyDescent="0.3">
      <c r="A119" t="s">
        <v>462</v>
      </c>
      <c r="B119" t="s">
        <v>192</v>
      </c>
      <c r="C119" s="25">
        <v>45930</v>
      </c>
      <c r="D119">
        <v>930605</v>
      </c>
      <c r="E119" t="s">
        <v>465</v>
      </c>
      <c r="F119" t="s">
        <v>542</v>
      </c>
      <c r="G119">
        <v>34824.21</v>
      </c>
      <c r="H119">
        <v>13475</v>
      </c>
      <c r="I119">
        <v>2.58</v>
      </c>
      <c r="J119">
        <v>3.8329</v>
      </c>
    </row>
    <row r="120" spans="1:10" x14ac:dyDescent="0.3">
      <c r="A120" t="s">
        <v>462</v>
      </c>
      <c r="B120" t="s">
        <v>192</v>
      </c>
      <c r="C120" s="25">
        <v>45961</v>
      </c>
      <c r="D120">
        <v>930605</v>
      </c>
      <c r="E120" t="s">
        <v>465</v>
      </c>
      <c r="F120" t="s">
        <v>542</v>
      </c>
      <c r="G120">
        <v>31623.119999999999</v>
      </c>
      <c r="H120">
        <v>1728</v>
      </c>
      <c r="I120">
        <v>18.3</v>
      </c>
      <c r="J120">
        <v>4.0746000000000002</v>
      </c>
    </row>
    <row r="121" spans="1:10" x14ac:dyDescent="0.3">
      <c r="A121" t="s">
        <v>462</v>
      </c>
      <c r="B121" t="s">
        <v>192</v>
      </c>
      <c r="C121" s="25">
        <v>45991</v>
      </c>
      <c r="D121">
        <v>930605</v>
      </c>
      <c r="E121" t="s">
        <v>465</v>
      </c>
      <c r="F121" t="s">
        <v>542</v>
      </c>
      <c r="G121">
        <v>22039.41</v>
      </c>
      <c r="H121">
        <v>1620</v>
      </c>
      <c r="I121">
        <v>13.61</v>
      </c>
      <c r="J121">
        <v>2.5815000000000001</v>
      </c>
    </row>
    <row r="122" spans="1:10" x14ac:dyDescent="0.3">
      <c r="A122" t="s">
        <v>462</v>
      </c>
      <c r="B122" t="s">
        <v>192</v>
      </c>
      <c r="C122" s="25">
        <v>45657</v>
      </c>
      <c r="D122">
        <v>806797</v>
      </c>
      <c r="E122" t="s">
        <v>470</v>
      </c>
      <c r="F122" t="s">
        <v>541</v>
      </c>
      <c r="G122">
        <v>22105.96</v>
      </c>
      <c r="H122">
        <v>3846</v>
      </c>
      <c r="I122">
        <v>5.75</v>
      </c>
      <c r="J122">
        <v>2.9348000000000001</v>
      </c>
    </row>
    <row r="123" spans="1:10" x14ac:dyDescent="0.3">
      <c r="A123" t="s">
        <v>462</v>
      </c>
      <c r="B123" t="s">
        <v>192</v>
      </c>
      <c r="C123" s="25">
        <v>45688</v>
      </c>
      <c r="D123">
        <v>806797</v>
      </c>
      <c r="E123" t="s">
        <v>470</v>
      </c>
      <c r="F123" t="s">
        <v>541</v>
      </c>
      <c r="G123">
        <v>16893.080000000002</v>
      </c>
      <c r="H123">
        <v>1169</v>
      </c>
      <c r="I123">
        <v>14.45</v>
      </c>
      <c r="J123">
        <v>2.0247999999999999</v>
      </c>
    </row>
    <row r="124" spans="1:10" x14ac:dyDescent="0.3">
      <c r="A124" t="s">
        <v>462</v>
      </c>
      <c r="B124" t="s">
        <v>192</v>
      </c>
      <c r="C124" s="25">
        <v>45716</v>
      </c>
      <c r="D124">
        <v>806797</v>
      </c>
      <c r="E124" t="s">
        <v>470</v>
      </c>
      <c r="F124" t="s">
        <v>541</v>
      </c>
      <c r="G124">
        <v>25207.49</v>
      </c>
      <c r="H124">
        <v>1592</v>
      </c>
      <c r="I124">
        <v>15.83</v>
      </c>
      <c r="J124">
        <v>3.4247999999999998</v>
      </c>
    </row>
    <row r="125" spans="1:10" x14ac:dyDescent="0.3">
      <c r="A125" t="s">
        <v>462</v>
      </c>
      <c r="B125" t="s">
        <v>192</v>
      </c>
      <c r="C125" s="25">
        <v>45747</v>
      </c>
      <c r="D125">
        <v>806797</v>
      </c>
      <c r="E125" t="s">
        <v>470</v>
      </c>
      <c r="F125" t="s">
        <v>541</v>
      </c>
      <c r="G125">
        <v>27372.21</v>
      </c>
      <c r="H125">
        <v>2882</v>
      </c>
      <c r="I125">
        <v>9.5</v>
      </c>
      <c r="J125">
        <v>3.3540000000000001</v>
      </c>
    </row>
    <row r="126" spans="1:10" x14ac:dyDescent="0.3">
      <c r="A126" t="s">
        <v>462</v>
      </c>
      <c r="B126" t="s">
        <v>192</v>
      </c>
      <c r="C126" s="25">
        <v>45777</v>
      </c>
      <c r="D126">
        <v>806797</v>
      </c>
      <c r="E126" t="s">
        <v>470</v>
      </c>
      <c r="F126" t="s">
        <v>541</v>
      </c>
      <c r="G126">
        <v>19281.84</v>
      </c>
      <c r="H126">
        <v>3099</v>
      </c>
      <c r="I126">
        <v>6.22</v>
      </c>
      <c r="J126">
        <v>2.5973999999999999</v>
      </c>
    </row>
    <row r="127" spans="1:10" x14ac:dyDescent="0.3">
      <c r="A127" t="s">
        <v>462</v>
      </c>
      <c r="B127" t="s">
        <v>192</v>
      </c>
      <c r="C127" s="25">
        <v>45808</v>
      </c>
      <c r="D127">
        <v>806797</v>
      </c>
      <c r="E127" t="s">
        <v>470</v>
      </c>
      <c r="F127" t="s">
        <v>541</v>
      </c>
      <c r="G127">
        <v>21598.44</v>
      </c>
      <c r="H127">
        <v>4144</v>
      </c>
      <c r="I127">
        <v>5.21</v>
      </c>
      <c r="J127">
        <v>2.718</v>
      </c>
    </row>
    <row r="128" spans="1:10" x14ac:dyDescent="0.3">
      <c r="A128" t="s">
        <v>462</v>
      </c>
      <c r="B128" t="s">
        <v>192</v>
      </c>
      <c r="C128" s="25">
        <v>45838</v>
      </c>
      <c r="D128">
        <v>806797</v>
      </c>
      <c r="E128" t="s">
        <v>470</v>
      </c>
      <c r="F128" t="s">
        <v>541</v>
      </c>
      <c r="G128">
        <v>21766.23</v>
      </c>
      <c r="H128">
        <v>1124</v>
      </c>
      <c r="I128">
        <v>19.36</v>
      </c>
      <c r="J128">
        <v>2.6524000000000001</v>
      </c>
    </row>
    <row r="129" spans="1:10" x14ac:dyDescent="0.3">
      <c r="A129" t="s">
        <v>462</v>
      </c>
      <c r="B129" t="s">
        <v>192</v>
      </c>
      <c r="C129" s="25">
        <v>45869</v>
      </c>
      <c r="D129">
        <v>806797</v>
      </c>
      <c r="E129" t="s">
        <v>470</v>
      </c>
      <c r="F129" t="s">
        <v>541</v>
      </c>
      <c r="G129">
        <v>20891.02</v>
      </c>
      <c r="H129">
        <v>2231</v>
      </c>
      <c r="I129">
        <v>9.36</v>
      </c>
      <c r="J129">
        <v>2.8437000000000001</v>
      </c>
    </row>
    <row r="130" spans="1:10" x14ac:dyDescent="0.3">
      <c r="A130" t="s">
        <v>462</v>
      </c>
      <c r="B130" t="s">
        <v>192</v>
      </c>
      <c r="C130" s="25">
        <v>45900</v>
      </c>
      <c r="D130">
        <v>806797</v>
      </c>
      <c r="E130" t="s">
        <v>470</v>
      </c>
      <c r="F130" t="s">
        <v>541</v>
      </c>
      <c r="G130">
        <v>19481.82</v>
      </c>
      <c r="H130">
        <v>1661</v>
      </c>
      <c r="I130">
        <v>11.73</v>
      </c>
      <c r="J130">
        <v>2.4954999999999998</v>
      </c>
    </row>
    <row r="131" spans="1:10" x14ac:dyDescent="0.3">
      <c r="A131" t="s">
        <v>462</v>
      </c>
      <c r="B131" t="s">
        <v>192</v>
      </c>
      <c r="C131" s="25">
        <v>45930</v>
      </c>
      <c r="D131">
        <v>806797</v>
      </c>
      <c r="E131" t="s">
        <v>470</v>
      </c>
      <c r="F131" t="s">
        <v>541</v>
      </c>
      <c r="G131">
        <v>30634.79</v>
      </c>
      <c r="H131">
        <v>2980</v>
      </c>
      <c r="I131">
        <v>10.28</v>
      </c>
      <c r="J131">
        <v>3.3717999999999999</v>
      </c>
    </row>
    <row r="132" spans="1:10" x14ac:dyDescent="0.3">
      <c r="A132" t="s">
        <v>462</v>
      </c>
      <c r="B132" t="s">
        <v>192</v>
      </c>
      <c r="C132" s="25">
        <v>45961</v>
      </c>
      <c r="D132">
        <v>806797</v>
      </c>
      <c r="E132" t="s">
        <v>470</v>
      </c>
      <c r="F132" t="s">
        <v>541</v>
      </c>
      <c r="G132">
        <v>19127.169999999998</v>
      </c>
      <c r="H132">
        <v>1241</v>
      </c>
      <c r="I132">
        <v>15.41</v>
      </c>
      <c r="J132">
        <v>2.4645000000000001</v>
      </c>
    </row>
    <row r="133" spans="1:10" x14ac:dyDescent="0.3">
      <c r="A133" t="s">
        <v>462</v>
      </c>
      <c r="B133" t="s">
        <v>192</v>
      </c>
      <c r="C133" s="25">
        <v>45991</v>
      </c>
      <c r="D133">
        <v>806797</v>
      </c>
      <c r="E133" t="s">
        <v>470</v>
      </c>
      <c r="F133" t="s">
        <v>541</v>
      </c>
      <c r="G133">
        <v>22632.92</v>
      </c>
      <c r="H133">
        <v>3285</v>
      </c>
      <c r="I133">
        <v>6.89</v>
      </c>
      <c r="J133">
        <v>2.6509999999999998</v>
      </c>
    </row>
    <row r="134" spans="1:10" x14ac:dyDescent="0.3">
      <c r="A134" t="s">
        <v>462</v>
      </c>
      <c r="B134" t="s">
        <v>192</v>
      </c>
      <c r="C134" s="25">
        <v>45657</v>
      </c>
      <c r="D134">
        <v>683284</v>
      </c>
      <c r="E134" t="s">
        <v>469</v>
      </c>
      <c r="F134" t="s">
        <v>540</v>
      </c>
      <c r="G134">
        <v>17631.16</v>
      </c>
      <c r="H134">
        <v>1591</v>
      </c>
      <c r="I134">
        <v>11.08</v>
      </c>
      <c r="J134">
        <v>2.3407</v>
      </c>
    </row>
    <row r="135" spans="1:10" x14ac:dyDescent="0.3">
      <c r="A135" t="s">
        <v>462</v>
      </c>
      <c r="B135" t="s">
        <v>192</v>
      </c>
      <c r="C135" s="25">
        <v>45688</v>
      </c>
      <c r="D135">
        <v>683284</v>
      </c>
      <c r="E135" t="s">
        <v>469</v>
      </c>
      <c r="F135" t="s">
        <v>540</v>
      </c>
      <c r="G135">
        <v>19227.79</v>
      </c>
      <c r="H135">
        <v>16254</v>
      </c>
      <c r="I135">
        <v>1.18</v>
      </c>
      <c r="J135">
        <v>2.3046000000000002</v>
      </c>
    </row>
    <row r="136" spans="1:10" x14ac:dyDescent="0.3">
      <c r="A136" t="s">
        <v>462</v>
      </c>
      <c r="B136" t="s">
        <v>192</v>
      </c>
      <c r="C136" s="25">
        <v>45716</v>
      </c>
      <c r="D136">
        <v>683284</v>
      </c>
      <c r="E136" t="s">
        <v>469</v>
      </c>
      <c r="F136" t="s">
        <v>540</v>
      </c>
      <c r="G136">
        <v>15972.87</v>
      </c>
      <c r="H136">
        <v>3295</v>
      </c>
      <c r="I136">
        <v>4.8499999999999996</v>
      </c>
      <c r="J136">
        <v>2.1701999999999999</v>
      </c>
    </row>
    <row r="137" spans="1:10" x14ac:dyDescent="0.3">
      <c r="A137" t="s">
        <v>462</v>
      </c>
      <c r="B137" t="s">
        <v>192</v>
      </c>
      <c r="C137" s="25">
        <v>45747</v>
      </c>
      <c r="D137">
        <v>683284</v>
      </c>
      <c r="E137" t="s">
        <v>469</v>
      </c>
      <c r="F137" t="s">
        <v>540</v>
      </c>
      <c r="G137">
        <v>18619.43</v>
      </c>
      <c r="H137">
        <v>13709</v>
      </c>
      <c r="I137">
        <v>1.36</v>
      </c>
      <c r="J137">
        <v>2.2814999999999999</v>
      </c>
    </row>
    <row r="138" spans="1:10" x14ac:dyDescent="0.3">
      <c r="A138" t="s">
        <v>462</v>
      </c>
      <c r="B138" t="s">
        <v>192</v>
      </c>
      <c r="C138" s="25">
        <v>45777</v>
      </c>
      <c r="D138">
        <v>683284</v>
      </c>
      <c r="E138" t="s">
        <v>469</v>
      </c>
      <c r="F138" t="s">
        <v>540</v>
      </c>
      <c r="G138">
        <v>18289.509999999998</v>
      </c>
      <c r="H138">
        <v>1738</v>
      </c>
      <c r="I138">
        <v>10.52</v>
      </c>
      <c r="J138">
        <v>2.4636999999999998</v>
      </c>
    </row>
    <row r="139" spans="1:10" x14ac:dyDescent="0.3">
      <c r="A139" t="s">
        <v>462</v>
      </c>
      <c r="B139" t="s">
        <v>192</v>
      </c>
      <c r="C139" s="25">
        <v>45808</v>
      </c>
      <c r="D139">
        <v>683284</v>
      </c>
      <c r="E139" t="s">
        <v>469</v>
      </c>
      <c r="F139" t="s">
        <v>540</v>
      </c>
      <c r="G139">
        <v>22044.18</v>
      </c>
      <c r="H139">
        <v>1278</v>
      </c>
      <c r="I139">
        <v>17.25</v>
      </c>
      <c r="J139">
        <v>2.7740999999999998</v>
      </c>
    </row>
    <row r="140" spans="1:10" x14ac:dyDescent="0.3">
      <c r="A140" t="s">
        <v>462</v>
      </c>
      <c r="B140" t="s">
        <v>192</v>
      </c>
      <c r="C140" s="25">
        <v>45838</v>
      </c>
      <c r="D140">
        <v>683284</v>
      </c>
      <c r="E140" t="s">
        <v>469</v>
      </c>
      <c r="F140" t="s">
        <v>540</v>
      </c>
      <c r="G140">
        <v>20372.919999999998</v>
      </c>
      <c r="H140">
        <v>1234</v>
      </c>
      <c r="I140">
        <v>16.510000000000002</v>
      </c>
      <c r="J140">
        <v>2.4826999999999999</v>
      </c>
    </row>
    <row r="141" spans="1:10" x14ac:dyDescent="0.3">
      <c r="A141" t="s">
        <v>462</v>
      </c>
      <c r="B141" t="s">
        <v>192</v>
      </c>
      <c r="C141" s="25">
        <v>45869</v>
      </c>
      <c r="D141">
        <v>683284</v>
      </c>
      <c r="E141" t="s">
        <v>469</v>
      </c>
      <c r="F141" t="s">
        <v>540</v>
      </c>
      <c r="G141">
        <v>16489.759999999998</v>
      </c>
      <c r="H141">
        <v>1574</v>
      </c>
      <c r="I141">
        <v>10.47</v>
      </c>
      <c r="J141">
        <v>2.2446000000000002</v>
      </c>
    </row>
    <row r="142" spans="1:10" x14ac:dyDescent="0.3">
      <c r="A142" t="s">
        <v>462</v>
      </c>
      <c r="B142" t="s">
        <v>192</v>
      </c>
      <c r="C142" s="25">
        <v>45900</v>
      </c>
      <c r="D142">
        <v>683284</v>
      </c>
      <c r="E142" t="s">
        <v>469</v>
      </c>
      <c r="F142" t="s">
        <v>540</v>
      </c>
      <c r="G142">
        <v>18241.78</v>
      </c>
      <c r="H142">
        <v>1073</v>
      </c>
      <c r="I142">
        <v>17.010000000000002</v>
      </c>
      <c r="J142">
        <v>2.3365999999999998</v>
      </c>
    </row>
    <row r="143" spans="1:10" x14ac:dyDescent="0.3">
      <c r="A143" t="s">
        <v>462</v>
      </c>
      <c r="B143" t="s">
        <v>192</v>
      </c>
      <c r="C143" s="25">
        <v>45930</v>
      </c>
      <c r="D143">
        <v>683284</v>
      </c>
      <c r="E143" t="s">
        <v>469</v>
      </c>
      <c r="F143" t="s">
        <v>540</v>
      </c>
      <c r="G143">
        <v>25275.34</v>
      </c>
      <c r="H143">
        <v>5449</v>
      </c>
      <c r="I143">
        <v>4.6399999999999997</v>
      </c>
      <c r="J143">
        <v>2.7818999999999998</v>
      </c>
    </row>
    <row r="144" spans="1:10" x14ac:dyDescent="0.3">
      <c r="A144" t="s">
        <v>462</v>
      </c>
      <c r="B144" t="s">
        <v>192</v>
      </c>
      <c r="C144" s="25">
        <v>45961</v>
      </c>
      <c r="D144">
        <v>683284</v>
      </c>
      <c r="E144" t="s">
        <v>469</v>
      </c>
      <c r="F144" t="s">
        <v>540</v>
      </c>
      <c r="G144">
        <v>14420.99</v>
      </c>
      <c r="H144">
        <v>970</v>
      </c>
      <c r="I144">
        <v>14.86</v>
      </c>
      <c r="J144">
        <v>1.8581000000000001</v>
      </c>
    </row>
    <row r="145" spans="1:10" x14ac:dyDescent="0.3">
      <c r="A145" t="s">
        <v>462</v>
      </c>
      <c r="B145" t="s">
        <v>192</v>
      </c>
      <c r="C145" s="25">
        <v>45991</v>
      </c>
      <c r="D145">
        <v>683284</v>
      </c>
      <c r="E145" t="s">
        <v>469</v>
      </c>
      <c r="F145" t="s">
        <v>540</v>
      </c>
      <c r="G145">
        <v>19296.18</v>
      </c>
      <c r="H145">
        <v>5486</v>
      </c>
      <c r="I145">
        <v>3.52</v>
      </c>
      <c r="J145">
        <v>2.2602000000000002</v>
      </c>
    </row>
    <row r="146" spans="1:10" x14ac:dyDescent="0.3">
      <c r="A146" t="s">
        <v>462</v>
      </c>
      <c r="B146" t="s">
        <v>192</v>
      </c>
      <c r="C146" s="25">
        <v>45657</v>
      </c>
      <c r="D146">
        <v>962657</v>
      </c>
      <c r="E146" t="s">
        <v>464</v>
      </c>
      <c r="F146" t="s">
        <v>539</v>
      </c>
      <c r="G146">
        <v>13407.33</v>
      </c>
      <c r="H146">
        <v>743</v>
      </c>
      <c r="I146">
        <v>18.05</v>
      </c>
      <c r="J146">
        <v>1.7799</v>
      </c>
    </row>
    <row r="147" spans="1:10" x14ac:dyDescent="0.3">
      <c r="A147" t="s">
        <v>462</v>
      </c>
      <c r="B147" t="s">
        <v>192</v>
      </c>
      <c r="C147" s="25">
        <v>45688</v>
      </c>
      <c r="D147">
        <v>962657</v>
      </c>
      <c r="E147" t="s">
        <v>464</v>
      </c>
      <c r="F147" t="s">
        <v>539</v>
      </c>
      <c r="G147">
        <v>16975.25</v>
      </c>
      <c r="H147">
        <v>1065</v>
      </c>
      <c r="I147">
        <v>15.94</v>
      </c>
      <c r="J147">
        <v>2.0346000000000002</v>
      </c>
    </row>
    <row r="148" spans="1:10" x14ac:dyDescent="0.3">
      <c r="A148" t="s">
        <v>462</v>
      </c>
      <c r="B148" t="s">
        <v>192</v>
      </c>
      <c r="C148" s="25">
        <v>45716</v>
      </c>
      <c r="D148">
        <v>962657</v>
      </c>
      <c r="E148" t="s">
        <v>464</v>
      </c>
      <c r="F148" t="s">
        <v>539</v>
      </c>
      <c r="G148">
        <v>16948.13</v>
      </c>
      <c r="H148">
        <v>9618</v>
      </c>
      <c r="I148">
        <v>1.76</v>
      </c>
      <c r="J148">
        <v>2.3027000000000002</v>
      </c>
    </row>
    <row r="149" spans="1:10" x14ac:dyDescent="0.3">
      <c r="A149" t="s">
        <v>462</v>
      </c>
      <c r="B149" t="s">
        <v>192</v>
      </c>
      <c r="C149" s="25">
        <v>45747</v>
      </c>
      <c r="D149">
        <v>962657</v>
      </c>
      <c r="E149" t="s">
        <v>464</v>
      </c>
      <c r="F149" t="s">
        <v>539</v>
      </c>
      <c r="G149">
        <v>15193.73</v>
      </c>
      <c r="H149">
        <v>2162</v>
      </c>
      <c r="I149">
        <v>7.03</v>
      </c>
      <c r="J149">
        <v>1.8617999999999999</v>
      </c>
    </row>
    <row r="150" spans="1:10" x14ac:dyDescent="0.3">
      <c r="A150" t="s">
        <v>462</v>
      </c>
      <c r="B150" t="s">
        <v>192</v>
      </c>
      <c r="C150" s="25">
        <v>45777</v>
      </c>
      <c r="D150">
        <v>962657</v>
      </c>
      <c r="E150" t="s">
        <v>464</v>
      </c>
      <c r="F150" t="s">
        <v>539</v>
      </c>
      <c r="G150">
        <v>12711.15</v>
      </c>
      <c r="H150">
        <v>644</v>
      </c>
      <c r="I150">
        <v>19.739999999999998</v>
      </c>
      <c r="J150">
        <v>1.7122999999999999</v>
      </c>
    </row>
    <row r="151" spans="1:10" x14ac:dyDescent="0.3">
      <c r="A151" t="s">
        <v>462</v>
      </c>
      <c r="B151" t="s">
        <v>192</v>
      </c>
      <c r="C151" s="25">
        <v>45808</v>
      </c>
      <c r="D151">
        <v>962657</v>
      </c>
      <c r="E151" t="s">
        <v>464</v>
      </c>
      <c r="F151" t="s">
        <v>539</v>
      </c>
      <c r="G151">
        <v>15107.34</v>
      </c>
      <c r="H151">
        <v>6217</v>
      </c>
      <c r="I151">
        <v>2.4300000000000002</v>
      </c>
      <c r="J151">
        <v>1.9012</v>
      </c>
    </row>
    <row r="152" spans="1:10" x14ac:dyDescent="0.3">
      <c r="A152" t="s">
        <v>462</v>
      </c>
      <c r="B152" t="s">
        <v>192</v>
      </c>
      <c r="C152" s="25">
        <v>45838</v>
      </c>
      <c r="D152">
        <v>962657</v>
      </c>
      <c r="E152" t="s">
        <v>464</v>
      </c>
      <c r="F152" t="s">
        <v>539</v>
      </c>
      <c r="G152">
        <v>13452.8</v>
      </c>
      <c r="H152">
        <v>747</v>
      </c>
      <c r="I152">
        <v>18.010000000000002</v>
      </c>
      <c r="J152">
        <v>1.6394</v>
      </c>
    </row>
    <row r="153" spans="1:10" x14ac:dyDescent="0.3">
      <c r="A153" t="s">
        <v>462</v>
      </c>
      <c r="B153" t="s">
        <v>192</v>
      </c>
      <c r="C153" s="25">
        <v>45869</v>
      </c>
      <c r="D153">
        <v>962657</v>
      </c>
      <c r="E153" t="s">
        <v>464</v>
      </c>
      <c r="F153" t="s">
        <v>539</v>
      </c>
      <c r="G153">
        <v>15156.74</v>
      </c>
      <c r="H153">
        <v>991</v>
      </c>
      <c r="I153">
        <v>15.3</v>
      </c>
      <c r="J153">
        <v>2.0632000000000001</v>
      </c>
    </row>
    <row r="154" spans="1:10" x14ac:dyDescent="0.3">
      <c r="A154" t="s">
        <v>462</v>
      </c>
      <c r="B154" t="s">
        <v>192</v>
      </c>
      <c r="C154" s="25">
        <v>45900</v>
      </c>
      <c r="D154">
        <v>962657</v>
      </c>
      <c r="E154" t="s">
        <v>464</v>
      </c>
      <c r="F154" t="s">
        <v>539</v>
      </c>
      <c r="G154">
        <v>17218.54</v>
      </c>
      <c r="H154">
        <v>7963</v>
      </c>
      <c r="I154">
        <v>2.16</v>
      </c>
      <c r="J154">
        <v>2.2056</v>
      </c>
    </row>
    <row r="155" spans="1:10" x14ac:dyDescent="0.3">
      <c r="A155" t="s">
        <v>462</v>
      </c>
      <c r="B155" t="s">
        <v>192</v>
      </c>
      <c r="C155" s="25">
        <v>45930</v>
      </c>
      <c r="D155">
        <v>962657</v>
      </c>
      <c r="E155" t="s">
        <v>464</v>
      </c>
      <c r="F155" t="s">
        <v>539</v>
      </c>
      <c r="G155">
        <v>14702.52</v>
      </c>
      <c r="H155">
        <v>824</v>
      </c>
      <c r="I155">
        <v>17.84</v>
      </c>
      <c r="J155">
        <v>1.6182000000000001</v>
      </c>
    </row>
    <row r="156" spans="1:10" x14ac:dyDescent="0.3">
      <c r="A156" t="s">
        <v>462</v>
      </c>
      <c r="B156" t="s">
        <v>192</v>
      </c>
      <c r="C156" s="25">
        <v>45961</v>
      </c>
      <c r="D156">
        <v>962657</v>
      </c>
      <c r="E156" t="s">
        <v>464</v>
      </c>
      <c r="F156" t="s">
        <v>539</v>
      </c>
      <c r="G156">
        <v>12681.53</v>
      </c>
      <c r="H156">
        <v>750</v>
      </c>
      <c r="I156">
        <v>16.91</v>
      </c>
      <c r="J156">
        <v>1.6339999999999999</v>
      </c>
    </row>
    <row r="157" spans="1:10" x14ac:dyDescent="0.3">
      <c r="A157" t="s">
        <v>462</v>
      </c>
      <c r="B157" t="s">
        <v>192</v>
      </c>
      <c r="C157" s="25">
        <v>45991</v>
      </c>
      <c r="D157">
        <v>962657</v>
      </c>
      <c r="E157" t="s">
        <v>464</v>
      </c>
      <c r="F157" t="s">
        <v>539</v>
      </c>
      <c r="G157">
        <v>20523.490000000002</v>
      </c>
      <c r="H157">
        <v>4670</v>
      </c>
      <c r="I157">
        <v>4.3899999999999997</v>
      </c>
      <c r="J157">
        <v>2.4039000000000001</v>
      </c>
    </row>
    <row r="158" spans="1:10" x14ac:dyDescent="0.3">
      <c r="A158" t="s">
        <v>462</v>
      </c>
      <c r="B158" t="s">
        <v>192</v>
      </c>
      <c r="C158" s="25">
        <v>45657</v>
      </c>
      <c r="D158">
        <v>727404</v>
      </c>
      <c r="E158" t="s">
        <v>470</v>
      </c>
      <c r="F158" t="s">
        <v>538</v>
      </c>
      <c r="G158">
        <v>13521.44</v>
      </c>
      <c r="H158">
        <v>1982</v>
      </c>
      <c r="I158">
        <v>6.82</v>
      </c>
      <c r="J158">
        <v>1.7950999999999999</v>
      </c>
    </row>
    <row r="159" spans="1:10" x14ac:dyDescent="0.3">
      <c r="A159" t="s">
        <v>462</v>
      </c>
      <c r="B159" t="s">
        <v>192</v>
      </c>
      <c r="C159" s="25">
        <v>45688</v>
      </c>
      <c r="D159">
        <v>727404</v>
      </c>
      <c r="E159" t="s">
        <v>470</v>
      </c>
      <c r="F159" t="s">
        <v>538</v>
      </c>
      <c r="G159">
        <v>15399.04</v>
      </c>
      <c r="H159">
        <v>1938</v>
      </c>
      <c r="I159">
        <v>7.95</v>
      </c>
      <c r="J159">
        <v>1.8456999999999999</v>
      </c>
    </row>
    <row r="160" spans="1:10" x14ac:dyDescent="0.3">
      <c r="A160" t="s">
        <v>462</v>
      </c>
      <c r="B160" t="s">
        <v>192</v>
      </c>
      <c r="C160" s="25">
        <v>45716</v>
      </c>
      <c r="D160">
        <v>727404</v>
      </c>
      <c r="E160" t="s">
        <v>470</v>
      </c>
      <c r="F160" t="s">
        <v>538</v>
      </c>
      <c r="G160">
        <v>15019.56</v>
      </c>
      <c r="H160">
        <v>988</v>
      </c>
      <c r="I160">
        <v>15.2</v>
      </c>
      <c r="J160">
        <v>2.0406</v>
      </c>
    </row>
    <row r="161" spans="1:10" x14ac:dyDescent="0.3">
      <c r="A161" t="s">
        <v>462</v>
      </c>
      <c r="B161" t="s">
        <v>192</v>
      </c>
      <c r="C161" s="25">
        <v>45747</v>
      </c>
      <c r="D161">
        <v>727404</v>
      </c>
      <c r="E161" t="s">
        <v>470</v>
      </c>
      <c r="F161" t="s">
        <v>538</v>
      </c>
      <c r="G161">
        <v>19332.330000000002</v>
      </c>
      <c r="H161">
        <v>2625</v>
      </c>
      <c r="I161">
        <v>7.36</v>
      </c>
      <c r="J161">
        <v>2.3689</v>
      </c>
    </row>
    <row r="162" spans="1:10" x14ac:dyDescent="0.3">
      <c r="A162" t="s">
        <v>462</v>
      </c>
      <c r="B162" t="s">
        <v>192</v>
      </c>
      <c r="C162" s="25">
        <v>45777</v>
      </c>
      <c r="D162">
        <v>727404</v>
      </c>
      <c r="E162" t="s">
        <v>470</v>
      </c>
      <c r="F162" t="s">
        <v>538</v>
      </c>
      <c r="G162">
        <v>10258.69</v>
      </c>
      <c r="H162">
        <v>995</v>
      </c>
      <c r="I162">
        <v>10.31</v>
      </c>
      <c r="J162">
        <v>1.3818999999999999</v>
      </c>
    </row>
    <row r="163" spans="1:10" x14ac:dyDescent="0.3">
      <c r="A163" t="s">
        <v>462</v>
      </c>
      <c r="B163" t="s">
        <v>192</v>
      </c>
      <c r="C163" s="25">
        <v>45808</v>
      </c>
      <c r="D163">
        <v>727404</v>
      </c>
      <c r="E163" t="s">
        <v>470</v>
      </c>
      <c r="F163" t="s">
        <v>538</v>
      </c>
      <c r="G163">
        <v>18399.78</v>
      </c>
      <c r="H163">
        <v>1529</v>
      </c>
      <c r="I163">
        <v>12.03</v>
      </c>
      <c r="J163">
        <v>2.3155000000000001</v>
      </c>
    </row>
    <row r="164" spans="1:10" x14ac:dyDescent="0.3">
      <c r="A164" t="s">
        <v>462</v>
      </c>
      <c r="B164" t="s">
        <v>192</v>
      </c>
      <c r="C164" s="25">
        <v>45838</v>
      </c>
      <c r="D164">
        <v>727404</v>
      </c>
      <c r="E164" t="s">
        <v>470</v>
      </c>
      <c r="F164" t="s">
        <v>538</v>
      </c>
      <c r="G164">
        <v>12845.73</v>
      </c>
      <c r="H164">
        <v>1329</v>
      </c>
      <c r="I164">
        <v>9.67</v>
      </c>
      <c r="J164">
        <v>1.5653999999999999</v>
      </c>
    </row>
    <row r="165" spans="1:10" x14ac:dyDescent="0.3">
      <c r="A165" t="s">
        <v>462</v>
      </c>
      <c r="B165" t="s">
        <v>192</v>
      </c>
      <c r="C165" s="25">
        <v>45869</v>
      </c>
      <c r="D165">
        <v>727404</v>
      </c>
      <c r="E165" t="s">
        <v>470</v>
      </c>
      <c r="F165" t="s">
        <v>538</v>
      </c>
      <c r="G165">
        <v>9788.89</v>
      </c>
      <c r="H165">
        <v>2671</v>
      </c>
      <c r="I165">
        <v>3.66</v>
      </c>
      <c r="J165">
        <v>1.3325</v>
      </c>
    </row>
    <row r="166" spans="1:10" x14ac:dyDescent="0.3">
      <c r="A166" t="s">
        <v>462</v>
      </c>
      <c r="B166" t="s">
        <v>192</v>
      </c>
      <c r="C166" s="25">
        <v>45900</v>
      </c>
      <c r="D166">
        <v>727404</v>
      </c>
      <c r="E166" t="s">
        <v>470</v>
      </c>
      <c r="F166" t="s">
        <v>538</v>
      </c>
      <c r="G166">
        <v>17587.64</v>
      </c>
      <c r="H166">
        <v>1046</v>
      </c>
      <c r="I166">
        <v>16.82</v>
      </c>
      <c r="J166">
        <v>2.2528000000000001</v>
      </c>
    </row>
    <row r="167" spans="1:10" x14ac:dyDescent="0.3">
      <c r="A167" t="s">
        <v>462</v>
      </c>
      <c r="B167" t="s">
        <v>192</v>
      </c>
      <c r="C167" s="25">
        <v>45930</v>
      </c>
      <c r="D167">
        <v>727404</v>
      </c>
      <c r="E167" t="s">
        <v>470</v>
      </c>
      <c r="F167" t="s">
        <v>538</v>
      </c>
      <c r="G167">
        <v>16154.88</v>
      </c>
      <c r="H167">
        <v>2201</v>
      </c>
      <c r="I167">
        <v>7.34</v>
      </c>
      <c r="J167">
        <v>1.7781</v>
      </c>
    </row>
    <row r="168" spans="1:10" x14ac:dyDescent="0.3">
      <c r="A168" t="s">
        <v>462</v>
      </c>
      <c r="B168" t="s">
        <v>192</v>
      </c>
      <c r="C168" s="25">
        <v>45961</v>
      </c>
      <c r="D168">
        <v>727404</v>
      </c>
      <c r="E168" t="s">
        <v>470</v>
      </c>
      <c r="F168" t="s">
        <v>538</v>
      </c>
      <c r="G168">
        <v>17870.54</v>
      </c>
      <c r="H168">
        <v>2319</v>
      </c>
      <c r="I168">
        <v>7.71</v>
      </c>
      <c r="J168">
        <v>2.3026</v>
      </c>
    </row>
    <row r="169" spans="1:10" x14ac:dyDescent="0.3">
      <c r="A169" t="s">
        <v>462</v>
      </c>
      <c r="B169" t="s">
        <v>192</v>
      </c>
      <c r="C169" s="25">
        <v>45991</v>
      </c>
      <c r="D169">
        <v>727404</v>
      </c>
      <c r="E169" t="s">
        <v>470</v>
      </c>
      <c r="F169" t="s">
        <v>538</v>
      </c>
      <c r="G169">
        <v>17470.98</v>
      </c>
      <c r="H169">
        <v>2866</v>
      </c>
      <c r="I169">
        <v>6.1</v>
      </c>
      <c r="J169">
        <v>2.0464000000000002</v>
      </c>
    </row>
    <row r="170" spans="1:10" x14ac:dyDescent="0.3">
      <c r="A170" t="s">
        <v>462</v>
      </c>
      <c r="B170" t="s">
        <v>192</v>
      </c>
      <c r="C170" s="25">
        <v>45657</v>
      </c>
      <c r="D170">
        <v>764049</v>
      </c>
      <c r="E170" t="s">
        <v>468</v>
      </c>
      <c r="F170" t="s">
        <v>537</v>
      </c>
      <c r="G170">
        <v>12511.51</v>
      </c>
      <c r="H170">
        <v>1675</v>
      </c>
      <c r="I170">
        <v>7.47</v>
      </c>
      <c r="J170">
        <v>1.661</v>
      </c>
    </row>
    <row r="171" spans="1:10" x14ac:dyDescent="0.3">
      <c r="A171" t="s">
        <v>462</v>
      </c>
      <c r="B171" t="s">
        <v>192</v>
      </c>
      <c r="C171" s="25">
        <v>45688</v>
      </c>
      <c r="D171">
        <v>764049</v>
      </c>
      <c r="E171" t="s">
        <v>468</v>
      </c>
      <c r="F171" t="s">
        <v>537</v>
      </c>
      <c r="G171">
        <v>12214.59</v>
      </c>
      <c r="H171">
        <v>863</v>
      </c>
      <c r="I171">
        <v>14.16</v>
      </c>
      <c r="J171">
        <v>1.464</v>
      </c>
    </row>
    <row r="172" spans="1:10" x14ac:dyDescent="0.3">
      <c r="A172" t="s">
        <v>462</v>
      </c>
      <c r="B172" t="s">
        <v>192</v>
      </c>
      <c r="C172" s="25">
        <v>45716</v>
      </c>
      <c r="D172">
        <v>764049</v>
      </c>
      <c r="E172" t="s">
        <v>468</v>
      </c>
      <c r="F172" t="s">
        <v>537</v>
      </c>
      <c r="G172">
        <v>11250.06</v>
      </c>
      <c r="H172">
        <v>674</v>
      </c>
      <c r="I172">
        <v>16.68</v>
      </c>
      <c r="J172">
        <v>1.5285</v>
      </c>
    </row>
    <row r="173" spans="1:10" x14ac:dyDescent="0.3">
      <c r="A173" t="s">
        <v>462</v>
      </c>
      <c r="B173" t="s">
        <v>192</v>
      </c>
      <c r="C173" s="25">
        <v>45747</v>
      </c>
      <c r="D173">
        <v>764049</v>
      </c>
      <c r="E173" t="s">
        <v>468</v>
      </c>
      <c r="F173" t="s">
        <v>537</v>
      </c>
      <c r="G173">
        <v>15013.1</v>
      </c>
      <c r="H173">
        <v>1650</v>
      </c>
      <c r="I173">
        <v>9.1</v>
      </c>
      <c r="J173">
        <v>1.8395999999999999</v>
      </c>
    </row>
    <row r="174" spans="1:10" x14ac:dyDescent="0.3">
      <c r="A174" t="s">
        <v>462</v>
      </c>
      <c r="B174" t="s">
        <v>192</v>
      </c>
      <c r="C174" s="25">
        <v>45777</v>
      </c>
      <c r="D174">
        <v>764049</v>
      </c>
      <c r="E174" t="s">
        <v>468</v>
      </c>
      <c r="F174" t="s">
        <v>537</v>
      </c>
      <c r="G174">
        <v>12207.5</v>
      </c>
      <c r="H174">
        <v>1055</v>
      </c>
      <c r="I174">
        <v>11.58</v>
      </c>
      <c r="J174">
        <v>1.6444000000000001</v>
      </c>
    </row>
    <row r="175" spans="1:10" x14ac:dyDescent="0.3">
      <c r="A175" t="s">
        <v>462</v>
      </c>
      <c r="B175" t="s">
        <v>192</v>
      </c>
      <c r="C175" s="25">
        <v>45808</v>
      </c>
      <c r="D175">
        <v>764049</v>
      </c>
      <c r="E175" t="s">
        <v>468</v>
      </c>
      <c r="F175" t="s">
        <v>537</v>
      </c>
      <c r="G175">
        <v>10914.49</v>
      </c>
      <c r="H175">
        <v>585</v>
      </c>
      <c r="I175">
        <v>18.649999999999999</v>
      </c>
      <c r="J175">
        <v>1.3734999999999999</v>
      </c>
    </row>
    <row r="176" spans="1:10" x14ac:dyDescent="0.3">
      <c r="A176" t="s">
        <v>462</v>
      </c>
      <c r="B176" t="s">
        <v>192</v>
      </c>
      <c r="C176" s="25">
        <v>45838</v>
      </c>
      <c r="D176">
        <v>764049</v>
      </c>
      <c r="E176" t="s">
        <v>468</v>
      </c>
      <c r="F176" t="s">
        <v>537</v>
      </c>
      <c r="G176">
        <v>14301.89</v>
      </c>
      <c r="H176">
        <v>2106</v>
      </c>
      <c r="I176">
        <v>6.79</v>
      </c>
      <c r="J176">
        <v>1.7427999999999999</v>
      </c>
    </row>
    <row r="177" spans="1:10" x14ac:dyDescent="0.3">
      <c r="A177" t="s">
        <v>462</v>
      </c>
      <c r="B177" t="s">
        <v>192</v>
      </c>
      <c r="C177" s="25">
        <v>45869</v>
      </c>
      <c r="D177">
        <v>764049</v>
      </c>
      <c r="E177" t="s">
        <v>468</v>
      </c>
      <c r="F177" t="s">
        <v>537</v>
      </c>
      <c r="G177">
        <v>13211.55</v>
      </c>
      <c r="H177">
        <v>1710</v>
      </c>
      <c r="I177">
        <v>7.73</v>
      </c>
      <c r="J177">
        <v>1.7984</v>
      </c>
    </row>
    <row r="178" spans="1:10" x14ac:dyDescent="0.3">
      <c r="A178" t="s">
        <v>462</v>
      </c>
      <c r="B178" t="s">
        <v>192</v>
      </c>
      <c r="C178" s="25">
        <v>45900</v>
      </c>
      <c r="D178">
        <v>764049</v>
      </c>
      <c r="E178" t="s">
        <v>468</v>
      </c>
      <c r="F178" t="s">
        <v>537</v>
      </c>
      <c r="G178">
        <v>12169.25</v>
      </c>
      <c r="H178">
        <v>711</v>
      </c>
      <c r="I178">
        <v>17.12</v>
      </c>
      <c r="J178">
        <v>1.5588</v>
      </c>
    </row>
    <row r="179" spans="1:10" x14ac:dyDescent="0.3">
      <c r="A179" t="s">
        <v>462</v>
      </c>
      <c r="B179" t="s">
        <v>192</v>
      </c>
      <c r="C179" s="25">
        <v>45930</v>
      </c>
      <c r="D179">
        <v>764049</v>
      </c>
      <c r="E179" t="s">
        <v>468</v>
      </c>
      <c r="F179" t="s">
        <v>537</v>
      </c>
      <c r="G179">
        <v>13287.89</v>
      </c>
      <c r="H179">
        <v>9145</v>
      </c>
      <c r="I179">
        <v>1.45</v>
      </c>
      <c r="J179">
        <v>1.4624999999999999</v>
      </c>
    </row>
    <row r="180" spans="1:10" x14ac:dyDescent="0.3">
      <c r="A180" t="s">
        <v>462</v>
      </c>
      <c r="B180" t="s">
        <v>192</v>
      </c>
      <c r="C180" s="25">
        <v>45961</v>
      </c>
      <c r="D180">
        <v>764049</v>
      </c>
      <c r="E180" t="s">
        <v>468</v>
      </c>
      <c r="F180" t="s">
        <v>537</v>
      </c>
      <c r="G180">
        <v>14671.57</v>
      </c>
      <c r="H180">
        <v>815</v>
      </c>
      <c r="I180">
        <v>18</v>
      </c>
      <c r="J180">
        <v>1.8904000000000001</v>
      </c>
    </row>
    <row r="181" spans="1:10" x14ac:dyDescent="0.3">
      <c r="A181" t="s">
        <v>462</v>
      </c>
      <c r="B181" t="s">
        <v>192</v>
      </c>
      <c r="C181" s="25">
        <v>45991</v>
      </c>
      <c r="D181">
        <v>764049</v>
      </c>
      <c r="E181" t="s">
        <v>468</v>
      </c>
      <c r="F181" t="s">
        <v>537</v>
      </c>
      <c r="G181">
        <v>14921.84</v>
      </c>
      <c r="H181">
        <v>4988</v>
      </c>
      <c r="I181">
        <v>2.99</v>
      </c>
      <c r="J181">
        <v>1.7478</v>
      </c>
    </row>
    <row r="182" spans="1:10" x14ac:dyDescent="0.3">
      <c r="A182" t="s">
        <v>462</v>
      </c>
      <c r="B182" t="s">
        <v>192</v>
      </c>
      <c r="C182" s="25">
        <v>45657</v>
      </c>
      <c r="D182">
        <v>433219</v>
      </c>
      <c r="E182" t="s">
        <v>470</v>
      </c>
      <c r="F182" t="s">
        <v>536</v>
      </c>
      <c r="G182">
        <v>12604.07</v>
      </c>
      <c r="H182">
        <v>11228</v>
      </c>
      <c r="I182">
        <v>1.1200000000000001</v>
      </c>
      <c r="J182">
        <v>1.6733</v>
      </c>
    </row>
    <row r="183" spans="1:10" x14ac:dyDescent="0.3">
      <c r="A183" t="s">
        <v>462</v>
      </c>
      <c r="B183" t="s">
        <v>192</v>
      </c>
      <c r="C183" s="25">
        <v>45688</v>
      </c>
      <c r="D183">
        <v>433219</v>
      </c>
      <c r="E183" t="s">
        <v>470</v>
      </c>
      <c r="F183" t="s">
        <v>536</v>
      </c>
      <c r="G183">
        <v>9194.7800000000007</v>
      </c>
      <c r="H183">
        <v>538</v>
      </c>
      <c r="I183">
        <v>17.09</v>
      </c>
      <c r="J183">
        <v>1.1021000000000001</v>
      </c>
    </row>
    <row r="184" spans="1:10" x14ac:dyDescent="0.3">
      <c r="A184" t="s">
        <v>462</v>
      </c>
      <c r="B184" t="s">
        <v>192</v>
      </c>
      <c r="C184" s="25">
        <v>45716</v>
      </c>
      <c r="D184">
        <v>433219</v>
      </c>
      <c r="E184" t="s">
        <v>470</v>
      </c>
      <c r="F184" t="s">
        <v>536</v>
      </c>
      <c r="G184">
        <v>11513.29</v>
      </c>
      <c r="H184">
        <v>1415</v>
      </c>
      <c r="I184">
        <v>8.1300000000000008</v>
      </c>
      <c r="J184">
        <v>1.5643</v>
      </c>
    </row>
    <row r="185" spans="1:10" x14ac:dyDescent="0.3">
      <c r="A185" t="s">
        <v>462</v>
      </c>
      <c r="B185" t="s">
        <v>192</v>
      </c>
      <c r="C185" s="25">
        <v>45747</v>
      </c>
      <c r="D185">
        <v>433219</v>
      </c>
      <c r="E185" t="s">
        <v>470</v>
      </c>
      <c r="F185" t="s">
        <v>536</v>
      </c>
      <c r="G185">
        <v>12233.86</v>
      </c>
      <c r="H185">
        <v>848</v>
      </c>
      <c r="I185">
        <v>14.43</v>
      </c>
      <c r="J185">
        <v>1.4991000000000001</v>
      </c>
    </row>
    <row r="186" spans="1:10" x14ac:dyDescent="0.3">
      <c r="A186" t="s">
        <v>462</v>
      </c>
      <c r="B186" t="s">
        <v>192</v>
      </c>
      <c r="C186" s="25">
        <v>45777</v>
      </c>
      <c r="D186">
        <v>433219</v>
      </c>
      <c r="E186" t="s">
        <v>470</v>
      </c>
      <c r="F186" t="s">
        <v>536</v>
      </c>
      <c r="G186">
        <v>12080.32</v>
      </c>
      <c r="H186">
        <v>1626</v>
      </c>
      <c r="I186">
        <v>7.43</v>
      </c>
      <c r="J186">
        <v>1.6273</v>
      </c>
    </row>
    <row r="187" spans="1:10" x14ac:dyDescent="0.3">
      <c r="A187" t="s">
        <v>462</v>
      </c>
      <c r="B187" t="s">
        <v>192</v>
      </c>
      <c r="C187" s="25">
        <v>45808</v>
      </c>
      <c r="D187">
        <v>433219</v>
      </c>
      <c r="E187" t="s">
        <v>470</v>
      </c>
      <c r="F187" t="s">
        <v>536</v>
      </c>
      <c r="G187">
        <v>14061.82</v>
      </c>
      <c r="H187">
        <v>7280</v>
      </c>
      <c r="I187">
        <v>1.93</v>
      </c>
      <c r="J187">
        <v>1.7696000000000001</v>
      </c>
    </row>
    <row r="188" spans="1:10" x14ac:dyDescent="0.3">
      <c r="A188" t="s">
        <v>462</v>
      </c>
      <c r="B188" t="s">
        <v>192</v>
      </c>
      <c r="C188" s="25">
        <v>45838</v>
      </c>
      <c r="D188">
        <v>433219</v>
      </c>
      <c r="E188" t="s">
        <v>470</v>
      </c>
      <c r="F188" t="s">
        <v>536</v>
      </c>
      <c r="G188">
        <v>9958.34</v>
      </c>
      <c r="H188">
        <v>2040</v>
      </c>
      <c r="I188">
        <v>4.88</v>
      </c>
      <c r="J188">
        <v>1.2135</v>
      </c>
    </row>
    <row r="189" spans="1:10" x14ac:dyDescent="0.3">
      <c r="A189" t="s">
        <v>462</v>
      </c>
      <c r="B189" t="s">
        <v>192</v>
      </c>
      <c r="C189" s="25">
        <v>45869</v>
      </c>
      <c r="D189">
        <v>433219</v>
      </c>
      <c r="E189" t="s">
        <v>470</v>
      </c>
      <c r="F189" t="s">
        <v>536</v>
      </c>
      <c r="G189">
        <v>12013.5</v>
      </c>
      <c r="H189">
        <v>3312</v>
      </c>
      <c r="I189">
        <v>3.63</v>
      </c>
      <c r="J189">
        <v>1.6353</v>
      </c>
    </row>
    <row r="190" spans="1:10" x14ac:dyDescent="0.3">
      <c r="A190" t="s">
        <v>462</v>
      </c>
      <c r="B190" t="s">
        <v>192</v>
      </c>
      <c r="C190" s="25">
        <v>45900</v>
      </c>
      <c r="D190">
        <v>433219</v>
      </c>
      <c r="E190" t="s">
        <v>470</v>
      </c>
      <c r="F190" t="s">
        <v>536</v>
      </c>
      <c r="G190">
        <v>12008.58</v>
      </c>
      <c r="H190">
        <v>2974</v>
      </c>
      <c r="I190">
        <v>4.04</v>
      </c>
      <c r="J190">
        <v>1.5382</v>
      </c>
    </row>
    <row r="191" spans="1:10" x14ac:dyDescent="0.3">
      <c r="A191" t="s">
        <v>462</v>
      </c>
      <c r="B191" t="s">
        <v>192</v>
      </c>
      <c r="C191" s="25">
        <v>45930</v>
      </c>
      <c r="D191">
        <v>433219</v>
      </c>
      <c r="E191" t="s">
        <v>470</v>
      </c>
      <c r="F191" t="s">
        <v>536</v>
      </c>
      <c r="G191">
        <v>17087.990000000002</v>
      </c>
      <c r="H191">
        <v>2350</v>
      </c>
      <c r="I191">
        <v>7.27</v>
      </c>
      <c r="J191">
        <v>1.8808</v>
      </c>
    </row>
    <row r="192" spans="1:10" x14ac:dyDescent="0.3">
      <c r="A192" t="s">
        <v>462</v>
      </c>
      <c r="B192" t="s">
        <v>192</v>
      </c>
      <c r="C192" s="25">
        <v>45961</v>
      </c>
      <c r="D192">
        <v>433219</v>
      </c>
      <c r="E192" t="s">
        <v>470</v>
      </c>
      <c r="F192" t="s">
        <v>536</v>
      </c>
      <c r="G192">
        <v>12330.52</v>
      </c>
      <c r="H192">
        <v>1681</v>
      </c>
      <c r="I192">
        <v>7.33</v>
      </c>
      <c r="J192">
        <v>1.5888</v>
      </c>
    </row>
    <row r="193" spans="1:10" x14ac:dyDescent="0.3">
      <c r="A193" t="s">
        <v>462</v>
      </c>
      <c r="B193" t="s">
        <v>192</v>
      </c>
      <c r="C193" s="25">
        <v>45991</v>
      </c>
      <c r="D193">
        <v>433219</v>
      </c>
      <c r="E193" t="s">
        <v>470</v>
      </c>
      <c r="F193" t="s">
        <v>536</v>
      </c>
      <c r="G193">
        <v>11268.42</v>
      </c>
      <c r="H193">
        <v>7773</v>
      </c>
      <c r="I193">
        <v>1.45</v>
      </c>
      <c r="J193">
        <v>1.3199000000000001</v>
      </c>
    </row>
    <row r="194" spans="1:10" x14ac:dyDescent="0.3">
      <c r="A194" t="s">
        <v>462</v>
      </c>
      <c r="B194" t="s">
        <v>192</v>
      </c>
      <c r="C194" s="25">
        <v>45657</v>
      </c>
      <c r="D194">
        <v>503424</v>
      </c>
      <c r="E194" t="s">
        <v>466</v>
      </c>
      <c r="F194" t="s">
        <v>535</v>
      </c>
      <c r="G194">
        <v>11327.22</v>
      </c>
      <c r="H194">
        <v>2554</v>
      </c>
      <c r="I194">
        <v>4.43</v>
      </c>
      <c r="J194">
        <v>1.5038</v>
      </c>
    </row>
    <row r="195" spans="1:10" x14ac:dyDescent="0.3">
      <c r="A195" t="s">
        <v>462</v>
      </c>
      <c r="B195" t="s">
        <v>192</v>
      </c>
      <c r="C195" s="25">
        <v>45688</v>
      </c>
      <c r="D195">
        <v>503424</v>
      </c>
      <c r="E195" t="s">
        <v>466</v>
      </c>
      <c r="F195" t="s">
        <v>535</v>
      </c>
      <c r="G195">
        <v>11886.5</v>
      </c>
      <c r="H195">
        <v>621</v>
      </c>
      <c r="I195">
        <v>19.149999999999999</v>
      </c>
      <c r="J195">
        <v>1.4247000000000001</v>
      </c>
    </row>
    <row r="196" spans="1:10" x14ac:dyDescent="0.3">
      <c r="A196" t="s">
        <v>462</v>
      </c>
      <c r="B196" t="s">
        <v>192</v>
      </c>
      <c r="C196" s="25">
        <v>45716</v>
      </c>
      <c r="D196">
        <v>503424</v>
      </c>
      <c r="E196" t="s">
        <v>466</v>
      </c>
      <c r="F196" t="s">
        <v>535</v>
      </c>
      <c r="G196">
        <v>11572.73</v>
      </c>
      <c r="H196">
        <v>858</v>
      </c>
      <c r="I196">
        <v>13.48</v>
      </c>
      <c r="J196">
        <v>1.5723</v>
      </c>
    </row>
    <row r="197" spans="1:10" x14ac:dyDescent="0.3">
      <c r="A197" t="s">
        <v>462</v>
      </c>
      <c r="B197" t="s">
        <v>192</v>
      </c>
      <c r="C197" s="25">
        <v>45747</v>
      </c>
      <c r="D197">
        <v>503424</v>
      </c>
      <c r="E197" t="s">
        <v>466</v>
      </c>
      <c r="F197" t="s">
        <v>535</v>
      </c>
      <c r="G197">
        <v>12529.83</v>
      </c>
      <c r="H197">
        <v>3867</v>
      </c>
      <c r="I197">
        <v>3.24</v>
      </c>
      <c r="J197">
        <v>1.5353000000000001</v>
      </c>
    </row>
    <row r="198" spans="1:10" x14ac:dyDescent="0.3">
      <c r="A198" t="s">
        <v>462</v>
      </c>
      <c r="B198" t="s">
        <v>192</v>
      </c>
      <c r="C198" s="25">
        <v>45777</v>
      </c>
      <c r="D198">
        <v>503424</v>
      </c>
      <c r="E198" t="s">
        <v>466</v>
      </c>
      <c r="F198" t="s">
        <v>535</v>
      </c>
      <c r="G198">
        <v>11865.14</v>
      </c>
      <c r="H198">
        <v>2230</v>
      </c>
      <c r="I198">
        <v>5.32</v>
      </c>
      <c r="J198">
        <v>1.5983000000000001</v>
      </c>
    </row>
    <row r="199" spans="1:10" x14ac:dyDescent="0.3">
      <c r="A199" t="s">
        <v>462</v>
      </c>
      <c r="B199" t="s">
        <v>192</v>
      </c>
      <c r="C199" s="25">
        <v>45808</v>
      </c>
      <c r="D199">
        <v>503424</v>
      </c>
      <c r="E199" t="s">
        <v>466</v>
      </c>
      <c r="F199" t="s">
        <v>535</v>
      </c>
      <c r="G199">
        <v>12620.35</v>
      </c>
      <c r="H199">
        <v>771</v>
      </c>
      <c r="I199">
        <v>16.36</v>
      </c>
      <c r="J199">
        <v>1.5882000000000001</v>
      </c>
    </row>
    <row r="200" spans="1:10" x14ac:dyDescent="0.3">
      <c r="A200" t="s">
        <v>462</v>
      </c>
      <c r="B200" t="s">
        <v>192</v>
      </c>
      <c r="C200" s="25">
        <v>45838</v>
      </c>
      <c r="D200">
        <v>503424</v>
      </c>
      <c r="E200" t="s">
        <v>466</v>
      </c>
      <c r="F200" t="s">
        <v>535</v>
      </c>
      <c r="G200">
        <v>11565.91</v>
      </c>
      <c r="H200">
        <v>591</v>
      </c>
      <c r="I200">
        <v>19.559999999999999</v>
      </c>
      <c r="J200">
        <v>1.4094</v>
      </c>
    </row>
    <row r="201" spans="1:10" x14ac:dyDescent="0.3">
      <c r="A201" t="s">
        <v>462</v>
      </c>
      <c r="B201" t="s">
        <v>192</v>
      </c>
      <c r="C201" s="25">
        <v>45869</v>
      </c>
      <c r="D201">
        <v>503424</v>
      </c>
      <c r="E201" t="s">
        <v>466</v>
      </c>
      <c r="F201" t="s">
        <v>535</v>
      </c>
      <c r="G201">
        <v>8109.48</v>
      </c>
      <c r="H201">
        <v>1269</v>
      </c>
      <c r="I201">
        <v>6.39</v>
      </c>
      <c r="J201">
        <v>1.1039000000000001</v>
      </c>
    </row>
    <row r="202" spans="1:10" x14ac:dyDescent="0.3">
      <c r="A202" t="s">
        <v>462</v>
      </c>
      <c r="B202" t="s">
        <v>192</v>
      </c>
      <c r="C202" s="25">
        <v>45900</v>
      </c>
      <c r="D202">
        <v>503424</v>
      </c>
      <c r="E202" t="s">
        <v>466</v>
      </c>
      <c r="F202" t="s">
        <v>535</v>
      </c>
      <c r="G202">
        <v>11047.19</v>
      </c>
      <c r="H202">
        <v>3535</v>
      </c>
      <c r="I202">
        <v>3.12</v>
      </c>
      <c r="J202">
        <v>1.4151</v>
      </c>
    </row>
    <row r="203" spans="1:10" x14ac:dyDescent="0.3">
      <c r="A203" t="s">
        <v>462</v>
      </c>
      <c r="B203" t="s">
        <v>192</v>
      </c>
      <c r="C203" s="25">
        <v>45930</v>
      </c>
      <c r="D203">
        <v>503424</v>
      </c>
      <c r="E203" t="s">
        <v>466</v>
      </c>
      <c r="F203" t="s">
        <v>535</v>
      </c>
      <c r="G203">
        <v>13755.2</v>
      </c>
      <c r="H203">
        <v>3298</v>
      </c>
      <c r="I203">
        <v>4.17</v>
      </c>
      <c r="J203">
        <v>1.5139</v>
      </c>
    </row>
    <row r="204" spans="1:10" x14ac:dyDescent="0.3">
      <c r="A204" t="s">
        <v>462</v>
      </c>
      <c r="B204" t="s">
        <v>192</v>
      </c>
      <c r="C204" s="25">
        <v>45961</v>
      </c>
      <c r="D204">
        <v>503424</v>
      </c>
      <c r="E204" t="s">
        <v>466</v>
      </c>
      <c r="F204" t="s">
        <v>535</v>
      </c>
      <c r="G204">
        <v>11308.41</v>
      </c>
      <c r="H204">
        <v>1058</v>
      </c>
      <c r="I204">
        <v>10.69</v>
      </c>
      <c r="J204">
        <v>1.4571000000000001</v>
      </c>
    </row>
    <row r="205" spans="1:10" x14ac:dyDescent="0.3">
      <c r="A205" t="s">
        <v>462</v>
      </c>
      <c r="B205" t="s">
        <v>192</v>
      </c>
      <c r="C205" s="25">
        <v>45991</v>
      </c>
      <c r="D205">
        <v>503424</v>
      </c>
      <c r="E205" t="s">
        <v>466</v>
      </c>
      <c r="F205" t="s">
        <v>535</v>
      </c>
      <c r="G205">
        <v>16062.79</v>
      </c>
      <c r="H205">
        <v>944</v>
      </c>
      <c r="I205">
        <v>17.02</v>
      </c>
      <c r="J205">
        <v>1.8815</v>
      </c>
    </row>
    <row r="206" spans="1:10" x14ac:dyDescent="0.3">
      <c r="A206" t="s">
        <v>462</v>
      </c>
      <c r="B206" t="s">
        <v>192</v>
      </c>
      <c r="C206" s="25">
        <v>45657</v>
      </c>
      <c r="D206">
        <v>676843</v>
      </c>
      <c r="E206" t="s">
        <v>468</v>
      </c>
      <c r="F206" t="s">
        <v>534</v>
      </c>
      <c r="G206">
        <v>6122</v>
      </c>
      <c r="H206">
        <v>4420</v>
      </c>
      <c r="I206">
        <v>1.39</v>
      </c>
      <c r="J206">
        <v>0.81279999999999997</v>
      </c>
    </row>
    <row r="207" spans="1:10" x14ac:dyDescent="0.3">
      <c r="A207" t="s">
        <v>462</v>
      </c>
      <c r="B207" t="s">
        <v>192</v>
      </c>
      <c r="C207" s="25">
        <v>45688</v>
      </c>
      <c r="D207">
        <v>676843</v>
      </c>
      <c r="E207" t="s">
        <v>468</v>
      </c>
      <c r="F207" t="s">
        <v>534</v>
      </c>
      <c r="G207">
        <v>7757.52</v>
      </c>
      <c r="H207">
        <v>577</v>
      </c>
      <c r="I207">
        <v>13.44</v>
      </c>
      <c r="J207">
        <v>0.92979999999999996</v>
      </c>
    </row>
    <row r="208" spans="1:10" x14ac:dyDescent="0.3">
      <c r="A208" t="s">
        <v>462</v>
      </c>
      <c r="B208" t="s">
        <v>192</v>
      </c>
      <c r="C208" s="25">
        <v>45716</v>
      </c>
      <c r="D208">
        <v>676843</v>
      </c>
      <c r="E208" t="s">
        <v>468</v>
      </c>
      <c r="F208" t="s">
        <v>534</v>
      </c>
      <c r="G208">
        <v>5868.39</v>
      </c>
      <c r="H208">
        <v>296</v>
      </c>
      <c r="I208">
        <v>19.86</v>
      </c>
      <c r="J208">
        <v>0.79730000000000001</v>
      </c>
    </row>
    <row r="209" spans="1:10" x14ac:dyDescent="0.3">
      <c r="A209" t="s">
        <v>462</v>
      </c>
      <c r="B209" t="s">
        <v>192</v>
      </c>
      <c r="C209" s="25">
        <v>45747</v>
      </c>
      <c r="D209">
        <v>676843</v>
      </c>
      <c r="E209" t="s">
        <v>468</v>
      </c>
      <c r="F209" t="s">
        <v>534</v>
      </c>
      <c r="G209">
        <v>7194.46</v>
      </c>
      <c r="H209">
        <v>1387</v>
      </c>
      <c r="I209">
        <v>5.19</v>
      </c>
      <c r="J209">
        <v>0.88160000000000005</v>
      </c>
    </row>
    <row r="210" spans="1:10" x14ac:dyDescent="0.3">
      <c r="A210" t="s">
        <v>462</v>
      </c>
      <c r="B210" t="s">
        <v>192</v>
      </c>
      <c r="C210" s="25">
        <v>45777</v>
      </c>
      <c r="D210">
        <v>676843</v>
      </c>
      <c r="E210" t="s">
        <v>468</v>
      </c>
      <c r="F210" t="s">
        <v>534</v>
      </c>
      <c r="G210">
        <v>7264.36</v>
      </c>
      <c r="H210">
        <v>674</v>
      </c>
      <c r="I210">
        <v>10.78</v>
      </c>
      <c r="J210">
        <v>0.97850000000000004</v>
      </c>
    </row>
    <row r="211" spans="1:10" x14ac:dyDescent="0.3">
      <c r="A211" t="s">
        <v>462</v>
      </c>
      <c r="B211" t="s">
        <v>192</v>
      </c>
      <c r="C211" s="25">
        <v>45808</v>
      </c>
      <c r="D211">
        <v>676843</v>
      </c>
      <c r="E211" t="s">
        <v>468</v>
      </c>
      <c r="F211" t="s">
        <v>534</v>
      </c>
      <c r="G211">
        <v>10216.33</v>
      </c>
      <c r="H211">
        <v>1618</v>
      </c>
      <c r="I211">
        <v>6.32</v>
      </c>
      <c r="J211">
        <v>1.2857000000000001</v>
      </c>
    </row>
    <row r="212" spans="1:10" x14ac:dyDescent="0.3">
      <c r="A212" t="s">
        <v>462</v>
      </c>
      <c r="B212" t="s">
        <v>192</v>
      </c>
      <c r="C212" s="25">
        <v>45838</v>
      </c>
      <c r="D212">
        <v>676843</v>
      </c>
      <c r="E212" t="s">
        <v>468</v>
      </c>
      <c r="F212" t="s">
        <v>534</v>
      </c>
      <c r="G212">
        <v>7453.64</v>
      </c>
      <c r="H212">
        <v>941</v>
      </c>
      <c r="I212">
        <v>7.92</v>
      </c>
      <c r="J212">
        <v>0.9083</v>
      </c>
    </row>
    <row r="213" spans="1:10" x14ac:dyDescent="0.3">
      <c r="A213" t="s">
        <v>462</v>
      </c>
      <c r="B213" t="s">
        <v>192</v>
      </c>
      <c r="C213" s="25">
        <v>45869</v>
      </c>
      <c r="D213">
        <v>676843</v>
      </c>
      <c r="E213" t="s">
        <v>468</v>
      </c>
      <c r="F213" t="s">
        <v>534</v>
      </c>
      <c r="G213">
        <v>7494.44</v>
      </c>
      <c r="H213">
        <v>432</v>
      </c>
      <c r="I213">
        <v>17.34</v>
      </c>
      <c r="J213">
        <v>1.0202</v>
      </c>
    </row>
    <row r="214" spans="1:10" x14ac:dyDescent="0.3">
      <c r="A214" t="s">
        <v>462</v>
      </c>
      <c r="B214" t="s">
        <v>192</v>
      </c>
      <c r="C214" s="25">
        <v>45900</v>
      </c>
      <c r="D214">
        <v>676843</v>
      </c>
      <c r="E214" t="s">
        <v>468</v>
      </c>
      <c r="F214" t="s">
        <v>534</v>
      </c>
      <c r="G214">
        <v>7212.83</v>
      </c>
      <c r="H214">
        <v>801</v>
      </c>
      <c r="I214">
        <v>9</v>
      </c>
      <c r="J214">
        <v>0.92390000000000005</v>
      </c>
    </row>
    <row r="215" spans="1:10" x14ac:dyDescent="0.3">
      <c r="A215" t="s">
        <v>462</v>
      </c>
      <c r="B215" t="s">
        <v>192</v>
      </c>
      <c r="C215" s="25">
        <v>45930</v>
      </c>
      <c r="D215">
        <v>676843</v>
      </c>
      <c r="E215" t="s">
        <v>468</v>
      </c>
      <c r="F215" t="s">
        <v>534</v>
      </c>
      <c r="G215">
        <v>11381.87</v>
      </c>
      <c r="H215">
        <v>1317</v>
      </c>
      <c r="I215">
        <v>8.64</v>
      </c>
      <c r="J215">
        <v>1.2526999999999999</v>
      </c>
    </row>
    <row r="216" spans="1:10" x14ac:dyDescent="0.3">
      <c r="A216" t="s">
        <v>462</v>
      </c>
      <c r="B216" t="s">
        <v>192</v>
      </c>
      <c r="C216" s="25">
        <v>45961</v>
      </c>
      <c r="D216">
        <v>676843</v>
      </c>
      <c r="E216" t="s">
        <v>468</v>
      </c>
      <c r="F216" t="s">
        <v>534</v>
      </c>
      <c r="G216">
        <v>9230.6200000000008</v>
      </c>
      <c r="H216">
        <v>1096</v>
      </c>
      <c r="I216">
        <v>8.42</v>
      </c>
      <c r="J216">
        <v>1.1893</v>
      </c>
    </row>
    <row r="217" spans="1:10" x14ac:dyDescent="0.3">
      <c r="A217" t="s">
        <v>462</v>
      </c>
      <c r="B217" t="s">
        <v>192</v>
      </c>
      <c r="C217" s="25">
        <v>45991</v>
      </c>
      <c r="D217">
        <v>676843</v>
      </c>
      <c r="E217" t="s">
        <v>468</v>
      </c>
      <c r="F217" t="s">
        <v>534</v>
      </c>
      <c r="G217">
        <v>11323.05</v>
      </c>
      <c r="H217">
        <v>1179</v>
      </c>
      <c r="I217">
        <v>9.61</v>
      </c>
      <c r="J217">
        <v>1.3263</v>
      </c>
    </row>
    <row r="218" spans="1:10" x14ac:dyDescent="0.3">
      <c r="A218" t="s">
        <v>462</v>
      </c>
      <c r="B218" t="s">
        <v>192</v>
      </c>
      <c r="C218" s="25">
        <v>45657</v>
      </c>
      <c r="D218">
        <v>950517</v>
      </c>
      <c r="E218" t="s">
        <v>472</v>
      </c>
      <c r="F218" t="s">
        <v>507</v>
      </c>
      <c r="G218">
        <v>4559.49</v>
      </c>
      <c r="H218">
        <v>416</v>
      </c>
      <c r="I218">
        <v>10.97</v>
      </c>
      <c r="J218">
        <v>0.60529999999999995</v>
      </c>
    </row>
    <row r="219" spans="1:10" x14ac:dyDescent="0.3">
      <c r="A219" t="s">
        <v>462</v>
      </c>
      <c r="B219" t="s">
        <v>192</v>
      </c>
      <c r="C219" s="25">
        <v>45688</v>
      </c>
      <c r="D219">
        <v>950517</v>
      </c>
      <c r="E219" t="s">
        <v>472</v>
      </c>
      <c r="F219" t="s">
        <v>507</v>
      </c>
      <c r="G219">
        <v>4594.4799999999996</v>
      </c>
      <c r="H219">
        <v>4418</v>
      </c>
      <c r="I219">
        <v>1.04</v>
      </c>
      <c r="J219">
        <v>0.55069999999999997</v>
      </c>
    </row>
    <row r="220" spans="1:10" x14ac:dyDescent="0.3">
      <c r="A220" t="s">
        <v>462</v>
      </c>
      <c r="B220" t="s">
        <v>192</v>
      </c>
      <c r="C220" s="25">
        <v>45716</v>
      </c>
      <c r="D220">
        <v>950517</v>
      </c>
      <c r="E220" t="s">
        <v>472</v>
      </c>
      <c r="F220" t="s">
        <v>507</v>
      </c>
      <c r="G220">
        <v>5087.16</v>
      </c>
      <c r="H220">
        <v>2742</v>
      </c>
      <c r="I220">
        <v>1.86</v>
      </c>
      <c r="J220">
        <v>0.69120000000000004</v>
      </c>
    </row>
    <row r="221" spans="1:10" x14ac:dyDescent="0.3">
      <c r="A221" t="s">
        <v>462</v>
      </c>
      <c r="B221" t="s">
        <v>192</v>
      </c>
      <c r="C221" s="25">
        <v>45747</v>
      </c>
      <c r="D221">
        <v>950517</v>
      </c>
      <c r="E221" t="s">
        <v>472</v>
      </c>
      <c r="F221" t="s">
        <v>507</v>
      </c>
      <c r="G221">
        <v>5101.03</v>
      </c>
      <c r="H221">
        <v>1307</v>
      </c>
      <c r="I221">
        <v>3.9</v>
      </c>
      <c r="J221">
        <v>0.62509999999999999</v>
      </c>
    </row>
    <row r="222" spans="1:10" x14ac:dyDescent="0.3">
      <c r="A222" t="s">
        <v>462</v>
      </c>
      <c r="B222" t="s">
        <v>192</v>
      </c>
      <c r="C222" s="25">
        <v>45777</v>
      </c>
      <c r="D222">
        <v>950517</v>
      </c>
      <c r="E222" t="s">
        <v>472</v>
      </c>
      <c r="F222" t="s">
        <v>507</v>
      </c>
      <c r="G222">
        <v>4982.3500000000004</v>
      </c>
      <c r="H222">
        <v>310</v>
      </c>
      <c r="I222">
        <v>16.09</v>
      </c>
      <c r="J222">
        <v>0.67120000000000002</v>
      </c>
    </row>
    <row r="223" spans="1:10" x14ac:dyDescent="0.3">
      <c r="A223" t="s">
        <v>462</v>
      </c>
      <c r="B223" t="s">
        <v>192</v>
      </c>
      <c r="C223" s="25">
        <v>45808</v>
      </c>
      <c r="D223">
        <v>950517</v>
      </c>
      <c r="E223" t="s">
        <v>472</v>
      </c>
      <c r="F223" t="s">
        <v>507</v>
      </c>
      <c r="G223">
        <v>5093.99</v>
      </c>
      <c r="H223">
        <v>331</v>
      </c>
      <c r="I223">
        <v>15.38</v>
      </c>
      <c r="J223">
        <v>0.64100000000000001</v>
      </c>
    </row>
    <row r="224" spans="1:10" x14ac:dyDescent="0.3">
      <c r="A224" t="s">
        <v>462</v>
      </c>
      <c r="B224" t="s">
        <v>192</v>
      </c>
      <c r="C224" s="25">
        <v>45838</v>
      </c>
      <c r="D224">
        <v>950517</v>
      </c>
      <c r="E224" t="s">
        <v>472</v>
      </c>
      <c r="F224" t="s">
        <v>507</v>
      </c>
      <c r="G224">
        <v>5702.28</v>
      </c>
      <c r="H224">
        <v>882</v>
      </c>
      <c r="I224">
        <v>6.46</v>
      </c>
      <c r="J224">
        <v>0.69489999999999996</v>
      </c>
    </row>
    <row r="225" spans="1:10" x14ac:dyDescent="0.3">
      <c r="A225" t="s">
        <v>462</v>
      </c>
      <c r="B225" t="s">
        <v>192</v>
      </c>
      <c r="C225" s="25">
        <v>45869</v>
      </c>
      <c r="D225">
        <v>950517</v>
      </c>
      <c r="E225" t="s">
        <v>472</v>
      </c>
      <c r="F225" t="s">
        <v>507</v>
      </c>
      <c r="G225">
        <v>4610.18</v>
      </c>
      <c r="H225">
        <v>690</v>
      </c>
      <c r="I225">
        <v>6.69</v>
      </c>
      <c r="J225">
        <v>0.62760000000000005</v>
      </c>
    </row>
    <row r="226" spans="1:10" x14ac:dyDescent="0.3">
      <c r="A226" t="s">
        <v>462</v>
      </c>
      <c r="B226" t="s">
        <v>192</v>
      </c>
      <c r="C226" s="25">
        <v>45900</v>
      </c>
      <c r="D226">
        <v>950517</v>
      </c>
      <c r="E226" t="s">
        <v>472</v>
      </c>
      <c r="F226" t="s">
        <v>507</v>
      </c>
      <c r="G226">
        <v>6494.65</v>
      </c>
      <c r="H226">
        <v>527</v>
      </c>
      <c r="I226">
        <v>12.33</v>
      </c>
      <c r="J226">
        <v>0.83189999999999997</v>
      </c>
    </row>
    <row r="227" spans="1:10" x14ac:dyDescent="0.3">
      <c r="A227" t="s">
        <v>462</v>
      </c>
      <c r="B227" t="s">
        <v>192</v>
      </c>
      <c r="C227" s="25">
        <v>45930</v>
      </c>
      <c r="D227">
        <v>950517</v>
      </c>
      <c r="E227" t="s">
        <v>472</v>
      </c>
      <c r="F227" t="s">
        <v>507</v>
      </c>
      <c r="G227">
        <v>6448.52</v>
      </c>
      <c r="H227">
        <v>880</v>
      </c>
      <c r="I227">
        <v>7.33</v>
      </c>
      <c r="J227">
        <v>0.7097</v>
      </c>
    </row>
    <row r="228" spans="1:10" x14ac:dyDescent="0.3">
      <c r="A228" t="s">
        <v>462</v>
      </c>
      <c r="B228" t="s">
        <v>192</v>
      </c>
      <c r="C228" s="25">
        <v>45961</v>
      </c>
      <c r="D228">
        <v>950517</v>
      </c>
      <c r="E228" t="s">
        <v>472</v>
      </c>
      <c r="F228" t="s">
        <v>507</v>
      </c>
      <c r="G228">
        <v>3734.67</v>
      </c>
      <c r="H228">
        <v>210</v>
      </c>
      <c r="I228">
        <v>17.82</v>
      </c>
      <c r="J228">
        <v>0.48120000000000002</v>
      </c>
    </row>
    <row r="229" spans="1:10" x14ac:dyDescent="0.3">
      <c r="A229" t="s">
        <v>462</v>
      </c>
      <c r="B229" t="s">
        <v>192</v>
      </c>
      <c r="C229" s="25">
        <v>45991</v>
      </c>
      <c r="D229">
        <v>950517</v>
      </c>
      <c r="E229" t="s">
        <v>472</v>
      </c>
      <c r="F229" t="s">
        <v>507</v>
      </c>
      <c r="G229">
        <v>5382.48</v>
      </c>
      <c r="H229">
        <v>447</v>
      </c>
      <c r="I229">
        <v>12.04</v>
      </c>
      <c r="J229">
        <v>0.63049999999999995</v>
      </c>
    </row>
    <row r="230" spans="1:10" x14ac:dyDescent="0.3">
      <c r="A230" t="s">
        <v>462</v>
      </c>
      <c r="B230" t="s">
        <v>192</v>
      </c>
      <c r="C230" s="25">
        <v>45657</v>
      </c>
      <c r="D230">
        <v>415469</v>
      </c>
      <c r="E230" t="s">
        <v>467</v>
      </c>
      <c r="F230" t="s">
        <v>533</v>
      </c>
      <c r="G230">
        <v>189.27</v>
      </c>
      <c r="H230">
        <v>10</v>
      </c>
      <c r="I230">
        <v>19.39</v>
      </c>
      <c r="J230">
        <v>2.5100000000000001E-2</v>
      </c>
    </row>
    <row r="231" spans="1:10" x14ac:dyDescent="0.3">
      <c r="A231" t="s">
        <v>462</v>
      </c>
      <c r="B231" t="s">
        <v>192</v>
      </c>
      <c r="C231" s="25">
        <v>45688</v>
      </c>
      <c r="D231">
        <v>415469</v>
      </c>
      <c r="E231" t="s">
        <v>467</v>
      </c>
      <c r="F231" t="s">
        <v>533</v>
      </c>
      <c r="G231">
        <v>250.63</v>
      </c>
      <c r="H231">
        <v>14</v>
      </c>
      <c r="I231">
        <v>17.75</v>
      </c>
      <c r="J231">
        <v>0.03</v>
      </c>
    </row>
    <row r="232" spans="1:10" x14ac:dyDescent="0.3">
      <c r="A232" t="s">
        <v>462</v>
      </c>
      <c r="B232" t="s">
        <v>192</v>
      </c>
      <c r="C232" s="25">
        <v>45716</v>
      </c>
      <c r="D232">
        <v>415469</v>
      </c>
      <c r="E232" t="s">
        <v>467</v>
      </c>
      <c r="F232" t="s">
        <v>533</v>
      </c>
      <c r="G232">
        <v>195.05</v>
      </c>
      <c r="H232">
        <v>14</v>
      </c>
      <c r="I232">
        <v>13.55</v>
      </c>
      <c r="J232">
        <v>2.6499999999999999E-2</v>
      </c>
    </row>
    <row r="233" spans="1:10" x14ac:dyDescent="0.3">
      <c r="A233" t="s">
        <v>462</v>
      </c>
      <c r="B233" t="s">
        <v>192</v>
      </c>
      <c r="C233" s="25">
        <v>45747</v>
      </c>
      <c r="D233">
        <v>415469</v>
      </c>
      <c r="E233" t="s">
        <v>467</v>
      </c>
      <c r="F233" t="s">
        <v>533</v>
      </c>
      <c r="G233">
        <v>235.74</v>
      </c>
      <c r="H233">
        <v>12</v>
      </c>
      <c r="I233">
        <v>19.850000000000001</v>
      </c>
      <c r="J233">
        <v>2.8899999999999999E-2</v>
      </c>
    </row>
    <row r="234" spans="1:10" x14ac:dyDescent="0.3">
      <c r="A234" t="s">
        <v>462</v>
      </c>
      <c r="B234" t="s">
        <v>192</v>
      </c>
      <c r="C234" s="25">
        <v>45777</v>
      </c>
      <c r="D234">
        <v>415469</v>
      </c>
      <c r="E234" t="s">
        <v>467</v>
      </c>
      <c r="F234" t="s">
        <v>533</v>
      </c>
      <c r="G234">
        <v>250.27</v>
      </c>
      <c r="H234">
        <v>15</v>
      </c>
      <c r="I234">
        <v>16.239999999999998</v>
      </c>
      <c r="J234">
        <v>3.3700000000000001E-2</v>
      </c>
    </row>
    <row r="235" spans="1:10" x14ac:dyDescent="0.3">
      <c r="A235" t="s">
        <v>462</v>
      </c>
      <c r="B235" t="s">
        <v>192</v>
      </c>
      <c r="C235" s="25">
        <v>45808</v>
      </c>
      <c r="D235">
        <v>415469</v>
      </c>
      <c r="E235" t="s">
        <v>467</v>
      </c>
      <c r="F235" t="s">
        <v>533</v>
      </c>
      <c r="G235">
        <v>243.36</v>
      </c>
      <c r="H235">
        <v>76</v>
      </c>
      <c r="I235">
        <v>3.2</v>
      </c>
      <c r="J235">
        <v>3.0599999999999999E-2</v>
      </c>
    </row>
    <row r="236" spans="1:10" x14ac:dyDescent="0.3">
      <c r="A236" t="s">
        <v>462</v>
      </c>
      <c r="B236" t="s">
        <v>192</v>
      </c>
      <c r="C236" s="25">
        <v>45838</v>
      </c>
      <c r="D236">
        <v>415469</v>
      </c>
      <c r="E236" t="s">
        <v>467</v>
      </c>
      <c r="F236" t="s">
        <v>533</v>
      </c>
      <c r="G236">
        <v>287.49</v>
      </c>
      <c r="H236">
        <v>20</v>
      </c>
      <c r="I236">
        <v>14.24</v>
      </c>
      <c r="J236">
        <v>3.5000000000000003E-2</v>
      </c>
    </row>
    <row r="237" spans="1:10" x14ac:dyDescent="0.3">
      <c r="A237" t="s">
        <v>462</v>
      </c>
      <c r="B237" t="s">
        <v>192</v>
      </c>
      <c r="C237" s="25">
        <v>45869</v>
      </c>
      <c r="D237">
        <v>415469</v>
      </c>
      <c r="E237" t="s">
        <v>467</v>
      </c>
      <c r="F237" t="s">
        <v>533</v>
      </c>
      <c r="G237">
        <v>228.61</v>
      </c>
      <c r="H237">
        <v>22</v>
      </c>
      <c r="I237">
        <v>10.35</v>
      </c>
      <c r="J237">
        <v>3.1099999999999999E-2</v>
      </c>
    </row>
    <row r="238" spans="1:10" x14ac:dyDescent="0.3">
      <c r="A238" t="s">
        <v>462</v>
      </c>
      <c r="B238" t="s">
        <v>192</v>
      </c>
      <c r="C238" s="25">
        <v>45900</v>
      </c>
      <c r="D238">
        <v>415469</v>
      </c>
      <c r="E238" t="s">
        <v>467</v>
      </c>
      <c r="F238" t="s">
        <v>533</v>
      </c>
      <c r="G238">
        <v>279.91000000000003</v>
      </c>
      <c r="H238">
        <v>15</v>
      </c>
      <c r="I238">
        <v>18.61</v>
      </c>
      <c r="J238">
        <v>3.5900000000000001E-2</v>
      </c>
    </row>
    <row r="239" spans="1:10" x14ac:dyDescent="0.3">
      <c r="A239" t="s">
        <v>462</v>
      </c>
      <c r="B239" t="s">
        <v>192</v>
      </c>
      <c r="C239" s="25">
        <v>45930</v>
      </c>
      <c r="D239">
        <v>415469</v>
      </c>
      <c r="E239" t="s">
        <v>467</v>
      </c>
      <c r="F239" t="s">
        <v>533</v>
      </c>
      <c r="G239">
        <v>267.72000000000003</v>
      </c>
      <c r="H239">
        <v>22</v>
      </c>
      <c r="I239">
        <v>12.14</v>
      </c>
      <c r="J239">
        <v>2.9499999999999998E-2</v>
      </c>
    </row>
    <row r="240" spans="1:10" x14ac:dyDescent="0.3">
      <c r="A240" t="s">
        <v>462</v>
      </c>
      <c r="B240" t="s">
        <v>192</v>
      </c>
      <c r="C240" s="25">
        <v>45961</v>
      </c>
      <c r="D240">
        <v>415469</v>
      </c>
      <c r="E240" t="s">
        <v>467</v>
      </c>
      <c r="F240" t="s">
        <v>533</v>
      </c>
      <c r="G240">
        <v>170.5</v>
      </c>
      <c r="H240">
        <v>10</v>
      </c>
      <c r="I240">
        <v>17.329999999999998</v>
      </c>
      <c r="J240">
        <v>2.1999999999999999E-2</v>
      </c>
    </row>
    <row r="241" spans="1:10" x14ac:dyDescent="0.3">
      <c r="A241" t="s">
        <v>462</v>
      </c>
      <c r="B241" t="s">
        <v>192</v>
      </c>
      <c r="C241" s="25">
        <v>45991</v>
      </c>
      <c r="D241">
        <v>415469</v>
      </c>
      <c r="E241" t="s">
        <v>467</v>
      </c>
      <c r="F241" t="s">
        <v>533</v>
      </c>
      <c r="G241">
        <v>210.94</v>
      </c>
      <c r="H241">
        <v>15</v>
      </c>
      <c r="I241">
        <v>14.1</v>
      </c>
      <c r="J241">
        <v>2.47E-2</v>
      </c>
    </row>
    <row r="242" spans="1:10" x14ac:dyDescent="0.3">
      <c r="A242" t="s">
        <v>462</v>
      </c>
      <c r="B242" t="s">
        <v>191</v>
      </c>
      <c r="C242" s="25">
        <v>45657</v>
      </c>
      <c r="D242">
        <v>533465</v>
      </c>
      <c r="E242" t="s">
        <v>464</v>
      </c>
      <c r="F242" t="s">
        <v>532</v>
      </c>
      <c r="G242">
        <v>40002.730000000003</v>
      </c>
      <c r="H242">
        <v>2720</v>
      </c>
      <c r="I242">
        <v>14.7</v>
      </c>
      <c r="J242">
        <v>5.9794</v>
      </c>
    </row>
    <row r="243" spans="1:10" x14ac:dyDescent="0.3">
      <c r="A243" t="s">
        <v>462</v>
      </c>
      <c r="B243" t="s">
        <v>191</v>
      </c>
      <c r="C243" s="25">
        <v>45688</v>
      </c>
      <c r="D243">
        <v>533465</v>
      </c>
      <c r="E243" t="s">
        <v>464</v>
      </c>
      <c r="F243" t="s">
        <v>532</v>
      </c>
      <c r="G243">
        <v>45724.15</v>
      </c>
      <c r="H243">
        <v>5111</v>
      </c>
      <c r="I243">
        <v>8.9499999999999993</v>
      </c>
      <c r="J243">
        <v>6.1704999999999997</v>
      </c>
    </row>
    <row r="244" spans="1:10" x14ac:dyDescent="0.3">
      <c r="A244" t="s">
        <v>462</v>
      </c>
      <c r="B244" t="s">
        <v>191</v>
      </c>
      <c r="C244" s="25">
        <v>45716</v>
      </c>
      <c r="D244">
        <v>533465</v>
      </c>
      <c r="E244" t="s">
        <v>464</v>
      </c>
      <c r="F244" t="s">
        <v>532</v>
      </c>
      <c r="G244">
        <v>44739.89</v>
      </c>
      <c r="H244">
        <v>12215</v>
      </c>
      <c r="I244">
        <v>3.66</v>
      </c>
      <c r="J244">
        <v>6.3434999999999997</v>
      </c>
    </row>
    <row r="245" spans="1:10" x14ac:dyDescent="0.3">
      <c r="A245" t="s">
        <v>462</v>
      </c>
      <c r="B245" t="s">
        <v>191</v>
      </c>
      <c r="C245" s="25">
        <v>45747</v>
      </c>
      <c r="D245">
        <v>533465</v>
      </c>
      <c r="E245" t="s">
        <v>464</v>
      </c>
      <c r="F245" t="s">
        <v>532</v>
      </c>
      <c r="G245">
        <v>52518.52</v>
      </c>
      <c r="H245">
        <v>22731</v>
      </c>
      <c r="I245">
        <v>2.31</v>
      </c>
      <c r="J245">
        <v>6.7889999999999997</v>
      </c>
    </row>
    <row r="246" spans="1:10" x14ac:dyDescent="0.3">
      <c r="A246" t="s">
        <v>462</v>
      </c>
      <c r="B246" t="s">
        <v>191</v>
      </c>
      <c r="C246" s="25">
        <v>45777</v>
      </c>
      <c r="D246">
        <v>533465</v>
      </c>
      <c r="E246" t="s">
        <v>464</v>
      </c>
      <c r="F246" t="s">
        <v>532</v>
      </c>
      <c r="G246">
        <v>35730.15</v>
      </c>
      <c r="H246">
        <v>2864</v>
      </c>
      <c r="I246">
        <v>12.48</v>
      </c>
      <c r="J246">
        <v>5.2028999999999996</v>
      </c>
    </row>
    <row r="247" spans="1:10" x14ac:dyDescent="0.3">
      <c r="A247" t="s">
        <v>462</v>
      </c>
      <c r="B247" t="s">
        <v>191</v>
      </c>
      <c r="C247" s="25">
        <v>45808</v>
      </c>
      <c r="D247">
        <v>533465</v>
      </c>
      <c r="E247" t="s">
        <v>464</v>
      </c>
      <c r="F247" t="s">
        <v>532</v>
      </c>
      <c r="G247">
        <v>54156.38</v>
      </c>
      <c r="H247">
        <v>36434</v>
      </c>
      <c r="I247">
        <v>1.49</v>
      </c>
      <c r="J247">
        <v>6.5587</v>
      </c>
    </row>
    <row r="248" spans="1:10" x14ac:dyDescent="0.3">
      <c r="A248" t="s">
        <v>462</v>
      </c>
      <c r="B248" t="s">
        <v>191</v>
      </c>
      <c r="C248" s="25">
        <v>45838</v>
      </c>
      <c r="D248">
        <v>533465</v>
      </c>
      <c r="E248" t="s">
        <v>464</v>
      </c>
      <c r="F248" t="s">
        <v>532</v>
      </c>
      <c r="G248">
        <v>56745.760000000002</v>
      </c>
      <c r="H248">
        <v>3057</v>
      </c>
      <c r="I248">
        <v>18.57</v>
      </c>
      <c r="J248">
        <v>6.9375999999999998</v>
      </c>
    </row>
    <row r="249" spans="1:10" x14ac:dyDescent="0.3">
      <c r="A249" t="s">
        <v>462</v>
      </c>
      <c r="B249" t="s">
        <v>191</v>
      </c>
      <c r="C249" s="25">
        <v>45869</v>
      </c>
      <c r="D249">
        <v>533465</v>
      </c>
      <c r="E249" t="s">
        <v>464</v>
      </c>
      <c r="F249" t="s">
        <v>532</v>
      </c>
      <c r="G249">
        <v>34278.14</v>
      </c>
      <c r="H249">
        <v>4724</v>
      </c>
      <c r="I249">
        <v>7.26</v>
      </c>
      <c r="J249">
        <v>3.8553999999999999</v>
      </c>
    </row>
    <row r="250" spans="1:10" x14ac:dyDescent="0.3">
      <c r="A250" t="s">
        <v>462</v>
      </c>
      <c r="B250" t="s">
        <v>191</v>
      </c>
      <c r="C250" s="25">
        <v>45900</v>
      </c>
      <c r="D250">
        <v>533465</v>
      </c>
      <c r="E250" t="s">
        <v>464</v>
      </c>
      <c r="F250" t="s">
        <v>532</v>
      </c>
      <c r="G250">
        <v>48514.23</v>
      </c>
      <c r="H250">
        <v>4215</v>
      </c>
      <c r="I250">
        <v>11.51</v>
      </c>
      <c r="J250">
        <v>6.2386999999999997</v>
      </c>
    </row>
    <row r="251" spans="1:10" x14ac:dyDescent="0.3">
      <c r="A251" t="s">
        <v>462</v>
      </c>
      <c r="B251" t="s">
        <v>191</v>
      </c>
      <c r="C251" s="25">
        <v>45930</v>
      </c>
      <c r="D251">
        <v>533465</v>
      </c>
      <c r="E251" t="s">
        <v>464</v>
      </c>
      <c r="F251" t="s">
        <v>532</v>
      </c>
      <c r="G251">
        <v>59527.44</v>
      </c>
      <c r="H251">
        <v>3734</v>
      </c>
      <c r="I251">
        <v>15.94</v>
      </c>
      <c r="J251">
        <v>7.9244000000000003</v>
      </c>
    </row>
    <row r="252" spans="1:10" x14ac:dyDescent="0.3">
      <c r="A252" t="s">
        <v>462</v>
      </c>
      <c r="B252" t="s">
        <v>191</v>
      </c>
      <c r="C252" s="25">
        <v>45961</v>
      </c>
      <c r="D252">
        <v>533465</v>
      </c>
      <c r="E252" t="s">
        <v>464</v>
      </c>
      <c r="F252" t="s">
        <v>532</v>
      </c>
      <c r="G252">
        <v>48258.06</v>
      </c>
      <c r="H252">
        <v>2971</v>
      </c>
      <c r="I252">
        <v>16.239999999999998</v>
      </c>
      <c r="J252">
        <v>6.5095000000000001</v>
      </c>
    </row>
    <row r="253" spans="1:10" x14ac:dyDescent="0.3">
      <c r="A253" t="s">
        <v>462</v>
      </c>
      <c r="B253" t="s">
        <v>191</v>
      </c>
      <c r="C253" s="25">
        <v>45991</v>
      </c>
      <c r="D253">
        <v>533465</v>
      </c>
      <c r="E253" t="s">
        <v>464</v>
      </c>
      <c r="F253" t="s">
        <v>532</v>
      </c>
      <c r="G253">
        <v>58116.959999999999</v>
      </c>
      <c r="H253">
        <v>7709</v>
      </c>
      <c r="I253">
        <v>7.54</v>
      </c>
      <c r="J253">
        <v>7.0533999999999999</v>
      </c>
    </row>
    <row r="254" spans="1:10" x14ac:dyDescent="0.3">
      <c r="A254" t="s">
        <v>462</v>
      </c>
      <c r="B254" t="s">
        <v>191</v>
      </c>
      <c r="C254" s="25">
        <v>45657</v>
      </c>
      <c r="D254">
        <v>259967</v>
      </c>
      <c r="E254" t="s">
        <v>470</v>
      </c>
      <c r="F254" t="s">
        <v>531</v>
      </c>
      <c r="G254">
        <v>39892.81</v>
      </c>
      <c r="H254">
        <v>2265</v>
      </c>
      <c r="I254">
        <v>17.61</v>
      </c>
      <c r="J254">
        <v>5.9630000000000001</v>
      </c>
    </row>
    <row r="255" spans="1:10" x14ac:dyDescent="0.3">
      <c r="A255" t="s">
        <v>462</v>
      </c>
      <c r="B255" t="s">
        <v>191</v>
      </c>
      <c r="C255" s="25">
        <v>45688</v>
      </c>
      <c r="D255">
        <v>259967</v>
      </c>
      <c r="E255" t="s">
        <v>470</v>
      </c>
      <c r="F255" t="s">
        <v>531</v>
      </c>
      <c r="G255">
        <v>29804.15</v>
      </c>
      <c r="H255">
        <v>2309</v>
      </c>
      <c r="I255">
        <v>12.91</v>
      </c>
      <c r="J255">
        <v>4.0221</v>
      </c>
    </row>
    <row r="256" spans="1:10" x14ac:dyDescent="0.3">
      <c r="A256" t="s">
        <v>462</v>
      </c>
      <c r="B256" t="s">
        <v>191</v>
      </c>
      <c r="C256" s="25">
        <v>45716</v>
      </c>
      <c r="D256">
        <v>259967</v>
      </c>
      <c r="E256" t="s">
        <v>470</v>
      </c>
      <c r="F256" t="s">
        <v>531</v>
      </c>
      <c r="G256">
        <v>47725.760000000002</v>
      </c>
      <c r="H256">
        <v>9975</v>
      </c>
      <c r="I256">
        <v>4.78</v>
      </c>
      <c r="J256">
        <v>6.7668999999999997</v>
      </c>
    </row>
    <row r="257" spans="1:10" x14ac:dyDescent="0.3">
      <c r="A257" t="s">
        <v>462</v>
      </c>
      <c r="B257" t="s">
        <v>191</v>
      </c>
      <c r="C257" s="25">
        <v>45747</v>
      </c>
      <c r="D257">
        <v>259967</v>
      </c>
      <c r="E257" t="s">
        <v>470</v>
      </c>
      <c r="F257" t="s">
        <v>531</v>
      </c>
      <c r="G257">
        <v>42004.67</v>
      </c>
      <c r="H257">
        <v>3501</v>
      </c>
      <c r="I257">
        <v>12</v>
      </c>
      <c r="J257">
        <v>5.4298999999999999</v>
      </c>
    </row>
    <row r="258" spans="1:10" x14ac:dyDescent="0.3">
      <c r="A258" t="s">
        <v>462</v>
      </c>
      <c r="B258" t="s">
        <v>191</v>
      </c>
      <c r="C258" s="25">
        <v>45777</v>
      </c>
      <c r="D258">
        <v>259967</v>
      </c>
      <c r="E258" t="s">
        <v>470</v>
      </c>
      <c r="F258" t="s">
        <v>531</v>
      </c>
      <c r="G258">
        <v>45617.9</v>
      </c>
      <c r="H258">
        <v>7663</v>
      </c>
      <c r="I258">
        <v>5.95</v>
      </c>
      <c r="J258">
        <v>6.6426999999999996</v>
      </c>
    </row>
    <row r="259" spans="1:10" x14ac:dyDescent="0.3">
      <c r="A259" t="s">
        <v>462</v>
      </c>
      <c r="B259" t="s">
        <v>191</v>
      </c>
      <c r="C259" s="25">
        <v>45808</v>
      </c>
      <c r="D259">
        <v>259967</v>
      </c>
      <c r="E259" t="s">
        <v>470</v>
      </c>
      <c r="F259" t="s">
        <v>531</v>
      </c>
      <c r="G259">
        <v>46473.16</v>
      </c>
      <c r="H259">
        <v>2402</v>
      </c>
      <c r="I259">
        <v>19.350000000000001</v>
      </c>
      <c r="J259">
        <v>5.6281999999999996</v>
      </c>
    </row>
    <row r="260" spans="1:10" x14ac:dyDescent="0.3">
      <c r="A260" t="s">
        <v>462</v>
      </c>
      <c r="B260" t="s">
        <v>191</v>
      </c>
      <c r="C260" s="25">
        <v>45838</v>
      </c>
      <c r="D260">
        <v>259967</v>
      </c>
      <c r="E260" t="s">
        <v>470</v>
      </c>
      <c r="F260" t="s">
        <v>531</v>
      </c>
      <c r="G260">
        <v>48112.85</v>
      </c>
      <c r="H260">
        <v>7606</v>
      </c>
      <c r="I260">
        <v>6.33</v>
      </c>
      <c r="J260">
        <v>5.8822000000000001</v>
      </c>
    </row>
    <row r="261" spans="1:10" x14ac:dyDescent="0.3">
      <c r="A261" t="s">
        <v>462</v>
      </c>
      <c r="B261" t="s">
        <v>191</v>
      </c>
      <c r="C261" s="25">
        <v>45869</v>
      </c>
      <c r="D261">
        <v>259967</v>
      </c>
      <c r="E261" t="s">
        <v>470</v>
      </c>
      <c r="F261" t="s">
        <v>531</v>
      </c>
      <c r="G261">
        <v>48008.5</v>
      </c>
      <c r="H261">
        <v>13081</v>
      </c>
      <c r="I261">
        <v>3.67</v>
      </c>
      <c r="J261">
        <v>5.3996000000000004</v>
      </c>
    </row>
    <row r="262" spans="1:10" x14ac:dyDescent="0.3">
      <c r="A262" t="s">
        <v>462</v>
      </c>
      <c r="B262" t="s">
        <v>191</v>
      </c>
      <c r="C262" s="25">
        <v>45900</v>
      </c>
      <c r="D262">
        <v>259967</v>
      </c>
      <c r="E262" t="s">
        <v>470</v>
      </c>
      <c r="F262" t="s">
        <v>531</v>
      </c>
      <c r="G262">
        <v>54355.5</v>
      </c>
      <c r="H262">
        <v>40662</v>
      </c>
      <c r="I262">
        <v>1.34</v>
      </c>
      <c r="J262">
        <v>6.9898999999999996</v>
      </c>
    </row>
    <row r="263" spans="1:10" x14ac:dyDescent="0.3">
      <c r="A263" t="s">
        <v>462</v>
      </c>
      <c r="B263" t="s">
        <v>191</v>
      </c>
      <c r="C263" s="25">
        <v>45930</v>
      </c>
      <c r="D263">
        <v>259967</v>
      </c>
      <c r="E263" t="s">
        <v>470</v>
      </c>
      <c r="F263" t="s">
        <v>531</v>
      </c>
      <c r="G263">
        <v>51607.62</v>
      </c>
      <c r="H263">
        <v>5706</v>
      </c>
      <c r="I263">
        <v>9.0399999999999991</v>
      </c>
      <c r="J263">
        <v>6.8700999999999999</v>
      </c>
    </row>
    <row r="264" spans="1:10" x14ac:dyDescent="0.3">
      <c r="A264" t="s">
        <v>462</v>
      </c>
      <c r="B264" t="s">
        <v>191</v>
      </c>
      <c r="C264" s="25">
        <v>45961</v>
      </c>
      <c r="D264">
        <v>259967</v>
      </c>
      <c r="E264" t="s">
        <v>470</v>
      </c>
      <c r="F264" t="s">
        <v>531</v>
      </c>
      <c r="G264">
        <v>44976.51</v>
      </c>
      <c r="H264">
        <v>3861</v>
      </c>
      <c r="I264">
        <v>11.65</v>
      </c>
      <c r="J264">
        <v>6.0667999999999997</v>
      </c>
    </row>
    <row r="265" spans="1:10" x14ac:dyDescent="0.3">
      <c r="A265" t="s">
        <v>462</v>
      </c>
      <c r="B265" t="s">
        <v>191</v>
      </c>
      <c r="C265" s="25">
        <v>45991</v>
      </c>
      <c r="D265">
        <v>259967</v>
      </c>
      <c r="E265" t="s">
        <v>470</v>
      </c>
      <c r="F265" t="s">
        <v>531</v>
      </c>
      <c r="G265">
        <v>59722.33</v>
      </c>
      <c r="H265">
        <v>13202</v>
      </c>
      <c r="I265">
        <v>4.5199999999999996</v>
      </c>
      <c r="J265">
        <v>7.2481999999999998</v>
      </c>
    </row>
    <row r="266" spans="1:10" x14ac:dyDescent="0.3">
      <c r="A266" t="s">
        <v>462</v>
      </c>
      <c r="B266" t="s">
        <v>191</v>
      </c>
      <c r="C266" s="25">
        <v>45657</v>
      </c>
      <c r="D266">
        <v>124332</v>
      </c>
      <c r="E266" t="s">
        <v>470</v>
      </c>
      <c r="F266" t="s">
        <v>530</v>
      </c>
      <c r="G266">
        <v>36746.42</v>
      </c>
      <c r="H266">
        <v>3120</v>
      </c>
      <c r="I266">
        <v>11.78</v>
      </c>
      <c r="J266">
        <v>5.4927000000000001</v>
      </c>
    </row>
    <row r="267" spans="1:10" x14ac:dyDescent="0.3">
      <c r="A267" t="s">
        <v>462</v>
      </c>
      <c r="B267" t="s">
        <v>191</v>
      </c>
      <c r="C267" s="25">
        <v>45688</v>
      </c>
      <c r="D267">
        <v>124332</v>
      </c>
      <c r="E267" t="s">
        <v>470</v>
      </c>
      <c r="F267" t="s">
        <v>530</v>
      </c>
      <c r="G267">
        <v>37917.71</v>
      </c>
      <c r="H267">
        <v>2200</v>
      </c>
      <c r="I267">
        <v>17.239999999999998</v>
      </c>
      <c r="J267">
        <v>5.117</v>
      </c>
    </row>
    <row r="268" spans="1:10" x14ac:dyDescent="0.3">
      <c r="A268" t="s">
        <v>462</v>
      </c>
      <c r="B268" t="s">
        <v>191</v>
      </c>
      <c r="C268" s="25">
        <v>45716</v>
      </c>
      <c r="D268">
        <v>124332</v>
      </c>
      <c r="E268" t="s">
        <v>470</v>
      </c>
      <c r="F268" t="s">
        <v>530</v>
      </c>
      <c r="G268">
        <v>44675.12</v>
      </c>
      <c r="H268">
        <v>8545</v>
      </c>
      <c r="I268">
        <v>5.23</v>
      </c>
      <c r="J268">
        <v>6.3343999999999996</v>
      </c>
    </row>
    <row r="269" spans="1:10" x14ac:dyDescent="0.3">
      <c r="A269" t="s">
        <v>462</v>
      </c>
      <c r="B269" t="s">
        <v>191</v>
      </c>
      <c r="C269" s="25">
        <v>45747</v>
      </c>
      <c r="D269">
        <v>124332</v>
      </c>
      <c r="E269" t="s">
        <v>470</v>
      </c>
      <c r="F269" t="s">
        <v>530</v>
      </c>
      <c r="G269">
        <v>55649.45</v>
      </c>
      <c r="H269">
        <v>4277</v>
      </c>
      <c r="I269">
        <v>13.01</v>
      </c>
      <c r="J269">
        <v>7.1936999999999998</v>
      </c>
    </row>
    <row r="270" spans="1:10" x14ac:dyDescent="0.3">
      <c r="A270" t="s">
        <v>462</v>
      </c>
      <c r="B270" t="s">
        <v>191</v>
      </c>
      <c r="C270" s="25">
        <v>45777</v>
      </c>
      <c r="D270">
        <v>124332</v>
      </c>
      <c r="E270" t="s">
        <v>470</v>
      </c>
      <c r="F270" t="s">
        <v>530</v>
      </c>
      <c r="G270">
        <v>46396.58</v>
      </c>
      <c r="H270">
        <v>2641</v>
      </c>
      <c r="I270">
        <v>17.57</v>
      </c>
      <c r="J270">
        <v>6.7561</v>
      </c>
    </row>
    <row r="271" spans="1:10" x14ac:dyDescent="0.3">
      <c r="A271" t="s">
        <v>462</v>
      </c>
      <c r="B271" t="s">
        <v>191</v>
      </c>
      <c r="C271" s="25">
        <v>45808</v>
      </c>
      <c r="D271">
        <v>124332</v>
      </c>
      <c r="E271" t="s">
        <v>470</v>
      </c>
      <c r="F271" t="s">
        <v>530</v>
      </c>
      <c r="G271">
        <v>58463.71</v>
      </c>
      <c r="H271">
        <v>6776</v>
      </c>
      <c r="I271">
        <v>8.6300000000000008</v>
      </c>
      <c r="J271">
        <v>7.0804</v>
      </c>
    </row>
    <row r="272" spans="1:10" x14ac:dyDescent="0.3">
      <c r="A272" t="s">
        <v>462</v>
      </c>
      <c r="B272" t="s">
        <v>191</v>
      </c>
      <c r="C272" s="25">
        <v>45838</v>
      </c>
      <c r="D272">
        <v>124332</v>
      </c>
      <c r="E272" t="s">
        <v>470</v>
      </c>
      <c r="F272" t="s">
        <v>530</v>
      </c>
      <c r="G272">
        <v>42081.760000000002</v>
      </c>
      <c r="H272">
        <v>3088</v>
      </c>
      <c r="I272">
        <v>13.63</v>
      </c>
      <c r="J272">
        <v>5.1448</v>
      </c>
    </row>
    <row r="273" spans="1:10" x14ac:dyDescent="0.3">
      <c r="A273" t="s">
        <v>462</v>
      </c>
      <c r="B273" t="s">
        <v>191</v>
      </c>
      <c r="C273" s="25">
        <v>45869</v>
      </c>
      <c r="D273">
        <v>124332</v>
      </c>
      <c r="E273" t="s">
        <v>470</v>
      </c>
      <c r="F273" t="s">
        <v>530</v>
      </c>
      <c r="G273">
        <v>52757.23</v>
      </c>
      <c r="H273">
        <v>20574</v>
      </c>
      <c r="I273">
        <v>2.56</v>
      </c>
      <c r="J273">
        <v>5.9337</v>
      </c>
    </row>
    <row r="274" spans="1:10" x14ac:dyDescent="0.3">
      <c r="A274" t="s">
        <v>462</v>
      </c>
      <c r="B274" t="s">
        <v>191</v>
      </c>
      <c r="C274" s="25">
        <v>45900</v>
      </c>
      <c r="D274">
        <v>124332</v>
      </c>
      <c r="E274" t="s">
        <v>470</v>
      </c>
      <c r="F274" t="s">
        <v>530</v>
      </c>
      <c r="G274">
        <v>42326.21</v>
      </c>
      <c r="H274">
        <v>3370</v>
      </c>
      <c r="I274">
        <v>12.56</v>
      </c>
      <c r="J274">
        <v>5.4429999999999996</v>
      </c>
    </row>
    <row r="275" spans="1:10" x14ac:dyDescent="0.3">
      <c r="A275" t="s">
        <v>462</v>
      </c>
      <c r="B275" t="s">
        <v>191</v>
      </c>
      <c r="C275" s="25">
        <v>45930</v>
      </c>
      <c r="D275">
        <v>124332</v>
      </c>
      <c r="E275" t="s">
        <v>470</v>
      </c>
      <c r="F275" t="s">
        <v>530</v>
      </c>
      <c r="G275">
        <v>30410.6</v>
      </c>
      <c r="H275">
        <v>10044</v>
      </c>
      <c r="I275">
        <v>3.03</v>
      </c>
      <c r="J275">
        <v>4.0483000000000002</v>
      </c>
    </row>
    <row r="276" spans="1:10" x14ac:dyDescent="0.3">
      <c r="A276" t="s">
        <v>462</v>
      </c>
      <c r="B276" t="s">
        <v>191</v>
      </c>
      <c r="C276" s="25">
        <v>45961</v>
      </c>
      <c r="D276">
        <v>124332</v>
      </c>
      <c r="E276" t="s">
        <v>470</v>
      </c>
      <c r="F276" t="s">
        <v>530</v>
      </c>
      <c r="G276">
        <v>52993.440000000002</v>
      </c>
      <c r="H276">
        <v>3276</v>
      </c>
      <c r="I276">
        <v>16.18</v>
      </c>
      <c r="J276">
        <v>7.1482000000000001</v>
      </c>
    </row>
    <row r="277" spans="1:10" x14ac:dyDescent="0.3">
      <c r="A277" t="s">
        <v>462</v>
      </c>
      <c r="B277" t="s">
        <v>191</v>
      </c>
      <c r="C277" s="25">
        <v>45991</v>
      </c>
      <c r="D277">
        <v>124332</v>
      </c>
      <c r="E277" t="s">
        <v>470</v>
      </c>
      <c r="F277" t="s">
        <v>530</v>
      </c>
      <c r="G277">
        <v>54856.62</v>
      </c>
      <c r="H277">
        <v>7301</v>
      </c>
      <c r="I277">
        <v>7.51</v>
      </c>
      <c r="J277">
        <v>6.6577000000000002</v>
      </c>
    </row>
    <row r="278" spans="1:10" x14ac:dyDescent="0.3">
      <c r="A278" t="s">
        <v>462</v>
      </c>
      <c r="B278" t="s">
        <v>191</v>
      </c>
      <c r="C278" s="25">
        <v>45657</v>
      </c>
      <c r="D278">
        <v>926715</v>
      </c>
      <c r="E278" t="s">
        <v>472</v>
      </c>
      <c r="F278" t="s">
        <v>529</v>
      </c>
      <c r="G278">
        <v>37457.32</v>
      </c>
      <c r="H278">
        <v>29996</v>
      </c>
      <c r="I278">
        <v>1.25</v>
      </c>
      <c r="J278">
        <v>5.5990000000000002</v>
      </c>
    </row>
    <row r="279" spans="1:10" x14ac:dyDescent="0.3">
      <c r="A279" t="s">
        <v>462</v>
      </c>
      <c r="B279" t="s">
        <v>191</v>
      </c>
      <c r="C279" s="25">
        <v>45688</v>
      </c>
      <c r="D279">
        <v>926715</v>
      </c>
      <c r="E279" t="s">
        <v>472</v>
      </c>
      <c r="F279" t="s">
        <v>529</v>
      </c>
      <c r="G279">
        <v>38478.370000000003</v>
      </c>
      <c r="H279">
        <v>2738</v>
      </c>
      <c r="I279">
        <v>14.05</v>
      </c>
      <c r="J279">
        <v>5.1927000000000003</v>
      </c>
    </row>
    <row r="280" spans="1:10" x14ac:dyDescent="0.3">
      <c r="A280" t="s">
        <v>462</v>
      </c>
      <c r="B280" t="s">
        <v>191</v>
      </c>
      <c r="C280" s="25">
        <v>45716</v>
      </c>
      <c r="D280">
        <v>926715</v>
      </c>
      <c r="E280" t="s">
        <v>472</v>
      </c>
      <c r="F280" t="s">
        <v>529</v>
      </c>
      <c r="G280">
        <v>36528.769999999997</v>
      </c>
      <c r="H280">
        <v>2675</v>
      </c>
      <c r="I280">
        <v>13.65</v>
      </c>
      <c r="J280">
        <v>5.1792999999999996</v>
      </c>
    </row>
    <row r="281" spans="1:10" x14ac:dyDescent="0.3">
      <c r="A281" t="s">
        <v>462</v>
      </c>
      <c r="B281" t="s">
        <v>191</v>
      </c>
      <c r="C281" s="25">
        <v>45747</v>
      </c>
      <c r="D281">
        <v>926715</v>
      </c>
      <c r="E281" t="s">
        <v>472</v>
      </c>
      <c r="F281" t="s">
        <v>529</v>
      </c>
      <c r="G281">
        <v>37055.43</v>
      </c>
      <c r="H281">
        <v>2821</v>
      </c>
      <c r="I281">
        <v>13.13</v>
      </c>
      <c r="J281">
        <v>4.7900999999999998</v>
      </c>
    </row>
    <row r="282" spans="1:10" x14ac:dyDescent="0.3">
      <c r="A282" t="s">
        <v>462</v>
      </c>
      <c r="B282" t="s">
        <v>191</v>
      </c>
      <c r="C282" s="25">
        <v>45777</v>
      </c>
      <c r="D282">
        <v>926715</v>
      </c>
      <c r="E282" t="s">
        <v>472</v>
      </c>
      <c r="F282" t="s">
        <v>529</v>
      </c>
      <c r="G282">
        <v>38494.69</v>
      </c>
      <c r="H282">
        <v>4318</v>
      </c>
      <c r="I282">
        <v>8.91</v>
      </c>
      <c r="J282">
        <v>5.6055000000000001</v>
      </c>
    </row>
    <row r="283" spans="1:10" x14ac:dyDescent="0.3">
      <c r="A283" t="s">
        <v>462</v>
      </c>
      <c r="B283" t="s">
        <v>191</v>
      </c>
      <c r="C283" s="25">
        <v>45808</v>
      </c>
      <c r="D283">
        <v>926715</v>
      </c>
      <c r="E283" t="s">
        <v>472</v>
      </c>
      <c r="F283" t="s">
        <v>529</v>
      </c>
      <c r="G283">
        <v>40546.410000000003</v>
      </c>
      <c r="H283">
        <v>4718</v>
      </c>
      <c r="I283">
        <v>8.59</v>
      </c>
      <c r="J283">
        <v>4.9104999999999999</v>
      </c>
    </row>
    <row r="284" spans="1:10" x14ac:dyDescent="0.3">
      <c r="A284" t="s">
        <v>462</v>
      </c>
      <c r="B284" t="s">
        <v>191</v>
      </c>
      <c r="C284" s="25">
        <v>45838</v>
      </c>
      <c r="D284">
        <v>926715</v>
      </c>
      <c r="E284" t="s">
        <v>472</v>
      </c>
      <c r="F284" t="s">
        <v>529</v>
      </c>
      <c r="G284">
        <v>42079.6</v>
      </c>
      <c r="H284">
        <v>3993</v>
      </c>
      <c r="I284">
        <v>10.54</v>
      </c>
      <c r="J284">
        <v>5.1445999999999996</v>
      </c>
    </row>
    <row r="285" spans="1:10" x14ac:dyDescent="0.3">
      <c r="A285" t="s">
        <v>462</v>
      </c>
      <c r="B285" t="s">
        <v>191</v>
      </c>
      <c r="C285" s="25">
        <v>45869</v>
      </c>
      <c r="D285">
        <v>926715</v>
      </c>
      <c r="E285" t="s">
        <v>472</v>
      </c>
      <c r="F285" t="s">
        <v>529</v>
      </c>
      <c r="G285">
        <v>45249.41</v>
      </c>
      <c r="H285">
        <v>8048</v>
      </c>
      <c r="I285">
        <v>5.62</v>
      </c>
      <c r="J285">
        <v>5.0892999999999997</v>
      </c>
    </row>
    <row r="286" spans="1:10" x14ac:dyDescent="0.3">
      <c r="A286" t="s">
        <v>462</v>
      </c>
      <c r="B286" t="s">
        <v>191</v>
      </c>
      <c r="C286" s="25">
        <v>45900</v>
      </c>
      <c r="D286">
        <v>926715</v>
      </c>
      <c r="E286" t="s">
        <v>472</v>
      </c>
      <c r="F286" t="s">
        <v>529</v>
      </c>
      <c r="G286">
        <v>50589.42</v>
      </c>
      <c r="H286">
        <v>7051</v>
      </c>
      <c r="I286">
        <v>7.17</v>
      </c>
      <c r="J286">
        <v>6.5056000000000003</v>
      </c>
    </row>
    <row r="287" spans="1:10" x14ac:dyDescent="0.3">
      <c r="A287" t="s">
        <v>462</v>
      </c>
      <c r="B287" t="s">
        <v>191</v>
      </c>
      <c r="C287" s="25">
        <v>45930</v>
      </c>
      <c r="D287">
        <v>926715</v>
      </c>
      <c r="E287" t="s">
        <v>472</v>
      </c>
      <c r="F287" t="s">
        <v>529</v>
      </c>
      <c r="G287">
        <v>31768.84</v>
      </c>
      <c r="H287">
        <v>2006</v>
      </c>
      <c r="I287">
        <v>15.84</v>
      </c>
      <c r="J287">
        <v>4.2290999999999999</v>
      </c>
    </row>
    <row r="288" spans="1:10" x14ac:dyDescent="0.3">
      <c r="A288" t="s">
        <v>462</v>
      </c>
      <c r="B288" t="s">
        <v>191</v>
      </c>
      <c r="C288" s="25">
        <v>45961</v>
      </c>
      <c r="D288">
        <v>926715</v>
      </c>
      <c r="E288" t="s">
        <v>472</v>
      </c>
      <c r="F288" t="s">
        <v>529</v>
      </c>
      <c r="G288">
        <v>35911.089999999997</v>
      </c>
      <c r="H288">
        <v>1935</v>
      </c>
      <c r="I288">
        <v>18.559999999999999</v>
      </c>
      <c r="J288">
        <v>4.8440000000000003</v>
      </c>
    </row>
    <row r="289" spans="1:10" x14ac:dyDescent="0.3">
      <c r="A289" t="s">
        <v>462</v>
      </c>
      <c r="B289" t="s">
        <v>191</v>
      </c>
      <c r="C289" s="25">
        <v>45991</v>
      </c>
      <c r="D289">
        <v>926715</v>
      </c>
      <c r="E289" t="s">
        <v>472</v>
      </c>
      <c r="F289" t="s">
        <v>529</v>
      </c>
      <c r="G289">
        <v>37087.519999999997</v>
      </c>
      <c r="H289">
        <v>16422</v>
      </c>
      <c r="I289">
        <v>2.2599999999999998</v>
      </c>
      <c r="J289">
        <v>4.5011000000000001</v>
      </c>
    </row>
    <row r="290" spans="1:10" x14ac:dyDescent="0.3">
      <c r="A290" t="s">
        <v>462</v>
      </c>
      <c r="B290" t="s">
        <v>191</v>
      </c>
      <c r="C290" s="25">
        <v>45657</v>
      </c>
      <c r="D290">
        <v>127437</v>
      </c>
      <c r="E290" t="s">
        <v>471</v>
      </c>
      <c r="F290" t="s">
        <v>528</v>
      </c>
      <c r="G290">
        <v>26922.27</v>
      </c>
      <c r="H290">
        <v>1531</v>
      </c>
      <c r="I290">
        <v>17.579999999999998</v>
      </c>
      <c r="J290">
        <v>4.0242000000000004</v>
      </c>
    </row>
    <row r="291" spans="1:10" x14ac:dyDescent="0.3">
      <c r="A291" t="s">
        <v>462</v>
      </c>
      <c r="B291" t="s">
        <v>191</v>
      </c>
      <c r="C291" s="25">
        <v>45688</v>
      </c>
      <c r="D291">
        <v>127437</v>
      </c>
      <c r="E291" t="s">
        <v>471</v>
      </c>
      <c r="F291" t="s">
        <v>528</v>
      </c>
      <c r="G291">
        <v>28208.27</v>
      </c>
      <c r="H291">
        <v>1763</v>
      </c>
      <c r="I291">
        <v>16</v>
      </c>
      <c r="J291">
        <v>3.8067000000000002</v>
      </c>
    </row>
    <row r="292" spans="1:10" x14ac:dyDescent="0.3">
      <c r="A292" t="s">
        <v>462</v>
      </c>
      <c r="B292" t="s">
        <v>191</v>
      </c>
      <c r="C292" s="25">
        <v>45716</v>
      </c>
      <c r="D292">
        <v>127437</v>
      </c>
      <c r="E292" t="s">
        <v>471</v>
      </c>
      <c r="F292" t="s">
        <v>528</v>
      </c>
      <c r="G292">
        <v>36369.129999999997</v>
      </c>
      <c r="H292">
        <v>6509</v>
      </c>
      <c r="I292">
        <v>5.59</v>
      </c>
      <c r="J292">
        <v>5.1566999999999998</v>
      </c>
    </row>
    <row r="293" spans="1:10" x14ac:dyDescent="0.3">
      <c r="A293" t="s">
        <v>462</v>
      </c>
      <c r="B293" t="s">
        <v>191</v>
      </c>
      <c r="C293" s="25">
        <v>45747</v>
      </c>
      <c r="D293">
        <v>127437</v>
      </c>
      <c r="E293" t="s">
        <v>471</v>
      </c>
      <c r="F293" t="s">
        <v>528</v>
      </c>
      <c r="G293">
        <v>26000.15</v>
      </c>
      <c r="H293">
        <v>18752</v>
      </c>
      <c r="I293">
        <v>1.39</v>
      </c>
      <c r="J293">
        <v>3.3610000000000002</v>
      </c>
    </row>
    <row r="294" spans="1:10" x14ac:dyDescent="0.3">
      <c r="A294" t="s">
        <v>462</v>
      </c>
      <c r="B294" t="s">
        <v>191</v>
      </c>
      <c r="C294" s="25">
        <v>45777</v>
      </c>
      <c r="D294">
        <v>127437</v>
      </c>
      <c r="E294" t="s">
        <v>471</v>
      </c>
      <c r="F294" t="s">
        <v>528</v>
      </c>
      <c r="G294">
        <v>27393.61</v>
      </c>
      <c r="H294">
        <v>1385</v>
      </c>
      <c r="I294">
        <v>19.78</v>
      </c>
      <c r="J294">
        <v>3.9889999999999999</v>
      </c>
    </row>
    <row r="295" spans="1:10" x14ac:dyDescent="0.3">
      <c r="A295" t="s">
        <v>462</v>
      </c>
      <c r="B295" t="s">
        <v>191</v>
      </c>
      <c r="C295" s="25">
        <v>45808</v>
      </c>
      <c r="D295">
        <v>127437</v>
      </c>
      <c r="E295" t="s">
        <v>471</v>
      </c>
      <c r="F295" t="s">
        <v>528</v>
      </c>
      <c r="G295">
        <v>35830.379999999997</v>
      </c>
      <c r="H295">
        <v>2141</v>
      </c>
      <c r="I295">
        <v>16.739999999999998</v>
      </c>
      <c r="J295">
        <v>4.3392999999999997</v>
      </c>
    </row>
    <row r="296" spans="1:10" x14ac:dyDescent="0.3">
      <c r="A296" t="s">
        <v>462</v>
      </c>
      <c r="B296" t="s">
        <v>191</v>
      </c>
      <c r="C296" s="25">
        <v>45838</v>
      </c>
      <c r="D296">
        <v>127437</v>
      </c>
      <c r="E296" t="s">
        <v>471</v>
      </c>
      <c r="F296" t="s">
        <v>528</v>
      </c>
      <c r="G296">
        <v>30787.5</v>
      </c>
      <c r="H296">
        <v>1660</v>
      </c>
      <c r="I296">
        <v>18.55</v>
      </c>
      <c r="J296">
        <v>3.7639999999999998</v>
      </c>
    </row>
    <row r="297" spans="1:10" x14ac:dyDescent="0.3">
      <c r="A297" t="s">
        <v>462</v>
      </c>
      <c r="B297" t="s">
        <v>191</v>
      </c>
      <c r="C297" s="25">
        <v>45869</v>
      </c>
      <c r="D297">
        <v>127437</v>
      </c>
      <c r="E297" t="s">
        <v>471</v>
      </c>
      <c r="F297" t="s">
        <v>528</v>
      </c>
      <c r="G297">
        <v>38953.24</v>
      </c>
      <c r="H297">
        <v>2941</v>
      </c>
      <c r="I297">
        <v>13.24</v>
      </c>
      <c r="J297">
        <v>4.3811999999999998</v>
      </c>
    </row>
    <row r="298" spans="1:10" x14ac:dyDescent="0.3">
      <c r="A298" t="s">
        <v>462</v>
      </c>
      <c r="B298" t="s">
        <v>191</v>
      </c>
      <c r="C298" s="25">
        <v>45900</v>
      </c>
      <c r="D298">
        <v>127437</v>
      </c>
      <c r="E298" t="s">
        <v>471</v>
      </c>
      <c r="F298" t="s">
        <v>528</v>
      </c>
      <c r="G298">
        <v>31971.16</v>
      </c>
      <c r="H298">
        <v>7232</v>
      </c>
      <c r="I298">
        <v>4.42</v>
      </c>
      <c r="J298">
        <v>4.1113</v>
      </c>
    </row>
    <row r="299" spans="1:10" x14ac:dyDescent="0.3">
      <c r="A299" t="s">
        <v>462</v>
      </c>
      <c r="B299" t="s">
        <v>191</v>
      </c>
      <c r="C299" s="25">
        <v>45930</v>
      </c>
      <c r="D299">
        <v>127437</v>
      </c>
      <c r="E299" t="s">
        <v>471</v>
      </c>
      <c r="F299" t="s">
        <v>528</v>
      </c>
      <c r="G299">
        <v>31182.66</v>
      </c>
      <c r="H299">
        <v>3048</v>
      </c>
      <c r="I299">
        <v>10.23</v>
      </c>
      <c r="J299">
        <v>4.1510999999999996</v>
      </c>
    </row>
    <row r="300" spans="1:10" x14ac:dyDescent="0.3">
      <c r="A300" t="s">
        <v>462</v>
      </c>
      <c r="B300" t="s">
        <v>191</v>
      </c>
      <c r="C300" s="25">
        <v>45961</v>
      </c>
      <c r="D300">
        <v>127437</v>
      </c>
      <c r="E300" t="s">
        <v>471</v>
      </c>
      <c r="F300" t="s">
        <v>528</v>
      </c>
      <c r="G300">
        <v>32303.05</v>
      </c>
      <c r="H300">
        <v>4092</v>
      </c>
      <c r="I300">
        <v>7.89</v>
      </c>
      <c r="J300">
        <v>4.3573000000000004</v>
      </c>
    </row>
    <row r="301" spans="1:10" x14ac:dyDescent="0.3">
      <c r="A301" t="s">
        <v>462</v>
      </c>
      <c r="B301" t="s">
        <v>191</v>
      </c>
      <c r="C301" s="25">
        <v>45991</v>
      </c>
      <c r="D301">
        <v>127437</v>
      </c>
      <c r="E301" t="s">
        <v>471</v>
      </c>
      <c r="F301" t="s">
        <v>528</v>
      </c>
      <c r="G301">
        <v>38004.92</v>
      </c>
      <c r="H301">
        <v>5995</v>
      </c>
      <c r="I301">
        <v>6.34</v>
      </c>
      <c r="J301">
        <v>4.6124999999999998</v>
      </c>
    </row>
    <row r="302" spans="1:10" x14ac:dyDescent="0.3">
      <c r="A302" t="s">
        <v>462</v>
      </c>
      <c r="B302" t="s">
        <v>191</v>
      </c>
      <c r="C302" s="25">
        <v>45657</v>
      </c>
      <c r="D302">
        <v>426937</v>
      </c>
      <c r="E302" t="s">
        <v>470</v>
      </c>
      <c r="F302" t="s">
        <v>527</v>
      </c>
      <c r="G302">
        <v>23470.99</v>
      </c>
      <c r="H302">
        <v>1180</v>
      </c>
      <c r="I302">
        <v>19.89</v>
      </c>
      <c r="J302">
        <v>3.5083000000000002</v>
      </c>
    </row>
    <row r="303" spans="1:10" x14ac:dyDescent="0.3">
      <c r="A303" t="s">
        <v>462</v>
      </c>
      <c r="B303" t="s">
        <v>191</v>
      </c>
      <c r="C303" s="25">
        <v>45688</v>
      </c>
      <c r="D303">
        <v>426937</v>
      </c>
      <c r="E303" t="s">
        <v>470</v>
      </c>
      <c r="F303" t="s">
        <v>527</v>
      </c>
      <c r="G303">
        <v>28033.39</v>
      </c>
      <c r="H303">
        <v>2416</v>
      </c>
      <c r="I303">
        <v>11.6</v>
      </c>
      <c r="J303">
        <v>3.7831000000000001</v>
      </c>
    </row>
    <row r="304" spans="1:10" x14ac:dyDescent="0.3">
      <c r="A304" t="s">
        <v>462</v>
      </c>
      <c r="B304" t="s">
        <v>191</v>
      </c>
      <c r="C304" s="25">
        <v>45716</v>
      </c>
      <c r="D304">
        <v>426937</v>
      </c>
      <c r="E304" t="s">
        <v>470</v>
      </c>
      <c r="F304" t="s">
        <v>527</v>
      </c>
      <c r="G304">
        <v>28211.95</v>
      </c>
      <c r="H304">
        <v>1892</v>
      </c>
      <c r="I304">
        <v>14.91</v>
      </c>
      <c r="J304">
        <v>4.0000999999999998</v>
      </c>
    </row>
    <row r="305" spans="1:10" x14ac:dyDescent="0.3">
      <c r="A305" t="s">
        <v>462</v>
      </c>
      <c r="B305" t="s">
        <v>191</v>
      </c>
      <c r="C305" s="25">
        <v>45747</v>
      </c>
      <c r="D305">
        <v>426937</v>
      </c>
      <c r="E305" t="s">
        <v>470</v>
      </c>
      <c r="F305" t="s">
        <v>527</v>
      </c>
      <c r="G305">
        <v>27896.959999999999</v>
      </c>
      <c r="H305">
        <v>1718</v>
      </c>
      <c r="I305">
        <v>16.239999999999998</v>
      </c>
      <c r="J305">
        <v>3.6061999999999999</v>
      </c>
    </row>
    <row r="306" spans="1:10" x14ac:dyDescent="0.3">
      <c r="A306" t="s">
        <v>462</v>
      </c>
      <c r="B306" t="s">
        <v>191</v>
      </c>
      <c r="C306" s="25">
        <v>45777</v>
      </c>
      <c r="D306">
        <v>426937</v>
      </c>
      <c r="E306" t="s">
        <v>470</v>
      </c>
      <c r="F306" t="s">
        <v>527</v>
      </c>
      <c r="G306">
        <v>24518.77</v>
      </c>
      <c r="H306">
        <v>2952</v>
      </c>
      <c r="I306">
        <v>8.31</v>
      </c>
      <c r="J306">
        <v>3.5703</v>
      </c>
    </row>
    <row r="307" spans="1:10" x14ac:dyDescent="0.3">
      <c r="A307" t="s">
        <v>462</v>
      </c>
      <c r="B307" t="s">
        <v>191</v>
      </c>
      <c r="C307" s="25">
        <v>45808</v>
      </c>
      <c r="D307">
        <v>426937</v>
      </c>
      <c r="E307" t="s">
        <v>470</v>
      </c>
      <c r="F307" t="s">
        <v>527</v>
      </c>
      <c r="G307">
        <v>21595.08</v>
      </c>
      <c r="H307">
        <v>2953</v>
      </c>
      <c r="I307">
        <v>7.31</v>
      </c>
      <c r="J307">
        <v>2.6153</v>
      </c>
    </row>
    <row r="308" spans="1:10" x14ac:dyDescent="0.3">
      <c r="A308" t="s">
        <v>462</v>
      </c>
      <c r="B308" t="s">
        <v>191</v>
      </c>
      <c r="C308" s="25">
        <v>45838</v>
      </c>
      <c r="D308">
        <v>426937</v>
      </c>
      <c r="E308" t="s">
        <v>470</v>
      </c>
      <c r="F308" t="s">
        <v>527</v>
      </c>
      <c r="G308">
        <v>32994.080000000002</v>
      </c>
      <c r="H308">
        <v>7168</v>
      </c>
      <c r="I308">
        <v>4.5999999999999996</v>
      </c>
      <c r="J308">
        <v>4.0338000000000003</v>
      </c>
    </row>
    <row r="309" spans="1:10" x14ac:dyDescent="0.3">
      <c r="A309" t="s">
        <v>462</v>
      </c>
      <c r="B309" t="s">
        <v>191</v>
      </c>
      <c r="C309" s="25">
        <v>45869</v>
      </c>
      <c r="D309">
        <v>426937</v>
      </c>
      <c r="E309" t="s">
        <v>470</v>
      </c>
      <c r="F309" t="s">
        <v>527</v>
      </c>
      <c r="G309">
        <v>32444.27</v>
      </c>
      <c r="H309">
        <v>2520</v>
      </c>
      <c r="I309">
        <v>12.88</v>
      </c>
      <c r="J309">
        <v>3.6490999999999998</v>
      </c>
    </row>
    <row r="310" spans="1:10" x14ac:dyDescent="0.3">
      <c r="A310" t="s">
        <v>462</v>
      </c>
      <c r="B310" t="s">
        <v>191</v>
      </c>
      <c r="C310" s="25">
        <v>45900</v>
      </c>
      <c r="D310">
        <v>426937</v>
      </c>
      <c r="E310" t="s">
        <v>470</v>
      </c>
      <c r="F310" t="s">
        <v>527</v>
      </c>
      <c r="G310">
        <v>32705.52</v>
      </c>
      <c r="H310">
        <v>12854</v>
      </c>
      <c r="I310">
        <v>2.54</v>
      </c>
      <c r="J310">
        <v>4.2058</v>
      </c>
    </row>
    <row r="311" spans="1:10" x14ac:dyDescent="0.3">
      <c r="A311" t="s">
        <v>462</v>
      </c>
      <c r="B311" t="s">
        <v>191</v>
      </c>
      <c r="C311" s="25">
        <v>45930</v>
      </c>
      <c r="D311">
        <v>426937</v>
      </c>
      <c r="E311" t="s">
        <v>470</v>
      </c>
      <c r="F311" t="s">
        <v>527</v>
      </c>
      <c r="G311">
        <v>33817.22</v>
      </c>
      <c r="H311">
        <v>6690</v>
      </c>
      <c r="I311">
        <v>5.05</v>
      </c>
      <c r="J311">
        <v>4.5018000000000002</v>
      </c>
    </row>
    <row r="312" spans="1:10" x14ac:dyDescent="0.3">
      <c r="A312" t="s">
        <v>462</v>
      </c>
      <c r="B312" t="s">
        <v>191</v>
      </c>
      <c r="C312" s="25">
        <v>45961</v>
      </c>
      <c r="D312">
        <v>426937</v>
      </c>
      <c r="E312" t="s">
        <v>470</v>
      </c>
      <c r="F312" t="s">
        <v>527</v>
      </c>
      <c r="G312">
        <v>32691.919999999998</v>
      </c>
      <c r="H312">
        <v>4392</v>
      </c>
      <c r="I312">
        <v>7.44</v>
      </c>
      <c r="J312">
        <v>4.4097999999999997</v>
      </c>
    </row>
    <row r="313" spans="1:10" x14ac:dyDescent="0.3">
      <c r="A313" t="s">
        <v>462</v>
      </c>
      <c r="B313" t="s">
        <v>191</v>
      </c>
      <c r="C313" s="25">
        <v>45991</v>
      </c>
      <c r="D313">
        <v>426937</v>
      </c>
      <c r="E313" t="s">
        <v>470</v>
      </c>
      <c r="F313" t="s">
        <v>527</v>
      </c>
      <c r="G313">
        <v>29700.51</v>
      </c>
      <c r="H313">
        <v>3707</v>
      </c>
      <c r="I313">
        <v>8.01</v>
      </c>
      <c r="J313">
        <v>3.6046</v>
      </c>
    </row>
    <row r="314" spans="1:10" x14ac:dyDescent="0.3">
      <c r="A314" t="s">
        <v>462</v>
      </c>
      <c r="B314" t="s">
        <v>191</v>
      </c>
      <c r="C314" s="25">
        <v>45657</v>
      </c>
      <c r="D314">
        <v>589727</v>
      </c>
      <c r="E314" t="s">
        <v>463</v>
      </c>
      <c r="F314" t="s">
        <v>526</v>
      </c>
      <c r="G314">
        <v>32203.15</v>
      </c>
      <c r="H314">
        <v>4313</v>
      </c>
      <c r="I314">
        <v>7.47</v>
      </c>
      <c r="J314">
        <v>4.8136000000000001</v>
      </c>
    </row>
    <row r="315" spans="1:10" x14ac:dyDescent="0.3">
      <c r="A315" t="s">
        <v>462</v>
      </c>
      <c r="B315" t="s">
        <v>191</v>
      </c>
      <c r="C315" s="25">
        <v>45688</v>
      </c>
      <c r="D315">
        <v>589727</v>
      </c>
      <c r="E315" t="s">
        <v>463</v>
      </c>
      <c r="F315" t="s">
        <v>526</v>
      </c>
      <c r="G315">
        <v>21670.03</v>
      </c>
      <c r="H315">
        <v>1203</v>
      </c>
      <c r="I315">
        <v>18.010000000000002</v>
      </c>
      <c r="J315">
        <v>2.9243999999999999</v>
      </c>
    </row>
    <row r="316" spans="1:10" x14ac:dyDescent="0.3">
      <c r="A316" t="s">
        <v>462</v>
      </c>
      <c r="B316" t="s">
        <v>191</v>
      </c>
      <c r="C316" s="25">
        <v>45716</v>
      </c>
      <c r="D316">
        <v>589727</v>
      </c>
      <c r="E316" t="s">
        <v>463</v>
      </c>
      <c r="F316" t="s">
        <v>526</v>
      </c>
      <c r="G316">
        <v>34089.620000000003</v>
      </c>
      <c r="H316">
        <v>3227</v>
      </c>
      <c r="I316">
        <v>10.56</v>
      </c>
      <c r="J316">
        <v>4.8334999999999999</v>
      </c>
    </row>
    <row r="317" spans="1:10" x14ac:dyDescent="0.3">
      <c r="A317" t="s">
        <v>462</v>
      </c>
      <c r="B317" t="s">
        <v>191</v>
      </c>
      <c r="C317" s="25">
        <v>45747</v>
      </c>
      <c r="D317">
        <v>589727</v>
      </c>
      <c r="E317" t="s">
        <v>463</v>
      </c>
      <c r="F317" t="s">
        <v>526</v>
      </c>
      <c r="G317">
        <v>32980.480000000003</v>
      </c>
      <c r="H317">
        <v>2751</v>
      </c>
      <c r="I317">
        <v>11.99</v>
      </c>
      <c r="J317">
        <v>4.2633000000000001</v>
      </c>
    </row>
    <row r="318" spans="1:10" x14ac:dyDescent="0.3">
      <c r="A318" t="s">
        <v>462</v>
      </c>
      <c r="B318" t="s">
        <v>191</v>
      </c>
      <c r="C318" s="25">
        <v>45777</v>
      </c>
      <c r="D318">
        <v>589727</v>
      </c>
      <c r="E318" t="s">
        <v>463</v>
      </c>
      <c r="F318" t="s">
        <v>526</v>
      </c>
      <c r="G318">
        <v>34359.589999999997</v>
      </c>
      <c r="H318">
        <v>16684</v>
      </c>
      <c r="I318">
        <v>2.06</v>
      </c>
      <c r="J318">
        <v>5.0033000000000003</v>
      </c>
    </row>
    <row r="319" spans="1:10" x14ac:dyDescent="0.3">
      <c r="A319" t="s">
        <v>462</v>
      </c>
      <c r="B319" t="s">
        <v>191</v>
      </c>
      <c r="C319" s="25">
        <v>45808</v>
      </c>
      <c r="D319">
        <v>589727</v>
      </c>
      <c r="E319" t="s">
        <v>463</v>
      </c>
      <c r="F319" t="s">
        <v>526</v>
      </c>
      <c r="G319">
        <v>32273.23</v>
      </c>
      <c r="H319">
        <v>1804</v>
      </c>
      <c r="I319">
        <v>17.89</v>
      </c>
      <c r="J319">
        <v>3.9085000000000001</v>
      </c>
    </row>
    <row r="320" spans="1:10" x14ac:dyDescent="0.3">
      <c r="A320" t="s">
        <v>462</v>
      </c>
      <c r="B320" t="s">
        <v>191</v>
      </c>
      <c r="C320" s="25">
        <v>45838</v>
      </c>
      <c r="D320">
        <v>589727</v>
      </c>
      <c r="E320" t="s">
        <v>463</v>
      </c>
      <c r="F320" t="s">
        <v>526</v>
      </c>
      <c r="G320">
        <v>34326.870000000003</v>
      </c>
      <c r="H320">
        <v>2691</v>
      </c>
      <c r="I320">
        <v>12.76</v>
      </c>
      <c r="J320">
        <v>4.1966999999999999</v>
      </c>
    </row>
    <row r="321" spans="1:10" x14ac:dyDescent="0.3">
      <c r="A321" t="s">
        <v>462</v>
      </c>
      <c r="B321" t="s">
        <v>191</v>
      </c>
      <c r="C321" s="25">
        <v>45869</v>
      </c>
      <c r="D321">
        <v>589727</v>
      </c>
      <c r="E321" t="s">
        <v>463</v>
      </c>
      <c r="F321" t="s">
        <v>526</v>
      </c>
      <c r="G321">
        <v>44179.62</v>
      </c>
      <c r="H321">
        <v>4131</v>
      </c>
      <c r="I321">
        <v>10.69</v>
      </c>
      <c r="J321">
        <v>4.9690000000000003</v>
      </c>
    </row>
    <row r="322" spans="1:10" x14ac:dyDescent="0.3">
      <c r="A322" t="s">
        <v>462</v>
      </c>
      <c r="B322" t="s">
        <v>191</v>
      </c>
      <c r="C322" s="25">
        <v>45900</v>
      </c>
      <c r="D322">
        <v>589727</v>
      </c>
      <c r="E322" t="s">
        <v>463</v>
      </c>
      <c r="F322" t="s">
        <v>526</v>
      </c>
      <c r="G322">
        <v>32300.99</v>
      </c>
      <c r="H322">
        <v>1700</v>
      </c>
      <c r="I322">
        <v>19</v>
      </c>
      <c r="J322">
        <v>4.1538000000000004</v>
      </c>
    </row>
    <row r="323" spans="1:10" x14ac:dyDescent="0.3">
      <c r="A323" t="s">
        <v>462</v>
      </c>
      <c r="B323" t="s">
        <v>191</v>
      </c>
      <c r="C323" s="25">
        <v>45930</v>
      </c>
      <c r="D323">
        <v>589727</v>
      </c>
      <c r="E323" t="s">
        <v>463</v>
      </c>
      <c r="F323" t="s">
        <v>526</v>
      </c>
      <c r="G323">
        <v>34859.69</v>
      </c>
      <c r="H323">
        <v>7190</v>
      </c>
      <c r="I323">
        <v>4.8499999999999996</v>
      </c>
      <c r="J323">
        <v>4.6406000000000001</v>
      </c>
    </row>
    <row r="324" spans="1:10" x14ac:dyDescent="0.3">
      <c r="A324" t="s">
        <v>462</v>
      </c>
      <c r="B324" t="s">
        <v>191</v>
      </c>
      <c r="C324" s="25">
        <v>45961</v>
      </c>
      <c r="D324">
        <v>589727</v>
      </c>
      <c r="E324" t="s">
        <v>463</v>
      </c>
      <c r="F324" t="s">
        <v>526</v>
      </c>
      <c r="G324">
        <v>29552.74</v>
      </c>
      <c r="H324">
        <v>1700</v>
      </c>
      <c r="I324">
        <v>17.39</v>
      </c>
      <c r="J324">
        <v>3.9863</v>
      </c>
    </row>
    <row r="325" spans="1:10" x14ac:dyDescent="0.3">
      <c r="A325" t="s">
        <v>462</v>
      </c>
      <c r="B325" t="s">
        <v>191</v>
      </c>
      <c r="C325" s="25">
        <v>45991</v>
      </c>
      <c r="D325">
        <v>589727</v>
      </c>
      <c r="E325" t="s">
        <v>463</v>
      </c>
      <c r="F325" t="s">
        <v>526</v>
      </c>
      <c r="G325">
        <v>31354.9</v>
      </c>
      <c r="H325">
        <v>2397</v>
      </c>
      <c r="I325">
        <v>13.08</v>
      </c>
      <c r="J325">
        <v>3.8054000000000001</v>
      </c>
    </row>
    <row r="326" spans="1:10" x14ac:dyDescent="0.3">
      <c r="A326" t="s">
        <v>462</v>
      </c>
      <c r="B326" t="s">
        <v>191</v>
      </c>
      <c r="C326" s="25">
        <v>45657</v>
      </c>
      <c r="D326">
        <v>693545</v>
      </c>
      <c r="E326" t="s">
        <v>468</v>
      </c>
      <c r="F326" t="s">
        <v>525</v>
      </c>
      <c r="G326">
        <v>20995.439999999999</v>
      </c>
      <c r="H326">
        <v>2713</v>
      </c>
      <c r="I326">
        <v>7.74</v>
      </c>
      <c r="J326">
        <v>3.1383000000000001</v>
      </c>
    </row>
    <row r="327" spans="1:10" x14ac:dyDescent="0.3">
      <c r="A327" t="s">
        <v>462</v>
      </c>
      <c r="B327" t="s">
        <v>191</v>
      </c>
      <c r="C327" s="25">
        <v>45688</v>
      </c>
      <c r="D327">
        <v>693545</v>
      </c>
      <c r="E327" t="s">
        <v>468</v>
      </c>
      <c r="F327" t="s">
        <v>525</v>
      </c>
      <c r="G327">
        <v>34185.29</v>
      </c>
      <c r="H327">
        <v>10284</v>
      </c>
      <c r="I327">
        <v>3.32</v>
      </c>
      <c r="J327">
        <v>4.6132999999999997</v>
      </c>
    </row>
    <row r="328" spans="1:10" x14ac:dyDescent="0.3">
      <c r="A328" t="s">
        <v>462</v>
      </c>
      <c r="B328" t="s">
        <v>191</v>
      </c>
      <c r="C328" s="25">
        <v>45716</v>
      </c>
      <c r="D328">
        <v>693545</v>
      </c>
      <c r="E328" t="s">
        <v>468</v>
      </c>
      <c r="F328" t="s">
        <v>525</v>
      </c>
      <c r="G328">
        <v>24121.54</v>
      </c>
      <c r="H328">
        <v>6099</v>
      </c>
      <c r="I328">
        <v>3.96</v>
      </c>
      <c r="J328">
        <v>3.4201000000000001</v>
      </c>
    </row>
    <row r="329" spans="1:10" x14ac:dyDescent="0.3">
      <c r="A329" t="s">
        <v>462</v>
      </c>
      <c r="B329" t="s">
        <v>191</v>
      </c>
      <c r="C329" s="25">
        <v>45747</v>
      </c>
      <c r="D329">
        <v>693545</v>
      </c>
      <c r="E329" t="s">
        <v>468</v>
      </c>
      <c r="F329" t="s">
        <v>525</v>
      </c>
      <c r="G329">
        <v>23306.959999999999</v>
      </c>
      <c r="H329">
        <v>1449</v>
      </c>
      <c r="I329">
        <v>16.09</v>
      </c>
      <c r="J329">
        <v>3.0129000000000001</v>
      </c>
    </row>
    <row r="330" spans="1:10" x14ac:dyDescent="0.3">
      <c r="A330" t="s">
        <v>462</v>
      </c>
      <c r="B330" t="s">
        <v>191</v>
      </c>
      <c r="C330" s="25">
        <v>45777</v>
      </c>
      <c r="D330">
        <v>693545</v>
      </c>
      <c r="E330" t="s">
        <v>468</v>
      </c>
      <c r="F330" t="s">
        <v>525</v>
      </c>
      <c r="G330">
        <v>28976.97</v>
      </c>
      <c r="H330">
        <v>3919</v>
      </c>
      <c r="I330">
        <v>7.39</v>
      </c>
      <c r="J330">
        <v>4.2195</v>
      </c>
    </row>
    <row r="331" spans="1:10" x14ac:dyDescent="0.3">
      <c r="A331" t="s">
        <v>462</v>
      </c>
      <c r="B331" t="s">
        <v>191</v>
      </c>
      <c r="C331" s="25">
        <v>45808</v>
      </c>
      <c r="D331">
        <v>693545</v>
      </c>
      <c r="E331" t="s">
        <v>468</v>
      </c>
      <c r="F331" t="s">
        <v>525</v>
      </c>
      <c r="G331">
        <v>33158.660000000003</v>
      </c>
      <c r="H331">
        <v>9767</v>
      </c>
      <c r="I331">
        <v>3.39</v>
      </c>
      <c r="J331">
        <v>4.0156999999999998</v>
      </c>
    </row>
    <row r="332" spans="1:10" x14ac:dyDescent="0.3">
      <c r="A332" t="s">
        <v>462</v>
      </c>
      <c r="B332" t="s">
        <v>191</v>
      </c>
      <c r="C332" s="25">
        <v>45838</v>
      </c>
      <c r="D332">
        <v>693545</v>
      </c>
      <c r="E332" t="s">
        <v>468</v>
      </c>
      <c r="F332" t="s">
        <v>525</v>
      </c>
      <c r="G332">
        <v>34793.99</v>
      </c>
      <c r="H332">
        <v>5464</v>
      </c>
      <c r="I332">
        <v>6.37</v>
      </c>
      <c r="J332">
        <v>4.2538999999999998</v>
      </c>
    </row>
    <row r="333" spans="1:10" x14ac:dyDescent="0.3">
      <c r="A333" t="s">
        <v>462</v>
      </c>
      <c r="B333" t="s">
        <v>191</v>
      </c>
      <c r="C333" s="25">
        <v>45869</v>
      </c>
      <c r="D333">
        <v>693545</v>
      </c>
      <c r="E333" t="s">
        <v>468</v>
      </c>
      <c r="F333" t="s">
        <v>525</v>
      </c>
      <c r="G333">
        <v>34736.11</v>
      </c>
      <c r="H333">
        <v>2145</v>
      </c>
      <c r="I333">
        <v>16.2</v>
      </c>
      <c r="J333">
        <v>3.9068999999999998</v>
      </c>
    </row>
    <row r="334" spans="1:10" x14ac:dyDescent="0.3">
      <c r="A334" t="s">
        <v>462</v>
      </c>
      <c r="B334" t="s">
        <v>191</v>
      </c>
      <c r="C334" s="25">
        <v>45900</v>
      </c>
      <c r="D334">
        <v>693545</v>
      </c>
      <c r="E334" t="s">
        <v>468</v>
      </c>
      <c r="F334" t="s">
        <v>525</v>
      </c>
      <c r="G334">
        <v>29732.66</v>
      </c>
      <c r="H334">
        <v>7999</v>
      </c>
      <c r="I334">
        <v>3.72</v>
      </c>
      <c r="J334">
        <v>3.8235000000000001</v>
      </c>
    </row>
    <row r="335" spans="1:10" x14ac:dyDescent="0.3">
      <c r="A335" t="s">
        <v>462</v>
      </c>
      <c r="B335" t="s">
        <v>191</v>
      </c>
      <c r="C335" s="25">
        <v>45930</v>
      </c>
      <c r="D335">
        <v>693545</v>
      </c>
      <c r="E335" t="s">
        <v>468</v>
      </c>
      <c r="F335" t="s">
        <v>525</v>
      </c>
      <c r="G335">
        <v>33600.6</v>
      </c>
      <c r="H335">
        <v>3592</v>
      </c>
      <c r="I335">
        <v>9.36</v>
      </c>
      <c r="J335">
        <v>4.4729000000000001</v>
      </c>
    </row>
    <row r="336" spans="1:10" x14ac:dyDescent="0.3">
      <c r="A336" t="s">
        <v>462</v>
      </c>
      <c r="B336" t="s">
        <v>191</v>
      </c>
      <c r="C336" s="25">
        <v>45961</v>
      </c>
      <c r="D336">
        <v>693545</v>
      </c>
      <c r="E336" t="s">
        <v>468</v>
      </c>
      <c r="F336" t="s">
        <v>525</v>
      </c>
      <c r="G336">
        <v>27229.58</v>
      </c>
      <c r="H336">
        <v>1816</v>
      </c>
      <c r="I336">
        <v>14.99</v>
      </c>
      <c r="J336">
        <v>3.673</v>
      </c>
    </row>
    <row r="337" spans="1:10" x14ac:dyDescent="0.3">
      <c r="A337" t="s">
        <v>462</v>
      </c>
      <c r="B337" t="s">
        <v>191</v>
      </c>
      <c r="C337" s="25">
        <v>45991</v>
      </c>
      <c r="D337">
        <v>693545</v>
      </c>
      <c r="E337" t="s">
        <v>468</v>
      </c>
      <c r="F337" t="s">
        <v>525</v>
      </c>
      <c r="G337">
        <v>27116.38</v>
      </c>
      <c r="H337">
        <v>1479</v>
      </c>
      <c r="I337">
        <v>18.329999999999998</v>
      </c>
      <c r="J337">
        <v>3.2909999999999999</v>
      </c>
    </row>
    <row r="338" spans="1:10" x14ac:dyDescent="0.3">
      <c r="A338" t="s">
        <v>462</v>
      </c>
      <c r="B338" t="s">
        <v>191</v>
      </c>
      <c r="C338" s="25">
        <v>45657</v>
      </c>
      <c r="D338">
        <v>959508</v>
      </c>
      <c r="E338" t="s">
        <v>467</v>
      </c>
      <c r="F338" t="s">
        <v>524</v>
      </c>
      <c r="G338">
        <v>23611.48</v>
      </c>
      <c r="H338">
        <v>9734</v>
      </c>
      <c r="I338">
        <v>2.4300000000000002</v>
      </c>
      <c r="J338">
        <v>3.5293000000000001</v>
      </c>
    </row>
    <row r="339" spans="1:10" x14ac:dyDescent="0.3">
      <c r="A339" t="s">
        <v>462</v>
      </c>
      <c r="B339" t="s">
        <v>191</v>
      </c>
      <c r="C339" s="25">
        <v>45688</v>
      </c>
      <c r="D339">
        <v>959508</v>
      </c>
      <c r="E339" t="s">
        <v>467</v>
      </c>
      <c r="F339" t="s">
        <v>524</v>
      </c>
      <c r="G339">
        <v>23136.94</v>
      </c>
      <c r="H339">
        <v>5885</v>
      </c>
      <c r="I339">
        <v>3.93</v>
      </c>
      <c r="J339">
        <v>3.1223000000000001</v>
      </c>
    </row>
    <row r="340" spans="1:10" x14ac:dyDescent="0.3">
      <c r="A340" t="s">
        <v>462</v>
      </c>
      <c r="B340" t="s">
        <v>191</v>
      </c>
      <c r="C340" s="25">
        <v>45716</v>
      </c>
      <c r="D340">
        <v>959508</v>
      </c>
      <c r="E340" t="s">
        <v>467</v>
      </c>
      <c r="F340" t="s">
        <v>524</v>
      </c>
      <c r="G340">
        <v>21800.59</v>
      </c>
      <c r="H340">
        <v>1666</v>
      </c>
      <c r="I340">
        <v>13.09</v>
      </c>
      <c r="J340">
        <v>3.0910000000000002</v>
      </c>
    </row>
    <row r="341" spans="1:10" x14ac:dyDescent="0.3">
      <c r="A341" t="s">
        <v>462</v>
      </c>
      <c r="B341" t="s">
        <v>191</v>
      </c>
      <c r="C341" s="25">
        <v>45747</v>
      </c>
      <c r="D341">
        <v>959508</v>
      </c>
      <c r="E341" t="s">
        <v>467</v>
      </c>
      <c r="F341" t="s">
        <v>524</v>
      </c>
      <c r="G341">
        <v>36496.129999999997</v>
      </c>
      <c r="H341">
        <v>5241</v>
      </c>
      <c r="I341">
        <v>6.96</v>
      </c>
      <c r="J341">
        <v>4.7178000000000004</v>
      </c>
    </row>
    <row r="342" spans="1:10" x14ac:dyDescent="0.3">
      <c r="A342" t="s">
        <v>462</v>
      </c>
      <c r="B342" t="s">
        <v>191</v>
      </c>
      <c r="C342" s="25">
        <v>45777</v>
      </c>
      <c r="D342">
        <v>959508</v>
      </c>
      <c r="E342" t="s">
        <v>467</v>
      </c>
      <c r="F342" t="s">
        <v>524</v>
      </c>
      <c r="G342">
        <v>24011.67</v>
      </c>
      <c r="H342">
        <v>1397</v>
      </c>
      <c r="I342">
        <v>17.18</v>
      </c>
      <c r="J342">
        <v>3.4965000000000002</v>
      </c>
    </row>
    <row r="343" spans="1:10" x14ac:dyDescent="0.3">
      <c r="A343" t="s">
        <v>462</v>
      </c>
      <c r="B343" t="s">
        <v>191</v>
      </c>
      <c r="C343" s="25">
        <v>45808</v>
      </c>
      <c r="D343">
        <v>959508</v>
      </c>
      <c r="E343" t="s">
        <v>467</v>
      </c>
      <c r="F343" t="s">
        <v>524</v>
      </c>
      <c r="G343">
        <v>21974.35</v>
      </c>
      <c r="H343">
        <v>2243</v>
      </c>
      <c r="I343">
        <v>9.8000000000000007</v>
      </c>
      <c r="J343">
        <v>2.6612</v>
      </c>
    </row>
    <row r="344" spans="1:10" x14ac:dyDescent="0.3">
      <c r="A344" t="s">
        <v>462</v>
      </c>
      <c r="B344" t="s">
        <v>191</v>
      </c>
      <c r="C344" s="25">
        <v>45838</v>
      </c>
      <c r="D344">
        <v>959508</v>
      </c>
      <c r="E344" t="s">
        <v>467</v>
      </c>
      <c r="F344" t="s">
        <v>524</v>
      </c>
      <c r="G344">
        <v>26509.85</v>
      </c>
      <c r="H344">
        <v>11016</v>
      </c>
      <c r="I344">
        <v>2.41</v>
      </c>
      <c r="J344">
        <v>3.2410999999999999</v>
      </c>
    </row>
    <row r="345" spans="1:10" x14ac:dyDescent="0.3">
      <c r="A345" t="s">
        <v>462</v>
      </c>
      <c r="B345" t="s">
        <v>191</v>
      </c>
      <c r="C345" s="25">
        <v>45869</v>
      </c>
      <c r="D345">
        <v>959508</v>
      </c>
      <c r="E345" t="s">
        <v>467</v>
      </c>
      <c r="F345" t="s">
        <v>524</v>
      </c>
      <c r="G345">
        <v>25519.69</v>
      </c>
      <c r="H345">
        <v>4702</v>
      </c>
      <c r="I345">
        <v>5.43</v>
      </c>
      <c r="J345">
        <v>2.8702999999999999</v>
      </c>
    </row>
    <row r="346" spans="1:10" x14ac:dyDescent="0.3">
      <c r="A346" t="s">
        <v>462</v>
      </c>
      <c r="B346" t="s">
        <v>191</v>
      </c>
      <c r="C346" s="25">
        <v>45900</v>
      </c>
      <c r="D346">
        <v>959508</v>
      </c>
      <c r="E346" t="s">
        <v>467</v>
      </c>
      <c r="F346" t="s">
        <v>524</v>
      </c>
      <c r="G346">
        <v>26283.82</v>
      </c>
      <c r="H346">
        <v>2738</v>
      </c>
      <c r="I346">
        <v>9.6</v>
      </c>
      <c r="J346">
        <v>3.38</v>
      </c>
    </row>
    <row r="347" spans="1:10" x14ac:dyDescent="0.3">
      <c r="A347" t="s">
        <v>462</v>
      </c>
      <c r="B347" t="s">
        <v>191</v>
      </c>
      <c r="C347" s="25">
        <v>45930</v>
      </c>
      <c r="D347">
        <v>959508</v>
      </c>
      <c r="E347" t="s">
        <v>467</v>
      </c>
      <c r="F347" t="s">
        <v>524</v>
      </c>
      <c r="G347">
        <v>27948.48</v>
      </c>
      <c r="H347">
        <v>10015</v>
      </c>
      <c r="I347">
        <v>2.79</v>
      </c>
      <c r="J347">
        <v>3.7204999999999999</v>
      </c>
    </row>
    <row r="348" spans="1:10" x14ac:dyDescent="0.3">
      <c r="A348" t="s">
        <v>462</v>
      </c>
      <c r="B348" t="s">
        <v>191</v>
      </c>
      <c r="C348" s="25">
        <v>45961</v>
      </c>
      <c r="D348">
        <v>959508</v>
      </c>
      <c r="E348" t="s">
        <v>467</v>
      </c>
      <c r="F348" t="s">
        <v>524</v>
      </c>
      <c r="G348">
        <v>30190.75</v>
      </c>
      <c r="H348">
        <v>1862</v>
      </c>
      <c r="I348">
        <v>16.21</v>
      </c>
      <c r="J348">
        <v>4.0724</v>
      </c>
    </row>
    <row r="349" spans="1:10" x14ac:dyDescent="0.3">
      <c r="A349" t="s">
        <v>462</v>
      </c>
      <c r="B349" t="s">
        <v>191</v>
      </c>
      <c r="C349" s="25">
        <v>45991</v>
      </c>
      <c r="D349">
        <v>959508</v>
      </c>
      <c r="E349" t="s">
        <v>467</v>
      </c>
      <c r="F349" t="s">
        <v>524</v>
      </c>
      <c r="G349">
        <v>23581.18</v>
      </c>
      <c r="H349">
        <v>1521</v>
      </c>
      <c r="I349">
        <v>15.51</v>
      </c>
      <c r="J349">
        <v>2.8618999999999999</v>
      </c>
    </row>
    <row r="350" spans="1:10" x14ac:dyDescent="0.3">
      <c r="A350" t="s">
        <v>462</v>
      </c>
      <c r="B350" t="s">
        <v>191</v>
      </c>
      <c r="C350" s="25">
        <v>45657</v>
      </c>
      <c r="D350">
        <v>558433</v>
      </c>
      <c r="E350" t="s">
        <v>463</v>
      </c>
      <c r="F350" t="s">
        <v>523</v>
      </c>
      <c r="G350">
        <v>22521.13</v>
      </c>
      <c r="H350">
        <v>2148</v>
      </c>
      <c r="I350">
        <v>10.49</v>
      </c>
      <c r="J350">
        <v>3.3664000000000001</v>
      </c>
    </row>
    <row r="351" spans="1:10" x14ac:dyDescent="0.3">
      <c r="A351" t="s">
        <v>462</v>
      </c>
      <c r="B351" t="s">
        <v>191</v>
      </c>
      <c r="C351" s="25">
        <v>45688</v>
      </c>
      <c r="D351">
        <v>558433</v>
      </c>
      <c r="E351" t="s">
        <v>463</v>
      </c>
      <c r="F351" t="s">
        <v>523</v>
      </c>
      <c r="G351">
        <v>24174.39</v>
      </c>
      <c r="H351">
        <v>1313</v>
      </c>
      <c r="I351">
        <v>18.41</v>
      </c>
      <c r="J351">
        <v>3.2623000000000002</v>
      </c>
    </row>
    <row r="352" spans="1:10" x14ac:dyDescent="0.3">
      <c r="A352" t="s">
        <v>462</v>
      </c>
      <c r="B352" t="s">
        <v>191</v>
      </c>
      <c r="C352" s="25">
        <v>45716</v>
      </c>
      <c r="D352">
        <v>558433</v>
      </c>
      <c r="E352" t="s">
        <v>463</v>
      </c>
      <c r="F352" t="s">
        <v>523</v>
      </c>
      <c r="G352">
        <v>21486.720000000001</v>
      </c>
      <c r="H352">
        <v>2054</v>
      </c>
      <c r="I352">
        <v>10.46</v>
      </c>
      <c r="J352">
        <v>3.0465</v>
      </c>
    </row>
    <row r="353" spans="1:10" x14ac:dyDescent="0.3">
      <c r="A353" t="s">
        <v>462</v>
      </c>
      <c r="B353" t="s">
        <v>191</v>
      </c>
      <c r="C353" s="25">
        <v>45747</v>
      </c>
      <c r="D353">
        <v>558433</v>
      </c>
      <c r="E353" t="s">
        <v>463</v>
      </c>
      <c r="F353" t="s">
        <v>523</v>
      </c>
      <c r="G353">
        <v>28883.77</v>
      </c>
      <c r="H353">
        <v>1665</v>
      </c>
      <c r="I353">
        <v>17.350000000000001</v>
      </c>
      <c r="J353">
        <v>3.7338</v>
      </c>
    </row>
    <row r="354" spans="1:10" x14ac:dyDescent="0.3">
      <c r="A354" t="s">
        <v>462</v>
      </c>
      <c r="B354" t="s">
        <v>191</v>
      </c>
      <c r="C354" s="25">
        <v>45777</v>
      </c>
      <c r="D354">
        <v>558433</v>
      </c>
      <c r="E354" t="s">
        <v>463</v>
      </c>
      <c r="F354" t="s">
        <v>523</v>
      </c>
      <c r="G354">
        <v>25703.75</v>
      </c>
      <c r="H354">
        <v>1611</v>
      </c>
      <c r="I354">
        <v>15.95</v>
      </c>
      <c r="J354">
        <v>3.7429000000000001</v>
      </c>
    </row>
    <row r="355" spans="1:10" x14ac:dyDescent="0.3">
      <c r="A355" t="s">
        <v>462</v>
      </c>
      <c r="B355" t="s">
        <v>191</v>
      </c>
      <c r="C355" s="25">
        <v>45808</v>
      </c>
      <c r="D355">
        <v>558433</v>
      </c>
      <c r="E355" t="s">
        <v>463</v>
      </c>
      <c r="F355" t="s">
        <v>523</v>
      </c>
      <c r="G355">
        <v>30744.81</v>
      </c>
      <c r="H355">
        <v>2888</v>
      </c>
      <c r="I355">
        <v>10.65</v>
      </c>
      <c r="J355">
        <v>3.7233999999999998</v>
      </c>
    </row>
    <row r="356" spans="1:10" x14ac:dyDescent="0.3">
      <c r="A356" t="s">
        <v>462</v>
      </c>
      <c r="B356" t="s">
        <v>191</v>
      </c>
      <c r="C356" s="25">
        <v>45838</v>
      </c>
      <c r="D356">
        <v>558433</v>
      </c>
      <c r="E356" t="s">
        <v>463</v>
      </c>
      <c r="F356" t="s">
        <v>523</v>
      </c>
      <c r="G356">
        <v>28970.55</v>
      </c>
      <c r="H356">
        <v>1485</v>
      </c>
      <c r="I356">
        <v>19.510000000000002</v>
      </c>
      <c r="J356">
        <v>3.5419</v>
      </c>
    </row>
    <row r="357" spans="1:10" x14ac:dyDescent="0.3">
      <c r="A357" t="s">
        <v>462</v>
      </c>
      <c r="B357" t="s">
        <v>191</v>
      </c>
      <c r="C357" s="25">
        <v>45869</v>
      </c>
      <c r="D357">
        <v>558433</v>
      </c>
      <c r="E357" t="s">
        <v>463</v>
      </c>
      <c r="F357" t="s">
        <v>523</v>
      </c>
      <c r="G357">
        <v>28340.1</v>
      </c>
      <c r="H357">
        <v>8169</v>
      </c>
      <c r="I357">
        <v>3.47</v>
      </c>
      <c r="J357">
        <v>3.1875</v>
      </c>
    </row>
    <row r="358" spans="1:10" x14ac:dyDescent="0.3">
      <c r="A358" t="s">
        <v>462</v>
      </c>
      <c r="B358" t="s">
        <v>191</v>
      </c>
      <c r="C358" s="25">
        <v>45900</v>
      </c>
      <c r="D358">
        <v>558433</v>
      </c>
      <c r="E358" t="s">
        <v>463</v>
      </c>
      <c r="F358" t="s">
        <v>523</v>
      </c>
      <c r="G358">
        <v>26698.92</v>
      </c>
      <c r="H358">
        <v>1497</v>
      </c>
      <c r="I358">
        <v>17.829999999999998</v>
      </c>
      <c r="J358">
        <v>3.4333999999999998</v>
      </c>
    </row>
    <row r="359" spans="1:10" x14ac:dyDescent="0.3">
      <c r="A359" t="s">
        <v>462</v>
      </c>
      <c r="B359" t="s">
        <v>191</v>
      </c>
      <c r="C359" s="25">
        <v>45930</v>
      </c>
      <c r="D359">
        <v>558433</v>
      </c>
      <c r="E359" t="s">
        <v>463</v>
      </c>
      <c r="F359" t="s">
        <v>523</v>
      </c>
      <c r="G359">
        <v>26651.03</v>
      </c>
      <c r="H359">
        <v>1942</v>
      </c>
      <c r="I359">
        <v>13.72</v>
      </c>
      <c r="J359">
        <v>3.5478000000000001</v>
      </c>
    </row>
    <row r="360" spans="1:10" x14ac:dyDescent="0.3">
      <c r="A360" t="s">
        <v>462</v>
      </c>
      <c r="B360" t="s">
        <v>191</v>
      </c>
      <c r="C360" s="25">
        <v>45961</v>
      </c>
      <c r="D360">
        <v>558433</v>
      </c>
      <c r="E360" t="s">
        <v>463</v>
      </c>
      <c r="F360" t="s">
        <v>523</v>
      </c>
      <c r="G360">
        <v>26924.82</v>
      </c>
      <c r="H360">
        <v>2096</v>
      </c>
      <c r="I360">
        <v>12.85</v>
      </c>
      <c r="J360">
        <v>3.6318999999999999</v>
      </c>
    </row>
    <row r="361" spans="1:10" x14ac:dyDescent="0.3">
      <c r="A361" t="s">
        <v>462</v>
      </c>
      <c r="B361" t="s">
        <v>191</v>
      </c>
      <c r="C361" s="25">
        <v>45991</v>
      </c>
      <c r="D361">
        <v>558433</v>
      </c>
      <c r="E361" t="s">
        <v>463</v>
      </c>
      <c r="F361" t="s">
        <v>523</v>
      </c>
      <c r="G361">
        <v>26642.85</v>
      </c>
      <c r="H361">
        <v>2572</v>
      </c>
      <c r="I361">
        <v>10.36</v>
      </c>
      <c r="J361">
        <v>3.2334999999999998</v>
      </c>
    </row>
    <row r="362" spans="1:10" x14ac:dyDescent="0.3">
      <c r="A362" t="s">
        <v>462</v>
      </c>
      <c r="B362" t="s">
        <v>191</v>
      </c>
      <c r="C362" s="25">
        <v>45657</v>
      </c>
      <c r="D362">
        <v>205768</v>
      </c>
      <c r="E362" t="s">
        <v>463</v>
      </c>
      <c r="F362" t="s">
        <v>522</v>
      </c>
      <c r="G362">
        <v>14365.37</v>
      </c>
      <c r="H362">
        <v>749</v>
      </c>
      <c r="I362">
        <v>19.190000000000001</v>
      </c>
      <c r="J362">
        <v>2.1473</v>
      </c>
    </row>
    <row r="363" spans="1:10" x14ac:dyDescent="0.3">
      <c r="A363" t="s">
        <v>462</v>
      </c>
      <c r="B363" t="s">
        <v>191</v>
      </c>
      <c r="C363" s="25">
        <v>45688</v>
      </c>
      <c r="D363">
        <v>205768</v>
      </c>
      <c r="E363" t="s">
        <v>463</v>
      </c>
      <c r="F363" t="s">
        <v>522</v>
      </c>
      <c r="G363">
        <v>20982.84</v>
      </c>
      <c r="H363">
        <v>1166</v>
      </c>
      <c r="I363">
        <v>18</v>
      </c>
      <c r="J363">
        <v>2.8315999999999999</v>
      </c>
    </row>
    <row r="364" spans="1:10" x14ac:dyDescent="0.3">
      <c r="A364" t="s">
        <v>462</v>
      </c>
      <c r="B364" t="s">
        <v>191</v>
      </c>
      <c r="C364" s="25">
        <v>45716</v>
      </c>
      <c r="D364">
        <v>205768</v>
      </c>
      <c r="E364" t="s">
        <v>463</v>
      </c>
      <c r="F364" t="s">
        <v>522</v>
      </c>
      <c r="G364">
        <v>20356.18</v>
      </c>
      <c r="H364">
        <v>1211</v>
      </c>
      <c r="I364">
        <v>16.809999999999999</v>
      </c>
      <c r="J364">
        <v>2.8862000000000001</v>
      </c>
    </row>
    <row r="365" spans="1:10" x14ac:dyDescent="0.3">
      <c r="A365" t="s">
        <v>462</v>
      </c>
      <c r="B365" t="s">
        <v>191</v>
      </c>
      <c r="C365" s="25">
        <v>45747</v>
      </c>
      <c r="D365">
        <v>205768</v>
      </c>
      <c r="E365" t="s">
        <v>463</v>
      </c>
      <c r="F365" t="s">
        <v>522</v>
      </c>
      <c r="G365">
        <v>19702.8</v>
      </c>
      <c r="H365">
        <v>1253</v>
      </c>
      <c r="I365">
        <v>15.73</v>
      </c>
      <c r="J365">
        <v>2.5468999999999999</v>
      </c>
    </row>
    <row r="366" spans="1:10" x14ac:dyDescent="0.3">
      <c r="A366" t="s">
        <v>462</v>
      </c>
      <c r="B366" t="s">
        <v>191</v>
      </c>
      <c r="C366" s="25">
        <v>45777</v>
      </c>
      <c r="D366">
        <v>205768</v>
      </c>
      <c r="E366" t="s">
        <v>463</v>
      </c>
      <c r="F366" t="s">
        <v>522</v>
      </c>
      <c r="G366">
        <v>20252.009999999998</v>
      </c>
      <c r="H366">
        <v>9066</v>
      </c>
      <c r="I366">
        <v>2.23</v>
      </c>
      <c r="J366">
        <v>2.9489999999999998</v>
      </c>
    </row>
    <row r="367" spans="1:10" x14ac:dyDescent="0.3">
      <c r="A367" t="s">
        <v>462</v>
      </c>
      <c r="B367" t="s">
        <v>191</v>
      </c>
      <c r="C367" s="25">
        <v>45808</v>
      </c>
      <c r="D367">
        <v>205768</v>
      </c>
      <c r="E367" t="s">
        <v>463</v>
      </c>
      <c r="F367" t="s">
        <v>522</v>
      </c>
      <c r="G367">
        <v>28166.959999999999</v>
      </c>
      <c r="H367">
        <v>3701</v>
      </c>
      <c r="I367">
        <v>7.61</v>
      </c>
      <c r="J367">
        <v>3.4112</v>
      </c>
    </row>
    <row r="368" spans="1:10" x14ac:dyDescent="0.3">
      <c r="A368" t="s">
        <v>462</v>
      </c>
      <c r="B368" t="s">
        <v>191</v>
      </c>
      <c r="C368" s="25">
        <v>45838</v>
      </c>
      <c r="D368">
        <v>205768</v>
      </c>
      <c r="E368" t="s">
        <v>463</v>
      </c>
      <c r="F368" t="s">
        <v>522</v>
      </c>
      <c r="G368">
        <v>17692.560000000001</v>
      </c>
      <c r="H368">
        <v>5007</v>
      </c>
      <c r="I368">
        <v>3.53</v>
      </c>
      <c r="J368">
        <v>2.1631</v>
      </c>
    </row>
    <row r="369" spans="1:10" x14ac:dyDescent="0.3">
      <c r="A369" t="s">
        <v>462</v>
      </c>
      <c r="B369" t="s">
        <v>191</v>
      </c>
      <c r="C369" s="25">
        <v>45869</v>
      </c>
      <c r="D369">
        <v>205768</v>
      </c>
      <c r="E369" t="s">
        <v>463</v>
      </c>
      <c r="F369" t="s">
        <v>522</v>
      </c>
      <c r="G369">
        <v>30196.54</v>
      </c>
      <c r="H369">
        <v>2206</v>
      </c>
      <c r="I369">
        <v>13.69</v>
      </c>
      <c r="J369">
        <v>3.3963000000000001</v>
      </c>
    </row>
    <row r="370" spans="1:10" x14ac:dyDescent="0.3">
      <c r="A370" t="s">
        <v>462</v>
      </c>
      <c r="B370" t="s">
        <v>191</v>
      </c>
      <c r="C370" s="25">
        <v>45900</v>
      </c>
      <c r="D370">
        <v>205768</v>
      </c>
      <c r="E370" t="s">
        <v>463</v>
      </c>
      <c r="F370" t="s">
        <v>522</v>
      </c>
      <c r="G370">
        <v>26231.5</v>
      </c>
      <c r="H370">
        <v>3308</v>
      </c>
      <c r="I370">
        <v>7.93</v>
      </c>
      <c r="J370">
        <v>3.3733</v>
      </c>
    </row>
    <row r="371" spans="1:10" x14ac:dyDescent="0.3">
      <c r="A371" t="s">
        <v>462</v>
      </c>
      <c r="B371" t="s">
        <v>191</v>
      </c>
      <c r="C371" s="25">
        <v>45930</v>
      </c>
      <c r="D371">
        <v>205768</v>
      </c>
      <c r="E371" t="s">
        <v>463</v>
      </c>
      <c r="F371" t="s">
        <v>522</v>
      </c>
      <c r="G371">
        <v>26613.8</v>
      </c>
      <c r="H371">
        <v>6622</v>
      </c>
      <c r="I371">
        <v>4.0199999999999996</v>
      </c>
      <c r="J371">
        <v>3.5428999999999999</v>
      </c>
    </row>
    <row r="372" spans="1:10" x14ac:dyDescent="0.3">
      <c r="A372" t="s">
        <v>462</v>
      </c>
      <c r="B372" t="s">
        <v>191</v>
      </c>
      <c r="C372" s="25">
        <v>45961</v>
      </c>
      <c r="D372">
        <v>205768</v>
      </c>
      <c r="E372" t="s">
        <v>463</v>
      </c>
      <c r="F372" t="s">
        <v>522</v>
      </c>
      <c r="G372">
        <v>21388.76</v>
      </c>
      <c r="H372">
        <v>2626</v>
      </c>
      <c r="I372">
        <v>8.15</v>
      </c>
      <c r="J372">
        <v>2.8851</v>
      </c>
    </row>
    <row r="373" spans="1:10" x14ac:dyDescent="0.3">
      <c r="A373" t="s">
        <v>462</v>
      </c>
      <c r="B373" t="s">
        <v>191</v>
      </c>
      <c r="C373" s="25">
        <v>45991</v>
      </c>
      <c r="D373">
        <v>205768</v>
      </c>
      <c r="E373" t="s">
        <v>463</v>
      </c>
      <c r="F373" t="s">
        <v>522</v>
      </c>
      <c r="G373">
        <v>22533.91</v>
      </c>
      <c r="H373">
        <v>2023</v>
      </c>
      <c r="I373">
        <v>11.14</v>
      </c>
      <c r="J373">
        <v>2.7347999999999999</v>
      </c>
    </row>
    <row r="374" spans="1:10" x14ac:dyDescent="0.3">
      <c r="A374" t="s">
        <v>462</v>
      </c>
      <c r="B374" t="s">
        <v>191</v>
      </c>
      <c r="C374" s="25">
        <v>45657</v>
      </c>
      <c r="D374">
        <v>260250</v>
      </c>
      <c r="E374" t="s">
        <v>463</v>
      </c>
      <c r="F374" t="s">
        <v>521</v>
      </c>
      <c r="G374">
        <v>23662.49</v>
      </c>
      <c r="H374">
        <v>13588</v>
      </c>
      <c r="I374">
        <v>1.74</v>
      </c>
      <c r="J374">
        <v>3.5369999999999999</v>
      </c>
    </row>
    <row r="375" spans="1:10" x14ac:dyDescent="0.3">
      <c r="A375" t="s">
        <v>462</v>
      </c>
      <c r="B375" t="s">
        <v>191</v>
      </c>
      <c r="C375" s="25">
        <v>45688</v>
      </c>
      <c r="D375">
        <v>260250</v>
      </c>
      <c r="E375" t="s">
        <v>463</v>
      </c>
      <c r="F375" t="s">
        <v>521</v>
      </c>
      <c r="G375">
        <v>19968.59</v>
      </c>
      <c r="H375">
        <v>11985</v>
      </c>
      <c r="I375">
        <v>1.67</v>
      </c>
      <c r="J375">
        <v>2.6947999999999999</v>
      </c>
    </row>
    <row r="376" spans="1:10" x14ac:dyDescent="0.3">
      <c r="A376" t="s">
        <v>462</v>
      </c>
      <c r="B376" t="s">
        <v>191</v>
      </c>
      <c r="C376" s="25">
        <v>45716</v>
      </c>
      <c r="D376">
        <v>260250</v>
      </c>
      <c r="E376" t="s">
        <v>463</v>
      </c>
      <c r="F376" t="s">
        <v>521</v>
      </c>
      <c r="G376">
        <v>18698.96</v>
      </c>
      <c r="H376">
        <v>3528</v>
      </c>
      <c r="I376">
        <v>5.3</v>
      </c>
      <c r="J376">
        <v>2.6513</v>
      </c>
    </row>
    <row r="377" spans="1:10" x14ac:dyDescent="0.3">
      <c r="A377" t="s">
        <v>462</v>
      </c>
      <c r="B377" t="s">
        <v>191</v>
      </c>
      <c r="C377" s="25">
        <v>45747</v>
      </c>
      <c r="D377">
        <v>260250</v>
      </c>
      <c r="E377" t="s">
        <v>463</v>
      </c>
      <c r="F377" t="s">
        <v>521</v>
      </c>
      <c r="G377">
        <v>15628.81</v>
      </c>
      <c r="H377">
        <v>1875</v>
      </c>
      <c r="I377">
        <v>8.33</v>
      </c>
      <c r="J377">
        <v>2.0203000000000002</v>
      </c>
    </row>
    <row r="378" spans="1:10" x14ac:dyDescent="0.3">
      <c r="A378" t="s">
        <v>462</v>
      </c>
      <c r="B378" t="s">
        <v>191</v>
      </c>
      <c r="C378" s="25">
        <v>45777</v>
      </c>
      <c r="D378">
        <v>260250</v>
      </c>
      <c r="E378" t="s">
        <v>463</v>
      </c>
      <c r="F378" t="s">
        <v>521</v>
      </c>
      <c r="G378">
        <v>16648.62</v>
      </c>
      <c r="H378">
        <v>11203</v>
      </c>
      <c r="I378">
        <v>1.49</v>
      </c>
      <c r="J378">
        <v>2.4243000000000001</v>
      </c>
    </row>
    <row r="379" spans="1:10" x14ac:dyDescent="0.3">
      <c r="A379" t="s">
        <v>462</v>
      </c>
      <c r="B379" t="s">
        <v>191</v>
      </c>
      <c r="C379" s="25">
        <v>45808</v>
      </c>
      <c r="D379">
        <v>260250</v>
      </c>
      <c r="E379" t="s">
        <v>463</v>
      </c>
      <c r="F379" t="s">
        <v>521</v>
      </c>
      <c r="G379">
        <v>16970.830000000002</v>
      </c>
      <c r="H379">
        <v>4629</v>
      </c>
      <c r="I379">
        <v>3.67</v>
      </c>
      <c r="J379">
        <v>2.0552999999999999</v>
      </c>
    </row>
    <row r="380" spans="1:10" x14ac:dyDescent="0.3">
      <c r="A380" t="s">
        <v>462</v>
      </c>
      <c r="B380" t="s">
        <v>191</v>
      </c>
      <c r="C380" s="25">
        <v>45838</v>
      </c>
      <c r="D380">
        <v>260250</v>
      </c>
      <c r="E380" t="s">
        <v>463</v>
      </c>
      <c r="F380" t="s">
        <v>521</v>
      </c>
      <c r="G380">
        <v>13239.56</v>
      </c>
      <c r="H380">
        <v>2178</v>
      </c>
      <c r="I380">
        <v>6.08</v>
      </c>
      <c r="J380">
        <v>1.6186</v>
      </c>
    </row>
    <row r="381" spans="1:10" x14ac:dyDescent="0.3">
      <c r="A381" t="s">
        <v>462</v>
      </c>
      <c r="B381" t="s">
        <v>191</v>
      </c>
      <c r="C381" s="25">
        <v>45869</v>
      </c>
      <c r="D381">
        <v>260250</v>
      </c>
      <c r="E381" t="s">
        <v>463</v>
      </c>
      <c r="F381" t="s">
        <v>521</v>
      </c>
      <c r="G381">
        <v>18908.45</v>
      </c>
      <c r="H381">
        <v>1757</v>
      </c>
      <c r="I381">
        <v>10.76</v>
      </c>
      <c r="J381">
        <v>2.1267</v>
      </c>
    </row>
    <row r="382" spans="1:10" x14ac:dyDescent="0.3">
      <c r="A382" t="s">
        <v>462</v>
      </c>
      <c r="B382" t="s">
        <v>191</v>
      </c>
      <c r="C382" s="25">
        <v>45900</v>
      </c>
      <c r="D382">
        <v>260250</v>
      </c>
      <c r="E382" t="s">
        <v>463</v>
      </c>
      <c r="F382" t="s">
        <v>521</v>
      </c>
      <c r="G382">
        <v>19819.66</v>
      </c>
      <c r="H382">
        <v>1776</v>
      </c>
      <c r="I382">
        <v>11.16</v>
      </c>
      <c r="J382">
        <v>2.5487000000000002</v>
      </c>
    </row>
    <row r="383" spans="1:10" x14ac:dyDescent="0.3">
      <c r="A383" t="s">
        <v>462</v>
      </c>
      <c r="B383" t="s">
        <v>191</v>
      </c>
      <c r="C383" s="25">
        <v>45930</v>
      </c>
      <c r="D383">
        <v>260250</v>
      </c>
      <c r="E383" t="s">
        <v>463</v>
      </c>
      <c r="F383" t="s">
        <v>521</v>
      </c>
      <c r="G383">
        <v>22034.12</v>
      </c>
      <c r="H383">
        <v>1153</v>
      </c>
      <c r="I383">
        <v>19.100000000000001</v>
      </c>
      <c r="J383">
        <v>2.9331999999999998</v>
      </c>
    </row>
    <row r="384" spans="1:10" x14ac:dyDescent="0.3">
      <c r="A384" t="s">
        <v>462</v>
      </c>
      <c r="B384" t="s">
        <v>191</v>
      </c>
      <c r="C384" s="25">
        <v>45961</v>
      </c>
      <c r="D384">
        <v>260250</v>
      </c>
      <c r="E384" t="s">
        <v>463</v>
      </c>
      <c r="F384" t="s">
        <v>521</v>
      </c>
      <c r="G384">
        <v>23561.360000000001</v>
      </c>
      <c r="H384">
        <v>5837</v>
      </c>
      <c r="I384">
        <v>4.04</v>
      </c>
      <c r="J384">
        <v>3.1781999999999999</v>
      </c>
    </row>
    <row r="385" spans="1:10" x14ac:dyDescent="0.3">
      <c r="A385" t="s">
        <v>462</v>
      </c>
      <c r="B385" t="s">
        <v>191</v>
      </c>
      <c r="C385" s="25">
        <v>45991</v>
      </c>
      <c r="D385">
        <v>260250</v>
      </c>
      <c r="E385" t="s">
        <v>463</v>
      </c>
      <c r="F385" t="s">
        <v>521</v>
      </c>
      <c r="G385">
        <v>19267.490000000002</v>
      </c>
      <c r="H385">
        <v>1647</v>
      </c>
      <c r="I385">
        <v>11.7</v>
      </c>
      <c r="J385">
        <v>2.3384</v>
      </c>
    </row>
    <row r="386" spans="1:10" x14ac:dyDescent="0.3">
      <c r="A386" t="s">
        <v>462</v>
      </c>
      <c r="B386" t="s">
        <v>191</v>
      </c>
      <c r="C386" s="25">
        <v>45657</v>
      </c>
      <c r="D386">
        <v>828420</v>
      </c>
      <c r="E386" t="s">
        <v>472</v>
      </c>
      <c r="F386" t="s">
        <v>520</v>
      </c>
      <c r="G386">
        <v>11951.56</v>
      </c>
      <c r="H386">
        <v>2775</v>
      </c>
      <c r="I386">
        <v>4.3099999999999996</v>
      </c>
      <c r="J386">
        <v>1.7865</v>
      </c>
    </row>
    <row r="387" spans="1:10" x14ac:dyDescent="0.3">
      <c r="A387" t="s">
        <v>462</v>
      </c>
      <c r="B387" t="s">
        <v>191</v>
      </c>
      <c r="C387" s="25">
        <v>45688</v>
      </c>
      <c r="D387">
        <v>828420</v>
      </c>
      <c r="E387" t="s">
        <v>472</v>
      </c>
      <c r="F387" t="s">
        <v>520</v>
      </c>
      <c r="G387">
        <v>14415.04</v>
      </c>
      <c r="H387">
        <v>1231</v>
      </c>
      <c r="I387">
        <v>11.71</v>
      </c>
      <c r="J387">
        <v>1.9453</v>
      </c>
    </row>
    <row r="388" spans="1:10" x14ac:dyDescent="0.3">
      <c r="A388" t="s">
        <v>462</v>
      </c>
      <c r="B388" t="s">
        <v>191</v>
      </c>
      <c r="C388" s="25">
        <v>45716</v>
      </c>
      <c r="D388">
        <v>828420</v>
      </c>
      <c r="E388" t="s">
        <v>472</v>
      </c>
      <c r="F388" t="s">
        <v>520</v>
      </c>
      <c r="G388">
        <v>15387.54</v>
      </c>
      <c r="H388">
        <v>5652</v>
      </c>
      <c r="I388">
        <v>2.72</v>
      </c>
      <c r="J388">
        <v>2.1818</v>
      </c>
    </row>
    <row r="389" spans="1:10" x14ac:dyDescent="0.3">
      <c r="A389" t="s">
        <v>462</v>
      </c>
      <c r="B389" t="s">
        <v>191</v>
      </c>
      <c r="C389" s="25">
        <v>45747</v>
      </c>
      <c r="D389">
        <v>828420</v>
      </c>
      <c r="E389" t="s">
        <v>472</v>
      </c>
      <c r="F389" t="s">
        <v>520</v>
      </c>
      <c r="G389">
        <v>16342.3</v>
      </c>
      <c r="H389">
        <v>1776</v>
      </c>
      <c r="I389">
        <v>9.1999999999999993</v>
      </c>
      <c r="J389">
        <v>2.1124999999999998</v>
      </c>
    </row>
    <row r="390" spans="1:10" x14ac:dyDescent="0.3">
      <c r="A390" t="s">
        <v>462</v>
      </c>
      <c r="B390" t="s">
        <v>191</v>
      </c>
      <c r="C390" s="25">
        <v>45777</v>
      </c>
      <c r="D390">
        <v>828420</v>
      </c>
      <c r="E390" t="s">
        <v>472</v>
      </c>
      <c r="F390" t="s">
        <v>520</v>
      </c>
      <c r="G390">
        <v>13144.76</v>
      </c>
      <c r="H390">
        <v>1885</v>
      </c>
      <c r="I390">
        <v>6.97</v>
      </c>
      <c r="J390">
        <v>1.9140999999999999</v>
      </c>
    </row>
    <row r="391" spans="1:10" x14ac:dyDescent="0.3">
      <c r="A391" t="s">
        <v>462</v>
      </c>
      <c r="B391" t="s">
        <v>191</v>
      </c>
      <c r="C391" s="25">
        <v>45808</v>
      </c>
      <c r="D391">
        <v>828420</v>
      </c>
      <c r="E391" t="s">
        <v>472</v>
      </c>
      <c r="F391" t="s">
        <v>520</v>
      </c>
      <c r="G391">
        <v>17116.400000000001</v>
      </c>
      <c r="H391">
        <v>1184</v>
      </c>
      <c r="I391">
        <v>14.45</v>
      </c>
      <c r="J391">
        <v>2.0729000000000002</v>
      </c>
    </row>
    <row r="392" spans="1:10" x14ac:dyDescent="0.3">
      <c r="A392" t="s">
        <v>462</v>
      </c>
      <c r="B392" t="s">
        <v>191</v>
      </c>
      <c r="C392" s="25">
        <v>45838</v>
      </c>
      <c r="D392">
        <v>828420</v>
      </c>
      <c r="E392" t="s">
        <v>472</v>
      </c>
      <c r="F392" t="s">
        <v>520</v>
      </c>
      <c r="G392">
        <v>16507.77</v>
      </c>
      <c r="H392">
        <v>3922</v>
      </c>
      <c r="I392">
        <v>4.21</v>
      </c>
      <c r="J392">
        <v>2.0182000000000002</v>
      </c>
    </row>
    <row r="393" spans="1:10" x14ac:dyDescent="0.3">
      <c r="A393" t="s">
        <v>462</v>
      </c>
      <c r="B393" t="s">
        <v>191</v>
      </c>
      <c r="C393" s="25">
        <v>45869</v>
      </c>
      <c r="D393">
        <v>828420</v>
      </c>
      <c r="E393" t="s">
        <v>472</v>
      </c>
      <c r="F393" t="s">
        <v>520</v>
      </c>
      <c r="G393">
        <v>10900.87</v>
      </c>
      <c r="H393">
        <v>1205</v>
      </c>
      <c r="I393">
        <v>9.0399999999999991</v>
      </c>
      <c r="J393">
        <v>1.226</v>
      </c>
    </row>
    <row r="394" spans="1:10" x14ac:dyDescent="0.3">
      <c r="A394" t="s">
        <v>462</v>
      </c>
      <c r="B394" t="s">
        <v>191</v>
      </c>
      <c r="C394" s="25">
        <v>45900</v>
      </c>
      <c r="D394">
        <v>828420</v>
      </c>
      <c r="E394" t="s">
        <v>472</v>
      </c>
      <c r="F394" t="s">
        <v>520</v>
      </c>
      <c r="G394">
        <v>18089.84</v>
      </c>
      <c r="H394">
        <v>1864</v>
      </c>
      <c r="I394">
        <v>9.7100000000000009</v>
      </c>
      <c r="J394">
        <v>2.3262999999999998</v>
      </c>
    </row>
    <row r="395" spans="1:10" x14ac:dyDescent="0.3">
      <c r="A395" t="s">
        <v>462</v>
      </c>
      <c r="B395" t="s">
        <v>191</v>
      </c>
      <c r="C395" s="25">
        <v>45930</v>
      </c>
      <c r="D395">
        <v>828420</v>
      </c>
      <c r="E395" t="s">
        <v>472</v>
      </c>
      <c r="F395" t="s">
        <v>520</v>
      </c>
      <c r="G395">
        <v>15320.62</v>
      </c>
      <c r="H395">
        <v>890</v>
      </c>
      <c r="I395">
        <v>17.21</v>
      </c>
      <c r="J395">
        <v>2.0394999999999999</v>
      </c>
    </row>
    <row r="396" spans="1:10" x14ac:dyDescent="0.3">
      <c r="A396" t="s">
        <v>462</v>
      </c>
      <c r="B396" t="s">
        <v>191</v>
      </c>
      <c r="C396" s="25">
        <v>45961</v>
      </c>
      <c r="D396">
        <v>828420</v>
      </c>
      <c r="E396" t="s">
        <v>472</v>
      </c>
      <c r="F396" t="s">
        <v>520</v>
      </c>
      <c r="G396">
        <v>16610.2</v>
      </c>
      <c r="H396">
        <v>1909</v>
      </c>
      <c r="I396">
        <v>8.6999999999999993</v>
      </c>
      <c r="J396">
        <v>2.2404999999999999</v>
      </c>
    </row>
    <row r="397" spans="1:10" x14ac:dyDescent="0.3">
      <c r="A397" t="s">
        <v>462</v>
      </c>
      <c r="B397" t="s">
        <v>191</v>
      </c>
      <c r="C397" s="25">
        <v>45991</v>
      </c>
      <c r="D397">
        <v>828420</v>
      </c>
      <c r="E397" t="s">
        <v>472</v>
      </c>
      <c r="F397" t="s">
        <v>520</v>
      </c>
      <c r="G397">
        <v>13740.15</v>
      </c>
      <c r="H397">
        <v>2453</v>
      </c>
      <c r="I397">
        <v>5.6</v>
      </c>
      <c r="J397">
        <v>1.6676</v>
      </c>
    </row>
    <row r="398" spans="1:10" x14ac:dyDescent="0.3">
      <c r="A398" t="s">
        <v>462</v>
      </c>
      <c r="B398" t="s">
        <v>191</v>
      </c>
      <c r="C398" s="25">
        <v>45657</v>
      </c>
      <c r="D398">
        <v>425281</v>
      </c>
      <c r="E398" t="s">
        <v>466</v>
      </c>
      <c r="F398" t="s">
        <v>519</v>
      </c>
      <c r="G398">
        <v>14493.03</v>
      </c>
      <c r="H398">
        <v>1106</v>
      </c>
      <c r="I398">
        <v>13.1</v>
      </c>
      <c r="J398">
        <v>2.1663999999999999</v>
      </c>
    </row>
    <row r="399" spans="1:10" x14ac:dyDescent="0.3">
      <c r="A399" t="s">
        <v>462</v>
      </c>
      <c r="B399" t="s">
        <v>191</v>
      </c>
      <c r="C399" s="25">
        <v>45688</v>
      </c>
      <c r="D399">
        <v>425281</v>
      </c>
      <c r="E399" t="s">
        <v>466</v>
      </c>
      <c r="F399" t="s">
        <v>519</v>
      </c>
      <c r="G399">
        <v>12301.72</v>
      </c>
      <c r="H399">
        <v>10109</v>
      </c>
      <c r="I399">
        <v>1.22</v>
      </c>
      <c r="J399">
        <v>1.6600999999999999</v>
      </c>
    </row>
    <row r="400" spans="1:10" x14ac:dyDescent="0.3">
      <c r="A400" t="s">
        <v>462</v>
      </c>
      <c r="B400" t="s">
        <v>191</v>
      </c>
      <c r="C400" s="25">
        <v>45716</v>
      </c>
      <c r="D400">
        <v>425281</v>
      </c>
      <c r="E400" t="s">
        <v>466</v>
      </c>
      <c r="F400" t="s">
        <v>519</v>
      </c>
      <c r="G400">
        <v>16452.150000000001</v>
      </c>
      <c r="H400">
        <v>1617</v>
      </c>
      <c r="I400">
        <v>10.18</v>
      </c>
      <c r="J400">
        <v>2.3327</v>
      </c>
    </row>
    <row r="401" spans="1:10" x14ac:dyDescent="0.3">
      <c r="A401" t="s">
        <v>462</v>
      </c>
      <c r="B401" t="s">
        <v>191</v>
      </c>
      <c r="C401" s="25">
        <v>45747</v>
      </c>
      <c r="D401">
        <v>425281</v>
      </c>
      <c r="E401" t="s">
        <v>466</v>
      </c>
      <c r="F401" t="s">
        <v>519</v>
      </c>
      <c r="G401">
        <v>15519.58</v>
      </c>
      <c r="H401">
        <v>1981</v>
      </c>
      <c r="I401">
        <v>7.83</v>
      </c>
      <c r="J401">
        <v>2.0062000000000002</v>
      </c>
    </row>
    <row r="402" spans="1:10" x14ac:dyDescent="0.3">
      <c r="A402" t="s">
        <v>462</v>
      </c>
      <c r="B402" t="s">
        <v>191</v>
      </c>
      <c r="C402" s="25">
        <v>45777</v>
      </c>
      <c r="D402">
        <v>425281</v>
      </c>
      <c r="E402" t="s">
        <v>466</v>
      </c>
      <c r="F402" t="s">
        <v>519</v>
      </c>
      <c r="G402">
        <v>13723.35</v>
      </c>
      <c r="H402">
        <v>2755</v>
      </c>
      <c r="I402">
        <v>4.9800000000000004</v>
      </c>
      <c r="J402">
        <v>1.9983</v>
      </c>
    </row>
    <row r="403" spans="1:10" x14ac:dyDescent="0.3">
      <c r="A403" t="s">
        <v>462</v>
      </c>
      <c r="B403" t="s">
        <v>191</v>
      </c>
      <c r="C403" s="25">
        <v>45808</v>
      </c>
      <c r="D403">
        <v>425281</v>
      </c>
      <c r="E403" t="s">
        <v>466</v>
      </c>
      <c r="F403" t="s">
        <v>519</v>
      </c>
      <c r="G403">
        <v>17252.43</v>
      </c>
      <c r="H403">
        <v>869</v>
      </c>
      <c r="I403">
        <v>19.86</v>
      </c>
      <c r="J403">
        <v>2.0893999999999999</v>
      </c>
    </row>
    <row r="404" spans="1:10" x14ac:dyDescent="0.3">
      <c r="A404" t="s">
        <v>462</v>
      </c>
      <c r="B404" t="s">
        <v>191</v>
      </c>
      <c r="C404" s="25">
        <v>45838</v>
      </c>
      <c r="D404">
        <v>425281</v>
      </c>
      <c r="E404" t="s">
        <v>466</v>
      </c>
      <c r="F404" t="s">
        <v>519</v>
      </c>
      <c r="G404">
        <v>16720.47</v>
      </c>
      <c r="H404">
        <v>860</v>
      </c>
      <c r="I404">
        <v>19.440000000000001</v>
      </c>
      <c r="J404">
        <v>2.0442</v>
      </c>
    </row>
    <row r="405" spans="1:10" x14ac:dyDescent="0.3">
      <c r="A405" t="s">
        <v>462</v>
      </c>
      <c r="B405" t="s">
        <v>191</v>
      </c>
      <c r="C405" s="25">
        <v>45869</v>
      </c>
      <c r="D405">
        <v>425281</v>
      </c>
      <c r="E405" t="s">
        <v>466</v>
      </c>
      <c r="F405" t="s">
        <v>519</v>
      </c>
      <c r="G405">
        <v>13034.23</v>
      </c>
      <c r="H405">
        <v>1622</v>
      </c>
      <c r="I405">
        <v>8.0399999999999991</v>
      </c>
      <c r="J405">
        <v>1.466</v>
      </c>
    </row>
    <row r="406" spans="1:10" x14ac:dyDescent="0.3">
      <c r="A406" t="s">
        <v>462</v>
      </c>
      <c r="B406" t="s">
        <v>191</v>
      </c>
      <c r="C406" s="25">
        <v>45900</v>
      </c>
      <c r="D406">
        <v>425281</v>
      </c>
      <c r="E406" t="s">
        <v>466</v>
      </c>
      <c r="F406" t="s">
        <v>519</v>
      </c>
      <c r="G406">
        <v>15351.98</v>
      </c>
      <c r="H406">
        <v>2008</v>
      </c>
      <c r="I406">
        <v>7.64</v>
      </c>
      <c r="J406">
        <v>1.9742</v>
      </c>
    </row>
    <row r="407" spans="1:10" x14ac:dyDescent="0.3">
      <c r="A407" t="s">
        <v>462</v>
      </c>
      <c r="B407" t="s">
        <v>191</v>
      </c>
      <c r="C407" s="25">
        <v>45930</v>
      </c>
      <c r="D407">
        <v>425281</v>
      </c>
      <c r="E407" t="s">
        <v>466</v>
      </c>
      <c r="F407" t="s">
        <v>519</v>
      </c>
      <c r="G407">
        <v>12444.79</v>
      </c>
      <c r="H407">
        <v>1099</v>
      </c>
      <c r="I407">
        <v>11.32</v>
      </c>
      <c r="J407">
        <v>1.6567000000000001</v>
      </c>
    </row>
    <row r="408" spans="1:10" x14ac:dyDescent="0.3">
      <c r="A408" t="s">
        <v>462</v>
      </c>
      <c r="B408" t="s">
        <v>191</v>
      </c>
      <c r="C408" s="25">
        <v>45961</v>
      </c>
      <c r="D408">
        <v>425281</v>
      </c>
      <c r="E408" t="s">
        <v>466</v>
      </c>
      <c r="F408" t="s">
        <v>519</v>
      </c>
      <c r="G408">
        <v>14931.72</v>
      </c>
      <c r="H408">
        <v>6144</v>
      </c>
      <c r="I408">
        <v>2.4300000000000002</v>
      </c>
      <c r="J408">
        <v>2.0141</v>
      </c>
    </row>
    <row r="409" spans="1:10" x14ac:dyDescent="0.3">
      <c r="A409" t="s">
        <v>462</v>
      </c>
      <c r="B409" t="s">
        <v>191</v>
      </c>
      <c r="C409" s="25">
        <v>45991</v>
      </c>
      <c r="D409">
        <v>425281</v>
      </c>
      <c r="E409" t="s">
        <v>466</v>
      </c>
      <c r="F409" t="s">
        <v>519</v>
      </c>
      <c r="G409">
        <v>15356.36</v>
      </c>
      <c r="H409">
        <v>1184</v>
      </c>
      <c r="I409">
        <v>12.97</v>
      </c>
      <c r="J409">
        <v>1.8636999999999999</v>
      </c>
    </row>
    <row r="410" spans="1:10" x14ac:dyDescent="0.3">
      <c r="A410" t="s">
        <v>462</v>
      </c>
      <c r="B410" t="s">
        <v>191</v>
      </c>
      <c r="C410" s="25">
        <v>45657</v>
      </c>
      <c r="D410">
        <v>185339</v>
      </c>
      <c r="E410" t="s">
        <v>466</v>
      </c>
      <c r="F410" t="s">
        <v>518</v>
      </c>
      <c r="G410">
        <v>9360.3700000000008</v>
      </c>
      <c r="H410">
        <v>579</v>
      </c>
      <c r="I410">
        <v>16.16</v>
      </c>
      <c r="J410">
        <v>1.3991</v>
      </c>
    </row>
    <row r="411" spans="1:10" x14ac:dyDescent="0.3">
      <c r="A411" t="s">
        <v>462</v>
      </c>
      <c r="B411" t="s">
        <v>191</v>
      </c>
      <c r="C411" s="25">
        <v>45688</v>
      </c>
      <c r="D411">
        <v>185339</v>
      </c>
      <c r="E411" t="s">
        <v>466</v>
      </c>
      <c r="F411" t="s">
        <v>518</v>
      </c>
      <c r="G411">
        <v>16184.03</v>
      </c>
      <c r="H411">
        <v>2099</v>
      </c>
      <c r="I411">
        <v>7.71</v>
      </c>
      <c r="J411">
        <v>2.1840000000000002</v>
      </c>
    </row>
    <row r="412" spans="1:10" x14ac:dyDescent="0.3">
      <c r="A412" t="s">
        <v>462</v>
      </c>
      <c r="B412" t="s">
        <v>191</v>
      </c>
      <c r="C412" s="25">
        <v>45716</v>
      </c>
      <c r="D412">
        <v>185339</v>
      </c>
      <c r="E412" t="s">
        <v>466</v>
      </c>
      <c r="F412" t="s">
        <v>518</v>
      </c>
      <c r="G412">
        <v>11434.12</v>
      </c>
      <c r="H412">
        <v>1124</v>
      </c>
      <c r="I412">
        <v>10.17</v>
      </c>
      <c r="J412">
        <v>1.6212</v>
      </c>
    </row>
    <row r="413" spans="1:10" x14ac:dyDescent="0.3">
      <c r="A413" t="s">
        <v>462</v>
      </c>
      <c r="B413" t="s">
        <v>191</v>
      </c>
      <c r="C413" s="25">
        <v>45747</v>
      </c>
      <c r="D413">
        <v>185339</v>
      </c>
      <c r="E413" t="s">
        <v>466</v>
      </c>
      <c r="F413" t="s">
        <v>518</v>
      </c>
      <c r="G413">
        <v>16418.14</v>
      </c>
      <c r="H413">
        <v>4813</v>
      </c>
      <c r="I413">
        <v>3.41</v>
      </c>
      <c r="J413">
        <v>2.1223000000000001</v>
      </c>
    </row>
    <row r="414" spans="1:10" x14ac:dyDescent="0.3">
      <c r="A414" t="s">
        <v>462</v>
      </c>
      <c r="B414" t="s">
        <v>191</v>
      </c>
      <c r="C414" s="25">
        <v>45777</v>
      </c>
      <c r="D414">
        <v>185339</v>
      </c>
      <c r="E414" t="s">
        <v>466</v>
      </c>
      <c r="F414" t="s">
        <v>518</v>
      </c>
      <c r="G414">
        <v>11178.55</v>
      </c>
      <c r="H414">
        <v>642</v>
      </c>
      <c r="I414">
        <v>17.399999999999999</v>
      </c>
      <c r="J414">
        <v>1.6277999999999999</v>
      </c>
    </row>
    <row r="415" spans="1:10" x14ac:dyDescent="0.3">
      <c r="A415" t="s">
        <v>462</v>
      </c>
      <c r="B415" t="s">
        <v>191</v>
      </c>
      <c r="C415" s="25">
        <v>45808</v>
      </c>
      <c r="D415">
        <v>185339</v>
      </c>
      <c r="E415" t="s">
        <v>466</v>
      </c>
      <c r="F415" t="s">
        <v>518</v>
      </c>
      <c r="G415">
        <v>15079.14</v>
      </c>
      <c r="H415">
        <v>914</v>
      </c>
      <c r="I415">
        <v>16.489999999999998</v>
      </c>
      <c r="J415">
        <v>1.8262</v>
      </c>
    </row>
    <row r="416" spans="1:10" x14ac:dyDescent="0.3">
      <c r="A416" t="s">
        <v>462</v>
      </c>
      <c r="B416" t="s">
        <v>191</v>
      </c>
      <c r="C416" s="25">
        <v>45838</v>
      </c>
      <c r="D416">
        <v>185339</v>
      </c>
      <c r="E416" t="s">
        <v>466</v>
      </c>
      <c r="F416" t="s">
        <v>518</v>
      </c>
      <c r="G416">
        <v>13886.2</v>
      </c>
      <c r="H416">
        <v>3183</v>
      </c>
      <c r="I416">
        <v>4.3600000000000003</v>
      </c>
      <c r="J416">
        <v>1.6977</v>
      </c>
    </row>
    <row r="417" spans="1:10" x14ac:dyDescent="0.3">
      <c r="A417" t="s">
        <v>462</v>
      </c>
      <c r="B417" t="s">
        <v>191</v>
      </c>
      <c r="C417" s="25">
        <v>45869</v>
      </c>
      <c r="D417">
        <v>185339</v>
      </c>
      <c r="E417" t="s">
        <v>466</v>
      </c>
      <c r="F417" t="s">
        <v>518</v>
      </c>
      <c r="G417">
        <v>13056.62</v>
      </c>
      <c r="H417">
        <v>658</v>
      </c>
      <c r="I417">
        <v>19.86</v>
      </c>
      <c r="J417">
        <v>1.4684999999999999</v>
      </c>
    </row>
    <row r="418" spans="1:10" x14ac:dyDescent="0.3">
      <c r="A418" t="s">
        <v>462</v>
      </c>
      <c r="B418" t="s">
        <v>191</v>
      </c>
      <c r="C418" s="25">
        <v>45900</v>
      </c>
      <c r="D418">
        <v>185339</v>
      </c>
      <c r="E418" t="s">
        <v>466</v>
      </c>
      <c r="F418" t="s">
        <v>518</v>
      </c>
      <c r="G418">
        <v>12143.06</v>
      </c>
      <c r="H418">
        <v>4067</v>
      </c>
      <c r="I418">
        <v>2.99</v>
      </c>
      <c r="J418">
        <v>1.5615000000000001</v>
      </c>
    </row>
    <row r="419" spans="1:10" x14ac:dyDescent="0.3">
      <c r="A419" t="s">
        <v>462</v>
      </c>
      <c r="B419" t="s">
        <v>191</v>
      </c>
      <c r="C419" s="25">
        <v>45930</v>
      </c>
      <c r="D419">
        <v>185339</v>
      </c>
      <c r="E419" t="s">
        <v>466</v>
      </c>
      <c r="F419" t="s">
        <v>518</v>
      </c>
      <c r="G419">
        <v>13128.56</v>
      </c>
      <c r="H419">
        <v>1518</v>
      </c>
      <c r="I419">
        <v>8.65</v>
      </c>
      <c r="J419">
        <v>1.7477</v>
      </c>
    </row>
    <row r="420" spans="1:10" x14ac:dyDescent="0.3">
      <c r="A420" t="s">
        <v>462</v>
      </c>
      <c r="B420" t="s">
        <v>191</v>
      </c>
      <c r="C420" s="25">
        <v>45961</v>
      </c>
      <c r="D420">
        <v>185339</v>
      </c>
      <c r="E420" t="s">
        <v>466</v>
      </c>
      <c r="F420" t="s">
        <v>518</v>
      </c>
      <c r="G420">
        <v>12907.19</v>
      </c>
      <c r="H420">
        <v>677</v>
      </c>
      <c r="I420">
        <v>19.07</v>
      </c>
      <c r="J420">
        <v>1.7410000000000001</v>
      </c>
    </row>
    <row r="421" spans="1:10" x14ac:dyDescent="0.3">
      <c r="A421" t="s">
        <v>462</v>
      </c>
      <c r="B421" t="s">
        <v>191</v>
      </c>
      <c r="C421" s="25">
        <v>45991</v>
      </c>
      <c r="D421">
        <v>185339</v>
      </c>
      <c r="E421" t="s">
        <v>466</v>
      </c>
      <c r="F421" t="s">
        <v>518</v>
      </c>
      <c r="G421">
        <v>11946.52</v>
      </c>
      <c r="H421">
        <v>1069</v>
      </c>
      <c r="I421">
        <v>11.18</v>
      </c>
      <c r="J421">
        <v>1.4499</v>
      </c>
    </row>
    <row r="422" spans="1:10" x14ac:dyDescent="0.3">
      <c r="A422" t="s">
        <v>462</v>
      </c>
      <c r="B422" t="s">
        <v>191</v>
      </c>
      <c r="C422" s="25">
        <v>45657</v>
      </c>
      <c r="D422">
        <v>970040</v>
      </c>
      <c r="E422" t="s">
        <v>466</v>
      </c>
      <c r="F422" t="s">
        <v>517</v>
      </c>
      <c r="G422">
        <v>5723.03</v>
      </c>
      <c r="H422">
        <v>1039</v>
      </c>
      <c r="I422">
        <v>5.51</v>
      </c>
      <c r="J422">
        <v>0.85550000000000004</v>
      </c>
    </row>
    <row r="423" spans="1:10" x14ac:dyDescent="0.3">
      <c r="A423" t="s">
        <v>462</v>
      </c>
      <c r="B423" t="s">
        <v>191</v>
      </c>
      <c r="C423" s="25">
        <v>45688</v>
      </c>
      <c r="D423">
        <v>970040</v>
      </c>
      <c r="E423" t="s">
        <v>466</v>
      </c>
      <c r="F423" t="s">
        <v>517</v>
      </c>
      <c r="G423">
        <v>6692.71</v>
      </c>
      <c r="H423">
        <v>481</v>
      </c>
      <c r="I423">
        <v>13.91</v>
      </c>
      <c r="J423">
        <v>0.9032</v>
      </c>
    </row>
    <row r="424" spans="1:10" x14ac:dyDescent="0.3">
      <c r="A424" t="s">
        <v>462</v>
      </c>
      <c r="B424" t="s">
        <v>191</v>
      </c>
      <c r="C424" s="25">
        <v>45716</v>
      </c>
      <c r="D424">
        <v>970040</v>
      </c>
      <c r="E424" t="s">
        <v>466</v>
      </c>
      <c r="F424" t="s">
        <v>517</v>
      </c>
      <c r="G424">
        <v>4566.72</v>
      </c>
      <c r="H424">
        <v>523</v>
      </c>
      <c r="I424">
        <v>8.73</v>
      </c>
      <c r="J424">
        <v>0.64749999999999996</v>
      </c>
    </row>
    <row r="425" spans="1:10" x14ac:dyDescent="0.3">
      <c r="A425" t="s">
        <v>462</v>
      </c>
      <c r="B425" t="s">
        <v>191</v>
      </c>
      <c r="C425" s="25">
        <v>45747</v>
      </c>
      <c r="D425">
        <v>970040</v>
      </c>
      <c r="E425" t="s">
        <v>466</v>
      </c>
      <c r="F425" t="s">
        <v>517</v>
      </c>
      <c r="G425">
        <v>9029.25</v>
      </c>
      <c r="H425">
        <v>2330</v>
      </c>
      <c r="I425">
        <v>3.88</v>
      </c>
      <c r="J425">
        <v>1.1672</v>
      </c>
    </row>
    <row r="426" spans="1:10" x14ac:dyDescent="0.3">
      <c r="A426" t="s">
        <v>462</v>
      </c>
      <c r="B426" t="s">
        <v>191</v>
      </c>
      <c r="C426" s="25">
        <v>45777</v>
      </c>
      <c r="D426">
        <v>970040</v>
      </c>
      <c r="E426" t="s">
        <v>466</v>
      </c>
      <c r="F426" t="s">
        <v>517</v>
      </c>
      <c r="G426">
        <v>5363.4</v>
      </c>
      <c r="H426">
        <v>280</v>
      </c>
      <c r="I426">
        <v>19.170000000000002</v>
      </c>
      <c r="J426">
        <v>0.78100000000000003</v>
      </c>
    </row>
    <row r="427" spans="1:10" x14ac:dyDescent="0.3">
      <c r="A427" t="s">
        <v>462</v>
      </c>
      <c r="B427" t="s">
        <v>191</v>
      </c>
      <c r="C427" s="25">
        <v>45808</v>
      </c>
      <c r="D427">
        <v>970040</v>
      </c>
      <c r="E427" t="s">
        <v>466</v>
      </c>
      <c r="F427" t="s">
        <v>517</v>
      </c>
      <c r="G427">
        <v>8531.26</v>
      </c>
      <c r="H427">
        <v>473</v>
      </c>
      <c r="I427">
        <v>18.02</v>
      </c>
      <c r="J427">
        <v>1.0331999999999999</v>
      </c>
    </row>
    <row r="428" spans="1:10" x14ac:dyDescent="0.3">
      <c r="A428" t="s">
        <v>462</v>
      </c>
      <c r="B428" t="s">
        <v>191</v>
      </c>
      <c r="C428" s="25">
        <v>45838</v>
      </c>
      <c r="D428">
        <v>970040</v>
      </c>
      <c r="E428" t="s">
        <v>466</v>
      </c>
      <c r="F428" t="s">
        <v>517</v>
      </c>
      <c r="G428">
        <v>7533.49</v>
      </c>
      <c r="H428">
        <v>583</v>
      </c>
      <c r="I428">
        <v>12.93</v>
      </c>
      <c r="J428">
        <v>0.92100000000000004</v>
      </c>
    </row>
    <row r="429" spans="1:10" x14ac:dyDescent="0.3">
      <c r="A429" t="s">
        <v>462</v>
      </c>
      <c r="B429" t="s">
        <v>191</v>
      </c>
      <c r="C429" s="25">
        <v>45869</v>
      </c>
      <c r="D429">
        <v>970040</v>
      </c>
      <c r="E429" t="s">
        <v>466</v>
      </c>
      <c r="F429" t="s">
        <v>517</v>
      </c>
      <c r="G429">
        <v>7423.67</v>
      </c>
      <c r="H429">
        <v>460</v>
      </c>
      <c r="I429">
        <v>16.14</v>
      </c>
      <c r="J429">
        <v>0.83499999999999996</v>
      </c>
    </row>
    <row r="430" spans="1:10" x14ac:dyDescent="0.3">
      <c r="A430" t="s">
        <v>462</v>
      </c>
      <c r="B430" t="s">
        <v>191</v>
      </c>
      <c r="C430" s="25">
        <v>45900</v>
      </c>
      <c r="D430">
        <v>970040</v>
      </c>
      <c r="E430" t="s">
        <v>466</v>
      </c>
      <c r="F430" t="s">
        <v>517</v>
      </c>
      <c r="G430">
        <v>8821.2199999999993</v>
      </c>
      <c r="H430">
        <v>917</v>
      </c>
      <c r="I430">
        <v>9.6199999999999992</v>
      </c>
      <c r="J430">
        <v>1.1344000000000001</v>
      </c>
    </row>
    <row r="431" spans="1:10" x14ac:dyDescent="0.3">
      <c r="A431" t="s">
        <v>462</v>
      </c>
      <c r="B431" t="s">
        <v>191</v>
      </c>
      <c r="C431" s="25">
        <v>45930</v>
      </c>
      <c r="D431">
        <v>970040</v>
      </c>
      <c r="E431" t="s">
        <v>466</v>
      </c>
      <c r="F431" t="s">
        <v>517</v>
      </c>
      <c r="G431">
        <v>8361.73</v>
      </c>
      <c r="H431">
        <v>666</v>
      </c>
      <c r="I431">
        <v>12.55</v>
      </c>
      <c r="J431">
        <v>1.1131</v>
      </c>
    </row>
    <row r="432" spans="1:10" x14ac:dyDescent="0.3">
      <c r="A432" t="s">
        <v>462</v>
      </c>
      <c r="B432" t="s">
        <v>191</v>
      </c>
      <c r="C432" s="25">
        <v>45961</v>
      </c>
      <c r="D432">
        <v>970040</v>
      </c>
      <c r="E432" t="s">
        <v>466</v>
      </c>
      <c r="F432" t="s">
        <v>517</v>
      </c>
      <c r="G432">
        <v>6908.8</v>
      </c>
      <c r="H432">
        <v>394</v>
      </c>
      <c r="I432">
        <v>17.559999999999999</v>
      </c>
      <c r="J432">
        <v>0.93189999999999995</v>
      </c>
    </row>
    <row r="433" spans="1:10" x14ac:dyDescent="0.3">
      <c r="A433" t="s">
        <v>462</v>
      </c>
      <c r="B433" t="s">
        <v>191</v>
      </c>
      <c r="C433" s="25">
        <v>45991</v>
      </c>
      <c r="D433">
        <v>970040</v>
      </c>
      <c r="E433" t="s">
        <v>466</v>
      </c>
      <c r="F433" t="s">
        <v>517</v>
      </c>
      <c r="G433">
        <v>6551.92</v>
      </c>
      <c r="H433">
        <v>418</v>
      </c>
      <c r="I433">
        <v>15.67</v>
      </c>
      <c r="J433">
        <v>0.79520000000000002</v>
      </c>
    </row>
    <row r="434" spans="1:10" x14ac:dyDescent="0.3">
      <c r="A434" t="s">
        <v>462</v>
      </c>
      <c r="B434" t="s">
        <v>191</v>
      </c>
      <c r="C434" s="25">
        <v>45657</v>
      </c>
      <c r="D434">
        <v>534690</v>
      </c>
      <c r="E434" t="s">
        <v>463</v>
      </c>
      <c r="F434" t="s">
        <v>516</v>
      </c>
      <c r="G434">
        <v>4749.63</v>
      </c>
      <c r="H434">
        <v>267</v>
      </c>
      <c r="I434">
        <v>17.8</v>
      </c>
      <c r="J434">
        <v>0.71</v>
      </c>
    </row>
    <row r="435" spans="1:10" x14ac:dyDescent="0.3">
      <c r="A435" t="s">
        <v>462</v>
      </c>
      <c r="B435" t="s">
        <v>191</v>
      </c>
      <c r="C435" s="25">
        <v>45688</v>
      </c>
      <c r="D435">
        <v>534690</v>
      </c>
      <c r="E435" t="s">
        <v>463</v>
      </c>
      <c r="F435" t="s">
        <v>516</v>
      </c>
      <c r="G435">
        <v>5103.8900000000003</v>
      </c>
      <c r="H435">
        <v>429</v>
      </c>
      <c r="I435">
        <v>11.9</v>
      </c>
      <c r="J435">
        <v>0.68879999999999997</v>
      </c>
    </row>
    <row r="436" spans="1:10" x14ac:dyDescent="0.3">
      <c r="A436" t="s">
        <v>462</v>
      </c>
      <c r="B436" t="s">
        <v>191</v>
      </c>
      <c r="C436" s="25">
        <v>45716</v>
      </c>
      <c r="D436">
        <v>534690</v>
      </c>
      <c r="E436" t="s">
        <v>463</v>
      </c>
      <c r="F436" t="s">
        <v>516</v>
      </c>
      <c r="G436">
        <v>5022.03</v>
      </c>
      <c r="H436">
        <v>312</v>
      </c>
      <c r="I436">
        <v>16.079999999999998</v>
      </c>
      <c r="J436">
        <v>0.71209999999999996</v>
      </c>
    </row>
    <row r="437" spans="1:10" x14ac:dyDescent="0.3">
      <c r="A437" t="s">
        <v>462</v>
      </c>
      <c r="B437" t="s">
        <v>191</v>
      </c>
      <c r="C437" s="25">
        <v>45747</v>
      </c>
      <c r="D437">
        <v>534690</v>
      </c>
      <c r="E437" t="s">
        <v>463</v>
      </c>
      <c r="F437" t="s">
        <v>516</v>
      </c>
      <c r="G437">
        <v>3484.94</v>
      </c>
      <c r="H437">
        <v>317</v>
      </c>
      <c r="I437">
        <v>11</v>
      </c>
      <c r="J437">
        <v>0.45050000000000001</v>
      </c>
    </row>
    <row r="438" spans="1:10" x14ac:dyDescent="0.3">
      <c r="A438" t="s">
        <v>462</v>
      </c>
      <c r="B438" t="s">
        <v>191</v>
      </c>
      <c r="C438" s="25">
        <v>45777</v>
      </c>
      <c r="D438">
        <v>534690</v>
      </c>
      <c r="E438" t="s">
        <v>463</v>
      </c>
      <c r="F438" t="s">
        <v>516</v>
      </c>
      <c r="G438">
        <v>4333.6099999999997</v>
      </c>
      <c r="H438">
        <v>316</v>
      </c>
      <c r="I438">
        <v>13.73</v>
      </c>
      <c r="J438">
        <v>0.63100000000000001</v>
      </c>
    </row>
    <row r="439" spans="1:10" x14ac:dyDescent="0.3">
      <c r="A439" t="s">
        <v>462</v>
      </c>
      <c r="B439" t="s">
        <v>191</v>
      </c>
      <c r="C439" s="25">
        <v>45808</v>
      </c>
      <c r="D439">
        <v>534690</v>
      </c>
      <c r="E439" t="s">
        <v>463</v>
      </c>
      <c r="F439" t="s">
        <v>516</v>
      </c>
      <c r="G439">
        <v>5406.22</v>
      </c>
      <c r="H439">
        <v>500</v>
      </c>
      <c r="I439">
        <v>10.81</v>
      </c>
      <c r="J439">
        <v>0.65469999999999995</v>
      </c>
    </row>
    <row r="440" spans="1:10" x14ac:dyDescent="0.3">
      <c r="A440" t="s">
        <v>462</v>
      </c>
      <c r="B440" t="s">
        <v>191</v>
      </c>
      <c r="C440" s="25">
        <v>45838</v>
      </c>
      <c r="D440">
        <v>534690</v>
      </c>
      <c r="E440" t="s">
        <v>463</v>
      </c>
      <c r="F440" t="s">
        <v>516</v>
      </c>
      <c r="G440">
        <v>5981.28</v>
      </c>
      <c r="H440">
        <v>1022</v>
      </c>
      <c r="I440">
        <v>5.85</v>
      </c>
      <c r="J440">
        <v>0.73129999999999995</v>
      </c>
    </row>
    <row r="441" spans="1:10" x14ac:dyDescent="0.3">
      <c r="A441" t="s">
        <v>462</v>
      </c>
      <c r="B441" t="s">
        <v>191</v>
      </c>
      <c r="C441" s="25">
        <v>45869</v>
      </c>
      <c r="D441">
        <v>534690</v>
      </c>
      <c r="E441" t="s">
        <v>463</v>
      </c>
      <c r="F441" t="s">
        <v>516</v>
      </c>
      <c r="G441">
        <v>5784.75</v>
      </c>
      <c r="H441">
        <v>300</v>
      </c>
      <c r="I441">
        <v>19.28</v>
      </c>
      <c r="J441">
        <v>0.65059999999999996</v>
      </c>
    </row>
    <row r="442" spans="1:10" x14ac:dyDescent="0.3">
      <c r="A442" t="s">
        <v>462</v>
      </c>
      <c r="B442" t="s">
        <v>191</v>
      </c>
      <c r="C442" s="25">
        <v>45900</v>
      </c>
      <c r="D442">
        <v>534690</v>
      </c>
      <c r="E442" t="s">
        <v>463</v>
      </c>
      <c r="F442" t="s">
        <v>516</v>
      </c>
      <c r="G442">
        <v>4023.6</v>
      </c>
      <c r="H442">
        <v>250</v>
      </c>
      <c r="I442">
        <v>16.100000000000001</v>
      </c>
      <c r="J442">
        <v>0.51739999999999997</v>
      </c>
    </row>
    <row r="443" spans="1:10" x14ac:dyDescent="0.3">
      <c r="A443" t="s">
        <v>462</v>
      </c>
      <c r="B443" t="s">
        <v>191</v>
      </c>
      <c r="C443" s="25">
        <v>45930</v>
      </c>
      <c r="D443">
        <v>534690</v>
      </c>
      <c r="E443" t="s">
        <v>463</v>
      </c>
      <c r="F443" t="s">
        <v>516</v>
      </c>
      <c r="G443">
        <v>4477.3999999999996</v>
      </c>
      <c r="H443">
        <v>386</v>
      </c>
      <c r="I443">
        <v>11.59</v>
      </c>
      <c r="J443">
        <v>0.59599999999999997</v>
      </c>
    </row>
    <row r="444" spans="1:10" x14ac:dyDescent="0.3">
      <c r="A444" t="s">
        <v>462</v>
      </c>
      <c r="B444" t="s">
        <v>191</v>
      </c>
      <c r="C444" s="25">
        <v>45961</v>
      </c>
      <c r="D444">
        <v>534690</v>
      </c>
      <c r="E444" t="s">
        <v>463</v>
      </c>
      <c r="F444" t="s">
        <v>516</v>
      </c>
      <c r="G444">
        <v>3580.71</v>
      </c>
      <c r="H444">
        <v>485</v>
      </c>
      <c r="I444">
        <v>7.38</v>
      </c>
      <c r="J444">
        <v>0.48299999999999998</v>
      </c>
    </row>
    <row r="445" spans="1:10" x14ac:dyDescent="0.3">
      <c r="A445" t="s">
        <v>462</v>
      </c>
      <c r="B445" t="s">
        <v>191</v>
      </c>
      <c r="C445" s="25">
        <v>45991</v>
      </c>
      <c r="D445">
        <v>534690</v>
      </c>
      <c r="E445" t="s">
        <v>463</v>
      </c>
      <c r="F445" t="s">
        <v>516</v>
      </c>
      <c r="G445">
        <v>3324.2</v>
      </c>
      <c r="H445">
        <v>253</v>
      </c>
      <c r="I445">
        <v>13.12</v>
      </c>
      <c r="J445">
        <v>0.40339999999999998</v>
      </c>
    </row>
    <row r="446" spans="1:10" x14ac:dyDescent="0.3">
      <c r="A446" t="s">
        <v>462</v>
      </c>
      <c r="B446" t="s">
        <v>191</v>
      </c>
      <c r="C446" s="25">
        <v>45657</v>
      </c>
      <c r="D446">
        <v>268354</v>
      </c>
      <c r="E446" t="s">
        <v>471</v>
      </c>
      <c r="F446" t="s">
        <v>515</v>
      </c>
      <c r="G446">
        <v>2821.66</v>
      </c>
      <c r="H446">
        <v>218</v>
      </c>
      <c r="I446">
        <v>12.95</v>
      </c>
      <c r="J446">
        <v>0.42180000000000001</v>
      </c>
    </row>
    <row r="447" spans="1:10" x14ac:dyDescent="0.3">
      <c r="A447" t="s">
        <v>462</v>
      </c>
      <c r="B447" t="s">
        <v>191</v>
      </c>
      <c r="C447" s="25">
        <v>45688</v>
      </c>
      <c r="D447">
        <v>268354</v>
      </c>
      <c r="E447" t="s">
        <v>471</v>
      </c>
      <c r="F447" t="s">
        <v>515</v>
      </c>
      <c r="G447">
        <v>2648.03</v>
      </c>
      <c r="H447">
        <v>188</v>
      </c>
      <c r="I447">
        <v>14.11</v>
      </c>
      <c r="J447">
        <v>0.3574</v>
      </c>
    </row>
    <row r="448" spans="1:10" x14ac:dyDescent="0.3">
      <c r="A448" t="s">
        <v>462</v>
      </c>
      <c r="B448" t="s">
        <v>191</v>
      </c>
      <c r="C448" s="25">
        <v>45716</v>
      </c>
      <c r="D448">
        <v>268354</v>
      </c>
      <c r="E448" t="s">
        <v>471</v>
      </c>
      <c r="F448" t="s">
        <v>515</v>
      </c>
      <c r="G448">
        <v>3324.09</v>
      </c>
      <c r="H448">
        <v>177</v>
      </c>
      <c r="I448">
        <v>18.82</v>
      </c>
      <c r="J448">
        <v>0.4713</v>
      </c>
    </row>
    <row r="449" spans="1:10" x14ac:dyDescent="0.3">
      <c r="A449" t="s">
        <v>462</v>
      </c>
      <c r="B449" t="s">
        <v>191</v>
      </c>
      <c r="C449" s="25">
        <v>45747</v>
      </c>
      <c r="D449">
        <v>268354</v>
      </c>
      <c r="E449" t="s">
        <v>471</v>
      </c>
      <c r="F449" t="s">
        <v>515</v>
      </c>
      <c r="G449">
        <v>3505.61</v>
      </c>
      <c r="H449">
        <v>847</v>
      </c>
      <c r="I449">
        <v>4.1399999999999997</v>
      </c>
      <c r="J449">
        <v>0.45319999999999999</v>
      </c>
    </row>
    <row r="450" spans="1:10" x14ac:dyDescent="0.3">
      <c r="A450" t="s">
        <v>462</v>
      </c>
      <c r="B450" t="s">
        <v>191</v>
      </c>
      <c r="C450" s="25">
        <v>45777</v>
      </c>
      <c r="D450">
        <v>268354</v>
      </c>
      <c r="E450" t="s">
        <v>471</v>
      </c>
      <c r="F450" t="s">
        <v>515</v>
      </c>
      <c r="G450">
        <v>2868.59</v>
      </c>
      <c r="H450">
        <v>189</v>
      </c>
      <c r="I450">
        <v>15.21</v>
      </c>
      <c r="J450">
        <v>0.41770000000000002</v>
      </c>
    </row>
    <row r="451" spans="1:10" x14ac:dyDescent="0.3">
      <c r="A451" t="s">
        <v>462</v>
      </c>
      <c r="B451" t="s">
        <v>191</v>
      </c>
      <c r="C451" s="25">
        <v>45808</v>
      </c>
      <c r="D451">
        <v>268354</v>
      </c>
      <c r="E451" t="s">
        <v>471</v>
      </c>
      <c r="F451" t="s">
        <v>515</v>
      </c>
      <c r="G451">
        <v>3534.05</v>
      </c>
      <c r="H451">
        <v>540</v>
      </c>
      <c r="I451">
        <v>6.55</v>
      </c>
      <c r="J451">
        <v>0.42799999999999999</v>
      </c>
    </row>
    <row r="452" spans="1:10" x14ac:dyDescent="0.3">
      <c r="A452" t="s">
        <v>462</v>
      </c>
      <c r="B452" t="s">
        <v>191</v>
      </c>
      <c r="C452" s="25">
        <v>45838</v>
      </c>
      <c r="D452">
        <v>268354</v>
      </c>
      <c r="E452" t="s">
        <v>471</v>
      </c>
      <c r="F452" t="s">
        <v>515</v>
      </c>
      <c r="G452">
        <v>2871.91</v>
      </c>
      <c r="H452">
        <v>1232</v>
      </c>
      <c r="I452">
        <v>2.33</v>
      </c>
      <c r="J452">
        <v>0.35110000000000002</v>
      </c>
    </row>
    <row r="453" spans="1:10" x14ac:dyDescent="0.3">
      <c r="A453" t="s">
        <v>462</v>
      </c>
      <c r="B453" t="s">
        <v>191</v>
      </c>
      <c r="C453" s="25">
        <v>45869</v>
      </c>
      <c r="D453">
        <v>268354</v>
      </c>
      <c r="E453" t="s">
        <v>471</v>
      </c>
      <c r="F453" t="s">
        <v>515</v>
      </c>
      <c r="G453">
        <v>3897.03</v>
      </c>
      <c r="H453">
        <v>826</v>
      </c>
      <c r="I453">
        <v>4.72</v>
      </c>
      <c r="J453">
        <v>0.43830000000000002</v>
      </c>
    </row>
    <row r="454" spans="1:10" x14ac:dyDescent="0.3">
      <c r="A454" t="s">
        <v>462</v>
      </c>
      <c r="B454" t="s">
        <v>191</v>
      </c>
      <c r="C454" s="25">
        <v>45900</v>
      </c>
      <c r="D454">
        <v>268354</v>
      </c>
      <c r="E454" t="s">
        <v>471</v>
      </c>
      <c r="F454" t="s">
        <v>515</v>
      </c>
      <c r="G454">
        <v>3181.35</v>
      </c>
      <c r="H454">
        <v>169</v>
      </c>
      <c r="I454">
        <v>18.82</v>
      </c>
      <c r="J454">
        <v>0.40910000000000002</v>
      </c>
    </row>
    <row r="455" spans="1:10" x14ac:dyDescent="0.3">
      <c r="A455" t="s">
        <v>462</v>
      </c>
      <c r="B455" t="s">
        <v>191</v>
      </c>
      <c r="C455" s="25">
        <v>45930</v>
      </c>
      <c r="D455">
        <v>268354</v>
      </c>
      <c r="E455" t="s">
        <v>471</v>
      </c>
      <c r="F455" t="s">
        <v>515</v>
      </c>
      <c r="G455">
        <v>2231.6799999999998</v>
      </c>
      <c r="H455">
        <v>135</v>
      </c>
      <c r="I455">
        <v>16.579999999999998</v>
      </c>
      <c r="J455">
        <v>0.29709999999999998</v>
      </c>
    </row>
    <row r="456" spans="1:10" x14ac:dyDescent="0.3">
      <c r="A456" t="s">
        <v>462</v>
      </c>
      <c r="B456" t="s">
        <v>191</v>
      </c>
      <c r="C456" s="25">
        <v>45961</v>
      </c>
      <c r="D456">
        <v>268354</v>
      </c>
      <c r="E456" t="s">
        <v>471</v>
      </c>
      <c r="F456" t="s">
        <v>515</v>
      </c>
      <c r="G456">
        <v>2822.91</v>
      </c>
      <c r="H456">
        <v>144</v>
      </c>
      <c r="I456">
        <v>19.670000000000002</v>
      </c>
      <c r="J456">
        <v>0.38080000000000003</v>
      </c>
    </row>
    <row r="457" spans="1:10" x14ac:dyDescent="0.3">
      <c r="A457" t="s">
        <v>462</v>
      </c>
      <c r="B457" t="s">
        <v>191</v>
      </c>
      <c r="C457" s="25">
        <v>45991</v>
      </c>
      <c r="D457">
        <v>268354</v>
      </c>
      <c r="E457" t="s">
        <v>471</v>
      </c>
      <c r="F457" t="s">
        <v>515</v>
      </c>
      <c r="G457">
        <v>3735.71</v>
      </c>
      <c r="H457">
        <v>408</v>
      </c>
      <c r="I457">
        <v>9.15</v>
      </c>
      <c r="J457">
        <v>0.45340000000000003</v>
      </c>
    </row>
    <row r="458" spans="1:10" x14ac:dyDescent="0.3">
      <c r="A458" t="s">
        <v>462</v>
      </c>
      <c r="B458" t="s">
        <v>191</v>
      </c>
      <c r="C458" s="25">
        <v>45657</v>
      </c>
      <c r="D458">
        <v>647815</v>
      </c>
      <c r="E458" t="s">
        <v>464</v>
      </c>
      <c r="F458" t="s">
        <v>514</v>
      </c>
      <c r="G458">
        <v>2780.83</v>
      </c>
      <c r="H458">
        <v>497</v>
      </c>
      <c r="I458">
        <v>5.6</v>
      </c>
      <c r="J458">
        <v>0.41570000000000001</v>
      </c>
    </row>
    <row r="459" spans="1:10" x14ac:dyDescent="0.3">
      <c r="A459" t="s">
        <v>462</v>
      </c>
      <c r="B459" t="s">
        <v>191</v>
      </c>
      <c r="C459" s="25">
        <v>45688</v>
      </c>
      <c r="D459">
        <v>647815</v>
      </c>
      <c r="E459" t="s">
        <v>464</v>
      </c>
      <c r="F459" t="s">
        <v>514</v>
      </c>
      <c r="G459">
        <v>2619.58</v>
      </c>
      <c r="H459">
        <v>160</v>
      </c>
      <c r="I459">
        <v>16.37</v>
      </c>
      <c r="J459">
        <v>0.35349999999999998</v>
      </c>
    </row>
    <row r="460" spans="1:10" x14ac:dyDescent="0.3">
      <c r="A460" t="s">
        <v>462</v>
      </c>
      <c r="B460" t="s">
        <v>191</v>
      </c>
      <c r="C460" s="25">
        <v>45716</v>
      </c>
      <c r="D460">
        <v>647815</v>
      </c>
      <c r="E460" t="s">
        <v>464</v>
      </c>
      <c r="F460" t="s">
        <v>514</v>
      </c>
      <c r="G460">
        <v>3503.5</v>
      </c>
      <c r="H460">
        <v>243</v>
      </c>
      <c r="I460">
        <v>14.41</v>
      </c>
      <c r="J460">
        <v>0.49680000000000002</v>
      </c>
    </row>
    <row r="461" spans="1:10" x14ac:dyDescent="0.3">
      <c r="A461" t="s">
        <v>462</v>
      </c>
      <c r="B461" t="s">
        <v>191</v>
      </c>
      <c r="C461" s="25">
        <v>45747</v>
      </c>
      <c r="D461">
        <v>647815</v>
      </c>
      <c r="E461" t="s">
        <v>464</v>
      </c>
      <c r="F461" t="s">
        <v>514</v>
      </c>
      <c r="G461">
        <v>3120.99</v>
      </c>
      <c r="H461">
        <v>210</v>
      </c>
      <c r="I461">
        <v>14.88</v>
      </c>
      <c r="J461">
        <v>0.40339999999999998</v>
      </c>
    </row>
    <row r="462" spans="1:10" x14ac:dyDescent="0.3">
      <c r="A462" t="s">
        <v>462</v>
      </c>
      <c r="B462" t="s">
        <v>191</v>
      </c>
      <c r="C462" s="25">
        <v>45777</v>
      </c>
      <c r="D462">
        <v>647815</v>
      </c>
      <c r="E462" t="s">
        <v>464</v>
      </c>
      <c r="F462" t="s">
        <v>514</v>
      </c>
      <c r="G462">
        <v>2254.7399999999998</v>
      </c>
      <c r="H462">
        <v>128</v>
      </c>
      <c r="I462">
        <v>17.64</v>
      </c>
      <c r="J462">
        <v>0.32829999999999998</v>
      </c>
    </row>
    <row r="463" spans="1:10" x14ac:dyDescent="0.3">
      <c r="A463" t="s">
        <v>462</v>
      </c>
      <c r="B463" t="s">
        <v>191</v>
      </c>
      <c r="C463" s="25">
        <v>45808</v>
      </c>
      <c r="D463">
        <v>647815</v>
      </c>
      <c r="E463" t="s">
        <v>464</v>
      </c>
      <c r="F463" t="s">
        <v>514</v>
      </c>
      <c r="G463">
        <v>3869.12</v>
      </c>
      <c r="H463">
        <v>280</v>
      </c>
      <c r="I463">
        <v>13.83</v>
      </c>
      <c r="J463">
        <v>0.46860000000000002</v>
      </c>
    </row>
    <row r="464" spans="1:10" x14ac:dyDescent="0.3">
      <c r="A464" t="s">
        <v>462</v>
      </c>
      <c r="B464" t="s">
        <v>191</v>
      </c>
      <c r="C464" s="25">
        <v>45838</v>
      </c>
      <c r="D464">
        <v>647815</v>
      </c>
      <c r="E464" t="s">
        <v>464</v>
      </c>
      <c r="F464" t="s">
        <v>514</v>
      </c>
      <c r="G464">
        <v>2533.67</v>
      </c>
      <c r="H464">
        <v>182</v>
      </c>
      <c r="I464">
        <v>13.96</v>
      </c>
      <c r="J464">
        <v>0.30980000000000002</v>
      </c>
    </row>
    <row r="465" spans="1:10" x14ac:dyDescent="0.3">
      <c r="A465" t="s">
        <v>462</v>
      </c>
      <c r="B465" t="s">
        <v>191</v>
      </c>
      <c r="C465" s="25">
        <v>45869</v>
      </c>
      <c r="D465">
        <v>647815</v>
      </c>
      <c r="E465" t="s">
        <v>464</v>
      </c>
      <c r="F465" t="s">
        <v>514</v>
      </c>
      <c r="G465">
        <v>3901.23</v>
      </c>
      <c r="H465">
        <v>220</v>
      </c>
      <c r="I465">
        <v>17.73</v>
      </c>
      <c r="J465">
        <v>0.43880000000000002</v>
      </c>
    </row>
    <row r="466" spans="1:10" x14ac:dyDescent="0.3">
      <c r="A466" t="s">
        <v>462</v>
      </c>
      <c r="B466" t="s">
        <v>191</v>
      </c>
      <c r="C466" s="25">
        <v>45900</v>
      </c>
      <c r="D466">
        <v>647815</v>
      </c>
      <c r="E466" t="s">
        <v>464</v>
      </c>
      <c r="F466" t="s">
        <v>514</v>
      </c>
      <c r="G466">
        <v>2908.25</v>
      </c>
      <c r="H466">
        <v>548</v>
      </c>
      <c r="I466">
        <v>5.31</v>
      </c>
      <c r="J466">
        <v>0.374</v>
      </c>
    </row>
    <row r="467" spans="1:10" x14ac:dyDescent="0.3">
      <c r="A467" t="s">
        <v>462</v>
      </c>
      <c r="B467" t="s">
        <v>191</v>
      </c>
      <c r="C467" s="25">
        <v>45930</v>
      </c>
      <c r="D467">
        <v>647815</v>
      </c>
      <c r="E467" t="s">
        <v>464</v>
      </c>
      <c r="F467" t="s">
        <v>514</v>
      </c>
      <c r="G467">
        <v>2694.85</v>
      </c>
      <c r="H467">
        <v>135</v>
      </c>
      <c r="I467">
        <v>19.940000000000001</v>
      </c>
      <c r="J467">
        <v>0.35870000000000002</v>
      </c>
    </row>
    <row r="468" spans="1:10" x14ac:dyDescent="0.3">
      <c r="A468" t="s">
        <v>462</v>
      </c>
      <c r="B468" t="s">
        <v>191</v>
      </c>
      <c r="C468" s="25">
        <v>45961</v>
      </c>
      <c r="D468">
        <v>647815</v>
      </c>
      <c r="E468" t="s">
        <v>464</v>
      </c>
      <c r="F468" t="s">
        <v>514</v>
      </c>
      <c r="G468">
        <v>3184.43</v>
      </c>
      <c r="H468">
        <v>1381</v>
      </c>
      <c r="I468">
        <v>2.31</v>
      </c>
      <c r="J468">
        <v>0.42949999999999999</v>
      </c>
    </row>
    <row r="469" spans="1:10" x14ac:dyDescent="0.3">
      <c r="A469" t="s">
        <v>462</v>
      </c>
      <c r="B469" t="s">
        <v>191</v>
      </c>
      <c r="C469" s="25">
        <v>45991</v>
      </c>
      <c r="D469">
        <v>647815</v>
      </c>
      <c r="E469" t="s">
        <v>464</v>
      </c>
      <c r="F469" t="s">
        <v>514</v>
      </c>
      <c r="G469">
        <v>3212.94</v>
      </c>
      <c r="H469">
        <v>413</v>
      </c>
      <c r="I469">
        <v>7.77</v>
      </c>
      <c r="J469">
        <v>0.38990000000000002</v>
      </c>
    </row>
    <row r="470" spans="1:10" x14ac:dyDescent="0.3">
      <c r="A470" t="s">
        <v>462</v>
      </c>
      <c r="B470" t="s">
        <v>191</v>
      </c>
      <c r="C470" s="25">
        <v>45657</v>
      </c>
      <c r="D470">
        <v>833142</v>
      </c>
      <c r="E470" t="s">
        <v>467</v>
      </c>
      <c r="F470" t="s">
        <v>513</v>
      </c>
      <c r="G470">
        <v>1859.08</v>
      </c>
      <c r="H470">
        <v>156</v>
      </c>
      <c r="I470">
        <v>11.95</v>
      </c>
      <c r="J470">
        <v>0.27789999999999998</v>
      </c>
    </row>
    <row r="471" spans="1:10" x14ac:dyDescent="0.3">
      <c r="A471" t="s">
        <v>462</v>
      </c>
      <c r="B471" t="s">
        <v>191</v>
      </c>
      <c r="C471" s="25">
        <v>45688</v>
      </c>
      <c r="D471">
        <v>833142</v>
      </c>
      <c r="E471" t="s">
        <v>467</v>
      </c>
      <c r="F471" t="s">
        <v>513</v>
      </c>
      <c r="G471">
        <v>1678.85</v>
      </c>
      <c r="H471">
        <v>99</v>
      </c>
      <c r="I471">
        <v>16.899999999999999</v>
      </c>
      <c r="J471">
        <v>0.2266</v>
      </c>
    </row>
    <row r="472" spans="1:10" x14ac:dyDescent="0.3">
      <c r="A472" t="s">
        <v>462</v>
      </c>
      <c r="B472" t="s">
        <v>191</v>
      </c>
      <c r="C472" s="25">
        <v>45716</v>
      </c>
      <c r="D472">
        <v>833142</v>
      </c>
      <c r="E472" t="s">
        <v>467</v>
      </c>
      <c r="F472" t="s">
        <v>513</v>
      </c>
      <c r="G472">
        <v>1902.03</v>
      </c>
      <c r="H472">
        <v>1238</v>
      </c>
      <c r="I472">
        <v>1.54</v>
      </c>
      <c r="J472">
        <v>0.2697</v>
      </c>
    </row>
    <row r="473" spans="1:10" x14ac:dyDescent="0.3">
      <c r="A473" t="s">
        <v>462</v>
      </c>
      <c r="B473" t="s">
        <v>191</v>
      </c>
      <c r="C473" s="25">
        <v>45747</v>
      </c>
      <c r="D473">
        <v>833142</v>
      </c>
      <c r="E473" t="s">
        <v>467</v>
      </c>
      <c r="F473" t="s">
        <v>513</v>
      </c>
      <c r="G473">
        <v>2320.6799999999998</v>
      </c>
      <c r="H473">
        <v>153</v>
      </c>
      <c r="I473">
        <v>15.21</v>
      </c>
      <c r="J473">
        <v>0.3</v>
      </c>
    </row>
    <row r="474" spans="1:10" x14ac:dyDescent="0.3">
      <c r="A474" t="s">
        <v>462</v>
      </c>
      <c r="B474" t="s">
        <v>191</v>
      </c>
      <c r="C474" s="25">
        <v>45777</v>
      </c>
      <c r="D474">
        <v>833142</v>
      </c>
      <c r="E474" t="s">
        <v>467</v>
      </c>
      <c r="F474" t="s">
        <v>513</v>
      </c>
      <c r="G474">
        <v>2067.3200000000002</v>
      </c>
      <c r="H474">
        <v>159</v>
      </c>
      <c r="I474">
        <v>13.03</v>
      </c>
      <c r="J474">
        <v>0.30099999999999999</v>
      </c>
    </row>
    <row r="475" spans="1:10" x14ac:dyDescent="0.3">
      <c r="A475" t="s">
        <v>462</v>
      </c>
      <c r="B475" t="s">
        <v>191</v>
      </c>
      <c r="C475" s="25">
        <v>45808</v>
      </c>
      <c r="D475">
        <v>833142</v>
      </c>
      <c r="E475" t="s">
        <v>467</v>
      </c>
      <c r="F475" t="s">
        <v>513</v>
      </c>
      <c r="G475">
        <v>1635.82</v>
      </c>
      <c r="H475">
        <v>98</v>
      </c>
      <c r="I475">
        <v>16.73</v>
      </c>
      <c r="J475">
        <v>0.1981</v>
      </c>
    </row>
    <row r="476" spans="1:10" x14ac:dyDescent="0.3">
      <c r="A476" t="s">
        <v>462</v>
      </c>
      <c r="B476" t="s">
        <v>191</v>
      </c>
      <c r="C476" s="25">
        <v>45838</v>
      </c>
      <c r="D476">
        <v>833142</v>
      </c>
      <c r="E476" t="s">
        <v>467</v>
      </c>
      <c r="F476" t="s">
        <v>513</v>
      </c>
      <c r="G476">
        <v>1517.74</v>
      </c>
      <c r="H476">
        <v>81</v>
      </c>
      <c r="I476">
        <v>18.84</v>
      </c>
      <c r="J476">
        <v>0.18559999999999999</v>
      </c>
    </row>
    <row r="477" spans="1:10" x14ac:dyDescent="0.3">
      <c r="A477" t="s">
        <v>462</v>
      </c>
      <c r="B477" t="s">
        <v>191</v>
      </c>
      <c r="C477" s="25">
        <v>45869</v>
      </c>
      <c r="D477">
        <v>833142</v>
      </c>
      <c r="E477" t="s">
        <v>467</v>
      </c>
      <c r="F477" t="s">
        <v>513</v>
      </c>
      <c r="G477">
        <v>1743.98</v>
      </c>
      <c r="H477">
        <v>201</v>
      </c>
      <c r="I477">
        <v>8.68</v>
      </c>
      <c r="J477">
        <v>0.19620000000000001</v>
      </c>
    </row>
    <row r="478" spans="1:10" x14ac:dyDescent="0.3">
      <c r="A478" t="s">
        <v>462</v>
      </c>
      <c r="B478" t="s">
        <v>191</v>
      </c>
      <c r="C478" s="25">
        <v>45900</v>
      </c>
      <c r="D478">
        <v>833142</v>
      </c>
      <c r="E478" t="s">
        <v>467</v>
      </c>
      <c r="F478" t="s">
        <v>513</v>
      </c>
      <c r="G478">
        <v>2235.88</v>
      </c>
      <c r="H478">
        <v>143</v>
      </c>
      <c r="I478">
        <v>15.69</v>
      </c>
      <c r="J478">
        <v>0.28749999999999998</v>
      </c>
    </row>
    <row r="479" spans="1:10" x14ac:dyDescent="0.3">
      <c r="A479" t="s">
        <v>462</v>
      </c>
      <c r="B479" t="s">
        <v>191</v>
      </c>
      <c r="C479" s="25">
        <v>45930</v>
      </c>
      <c r="D479">
        <v>833142</v>
      </c>
      <c r="E479" t="s">
        <v>467</v>
      </c>
      <c r="F479" t="s">
        <v>513</v>
      </c>
      <c r="G479">
        <v>2099.11</v>
      </c>
      <c r="H479">
        <v>226</v>
      </c>
      <c r="I479">
        <v>9.27</v>
      </c>
      <c r="J479">
        <v>0.27939999999999998</v>
      </c>
    </row>
    <row r="480" spans="1:10" x14ac:dyDescent="0.3">
      <c r="A480" t="s">
        <v>462</v>
      </c>
      <c r="B480" t="s">
        <v>191</v>
      </c>
      <c r="C480" s="25">
        <v>45961</v>
      </c>
      <c r="D480">
        <v>833142</v>
      </c>
      <c r="E480" t="s">
        <v>467</v>
      </c>
      <c r="F480" t="s">
        <v>513</v>
      </c>
      <c r="G480">
        <v>1938.72</v>
      </c>
      <c r="H480">
        <v>403</v>
      </c>
      <c r="I480">
        <v>4.8099999999999996</v>
      </c>
      <c r="J480">
        <v>0.26150000000000001</v>
      </c>
    </row>
    <row r="481" spans="1:10" x14ac:dyDescent="0.3">
      <c r="A481" t="s">
        <v>462</v>
      </c>
      <c r="B481" t="s">
        <v>191</v>
      </c>
      <c r="C481" s="25">
        <v>45991</v>
      </c>
      <c r="D481">
        <v>833142</v>
      </c>
      <c r="E481" t="s">
        <v>467</v>
      </c>
      <c r="F481" t="s">
        <v>513</v>
      </c>
      <c r="G481">
        <v>1974.72</v>
      </c>
      <c r="H481">
        <v>402</v>
      </c>
      <c r="I481">
        <v>4.91</v>
      </c>
      <c r="J481">
        <v>0.2397</v>
      </c>
    </row>
    <row r="482" spans="1:10" x14ac:dyDescent="0.3">
      <c r="A482" t="s">
        <v>462</v>
      </c>
      <c r="B482" t="s">
        <v>193</v>
      </c>
      <c r="C482" s="25">
        <v>45657</v>
      </c>
      <c r="D482">
        <v>803982</v>
      </c>
      <c r="E482" t="s">
        <v>471</v>
      </c>
      <c r="F482" t="s">
        <v>512</v>
      </c>
      <c r="G482">
        <v>37162.080000000002</v>
      </c>
      <c r="H482">
        <v>4348</v>
      </c>
      <c r="I482">
        <v>8.5500000000000007</v>
      </c>
      <c r="J482">
        <v>4.5118999999999998</v>
      </c>
    </row>
    <row r="483" spans="1:10" x14ac:dyDescent="0.3">
      <c r="A483" t="s">
        <v>462</v>
      </c>
      <c r="B483" t="s">
        <v>193</v>
      </c>
      <c r="C483" s="25">
        <v>45688</v>
      </c>
      <c r="D483">
        <v>803982</v>
      </c>
      <c r="E483" t="s">
        <v>471</v>
      </c>
      <c r="F483" t="s">
        <v>512</v>
      </c>
      <c r="G483">
        <v>46632.76</v>
      </c>
      <c r="H483">
        <v>4295</v>
      </c>
      <c r="I483">
        <v>10.86</v>
      </c>
      <c r="J483">
        <v>5.2103000000000002</v>
      </c>
    </row>
    <row r="484" spans="1:10" x14ac:dyDescent="0.3">
      <c r="A484" t="s">
        <v>462</v>
      </c>
      <c r="B484" t="s">
        <v>193</v>
      </c>
      <c r="C484" s="25">
        <v>45716</v>
      </c>
      <c r="D484">
        <v>803982</v>
      </c>
      <c r="E484" t="s">
        <v>471</v>
      </c>
      <c r="F484" t="s">
        <v>512</v>
      </c>
      <c r="G484">
        <v>48644.87</v>
      </c>
      <c r="H484">
        <v>16139</v>
      </c>
      <c r="I484">
        <v>3.01</v>
      </c>
      <c r="J484">
        <v>5.1924999999999999</v>
      </c>
    </row>
    <row r="485" spans="1:10" x14ac:dyDescent="0.3">
      <c r="A485" t="s">
        <v>462</v>
      </c>
      <c r="B485" t="s">
        <v>193</v>
      </c>
      <c r="C485" s="25">
        <v>45747</v>
      </c>
      <c r="D485">
        <v>803982</v>
      </c>
      <c r="E485" t="s">
        <v>471</v>
      </c>
      <c r="F485" t="s">
        <v>512</v>
      </c>
      <c r="G485">
        <v>35487.870000000003</v>
      </c>
      <c r="H485">
        <v>4666</v>
      </c>
      <c r="I485">
        <v>7.61</v>
      </c>
      <c r="J485">
        <v>4.2991000000000001</v>
      </c>
    </row>
    <row r="486" spans="1:10" x14ac:dyDescent="0.3">
      <c r="A486" t="s">
        <v>462</v>
      </c>
      <c r="B486" t="s">
        <v>193</v>
      </c>
      <c r="C486" s="25">
        <v>45777</v>
      </c>
      <c r="D486">
        <v>803982</v>
      </c>
      <c r="E486" t="s">
        <v>471</v>
      </c>
      <c r="F486" t="s">
        <v>512</v>
      </c>
      <c r="G486">
        <v>40838.839999999997</v>
      </c>
      <c r="H486">
        <v>9670</v>
      </c>
      <c r="I486">
        <v>4.22</v>
      </c>
      <c r="J486">
        <v>4.6150000000000002</v>
      </c>
    </row>
    <row r="487" spans="1:10" x14ac:dyDescent="0.3">
      <c r="A487" t="s">
        <v>462</v>
      </c>
      <c r="B487" t="s">
        <v>193</v>
      </c>
      <c r="C487" s="25">
        <v>45808</v>
      </c>
      <c r="D487">
        <v>803982</v>
      </c>
      <c r="E487" t="s">
        <v>471</v>
      </c>
      <c r="F487" t="s">
        <v>512</v>
      </c>
      <c r="G487">
        <v>48795.21</v>
      </c>
      <c r="H487">
        <v>8684</v>
      </c>
      <c r="I487">
        <v>5.62</v>
      </c>
      <c r="J487">
        <v>5.4287000000000001</v>
      </c>
    </row>
    <row r="488" spans="1:10" x14ac:dyDescent="0.3">
      <c r="A488" t="s">
        <v>462</v>
      </c>
      <c r="B488" t="s">
        <v>193</v>
      </c>
      <c r="C488" s="25">
        <v>45838</v>
      </c>
      <c r="D488">
        <v>803982</v>
      </c>
      <c r="E488" t="s">
        <v>471</v>
      </c>
      <c r="F488" t="s">
        <v>512</v>
      </c>
      <c r="G488">
        <v>45054.9</v>
      </c>
      <c r="H488">
        <v>2876</v>
      </c>
      <c r="I488">
        <v>15.67</v>
      </c>
      <c r="J488">
        <v>5.2417999999999996</v>
      </c>
    </row>
    <row r="489" spans="1:10" x14ac:dyDescent="0.3">
      <c r="A489" t="s">
        <v>462</v>
      </c>
      <c r="B489" t="s">
        <v>193</v>
      </c>
      <c r="C489" s="25">
        <v>45869</v>
      </c>
      <c r="D489">
        <v>803982</v>
      </c>
      <c r="E489" t="s">
        <v>471</v>
      </c>
      <c r="F489" t="s">
        <v>512</v>
      </c>
      <c r="G489">
        <v>46112.18</v>
      </c>
      <c r="H489">
        <v>6114</v>
      </c>
      <c r="I489">
        <v>7.54</v>
      </c>
      <c r="J489">
        <v>5.7750000000000004</v>
      </c>
    </row>
    <row r="490" spans="1:10" x14ac:dyDescent="0.3">
      <c r="A490" t="s">
        <v>462</v>
      </c>
      <c r="B490" t="s">
        <v>193</v>
      </c>
      <c r="C490" s="25">
        <v>45900</v>
      </c>
      <c r="D490">
        <v>803982</v>
      </c>
      <c r="E490" t="s">
        <v>471</v>
      </c>
      <c r="F490" t="s">
        <v>512</v>
      </c>
      <c r="G490">
        <v>51142.239999999998</v>
      </c>
      <c r="H490">
        <v>3260</v>
      </c>
      <c r="I490">
        <v>15.69</v>
      </c>
      <c r="J490">
        <v>5.9225000000000003</v>
      </c>
    </row>
    <row r="491" spans="1:10" x14ac:dyDescent="0.3">
      <c r="A491" t="s">
        <v>462</v>
      </c>
      <c r="B491" t="s">
        <v>193</v>
      </c>
      <c r="C491" s="25">
        <v>45930</v>
      </c>
      <c r="D491">
        <v>803982</v>
      </c>
      <c r="E491" t="s">
        <v>471</v>
      </c>
      <c r="F491" t="s">
        <v>512</v>
      </c>
      <c r="G491">
        <v>28605.68</v>
      </c>
      <c r="H491">
        <v>1808</v>
      </c>
      <c r="I491">
        <v>15.83</v>
      </c>
      <c r="J491">
        <v>3.504</v>
      </c>
    </row>
    <row r="492" spans="1:10" x14ac:dyDescent="0.3">
      <c r="A492" t="s">
        <v>462</v>
      </c>
      <c r="B492" t="s">
        <v>193</v>
      </c>
      <c r="C492" s="25">
        <v>45961</v>
      </c>
      <c r="D492">
        <v>803982</v>
      </c>
      <c r="E492" t="s">
        <v>471</v>
      </c>
      <c r="F492" t="s">
        <v>512</v>
      </c>
      <c r="G492">
        <v>45480.63</v>
      </c>
      <c r="H492">
        <v>2395</v>
      </c>
      <c r="I492">
        <v>18.989999999999998</v>
      </c>
      <c r="J492">
        <v>4.6992000000000003</v>
      </c>
    </row>
    <row r="493" spans="1:10" x14ac:dyDescent="0.3">
      <c r="A493" t="s">
        <v>462</v>
      </c>
      <c r="B493" t="s">
        <v>193</v>
      </c>
      <c r="C493" s="25">
        <v>45991</v>
      </c>
      <c r="D493">
        <v>803982</v>
      </c>
      <c r="E493" t="s">
        <v>471</v>
      </c>
      <c r="F493" t="s">
        <v>512</v>
      </c>
      <c r="G493">
        <v>35012.32</v>
      </c>
      <c r="H493">
        <v>7519</v>
      </c>
      <c r="I493">
        <v>4.66</v>
      </c>
      <c r="J493">
        <v>4.4951999999999996</v>
      </c>
    </row>
    <row r="494" spans="1:10" x14ac:dyDescent="0.3">
      <c r="A494" t="s">
        <v>462</v>
      </c>
      <c r="B494" t="s">
        <v>193</v>
      </c>
      <c r="C494" s="25">
        <v>45657</v>
      </c>
      <c r="D494">
        <v>711668</v>
      </c>
      <c r="E494" t="s">
        <v>470</v>
      </c>
      <c r="F494" t="s">
        <v>511</v>
      </c>
      <c r="G494">
        <v>38147.31</v>
      </c>
      <c r="H494">
        <v>3923</v>
      </c>
      <c r="I494">
        <v>9.7200000000000006</v>
      </c>
      <c r="J494">
        <v>4.6315999999999997</v>
      </c>
    </row>
    <row r="495" spans="1:10" x14ac:dyDescent="0.3">
      <c r="A495" t="s">
        <v>462</v>
      </c>
      <c r="B495" t="s">
        <v>193</v>
      </c>
      <c r="C495" s="25">
        <v>45688</v>
      </c>
      <c r="D495">
        <v>711668</v>
      </c>
      <c r="E495" t="s">
        <v>470</v>
      </c>
      <c r="F495" t="s">
        <v>511</v>
      </c>
      <c r="G495">
        <v>45676.35</v>
      </c>
      <c r="H495">
        <v>5549</v>
      </c>
      <c r="I495">
        <v>8.23</v>
      </c>
      <c r="J495">
        <v>5.1035000000000004</v>
      </c>
    </row>
    <row r="496" spans="1:10" x14ac:dyDescent="0.3">
      <c r="A496" t="s">
        <v>462</v>
      </c>
      <c r="B496" t="s">
        <v>193</v>
      </c>
      <c r="C496" s="25">
        <v>45716</v>
      </c>
      <c r="D496">
        <v>711668</v>
      </c>
      <c r="E496" t="s">
        <v>470</v>
      </c>
      <c r="F496" t="s">
        <v>511</v>
      </c>
      <c r="G496">
        <v>54412.03</v>
      </c>
      <c r="H496">
        <v>4029</v>
      </c>
      <c r="I496">
        <v>13.5</v>
      </c>
      <c r="J496">
        <v>5.8080999999999996</v>
      </c>
    </row>
    <row r="497" spans="1:10" x14ac:dyDescent="0.3">
      <c r="A497" t="s">
        <v>462</v>
      </c>
      <c r="B497" t="s">
        <v>193</v>
      </c>
      <c r="C497" s="25">
        <v>45747</v>
      </c>
      <c r="D497">
        <v>711668</v>
      </c>
      <c r="E497" t="s">
        <v>470</v>
      </c>
      <c r="F497" t="s">
        <v>511</v>
      </c>
      <c r="G497">
        <v>36299.86</v>
      </c>
      <c r="H497">
        <v>3740</v>
      </c>
      <c r="I497">
        <v>9.7100000000000009</v>
      </c>
      <c r="J497">
        <v>4.3975</v>
      </c>
    </row>
    <row r="498" spans="1:10" x14ac:dyDescent="0.3">
      <c r="A498" t="s">
        <v>462</v>
      </c>
      <c r="B498" t="s">
        <v>193</v>
      </c>
      <c r="C498" s="25">
        <v>45777</v>
      </c>
      <c r="D498">
        <v>711668</v>
      </c>
      <c r="E498" t="s">
        <v>470</v>
      </c>
      <c r="F498" t="s">
        <v>511</v>
      </c>
      <c r="G498">
        <v>48068.61</v>
      </c>
      <c r="H498">
        <v>11506</v>
      </c>
      <c r="I498">
        <v>4.18</v>
      </c>
      <c r="J498">
        <v>5.4320000000000004</v>
      </c>
    </row>
    <row r="499" spans="1:10" x14ac:dyDescent="0.3">
      <c r="A499" t="s">
        <v>462</v>
      </c>
      <c r="B499" t="s">
        <v>193</v>
      </c>
      <c r="C499" s="25">
        <v>45808</v>
      </c>
      <c r="D499">
        <v>711668</v>
      </c>
      <c r="E499" t="s">
        <v>470</v>
      </c>
      <c r="F499" t="s">
        <v>511</v>
      </c>
      <c r="G499">
        <v>38478.94</v>
      </c>
      <c r="H499">
        <v>18448</v>
      </c>
      <c r="I499">
        <v>2.09</v>
      </c>
      <c r="J499">
        <v>4.2808999999999999</v>
      </c>
    </row>
    <row r="500" spans="1:10" x14ac:dyDescent="0.3">
      <c r="A500" t="s">
        <v>462</v>
      </c>
      <c r="B500" t="s">
        <v>193</v>
      </c>
      <c r="C500" s="25">
        <v>45838</v>
      </c>
      <c r="D500">
        <v>711668</v>
      </c>
      <c r="E500" t="s">
        <v>470</v>
      </c>
      <c r="F500" t="s">
        <v>511</v>
      </c>
      <c r="G500">
        <v>36398.07</v>
      </c>
      <c r="H500">
        <v>3632</v>
      </c>
      <c r="I500">
        <v>10.02</v>
      </c>
      <c r="J500">
        <v>4.2347000000000001</v>
      </c>
    </row>
    <row r="501" spans="1:10" x14ac:dyDescent="0.3">
      <c r="A501" t="s">
        <v>462</v>
      </c>
      <c r="B501" t="s">
        <v>193</v>
      </c>
      <c r="C501" s="25">
        <v>45869</v>
      </c>
      <c r="D501">
        <v>711668</v>
      </c>
      <c r="E501" t="s">
        <v>470</v>
      </c>
      <c r="F501" t="s">
        <v>511</v>
      </c>
      <c r="G501">
        <v>45012.31</v>
      </c>
      <c r="H501">
        <v>4306</v>
      </c>
      <c r="I501">
        <v>10.45</v>
      </c>
      <c r="J501">
        <v>5.6372999999999998</v>
      </c>
    </row>
    <row r="502" spans="1:10" x14ac:dyDescent="0.3">
      <c r="A502" t="s">
        <v>462</v>
      </c>
      <c r="B502" t="s">
        <v>193</v>
      </c>
      <c r="C502" s="25">
        <v>45900</v>
      </c>
      <c r="D502">
        <v>711668</v>
      </c>
      <c r="E502" t="s">
        <v>470</v>
      </c>
      <c r="F502" t="s">
        <v>511</v>
      </c>
      <c r="G502">
        <v>34410.46</v>
      </c>
      <c r="H502">
        <v>2998</v>
      </c>
      <c r="I502">
        <v>11.48</v>
      </c>
      <c r="J502">
        <v>3.9849000000000001</v>
      </c>
    </row>
    <row r="503" spans="1:10" x14ac:dyDescent="0.3">
      <c r="A503" t="s">
        <v>462</v>
      </c>
      <c r="B503" t="s">
        <v>193</v>
      </c>
      <c r="C503" s="25">
        <v>45930</v>
      </c>
      <c r="D503">
        <v>711668</v>
      </c>
      <c r="E503" t="s">
        <v>470</v>
      </c>
      <c r="F503" t="s">
        <v>511</v>
      </c>
      <c r="G503">
        <v>25375.25</v>
      </c>
      <c r="H503">
        <v>2381</v>
      </c>
      <c r="I503">
        <v>10.66</v>
      </c>
      <c r="J503">
        <v>3.1082999999999998</v>
      </c>
    </row>
    <row r="504" spans="1:10" x14ac:dyDescent="0.3">
      <c r="A504" t="s">
        <v>462</v>
      </c>
      <c r="B504" t="s">
        <v>193</v>
      </c>
      <c r="C504" s="25">
        <v>45961</v>
      </c>
      <c r="D504">
        <v>711668</v>
      </c>
      <c r="E504" t="s">
        <v>470</v>
      </c>
      <c r="F504" t="s">
        <v>511</v>
      </c>
      <c r="G504">
        <v>45077.05</v>
      </c>
      <c r="H504">
        <v>3091</v>
      </c>
      <c r="I504">
        <v>14.58</v>
      </c>
      <c r="J504">
        <v>4.6574999999999998</v>
      </c>
    </row>
    <row r="505" spans="1:10" x14ac:dyDescent="0.3">
      <c r="A505" t="s">
        <v>462</v>
      </c>
      <c r="B505" t="s">
        <v>193</v>
      </c>
      <c r="C505" s="25">
        <v>45991</v>
      </c>
      <c r="D505">
        <v>711668</v>
      </c>
      <c r="E505" t="s">
        <v>470</v>
      </c>
      <c r="F505" t="s">
        <v>511</v>
      </c>
      <c r="G505">
        <v>41238.39</v>
      </c>
      <c r="H505">
        <v>35525</v>
      </c>
      <c r="I505">
        <v>1.1599999999999999</v>
      </c>
      <c r="J505">
        <v>5.2946</v>
      </c>
    </row>
    <row r="506" spans="1:10" x14ac:dyDescent="0.3">
      <c r="A506" t="s">
        <v>462</v>
      </c>
      <c r="B506" t="s">
        <v>193</v>
      </c>
      <c r="C506" s="25">
        <v>45657</v>
      </c>
      <c r="D506">
        <v>152453</v>
      </c>
      <c r="E506" t="s">
        <v>472</v>
      </c>
      <c r="F506" t="s">
        <v>510</v>
      </c>
      <c r="G506">
        <v>44642.49</v>
      </c>
      <c r="H506">
        <v>15271</v>
      </c>
      <c r="I506">
        <v>2.92</v>
      </c>
      <c r="J506">
        <v>5.4202000000000004</v>
      </c>
    </row>
    <row r="507" spans="1:10" x14ac:dyDescent="0.3">
      <c r="A507" t="s">
        <v>462</v>
      </c>
      <c r="B507" t="s">
        <v>193</v>
      </c>
      <c r="C507" s="25">
        <v>45688</v>
      </c>
      <c r="D507">
        <v>152453</v>
      </c>
      <c r="E507" t="s">
        <v>472</v>
      </c>
      <c r="F507" t="s">
        <v>510</v>
      </c>
      <c r="G507">
        <v>30473.86</v>
      </c>
      <c r="H507">
        <v>6855</v>
      </c>
      <c r="I507">
        <v>4.45</v>
      </c>
      <c r="J507">
        <v>3.4049</v>
      </c>
    </row>
    <row r="508" spans="1:10" x14ac:dyDescent="0.3">
      <c r="A508" t="s">
        <v>462</v>
      </c>
      <c r="B508" t="s">
        <v>193</v>
      </c>
      <c r="C508" s="25">
        <v>45716</v>
      </c>
      <c r="D508">
        <v>152453</v>
      </c>
      <c r="E508" t="s">
        <v>472</v>
      </c>
      <c r="F508" t="s">
        <v>510</v>
      </c>
      <c r="G508">
        <v>44362.45</v>
      </c>
      <c r="H508">
        <v>2798</v>
      </c>
      <c r="I508">
        <v>15.86</v>
      </c>
      <c r="J508">
        <v>4.7354000000000003</v>
      </c>
    </row>
    <row r="509" spans="1:10" x14ac:dyDescent="0.3">
      <c r="A509" t="s">
        <v>462</v>
      </c>
      <c r="B509" t="s">
        <v>193</v>
      </c>
      <c r="C509" s="25">
        <v>45747</v>
      </c>
      <c r="D509">
        <v>152453</v>
      </c>
      <c r="E509" t="s">
        <v>472</v>
      </c>
      <c r="F509" t="s">
        <v>510</v>
      </c>
      <c r="G509">
        <v>36562.9</v>
      </c>
      <c r="H509">
        <v>2063</v>
      </c>
      <c r="I509">
        <v>17.72</v>
      </c>
      <c r="J509">
        <v>4.4292999999999996</v>
      </c>
    </row>
    <row r="510" spans="1:10" x14ac:dyDescent="0.3">
      <c r="A510" t="s">
        <v>462</v>
      </c>
      <c r="B510" t="s">
        <v>193</v>
      </c>
      <c r="C510" s="25">
        <v>45777</v>
      </c>
      <c r="D510">
        <v>152453</v>
      </c>
      <c r="E510" t="s">
        <v>472</v>
      </c>
      <c r="F510" t="s">
        <v>510</v>
      </c>
      <c r="G510">
        <v>43583.96</v>
      </c>
      <c r="H510">
        <v>22445</v>
      </c>
      <c r="I510">
        <v>1.94</v>
      </c>
      <c r="J510">
        <v>4.9253</v>
      </c>
    </row>
    <row r="511" spans="1:10" x14ac:dyDescent="0.3">
      <c r="A511" t="s">
        <v>462</v>
      </c>
      <c r="B511" t="s">
        <v>193</v>
      </c>
      <c r="C511" s="25">
        <v>45808</v>
      </c>
      <c r="D511">
        <v>152453</v>
      </c>
      <c r="E511" t="s">
        <v>472</v>
      </c>
      <c r="F511" t="s">
        <v>510</v>
      </c>
      <c r="G511">
        <v>44379.91</v>
      </c>
      <c r="H511">
        <v>2712</v>
      </c>
      <c r="I511">
        <v>16.36</v>
      </c>
      <c r="J511">
        <v>4.9375</v>
      </c>
    </row>
    <row r="512" spans="1:10" x14ac:dyDescent="0.3">
      <c r="A512" t="s">
        <v>462</v>
      </c>
      <c r="B512" t="s">
        <v>193</v>
      </c>
      <c r="C512" s="25">
        <v>45838</v>
      </c>
      <c r="D512">
        <v>152453</v>
      </c>
      <c r="E512" t="s">
        <v>472</v>
      </c>
      <c r="F512" t="s">
        <v>510</v>
      </c>
      <c r="G512">
        <v>41154.78</v>
      </c>
      <c r="H512">
        <v>2331</v>
      </c>
      <c r="I512">
        <v>17.66</v>
      </c>
      <c r="J512">
        <v>4.7881</v>
      </c>
    </row>
    <row r="513" spans="1:10" x14ac:dyDescent="0.3">
      <c r="A513" t="s">
        <v>462</v>
      </c>
      <c r="B513" t="s">
        <v>193</v>
      </c>
      <c r="C513" s="25">
        <v>45869</v>
      </c>
      <c r="D513">
        <v>152453</v>
      </c>
      <c r="E513" t="s">
        <v>472</v>
      </c>
      <c r="F513" t="s">
        <v>510</v>
      </c>
      <c r="G513">
        <v>35736.9</v>
      </c>
      <c r="H513">
        <v>5663</v>
      </c>
      <c r="I513">
        <v>6.31</v>
      </c>
      <c r="J513">
        <v>4.4756</v>
      </c>
    </row>
    <row r="514" spans="1:10" x14ac:dyDescent="0.3">
      <c r="A514" t="s">
        <v>462</v>
      </c>
      <c r="B514" t="s">
        <v>193</v>
      </c>
      <c r="C514" s="25">
        <v>45900</v>
      </c>
      <c r="D514">
        <v>152453</v>
      </c>
      <c r="E514" t="s">
        <v>472</v>
      </c>
      <c r="F514" t="s">
        <v>510</v>
      </c>
      <c r="G514">
        <v>37278.769999999997</v>
      </c>
      <c r="H514">
        <v>2126</v>
      </c>
      <c r="I514">
        <v>17.54</v>
      </c>
      <c r="J514">
        <v>4.3170999999999999</v>
      </c>
    </row>
    <row r="515" spans="1:10" x14ac:dyDescent="0.3">
      <c r="A515" t="s">
        <v>462</v>
      </c>
      <c r="B515" t="s">
        <v>193</v>
      </c>
      <c r="C515" s="25">
        <v>45930</v>
      </c>
      <c r="D515">
        <v>152453</v>
      </c>
      <c r="E515" t="s">
        <v>472</v>
      </c>
      <c r="F515" t="s">
        <v>510</v>
      </c>
      <c r="G515">
        <v>38450.71</v>
      </c>
      <c r="H515">
        <v>9449</v>
      </c>
      <c r="I515">
        <v>4.07</v>
      </c>
      <c r="J515">
        <v>4.71</v>
      </c>
    </row>
    <row r="516" spans="1:10" x14ac:dyDescent="0.3">
      <c r="A516" t="s">
        <v>462</v>
      </c>
      <c r="B516" t="s">
        <v>193</v>
      </c>
      <c r="C516" s="25">
        <v>45961</v>
      </c>
      <c r="D516">
        <v>152453</v>
      </c>
      <c r="E516" t="s">
        <v>472</v>
      </c>
      <c r="F516" t="s">
        <v>510</v>
      </c>
      <c r="G516">
        <v>41065.06</v>
      </c>
      <c r="H516">
        <v>2236</v>
      </c>
      <c r="I516">
        <v>18.37</v>
      </c>
      <c r="J516">
        <v>4.2428999999999997</v>
      </c>
    </row>
    <row r="517" spans="1:10" x14ac:dyDescent="0.3">
      <c r="A517" t="s">
        <v>462</v>
      </c>
      <c r="B517" t="s">
        <v>193</v>
      </c>
      <c r="C517" s="25">
        <v>45991</v>
      </c>
      <c r="D517">
        <v>152453</v>
      </c>
      <c r="E517" t="s">
        <v>472</v>
      </c>
      <c r="F517" t="s">
        <v>510</v>
      </c>
      <c r="G517">
        <v>34062.04</v>
      </c>
      <c r="H517">
        <v>11373</v>
      </c>
      <c r="I517">
        <v>3</v>
      </c>
      <c r="J517">
        <v>4.3731999999999998</v>
      </c>
    </row>
    <row r="518" spans="1:10" x14ac:dyDescent="0.3">
      <c r="A518" t="s">
        <v>462</v>
      </c>
      <c r="B518" t="s">
        <v>193</v>
      </c>
      <c r="C518" s="25">
        <v>45657</v>
      </c>
      <c r="D518">
        <v>546685</v>
      </c>
      <c r="E518" t="s">
        <v>469</v>
      </c>
      <c r="F518" t="s">
        <v>509</v>
      </c>
      <c r="G518">
        <v>41542.26</v>
      </c>
      <c r="H518">
        <v>3113</v>
      </c>
      <c r="I518">
        <v>13.34</v>
      </c>
      <c r="J518">
        <v>5.0438000000000001</v>
      </c>
    </row>
    <row r="519" spans="1:10" x14ac:dyDescent="0.3">
      <c r="A519" t="s">
        <v>462</v>
      </c>
      <c r="B519" t="s">
        <v>193</v>
      </c>
      <c r="C519" s="25">
        <v>45688</v>
      </c>
      <c r="D519">
        <v>546685</v>
      </c>
      <c r="E519" t="s">
        <v>469</v>
      </c>
      <c r="F519" t="s">
        <v>509</v>
      </c>
      <c r="G519">
        <v>38049.69</v>
      </c>
      <c r="H519">
        <v>7387</v>
      </c>
      <c r="I519">
        <v>5.15</v>
      </c>
      <c r="J519">
        <v>4.2512999999999996</v>
      </c>
    </row>
    <row r="520" spans="1:10" x14ac:dyDescent="0.3">
      <c r="A520" t="s">
        <v>462</v>
      </c>
      <c r="B520" t="s">
        <v>193</v>
      </c>
      <c r="C520" s="25">
        <v>45716</v>
      </c>
      <c r="D520">
        <v>546685</v>
      </c>
      <c r="E520" t="s">
        <v>469</v>
      </c>
      <c r="F520" t="s">
        <v>509</v>
      </c>
      <c r="G520">
        <v>39942.83</v>
      </c>
      <c r="H520">
        <v>2720</v>
      </c>
      <c r="I520">
        <v>14.68</v>
      </c>
      <c r="J520">
        <v>4.2636000000000003</v>
      </c>
    </row>
    <row r="521" spans="1:10" x14ac:dyDescent="0.3">
      <c r="A521" t="s">
        <v>462</v>
      </c>
      <c r="B521" t="s">
        <v>193</v>
      </c>
      <c r="C521" s="25">
        <v>45747</v>
      </c>
      <c r="D521">
        <v>546685</v>
      </c>
      <c r="E521" t="s">
        <v>469</v>
      </c>
      <c r="F521" t="s">
        <v>509</v>
      </c>
      <c r="G521">
        <v>44437.26</v>
      </c>
      <c r="H521">
        <v>40265</v>
      </c>
      <c r="I521">
        <v>1.1000000000000001</v>
      </c>
      <c r="J521">
        <v>5.3833000000000002</v>
      </c>
    </row>
    <row r="522" spans="1:10" x14ac:dyDescent="0.3">
      <c r="A522" t="s">
        <v>462</v>
      </c>
      <c r="B522" t="s">
        <v>193</v>
      </c>
      <c r="C522" s="25">
        <v>45777</v>
      </c>
      <c r="D522">
        <v>546685</v>
      </c>
      <c r="E522" t="s">
        <v>469</v>
      </c>
      <c r="F522" t="s">
        <v>509</v>
      </c>
      <c r="G522">
        <v>34417.589999999997</v>
      </c>
      <c r="H522">
        <v>16360</v>
      </c>
      <c r="I522">
        <v>2.1</v>
      </c>
      <c r="J522">
        <v>3.8894000000000002</v>
      </c>
    </row>
    <row r="523" spans="1:10" x14ac:dyDescent="0.3">
      <c r="A523" t="s">
        <v>462</v>
      </c>
      <c r="B523" t="s">
        <v>193</v>
      </c>
      <c r="C523" s="25">
        <v>45808</v>
      </c>
      <c r="D523">
        <v>546685</v>
      </c>
      <c r="E523" t="s">
        <v>469</v>
      </c>
      <c r="F523" t="s">
        <v>509</v>
      </c>
      <c r="G523">
        <v>38758.5</v>
      </c>
      <c r="H523">
        <v>4421</v>
      </c>
      <c r="I523">
        <v>8.77</v>
      </c>
      <c r="J523">
        <v>4.3120000000000003</v>
      </c>
    </row>
    <row r="524" spans="1:10" x14ac:dyDescent="0.3">
      <c r="A524" t="s">
        <v>462</v>
      </c>
      <c r="B524" t="s">
        <v>193</v>
      </c>
      <c r="C524" s="25">
        <v>45838</v>
      </c>
      <c r="D524">
        <v>546685</v>
      </c>
      <c r="E524" t="s">
        <v>469</v>
      </c>
      <c r="F524" t="s">
        <v>509</v>
      </c>
      <c r="G524">
        <v>41872.93</v>
      </c>
      <c r="H524">
        <v>3584</v>
      </c>
      <c r="I524">
        <v>11.68</v>
      </c>
      <c r="J524">
        <v>4.8715999999999999</v>
      </c>
    </row>
    <row r="525" spans="1:10" x14ac:dyDescent="0.3">
      <c r="A525" t="s">
        <v>462</v>
      </c>
      <c r="B525" t="s">
        <v>193</v>
      </c>
      <c r="C525" s="25">
        <v>45869</v>
      </c>
      <c r="D525">
        <v>546685</v>
      </c>
      <c r="E525" t="s">
        <v>469</v>
      </c>
      <c r="F525" t="s">
        <v>509</v>
      </c>
      <c r="G525">
        <v>40065.85</v>
      </c>
      <c r="H525">
        <v>3969</v>
      </c>
      <c r="I525">
        <v>10.1</v>
      </c>
      <c r="J525">
        <v>5.0178000000000003</v>
      </c>
    </row>
    <row r="526" spans="1:10" x14ac:dyDescent="0.3">
      <c r="A526" t="s">
        <v>462</v>
      </c>
      <c r="B526" t="s">
        <v>193</v>
      </c>
      <c r="C526" s="25">
        <v>45900</v>
      </c>
      <c r="D526">
        <v>546685</v>
      </c>
      <c r="E526" t="s">
        <v>469</v>
      </c>
      <c r="F526" t="s">
        <v>509</v>
      </c>
      <c r="G526">
        <v>40454.120000000003</v>
      </c>
      <c r="H526">
        <v>5445</v>
      </c>
      <c r="I526">
        <v>7.43</v>
      </c>
      <c r="J526">
        <v>4.6848000000000001</v>
      </c>
    </row>
    <row r="527" spans="1:10" x14ac:dyDescent="0.3">
      <c r="A527" t="s">
        <v>462</v>
      </c>
      <c r="B527" t="s">
        <v>193</v>
      </c>
      <c r="C527" s="25">
        <v>45930</v>
      </c>
      <c r="D527">
        <v>546685</v>
      </c>
      <c r="E527" t="s">
        <v>469</v>
      </c>
      <c r="F527" t="s">
        <v>509</v>
      </c>
      <c r="G527">
        <v>42751.65</v>
      </c>
      <c r="H527">
        <v>6631</v>
      </c>
      <c r="I527">
        <v>6.45</v>
      </c>
      <c r="J527">
        <v>5.2367999999999997</v>
      </c>
    </row>
    <row r="528" spans="1:10" x14ac:dyDescent="0.3">
      <c r="A528" t="s">
        <v>462</v>
      </c>
      <c r="B528" t="s">
        <v>193</v>
      </c>
      <c r="C528" s="25">
        <v>45961</v>
      </c>
      <c r="D528">
        <v>546685</v>
      </c>
      <c r="E528" t="s">
        <v>469</v>
      </c>
      <c r="F528" t="s">
        <v>509</v>
      </c>
      <c r="G528">
        <v>52820.58</v>
      </c>
      <c r="H528">
        <v>2814</v>
      </c>
      <c r="I528">
        <v>18.77</v>
      </c>
      <c r="J528">
        <v>5.4574999999999996</v>
      </c>
    </row>
    <row r="529" spans="1:10" x14ac:dyDescent="0.3">
      <c r="A529" t="s">
        <v>462</v>
      </c>
      <c r="B529" t="s">
        <v>193</v>
      </c>
      <c r="C529" s="25">
        <v>45991</v>
      </c>
      <c r="D529">
        <v>546685</v>
      </c>
      <c r="E529" t="s">
        <v>469</v>
      </c>
      <c r="F529" t="s">
        <v>509</v>
      </c>
      <c r="G529">
        <v>30765.22</v>
      </c>
      <c r="H529">
        <v>2564</v>
      </c>
      <c r="I529">
        <v>12</v>
      </c>
      <c r="J529">
        <v>3.9499</v>
      </c>
    </row>
    <row r="530" spans="1:10" x14ac:dyDescent="0.3">
      <c r="A530" t="s">
        <v>462</v>
      </c>
      <c r="B530" t="s">
        <v>193</v>
      </c>
      <c r="C530" s="25">
        <v>45657</v>
      </c>
      <c r="D530">
        <v>627407</v>
      </c>
      <c r="E530" t="s">
        <v>469</v>
      </c>
      <c r="F530" t="s">
        <v>508</v>
      </c>
      <c r="G530">
        <v>32171.07</v>
      </c>
      <c r="H530">
        <v>1917</v>
      </c>
      <c r="I530">
        <v>16.78</v>
      </c>
      <c r="J530">
        <v>3.9060000000000001</v>
      </c>
    </row>
    <row r="531" spans="1:10" x14ac:dyDescent="0.3">
      <c r="A531" t="s">
        <v>462</v>
      </c>
      <c r="B531" t="s">
        <v>193</v>
      </c>
      <c r="C531" s="25">
        <v>45688</v>
      </c>
      <c r="D531">
        <v>627407</v>
      </c>
      <c r="E531" t="s">
        <v>469</v>
      </c>
      <c r="F531" t="s">
        <v>508</v>
      </c>
      <c r="G531">
        <v>35248.050000000003</v>
      </c>
      <c r="H531">
        <v>3483</v>
      </c>
      <c r="I531">
        <v>10.119999999999999</v>
      </c>
      <c r="J531">
        <v>3.9382999999999999</v>
      </c>
    </row>
    <row r="532" spans="1:10" x14ac:dyDescent="0.3">
      <c r="A532" t="s">
        <v>462</v>
      </c>
      <c r="B532" t="s">
        <v>193</v>
      </c>
      <c r="C532" s="25">
        <v>45716</v>
      </c>
      <c r="D532">
        <v>627407</v>
      </c>
      <c r="E532" t="s">
        <v>469</v>
      </c>
      <c r="F532" t="s">
        <v>508</v>
      </c>
      <c r="G532">
        <v>36878.71</v>
      </c>
      <c r="H532">
        <v>5453</v>
      </c>
      <c r="I532">
        <v>6.76</v>
      </c>
      <c r="J532">
        <v>3.9365999999999999</v>
      </c>
    </row>
    <row r="533" spans="1:10" x14ac:dyDescent="0.3">
      <c r="A533" t="s">
        <v>462</v>
      </c>
      <c r="B533" t="s">
        <v>193</v>
      </c>
      <c r="C533" s="25">
        <v>45747</v>
      </c>
      <c r="D533">
        <v>627407</v>
      </c>
      <c r="E533" t="s">
        <v>469</v>
      </c>
      <c r="F533" t="s">
        <v>508</v>
      </c>
      <c r="G533">
        <v>31447.61</v>
      </c>
      <c r="H533">
        <v>3412</v>
      </c>
      <c r="I533">
        <v>9.2200000000000006</v>
      </c>
      <c r="J533">
        <v>3.8096999999999999</v>
      </c>
    </row>
    <row r="534" spans="1:10" x14ac:dyDescent="0.3">
      <c r="A534" t="s">
        <v>462</v>
      </c>
      <c r="B534" t="s">
        <v>193</v>
      </c>
      <c r="C534" s="25">
        <v>45777</v>
      </c>
      <c r="D534">
        <v>627407</v>
      </c>
      <c r="E534" t="s">
        <v>469</v>
      </c>
      <c r="F534" t="s">
        <v>508</v>
      </c>
      <c r="G534">
        <v>31715.21</v>
      </c>
      <c r="H534">
        <v>1721</v>
      </c>
      <c r="I534">
        <v>18.43</v>
      </c>
      <c r="J534">
        <v>3.5840000000000001</v>
      </c>
    </row>
    <row r="535" spans="1:10" x14ac:dyDescent="0.3">
      <c r="A535" t="s">
        <v>462</v>
      </c>
      <c r="B535" t="s">
        <v>193</v>
      </c>
      <c r="C535" s="25">
        <v>45808</v>
      </c>
      <c r="D535">
        <v>627407</v>
      </c>
      <c r="E535" t="s">
        <v>469</v>
      </c>
      <c r="F535" t="s">
        <v>508</v>
      </c>
      <c r="G535">
        <v>39678.83</v>
      </c>
      <c r="H535">
        <v>3510</v>
      </c>
      <c r="I535">
        <v>11.31</v>
      </c>
      <c r="J535">
        <v>4.4143999999999997</v>
      </c>
    </row>
    <row r="536" spans="1:10" x14ac:dyDescent="0.3">
      <c r="A536" t="s">
        <v>462</v>
      </c>
      <c r="B536" t="s">
        <v>193</v>
      </c>
      <c r="C536" s="25">
        <v>45838</v>
      </c>
      <c r="D536">
        <v>627407</v>
      </c>
      <c r="E536" t="s">
        <v>469</v>
      </c>
      <c r="F536" t="s">
        <v>508</v>
      </c>
      <c r="G536">
        <v>25941.84</v>
      </c>
      <c r="H536">
        <v>10366</v>
      </c>
      <c r="I536">
        <v>2.5</v>
      </c>
      <c r="J536">
        <v>3.0182000000000002</v>
      </c>
    </row>
    <row r="537" spans="1:10" x14ac:dyDescent="0.3">
      <c r="A537" t="s">
        <v>462</v>
      </c>
      <c r="B537" t="s">
        <v>193</v>
      </c>
      <c r="C537" s="25">
        <v>45869</v>
      </c>
      <c r="D537">
        <v>627407</v>
      </c>
      <c r="E537" t="s">
        <v>469</v>
      </c>
      <c r="F537" t="s">
        <v>508</v>
      </c>
      <c r="G537">
        <v>36800.11</v>
      </c>
      <c r="H537">
        <v>9604</v>
      </c>
      <c r="I537">
        <v>3.83</v>
      </c>
      <c r="J537">
        <v>4.6087999999999996</v>
      </c>
    </row>
    <row r="538" spans="1:10" x14ac:dyDescent="0.3">
      <c r="A538" t="s">
        <v>462</v>
      </c>
      <c r="B538" t="s">
        <v>193</v>
      </c>
      <c r="C538" s="25">
        <v>45900</v>
      </c>
      <c r="D538">
        <v>627407</v>
      </c>
      <c r="E538" t="s">
        <v>469</v>
      </c>
      <c r="F538" t="s">
        <v>508</v>
      </c>
      <c r="G538">
        <v>47284.69</v>
      </c>
      <c r="H538">
        <v>38519</v>
      </c>
      <c r="I538">
        <v>1.23</v>
      </c>
      <c r="J538">
        <v>5.4757999999999996</v>
      </c>
    </row>
    <row r="539" spans="1:10" x14ac:dyDescent="0.3">
      <c r="A539" t="s">
        <v>462</v>
      </c>
      <c r="B539" t="s">
        <v>193</v>
      </c>
      <c r="C539" s="25">
        <v>45930</v>
      </c>
      <c r="D539">
        <v>627407</v>
      </c>
      <c r="E539" t="s">
        <v>469</v>
      </c>
      <c r="F539" t="s">
        <v>508</v>
      </c>
      <c r="G539">
        <v>28687.040000000001</v>
      </c>
      <c r="H539">
        <v>2833</v>
      </c>
      <c r="I539">
        <v>10.130000000000001</v>
      </c>
      <c r="J539">
        <v>3.5139999999999998</v>
      </c>
    </row>
    <row r="540" spans="1:10" x14ac:dyDescent="0.3">
      <c r="A540" t="s">
        <v>462</v>
      </c>
      <c r="B540" t="s">
        <v>193</v>
      </c>
      <c r="C540" s="25">
        <v>45961</v>
      </c>
      <c r="D540">
        <v>627407</v>
      </c>
      <c r="E540" t="s">
        <v>469</v>
      </c>
      <c r="F540" t="s">
        <v>508</v>
      </c>
      <c r="G540">
        <v>35794.28</v>
      </c>
      <c r="H540">
        <v>1967</v>
      </c>
      <c r="I540">
        <v>18.2</v>
      </c>
      <c r="J540">
        <v>3.6983000000000001</v>
      </c>
    </row>
    <row r="541" spans="1:10" x14ac:dyDescent="0.3">
      <c r="A541" t="s">
        <v>462</v>
      </c>
      <c r="B541" t="s">
        <v>193</v>
      </c>
      <c r="C541" s="25">
        <v>45991</v>
      </c>
      <c r="D541">
        <v>627407</v>
      </c>
      <c r="E541" t="s">
        <v>469</v>
      </c>
      <c r="F541" t="s">
        <v>508</v>
      </c>
      <c r="G541">
        <v>32930.089999999997</v>
      </c>
      <c r="H541">
        <v>2007</v>
      </c>
      <c r="I541">
        <v>16.41</v>
      </c>
      <c r="J541">
        <v>4.2279</v>
      </c>
    </row>
    <row r="542" spans="1:10" x14ac:dyDescent="0.3">
      <c r="A542" t="s">
        <v>462</v>
      </c>
      <c r="B542" t="s">
        <v>193</v>
      </c>
      <c r="C542" s="25">
        <v>45657</v>
      </c>
      <c r="D542">
        <v>696585</v>
      </c>
      <c r="E542" t="s">
        <v>472</v>
      </c>
      <c r="F542" t="s">
        <v>507</v>
      </c>
      <c r="G542">
        <v>40109.67</v>
      </c>
      <c r="H542">
        <v>3608</v>
      </c>
      <c r="I542">
        <v>11.12</v>
      </c>
      <c r="J542">
        <v>4.8697999999999997</v>
      </c>
    </row>
    <row r="543" spans="1:10" x14ac:dyDescent="0.3">
      <c r="A543" t="s">
        <v>462</v>
      </c>
      <c r="B543" t="s">
        <v>193</v>
      </c>
      <c r="C543" s="25">
        <v>45688</v>
      </c>
      <c r="D543">
        <v>696585</v>
      </c>
      <c r="E543" t="s">
        <v>472</v>
      </c>
      <c r="F543" t="s">
        <v>507</v>
      </c>
      <c r="G543">
        <v>32878.339999999997</v>
      </c>
      <c r="H543">
        <v>3538</v>
      </c>
      <c r="I543">
        <v>9.2899999999999991</v>
      </c>
      <c r="J543">
        <v>3.6735000000000002</v>
      </c>
    </row>
    <row r="544" spans="1:10" x14ac:dyDescent="0.3">
      <c r="A544" t="s">
        <v>462</v>
      </c>
      <c r="B544" t="s">
        <v>193</v>
      </c>
      <c r="C544" s="25">
        <v>45716</v>
      </c>
      <c r="D544">
        <v>696585</v>
      </c>
      <c r="E544" t="s">
        <v>472</v>
      </c>
      <c r="F544" t="s">
        <v>507</v>
      </c>
      <c r="G544">
        <v>39651.99</v>
      </c>
      <c r="H544">
        <v>4612</v>
      </c>
      <c r="I544">
        <v>8.6</v>
      </c>
      <c r="J544">
        <v>4.2325999999999997</v>
      </c>
    </row>
    <row r="545" spans="1:10" x14ac:dyDescent="0.3">
      <c r="A545" t="s">
        <v>462</v>
      </c>
      <c r="B545" t="s">
        <v>193</v>
      </c>
      <c r="C545" s="25">
        <v>45747</v>
      </c>
      <c r="D545">
        <v>696585</v>
      </c>
      <c r="E545" t="s">
        <v>472</v>
      </c>
      <c r="F545" t="s">
        <v>507</v>
      </c>
      <c r="G545">
        <v>29676.89</v>
      </c>
      <c r="H545">
        <v>3710</v>
      </c>
      <c r="I545">
        <v>8</v>
      </c>
      <c r="J545">
        <v>3.5952000000000002</v>
      </c>
    </row>
    <row r="546" spans="1:10" x14ac:dyDescent="0.3">
      <c r="A546" t="s">
        <v>462</v>
      </c>
      <c r="B546" t="s">
        <v>193</v>
      </c>
      <c r="C546" s="25">
        <v>45777</v>
      </c>
      <c r="D546">
        <v>696585</v>
      </c>
      <c r="E546" t="s">
        <v>472</v>
      </c>
      <c r="F546" t="s">
        <v>507</v>
      </c>
      <c r="G546">
        <v>42992.72</v>
      </c>
      <c r="H546">
        <v>5438</v>
      </c>
      <c r="I546">
        <v>7.91</v>
      </c>
      <c r="J546">
        <v>4.8583999999999996</v>
      </c>
    </row>
    <row r="547" spans="1:10" x14ac:dyDescent="0.3">
      <c r="A547" t="s">
        <v>462</v>
      </c>
      <c r="B547" t="s">
        <v>193</v>
      </c>
      <c r="C547" s="25">
        <v>45808</v>
      </c>
      <c r="D547">
        <v>696585</v>
      </c>
      <c r="E547" t="s">
        <v>472</v>
      </c>
      <c r="F547" t="s">
        <v>507</v>
      </c>
      <c r="G547">
        <v>37101.78</v>
      </c>
      <c r="H547">
        <v>1861</v>
      </c>
      <c r="I547">
        <v>19.93</v>
      </c>
      <c r="J547">
        <v>4.1276999999999999</v>
      </c>
    </row>
    <row r="548" spans="1:10" x14ac:dyDescent="0.3">
      <c r="A548" t="s">
        <v>462</v>
      </c>
      <c r="B548" t="s">
        <v>193</v>
      </c>
      <c r="C548" s="25">
        <v>45838</v>
      </c>
      <c r="D548">
        <v>696585</v>
      </c>
      <c r="E548" t="s">
        <v>472</v>
      </c>
      <c r="F548" t="s">
        <v>507</v>
      </c>
      <c r="G548">
        <v>33263.99</v>
      </c>
      <c r="H548">
        <v>5215</v>
      </c>
      <c r="I548">
        <v>6.38</v>
      </c>
      <c r="J548">
        <v>3.87</v>
      </c>
    </row>
    <row r="549" spans="1:10" x14ac:dyDescent="0.3">
      <c r="A549" t="s">
        <v>462</v>
      </c>
      <c r="B549" t="s">
        <v>193</v>
      </c>
      <c r="C549" s="25">
        <v>45869</v>
      </c>
      <c r="D549">
        <v>696585</v>
      </c>
      <c r="E549" t="s">
        <v>472</v>
      </c>
      <c r="F549" t="s">
        <v>507</v>
      </c>
      <c r="G549">
        <v>31263.1</v>
      </c>
      <c r="H549">
        <v>1599</v>
      </c>
      <c r="I549">
        <v>19.55</v>
      </c>
      <c r="J549">
        <v>3.9152999999999998</v>
      </c>
    </row>
    <row r="550" spans="1:10" x14ac:dyDescent="0.3">
      <c r="A550" t="s">
        <v>462</v>
      </c>
      <c r="B550" t="s">
        <v>193</v>
      </c>
      <c r="C550" s="25">
        <v>45900</v>
      </c>
      <c r="D550">
        <v>696585</v>
      </c>
      <c r="E550" t="s">
        <v>472</v>
      </c>
      <c r="F550" t="s">
        <v>507</v>
      </c>
      <c r="G550">
        <v>42689.83</v>
      </c>
      <c r="H550">
        <v>2608</v>
      </c>
      <c r="I550">
        <v>16.37</v>
      </c>
      <c r="J550">
        <v>4.9436999999999998</v>
      </c>
    </row>
    <row r="551" spans="1:10" x14ac:dyDescent="0.3">
      <c r="A551" t="s">
        <v>462</v>
      </c>
      <c r="B551" t="s">
        <v>193</v>
      </c>
      <c r="C551" s="25">
        <v>45930</v>
      </c>
      <c r="D551">
        <v>696585</v>
      </c>
      <c r="E551" t="s">
        <v>472</v>
      </c>
      <c r="F551" t="s">
        <v>507</v>
      </c>
      <c r="G551">
        <v>40858.65</v>
      </c>
      <c r="H551">
        <v>15507</v>
      </c>
      <c r="I551">
        <v>2.63</v>
      </c>
      <c r="J551">
        <v>5.0049000000000001</v>
      </c>
    </row>
    <row r="552" spans="1:10" x14ac:dyDescent="0.3">
      <c r="A552" t="s">
        <v>462</v>
      </c>
      <c r="B552" t="s">
        <v>193</v>
      </c>
      <c r="C552" s="25">
        <v>45961</v>
      </c>
      <c r="D552">
        <v>696585</v>
      </c>
      <c r="E552" t="s">
        <v>472</v>
      </c>
      <c r="F552" t="s">
        <v>507</v>
      </c>
      <c r="G552">
        <v>43447.71</v>
      </c>
      <c r="H552">
        <v>12413</v>
      </c>
      <c r="I552">
        <v>3.5</v>
      </c>
      <c r="J552">
        <v>4.4890999999999996</v>
      </c>
    </row>
    <row r="553" spans="1:10" x14ac:dyDescent="0.3">
      <c r="A553" t="s">
        <v>462</v>
      </c>
      <c r="B553" t="s">
        <v>193</v>
      </c>
      <c r="C553" s="25">
        <v>45991</v>
      </c>
      <c r="D553">
        <v>696585</v>
      </c>
      <c r="E553" t="s">
        <v>472</v>
      </c>
      <c r="F553" t="s">
        <v>507</v>
      </c>
      <c r="G553">
        <v>28340.51</v>
      </c>
      <c r="H553">
        <v>1491</v>
      </c>
      <c r="I553">
        <v>19</v>
      </c>
      <c r="J553">
        <v>3.6385999999999998</v>
      </c>
    </row>
    <row r="554" spans="1:10" x14ac:dyDescent="0.3">
      <c r="A554" t="s">
        <v>462</v>
      </c>
      <c r="B554" t="s">
        <v>193</v>
      </c>
      <c r="C554" s="25">
        <v>45657</v>
      </c>
      <c r="D554">
        <v>113714</v>
      </c>
      <c r="E554" t="s">
        <v>470</v>
      </c>
      <c r="F554" t="s">
        <v>506</v>
      </c>
      <c r="G554">
        <v>33026.92</v>
      </c>
      <c r="H554">
        <v>2074</v>
      </c>
      <c r="I554">
        <v>15.92</v>
      </c>
      <c r="J554">
        <v>4.0099</v>
      </c>
    </row>
    <row r="555" spans="1:10" x14ac:dyDescent="0.3">
      <c r="A555" t="s">
        <v>462</v>
      </c>
      <c r="B555" t="s">
        <v>193</v>
      </c>
      <c r="C555" s="25">
        <v>45688</v>
      </c>
      <c r="D555">
        <v>113714</v>
      </c>
      <c r="E555" t="s">
        <v>470</v>
      </c>
      <c r="F555" t="s">
        <v>506</v>
      </c>
      <c r="G555">
        <v>28671.68</v>
      </c>
      <c r="H555">
        <v>5430</v>
      </c>
      <c r="I555">
        <v>5.28</v>
      </c>
      <c r="J555">
        <v>3.2035</v>
      </c>
    </row>
    <row r="556" spans="1:10" x14ac:dyDescent="0.3">
      <c r="A556" t="s">
        <v>462</v>
      </c>
      <c r="B556" t="s">
        <v>193</v>
      </c>
      <c r="C556" s="25">
        <v>45716</v>
      </c>
      <c r="D556">
        <v>113714</v>
      </c>
      <c r="E556" t="s">
        <v>470</v>
      </c>
      <c r="F556" t="s">
        <v>506</v>
      </c>
      <c r="G556">
        <v>43695.5</v>
      </c>
      <c r="H556">
        <v>3027</v>
      </c>
      <c r="I556">
        <v>14.43</v>
      </c>
      <c r="J556">
        <v>4.6642000000000001</v>
      </c>
    </row>
    <row r="557" spans="1:10" x14ac:dyDescent="0.3">
      <c r="A557" t="s">
        <v>462</v>
      </c>
      <c r="B557" t="s">
        <v>193</v>
      </c>
      <c r="C557" s="25">
        <v>45747</v>
      </c>
      <c r="D557">
        <v>113714</v>
      </c>
      <c r="E557" t="s">
        <v>470</v>
      </c>
      <c r="F557" t="s">
        <v>506</v>
      </c>
      <c r="G557">
        <v>39369.69</v>
      </c>
      <c r="H557">
        <v>1976</v>
      </c>
      <c r="I557">
        <v>19.93</v>
      </c>
      <c r="J557">
        <v>4.7694000000000001</v>
      </c>
    </row>
    <row r="558" spans="1:10" x14ac:dyDescent="0.3">
      <c r="A558" t="s">
        <v>462</v>
      </c>
      <c r="B558" t="s">
        <v>193</v>
      </c>
      <c r="C558" s="25">
        <v>45777</v>
      </c>
      <c r="D558">
        <v>113714</v>
      </c>
      <c r="E558" t="s">
        <v>470</v>
      </c>
      <c r="F558" t="s">
        <v>506</v>
      </c>
      <c r="G558">
        <v>31288.42</v>
      </c>
      <c r="H558">
        <v>15262</v>
      </c>
      <c r="I558">
        <v>2.0499999999999998</v>
      </c>
      <c r="J558">
        <v>3.5358000000000001</v>
      </c>
    </row>
    <row r="559" spans="1:10" x14ac:dyDescent="0.3">
      <c r="A559" t="s">
        <v>462</v>
      </c>
      <c r="B559" t="s">
        <v>193</v>
      </c>
      <c r="C559" s="25">
        <v>45808</v>
      </c>
      <c r="D559">
        <v>113714</v>
      </c>
      <c r="E559" t="s">
        <v>470</v>
      </c>
      <c r="F559" t="s">
        <v>506</v>
      </c>
      <c r="G559">
        <v>36334.9</v>
      </c>
      <c r="H559">
        <v>5605</v>
      </c>
      <c r="I559">
        <v>6.48</v>
      </c>
      <c r="J559">
        <v>4.0423999999999998</v>
      </c>
    </row>
    <row r="560" spans="1:10" x14ac:dyDescent="0.3">
      <c r="A560" t="s">
        <v>462</v>
      </c>
      <c r="B560" t="s">
        <v>193</v>
      </c>
      <c r="C560" s="25">
        <v>45838</v>
      </c>
      <c r="D560">
        <v>113714</v>
      </c>
      <c r="E560" t="s">
        <v>470</v>
      </c>
      <c r="F560" t="s">
        <v>506</v>
      </c>
      <c r="G560">
        <v>30989.83</v>
      </c>
      <c r="H560">
        <v>2224</v>
      </c>
      <c r="I560">
        <v>13.93</v>
      </c>
      <c r="J560">
        <v>3.6055000000000001</v>
      </c>
    </row>
    <row r="561" spans="1:10" x14ac:dyDescent="0.3">
      <c r="A561" t="s">
        <v>462</v>
      </c>
      <c r="B561" t="s">
        <v>193</v>
      </c>
      <c r="C561" s="25">
        <v>45869</v>
      </c>
      <c r="D561">
        <v>113714</v>
      </c>
      <c r="E561" t="s">
        <v>470</v>
      </c>
      <c r="F561" t="s">
        <v>506</v>
      </c>
      <c r="G561">
        <v>23998.73</v>
      </c>
      <c r="H561">
        <v>2259</v>
      </c>
      <c r="I561">
        <v>10.62</v>
      </c>
      <c r="J561">
        <v>3.0055999999999998</v>
      </c>
    </row>
    <row r="562" spans="1:10" x14ac:dyDescent="0.3">
      <c r="A562" t="s">
        <v>462</v>
      </c>
      <c r="B562" t="s">
        <v>193</v>
      </c>
      <c r="C562" s="25">
        <v>45900</v>
      </c>
      <c r="D562">
        <v>113714</v>
      </c>
      <c r="E562" t="s">
        <v>470</v>
      </c>
      <c r="F562" t="s">
        <v>506</v>
      </c>
      <c r="G562">
        <v>34105.15</v>
      </c>
      <c r="H562">
        <v>4247</v>
      </c>
      <c r="I562">
        <v>8.0299999999999994</v>
      </c>
      <c r="J562">
        <v>3.9495</v>
      </c>
    </row>
    <row r="563" spans="1:10" x14ac:dyDescent="0.3">
      <c r="A563" t="s">
        <v>462</v>
      </c>
      <c r="B563" t="s">
        <v>193</v>
      </c>
      <c r="C563" s="25">
        <v>45930</v>
      </c>
      <c r="D563">
        <v>113714</v>
      </c>
      <c r="E563" t="s">
        <v>470</v>
      </c>
      <c r="F563" t="s">
        <v>506</v>
      </c>
      <c r="G563">
        <v>28072.17</v>
      </c>
      <c r="H563">
        <v>4155</v>
      </c>
      <c r="I563">
        <v>6.76</v>
      </c>
      <c r="J563">
        <v>3.4386999999999999</v>
      </c>
    </row>
    <row r="564" spans="1:10" x14ac:dyDescent="0.3">
      <c r="A564" t="s">
        <v>462</v>
      </c>
      <c r="B564" t="s">
        <v>193</v>
      </c>
      <c r="C564" s="25">
        <v>45961</v>
      </c>
      <c r="D564">
        <v>113714</v>
      </c>
      <c r="E564" t="s">
        <v>470</v>
      </c>
      <c r="F564" t="s">
        <v>506</v>
      </c>
      <c r="G564">
        <v>38183.53</v>
      </c>
      <c r="H564">
        <v>11590</v>
      </c>
      <c r="I564">
        <v>3.29</v>
      </c>
      <c r="J564">
        <v>3.9451999999999998</v>
      </c>
    </row>
    <row r="565" spans="1:10" x14ac:dyDescent="0.3">
      <c r="A565" t="s">
        <v>462</v>
      </c>
      <c r="B565" t="s">
        <v>193</v>
      </c>
      <c r="C565" s="25">
        <v>45991</v>
      </c>
      <c r="D565">
        <v>113714</v>
      </c>
      <c r="E565" t="s">
        <v>470</v>
      </c>
      <c r="F565" t="s">
        <v>506</v>
      </c>
      <c r="G565">
        <v>34718.19</v>
      </c>
      <c r="H565">
        <v>8419</v>
      </c>
      <c r="I565">
        <v>4.12</v>
      </c>
      <c r="J565">
        <v>4.4574999999999996</v>
      </c>
    </row>
    <row r="566" spans="1:10" x14ac:dyDescent="0.3">
      <c r="A566" t="s">
        <v>462</v>
      </c>
      <c r="B566" t="s">
        <v>193</v>
      </c>
      <c r="C566" s="25">
        <v>45657</v>
      </c>
      <c r="D566">
        <v>612555</v>
      </c>
      <c r="E566" t="s">
        <v>472</v>
      </c>
      <c r="F566" t="s">
        <v>505</v>
      </c>
      <c r="G566">
        <v>23427.06</v>
      </c>
      <c r="H566">
        <v>1417</v>
      </c>
      <c r="I566">
        <v>16.53</v>
      </c>
      <c r="J566">
        <v>2.8443000000000001</v>
      </c>
    </row>
    <row r="567" spans="1:10" x14ac:dyDescent="0.3">
      <c r="A567" t="s">
        <v>462</v>
      </c>
      <c r="B567" t="s">
        <v>193</v>
      </c>
      <c r="C567" s="25">
        <v>45688</v>
      </c>
      <c r="D567">
        <v>612555</v>
      </c>
      <c r="E567" t="s">
        <v>472</v>
      </c>
      <c r="F567" t="s">
        <v>505</v>
      </c>
      <c r="G567">
        <v>34478.42</v>
      </c>
      <c r="H567">
        <v>4866</v>
      </c>
      <c r="I567">
        <v>7.09</v>
      </c>
      <c r="J567">
        <v>3.8523000000000001</v>
      </c>
    </row>
    <row r="568" spans="1:10" x14ac:dyDescent="0.3">
      <c r="A568" t="s">
        <v>462</v>
      </c>
      <c r="B568" t="s">
        <v>193</v>
      </c>
      <c r="C568" s="25">
        <v>45716</v>
      </c>
      <c r="D568">
        <v>612555</v>
      </c>
      <c r="E568" t="s">
        <v>472</v>
      </c>
      <c r="F568" t="s">
        <v>505</v>
      </c>
      <c r="G568">
        <v>46898.47</v>
      </c>
      <c r="H568">
        <v>2421</v>
      </c>
      <c r="I568">
        <v>19.37</v>
      </c>
      <c r="J568">
        <v>5.0061</v>
      </c>
    </row>
    <row r="569" spans="1:10" x14ac:dyDescent="0.3">
      <c r="A569" t="s">
        <v>462</v>
      </c>
      <c r="B569" t="s">
        <v>193</v>
      </c>
      <c r="C569" s="25">
        <v>45747</v>
      </c>
      <c r="D569">
        <v>612555</v>
      </c>
      <c r="E569" t="s">
        <v>472</v>
      </c>
      <c r="F569" t="s">
        <v>505</v>
      </c>
      <c r="G569">
        <v>34173.800000000003</v>
      </c>
      <c r="H569">
        <v>8859</v>
      </c>
      <c r="I569">
        <v>3.86</v>
      </c>
      <c r="J569">
        <v>4.1398999999999999</v>
      </c>
    </row>
    <row r="570" spans="1:10" x14ac:dyDescent="0.3">
      <c r="A570" t="s">
        <v>462</v>
      </c>
      <c r="B570" t="s">
        <v>193</v>
      </c>
      <c r="C570" s="25">
        <v>45777</v>
      </c>
      <c r="D570">
        <v>612555</v>
      </c>
      <c r="E570" t="s">
        <v>472</v>
      </c>
      <c r="F570" t="s">
        <v>505</v>
      </c>
      <c r="G570">
        <v>38016.61</v>
      </c>
      <c r="H570">
        <v>4144</v>
      </c>
      <c r="I570">
        <v>9.17</v>
      </c>
      <c r="J570">
        <v>4.2961</v>
      </c>
    </row>
    <row r="571" spans="1:10" x14ac:dyDescent="0.3">
      <c r="A571" t="s">
        <v>462</v>
      </c>
      <c r="B571" t="s">
        <v>193</v>
      </c>
      <c r="C571" s="25">
        <v>45808</v>
      </c>
      <c r="D571">
        <v>612555</v>
      </c>
      <c r="E571" t="s">
        <v>472</v>
      </c>
      <c r="F571" t="s">
        <v>505</v>
      </c>
      <c r="G571">
        <v>29105.14</v>
      </c>
      <c r="H571">
        <v>1846</v>
      </c>
      <c r="I571">
        <v>15.76</v>
      </c>
      <c r="J571">
        <v>3.2381000000000002</v>
      </c>
    </row>
    <row r="572" spans="1:10" x14ac:dyDescent="0.3">
      <c r="A572" t="s">
        <v>462</v>
      </c>
      <c r="B572" t="s">
        <v>193</v>
      </c>
      <c r="C572" s="25">
        <v>45838</v>
      </c>
      <c r="D572">
        <v>612555</v>
      </c>
      <c r="E572" t="s">
        <v>472</v>
      </c>
      <c r="F572" t="s">
        <v>505</v>
      </c>
      <c r="G572">
        <v>27467.69</v>
      </c>
      <c r="H572">
        <v>2318</v>
      </c>
      <c r="I572">
        <v>11.85</v>
      </c>
      <c r="J572">
        <v>3.1957</v>
      </c>
    </row>
    <row r="573" spans="1:10" x14ac:dyDescent="0.3">
      <c r="A573" t="s">
        <v>462</v>
      </c>
      <c r="B573" t="s">
        <v>193</v>
      </c>
      <c r="C573" s="25">
        <v>45869</v>
      </c>
      <c r="D573">
        <v>612555</v>
      </c>
      <c r="E573" t="s">
        <v>472</v>
      </c>
      <c r="F573" t="s">
        <v>505</v>
      </c>
      <c r="G573">
        <v>24283.96</v>
      </c>
      <c r="H573">
        <v>2649</v>
      </c>
      <c r="I573">
        <v>9.17</v>
      </c>
      <c r="J573">
        <v>3.0413000000000001</v>
      </c>
    </row>
    <row r="574" spans="1:10" x14ac:dyDescent="0.3">
      <c r="A574" t="s">
        <v>462</v>
      </c>
      <c r="B574" t="s">
        <v>193</v>
      </c>
      <c r="C574" s="25">
        <v>45900</v>
      </c>
      <c r="D574">
        <v>612555</v>
      </c>
      <c r="E574" t="s">
        <v>472</v>
      </c>
      <c r="F574" t="s">
        <v>505</v>
      </c>
      <c r="G574">
        <v>28856.400000000001</v>
      </c>
      <c r="H574">
        <v>2318</v>
      </c>
      <c r="I574">
        <v>12.45</v>
      </c>
      <c r="J574">
        <v>3.3416999999999999</v>
      </c>
    </row>
    <row r="575" spans="1:10" x14ac:dyDescent="0.3">
      <c r="A575" t="s">
        <v>462</v>
      </c>
      <c r="B575" t="s">
        <v>193</v>
      </c>
      <c r="C575" s="25">
        <v>45930</v>
      </c>
      <c r="D575">
        <v>612555</v>
      </c>
      <c r="E575" t="s">
        <v>472</v>
      </c>
      <c r="F575" t="s">
        <v>505</v>
      </c>
      <c r="G575">
        <v>34646.79</v>
      </c>
      <c r="H575">
        <v>5151</v>
      </c>
      <c r="I575">
        <v>6.73</v>
      </c>
      <c r="J575">
        <v>4.2439999999999998</v>
      </c>
    </row>
    <row r="576" spans="1:10" x14ac:dyDescent="0.3">
      <c r="A576" t="s">
        <v>462</v>
      </c>
      <c r="B576" t="s">
        <v>193</v>
      </c>
      <c r="C576" s="25">
        <v>45961</v>
      </c>
      <c r="D576">
        <v>612555</v>
      </c>
      <c r="E576" t="s">
        <v>472</v>
      </c>
      <c r="F576" t="s">
        <v>505</v>
      </c>
      <c r="G576">
        <v>36732.83</v>
      </c>
      <c r="H576">
        <v>4372</v>
      </c>
      <c r="I576">
        <v>8.4</v>
      </c>
      <c r="J576">
        <v>3.7953000000000001</v>
      </c>
    </row>
    <row r="577" spans="1:10" x14ac:dyDescent="0.3">
      <c r="A577" t="s">
        <v>462</v>
      </c>
      <c r="B577" t="s">
        <v>193</v>
      </c>
      <c r="C577" s="25">
        <v>45991</v>
      </c>
      <c r="D577">
        <v>612555</v>
      </c>
      <c r="E577" t="s">
        <v>472</v>
      </c>
      <c r="F577" t="s">
        <v>505</v>
      </c>
      <c r="G577">
        <v>32212.69</v>
      </c>
      <c r="H577">
        <v>2644</v>
      </c>
      <c r="I577">
        <v>12.19</v>
      </c>
      <c r="J577">
        <v>4.1357999999999997</v>
      </c>
    </row>
    <row r="578" spans="1:10" x14ac:dyDescent="0.3">
      <c r="A578" t="s">
        <v>462</v>
      </c>
      <c r="B578" t="s">
        <v>193</v>
      </c>
      <c r="C578" s="25">
        <v>45657</v>
      </c>
      <c r="D578">
        <v>858853</v>
      </c>
      <c r="E578" t="s">
        <v>471</v>
      </c>
      <c r="F578" t="s">
        <v>504</v>
      </c>
      <c r="G578">
        <v>30974.78</v>
      </c>
      <c r="H578">
        <v>4710</v>
      </c>
      <c r="I578">
        <v>6.58</v>
      </c>
      <c r="J578">
        <v>3.7606999999999999</v>
      </c>
    </row>
    <row r="579" spans="1:10" x14ac:dyDescent="0.3">
      <c r="A579" t="s">
        <v>462</v>
      </c>
      <c r="B579" t="s">
        <v>193</v>
      </c>
      <c r="C579" s="25">
        <v>45688</v>
      </c>
      <c r="D579">
        <v>858853</v>
      </c>
      <c r="E579" t="s">
        <v>471</v>
      </c>
      <c r="F579" t="s">
        <v>504</v>
      </c>
      <c r="G579">
        <v>36202.050000000003</v>
      </c>
      <c r="H579">
        <v>2233</v>
      </c>
      <c r="I579">
        <v>16.21</v>
      </c>
      <c r="J579">
        <v>4.0449000000000002</v>
      </c>
    </row>
    <row r="580" spans="1:10" x14ac:dyDescent="0.3">
      <c r="A580" t="s">
        <v>462</v>
      </c>
      <c r="B580" t="s">
        <v>193</v>
      </c>
      <c r="C580" s="25">
        <v>45716</v>
      </c>
      <c r="D580">
        <v>858853</v>
      </c>
      <c r="E580" t="s">
        <v>471</v>
      </c>
      <c r="F580" t="s">
        <v>504</v>
      </c>
      <c r="G580">
        <v>37165.339999999997</v>
      </c>
      <c r="H580">
        <v>2119</v>
      </c>
      <c r="I580">
        <v>17.54</v>
      </c>
      <c r="J580">
        <v>3.9672000000000001</v>
      </c>
    </row>
    <row r="581" spans="1:10" x14ac:dyDescent="0.3">
      <c r="A581" t="s">
        <v>462</v>
      </c>
      <c r="B581" t="s">
        <v>193</v>
      </c>
      <c r="C581" s="25">
        <v>45747</v>
      </c>
      <c r="D581">
        <v>858853</v>
      </c>
      <c r="E581" t="s">
        <v>471</v>
      </c>
      <c r="F581" t="s">
        <v>504</v>
      </c>
      <c r="G581">
        <v>32545.38</v>
      </c>
      <c r="H581">
        <v>2579</v>
      </c>
      <c r="I581">
        <v>12.62</v>
      </c>
      <c r="J581">
        <v>3.9426999999999999</v>
      </c>
    </row>
    <row r="582" spans="1:10" x14ac:dyDescent="0.3">
      <c r="A582" t="s">
        <v>462</v>
      </c>
      <c r="B582" t="s">
        <v>193</v>
      </c>
      <c r="C582" s="25">
        <v>45777</v>
      </c>
      <c r="D582">
        <v>858853</v>
      </c>
      <c r="E582" t="s">
        <v>471</v>
      </c>
      <c r="F582" t="s">
        <v>504</v>
      </c>
      <c r="G582">
        <v>26822.41</v>
      </c>
      <c r="H582">
        <v>2364</v>
      </c>
      <c r="I582">
        <v>11.35</v>
      </c>
      <c r="J582">
        <v>3.0310999999999999</v>
      </c>
    </row>
    <row r="583" spans="1:10" x14ac:dyDescent="0.3">
      <c r="A583" t="s">
        <v>462</v>
      </c>
      <c r="B583" t="s">
        <v>193</v>
      </c>
      <c r="C583" s="25">
        <v>45808</v>
      </c>
      <c r="D583">
        <v>858853</v>
      </c>
      <c r="E583" t="s">
        <v>471</v>
      </c>
      <c r="F583" t="s">
        <v>504</v>
      </c>
      <c r="G583">
        <v>28519.7</v>
      </c>
      <c r="H583">
        <v>1618</v>
      </c>
      <c r="I583">
        <v>17.62</v>
      </c>
      <c r="J583">
        <v>3.1728999999999998</v>
      </c>
    </row>
    <row r="584" spans="1:10" x14ac:dyDescent="0.3">
      <c r="A584" t="s">
        <v>462</v>
      </c>
      <c r="B584" t="s">
        <v>193</v>
      </c>
      <c r="C584" s="25">
        <v>45838</v>
      </c>
      <c r="D584">
        <v>858853</v>
      </c>
      <c r="E584" t="s">
        <v>471</v>
      </c>
      <c r="F584" t="s">
        <v>504</v>
      </c>
      <c r="G584">
        <v>38924.92</v>
      </c>
      <c r="H584">
        <v>2716</v>
      </c>
      <c r="I584">
        <v>14.33</v>
      </c>
      <c r="J584">
        <v>4.5286</v>
      </c>
    </row>
    <row r="585" spans="1:10" x14ac:dyDescent="0.3">
      <c r="A585" t="s">
        <v>462</v>
      </c>
      <c r="B585" t="s">
        <v>193</v>
      </c>
      <c r="C585" s="25">
        <v>45869</v>
      </c>
      <c r="D585">
        <v>858853</v>
      </c>
      <c r="E585" t="s">
        <v>471</v>
      </c>
      <c r="F585" t="s">
        <v>504</v>
      </c>
      <c r="G585">
        <v>25087.72</v>
      </c>
      <c r="H585">
        <v>9895</v>
      </c>
      <c r="I585">
        <v>2.54</v>
      </c>
      <c r="J585">
        <v>3.1419000000000001</v>
      </c>
    </row>
    <row r="586" spans="1:10" x14ac:dyDescent="0.3">
      <c r="A586" t="s">
        <v>462</v>
      </c>
      <c r="B586" t="s">
        <v>193</v>
      </c>
      <c r="C586" s="25">
        <v>45900</v>
      </c>
      <c r="D586">
        <v>858853</v>
      </c>
      <c r="E586" t="s">
        <v>471</v>
      </c>
      <c r="F586" t="s">
        <v>504</v>
      </c>
      <c r="G586">
        <v>28336.38</v>
      </c>
      <c r="H586">
        <v>2012</v>
      </c>
      <c r="I586">
        <v>14.08</v>
      </c>
      <c r="J586">
        <v>3.2814999999999999</v>
      </c>
    </row>
    <row r="587" spans="1:10" x14ac:dyDescent="0.3">
      <c r="A587" t="s">
        <v>462</v>
      </c>
      <c r="B587" t="s">
        <v>193</v>
      </c>
      <c r="C587" s="25">
        <v>45930</v>
      </c>
      <c r="D587">
        <v>858853</v>
      </c>
      <c r="E587" t="s">
        <v>471</v>
      </c>
      <c r="F587" t="s">
        <v>504</v>
      </c>
      <c r="G587">
        <v>35033.919999999998</v>
      </c>
      <c r="H587">
        <v>2113</v>
      </c>
      <c r="I587">
        <v>16.579999999999998</v>
      </c>
      <c r="J587">
        <v>4.2914000000000003</v>
      </c>
    </row>
    <row r="588" spans="1:10" x14ac:dyDescent="0.3">
      <c r="A588" t="s">
        <v>462</v>
      </c>
      <c r="B588" t="s">
        <v>193</v>
      </c>
      <c r="C588" s="25">
        <v>45961</v>
      </c>
      <c r="D588">
        <v>858853</v>
      </c>
      <c r="E588" t="s">
        <v>471</v>
      </c>
      <c r="F588" t="s">
        <v>504</v>
      </c>
      <c r="G588">
        <v>37029.81</v>
      </c>
      <c r="H588">
        <v>12407</v>
      </c>
      <c r="I588">
        <v>2.98</v>
      </c>
      <c r="J588">
        <v>3.8260000000000001</v>
      </c>
    </row>
    <row r="589" spans="1:10" x14ac:dyDescent="0.3">
      <c r="A589" t="s">
        <v>462</v>
      </c>
      <c r="B589" t="s">
        <v>193</v>
      </c>
      <c r="C589" s="25">
        <v>45991</v>
      </c>
      <c r="D589">
        <v>858853</v>
      </c>
      <c r="E589" t="s">
        <v>471</v>
      </c>
      <c r="F589" t="s">
        <v>504</v>
      </c>
      <c r="G589">
        <v>34391.599999999999</v>
      </c>
      <c r="H589">
        <v>2797</v>
      </c>
      <c r="I589">
        <v>12.29</v>
      </c>
      <c r="J589">
        <v>4.4154999999999998</v>
      </c>
    </row>
    <row r="590" spans="1:10" x14ac:dyDescent="0.3">
      <c r="A590" t="s">
        <v>462</v>
      </c>
      <c r="B590" t="s">
        <v>193</v>
      </c>
      <c r="C590" s="25">
        <v>45657</v>
      </c>
      <c r="D590">
        <v>906276</v>
      </c>
      <c r="E590" t="s">
        <v>472</v>
      </c>
      <c r="F590" t="s">
        <v>503</v>
      </c>
      <c r="G590">
        <v>28844.49</v>
      </c>
      <c r="H590">
        <v>4959</v>
      </c>
      <c r="I590">
        <v>5.82</v>
      </c>
      <c r="J590">
        <v>3.5021</v>
      </c>
    </row>
    <row r="591" spans="1:10" x14ac:dyDescent="0.3">
      <c r="A591" t="s">
        <v>462</v>
      </c>
      <c r="B591" t="s">
        <v>193</v>
      </c>
      <c r="C591" s="25">
        <v>45688</v>
      </c>
      <c r="D591">
        <v>906276</v>
      </c>
      <c r="E591" t="s">
        <v>472</v>
      </c>
      <c r="F591" t="s">
        <v>503</v>
      </c>
      <c r="G591">
        <v>26275.69</v>
      </c>
      <c r="H591">
        <v>1842</v>
      </c>
      <c r="I591">
        <v>14.26</v>
      </c>
      <c r="J591">
        <v>2.9358</v>
      </c>
    </row>
    <row r="592" spans="1:10" x14ac:dyDescent="0.3">
      <c r="A592" t="s">
        <v>462</v>
      </c>
      <c r="B592" t="s">
        <v>193</v>
      </c>
      <c r="C592" s="25">
        <v>45716</v>
      </c>
      <c r="D592">
        <v>906276</v>
      </c>
      <c r="E592" t="s">
        <v>472</v>
      </c>
      <c r="F592" t="s">
        <v>503</v>
      </c>
      <c r="G592">
        <v>33607.050000000003</v>
      </c>
      <c r="H592">
        <v>1702</v>
      </c>
      <c r="I592">
        <v>19.75</v>
      </c>
      <c r="J592">
        <v>3.5872999999999999</v>
      </c>
    </row>
    <row r="593" spans="1:10" x14ac:dyDescent="0.3">
      <c r="A593" t="s">
        <v>462</v>
      </c>
      <c r="B593" t="s">
        <v>193</v>
      </c>
      <c r="C593" s="25">
        <v>45747</v>
      </c>
      <c r="D593">
        <v>906276</v>
      </c>
      <c r="E593" t="s">
        <v>472</v>
      </c>
      <c r="F593" t="s">
        <v>503</v>
      </c>
      <c r="G593">
        <v>28581.19</v>
      </c>
      <c r="H593">
        <v>2186</v>
      </c>
      <c r="I593">
        <v>13.08</v>
      </c>
      <c r="J593">
        <v>3.4624000000000001</v>
      </c>
    </row>
    <row r="594" spans="1:10" x14ac:dyDescent="0.3">
      <c r="A594" t="s">
        <v>462</v>
      </c>
      <c r="B594" t="s">
        <v>193</v>
      </c>
      <c r="C594" s="25">
        <v>45777</v>
      </c>
      <c r="D594">
        <v>906276</v>
      </c>
      <c r="E594" t="s">
        <v>472</v>
      </c>
      <c r="F594" t="s">
        <v>503</v>
      </c>
      <c r="G594">
        <v>29073.119999999999</v>
      </c>
      <c r="H594">
        <v>9596</v>
      </c>
      <c r="I594">
        <v>3.03</v>
      </c>
      <c r="J594">
        <v>3.2854000000000001</v>
      </c>
    </row>
    <row r="595" spans="1:10" x14ac:dyDescent="0.3">
      <c r="A595" t="s">
        <v>462</v>
      </c>
      <c r="B595" t="s">
        <v>193</v>
      </c>
      <c r="C595" s="25">
        <v>45808</v>
      </c>
      <c r="D595">
        <v>906276</v>
      </c>
      <c r="E595" t="s">
        <v>472</v>
      </c>
      <c r="F595" t="s">
        <v>503</v>
      </c>
      <c r="G595">
        <v>31650.87</v>
      </c>
      <c r="H595">
        <v>1861</v>
      </c>
      <c r="I595">
        <v>17.010000000000002</v>
      </c>
      <c r="J595">
        <v>3.5213000000000001</v>
      </c>
    </row>
    <row r="596" spans="1:10" x14ac:dyDescent="0.3">
      <c r="A596" t="s">
        <v>462</v>
      </c>
      <c r="B596" t="s">
        <v>193</v>
      </c>
      <c r="C596" s="25">
        <v>45838</v>
      </c>
      <c r="D596">
        <v>906276</v>
      </c>
      <c r="E596" t="s">
        <v>472</v>
      </c>
      <c r="F596" t="s">
        <v>503</v>
      </c>
      <c r="G596">
        <v>28620.53</v>
      </c>
      <c r="H596">
        <v>4581</v>
      </c>
      <c r="I596">
        <v>6.25</v>
      </c>
      <c r="J596">
        <v>3.3298000000000001</v>
      </c>
    </row>
    <row r="597" spans="1:10" x14ac:dyDescent="0.3">
      <c r="A597" t="s">
        <v>462</v>
      </c>
      <c r="B597" t="s">
        <v>193</v>
      </c>
      <c r="C597" s="25">
        <v>45869</v>
      </c>
      <c r="D597">
        <v>906276</v>
      </c>
      <c r="E597" t="s">
        <v>472</v>
      </c>
      <c r="F597" t="s">
        <v>503</v>
      </c>
      <c r="G597">
        <v>36439.54</v>
      </c>
      <c r="H597">
        <v>18073</v>
      </c>
      <c r="I597">
        <v>2.02</v>
      </c>
      <c r="J597">
        <v>4.5636000000000001</v>
      </c>
    </row>
    <row r="598" spans="1:10" x14ac:dyDescent="0.3">
      <c r="A598" t="s">
        <v>462</v>
      </c>
      <c r="B598" t="s">
        <v>193</v>
      </c>
      <c r="C598" s="25">
        <v>45900</v>
      </c>
      <c r="D598">
        <v>906276</v>
      </c>
      <c r="E598" t="s">
        <v>472</v>
      </c>
      <c r="F598" t="s">
        <v>503</v>
      </c>
      <c r="G598">
        <v>29275.5</v>
      </c>
      <c r="H598">
        <v>6590</v>
      </c>
      <c r="I598">
        <v>4.4400000000000004</v>
      </c>
      <c r="J598">
        <v>3.3902000000000001</v>
      </c>
    </row>
    <row r="599" spans="1:10" x14ac:dyDescent="0.3">
      <c r="A599" t="s">
        <v>462</v>
      </c>
      <c r="B599" t="s">
        <v>193</v>
      </c>
      <c r="C599" s="25">
        <v>45930</v>
      </c>
      <c r="D599">
        <v>906276</v>
      </c>
      <c r="E599" t="s">
        <v>472</v>
      </c>
      <c r="F599" t="s">
        <v>503</v>
      </c>
      <c r="G599">
        <v>35708.19</v>
      </c>
      <c r="H599">
        <v>3328</v>
      </c>
      <c r="I599">
        <v>10.73</v>
      </c>
      <c r="J599">
        <v>4.3739999999999997</v>
      </c>
    </row>
    <row r="600" spans="1:10" x14ac:dyDescent="0.3">
      <c r="A600" t="s">
        <v>462</v>
      </c>
      <c r="B600" t="s">
        <v>193</v>
      </c>
      <c r="C600" s="25">
        <v>45961</v>
      </c>
      <c r="D600">
        <v>906276</v>
      </c>
      <c r="E600" t="s">
        <v>472</v>
      </c>
      <c r="F600" t="s">
        <v>503</v>
      </c>
      <c r="G600">
        <v>40088</v>
      </c>
      <c r="H600">
        <v>3118</v>
      </c>
      <c r="I600">
        <v>12.86</v>
      </c>
      <c r="J600">
        <v>4.1420000000000003</v>
      </c>
    </row>
    <row r="601" spans="1:10" x14ac:dyDescent="0.3">
      <c r="A601" t="s">
        <v>462</v>
      </c>
      <c r="B601" t="s">
        <v>193</v>
      </c>
      <c r="C601" s="25">
        <v>45991</v>
      </c>
      <c r="D601">
        <v>906276</v>
      </c>
      <c r="E601" t="s">
        <v>472</v>
      </c>
      <c r="F601" t="s">
        <v>503</v>
      </c>
      <c r="G601">
        <v>32803.919999999998</v>
      </c>
      <c r="H601">
        <v>2086</v>
      </c>
      <c r="I601">
        <v>15.73</v>
      </c>
      <c r="J601">
        <v>4.2117000000000004</v>
      </c>
    </row>
    <row r="602" spans="1:10" x14ac:dyDescent="0.3">
      <c r="A602" t="s">
        <v>462</v>
      </c>
      <c r="B602" t="s">
        <v>193</v>
      </c>
      <c r="C602" s="25">
        <v>45657</v>
      </c>
      <c r="D602">
        <v>450289</v>
      </c>
      <c r="E602" t="s">
        <v>466</v>
      </c>
      <c r="F602" t="s">
        <v>502</v>
      </c>
      <c r="G602">
        <v>20554.45</v>
      </c>
      <c r="H602">
        <v>2341</v>
      </c>
      <c r="I602">
        <v>8.7799999999999994</v>
      </c>
      <c r="J602">
        <v>2.4956</v>
      </c>
    </row>
    <row r="603" spans="1:10" x14ac:dyDescent="0.3">
      <c r="A603" t="s">
        <v>462</v>
      </c>
      <c r="B603" t="s">
        <v>193</v>
      </c>
      <c r="C603" s="25">
        <v>45688</v>
      </c>
      <c r="D603">
        <v>450289</v>
      </c>
      <c r="E603" t="s">
        <v>466</v>
      </c>
      <c r="F603" t="s">
        <v>502</v>
      </c>
      <c r="G603">
        <v>32522.03</v>
      </c>
      <c r="H603">
        <v>4247</v>
      </c>
      <c r="I603">
        <v>7.66</v>
      </c>
      <c r="J603">
        <v>3.6337000000000002</v>
      </c>
    </row>
    <row r="604" spans="1:10" x14ac:dyDescent="0.3">
      <c r="A604" t="s">
        <v>462</v>
      </c>
      <c r="B604" t="s">
        <v>193</v>
      </c>
      <c r="C604" s="25">
        <v>45716</v>
      </c>
      <c r="D604">
        <v>450289</v>
      </c>
      <c r="E604" t="s">
        <v>466</v>
      </c>
      <c r="F604" t="s">
        <v>502</v>
      </c>
      <c r="G604">
        <v>24343.759999999998</v>
      </c>
      <c r="H604">
        <v>4828</v>
      </c>
      <c r="I604">
        <v>5.04</v>
      </c>
      <c r="J604">
        <v>2.5985</v>
      </c>
    </row>
    <row r="605" spans="1:10" x14ac:dyDescent="0.3">
      <c r="A605" t="s">
        <v>462</v>
      </c>
      <c r="B605" t="s">
        <v>193</v>
      </c>
      <c r="C605" s="25">
        <v>45747</v>
      </c>
      <c r="D605">
        <v>450289</v>
      </c>
      <c r="E605" t="s">
        <v>466</v>
      </c>
      <c r="F605" t="s">
        <v>502</v>
      </c>
      <c r="G605">
        <v>30465.1</v>
      </c>
      <c r="H605">
        <v>4352</v>
      </c>
      <c r="I605">
        <v>7</v>
      </c>
      <c r="J605">
        <v>3.6905999999999999</v>
      </c>
    </row>
    <row r="606" spans="1:10" x14ac:dyDescent="0.3">
      <c r="A606" t="s">
        <v>462</v>
      </c>
      <c r="B606" t="s">
        <v>193</v>
      </c>
      <c r="C606" s="25">
        <v>45777</v>
      </c>
      <c r="D606">
        <v>450289</v>
      </c>
      <c r="E606" t="s">
        <v>466</v>
      </c>
      <c r="F606" t="s">
        <v>502</v>
      </c>
      <c r="G606">
        <v>28458.02</v>
      </c>
      <c r="H606">
        <v>1864</v>
      </c>
      <c r="I606">
        <v>15.27</v>
      </c>
      <c r="J606">
        <v>3.2159</v>
      </c>
    </row>
    <row r="607" spans="1:10" x14ac:dyDescent="0.3">
      <c r="A607" t="s">
        <v>462</v>
      </c>
      <c r="B607" t="s">
        <v>193</v>
      </c>
      <c r="C607" s="25">
        <v>45808</v>
      </c>
      <c r="D607">
        <v>450289</v>
      </c>
      <c r="E607" t="s">
        <v>466</v>
      </c>
      <c r="F607" t="s">
        <v>502</v>
      </c>
      <c r="G607">
        <v>32109.91</v>
      </c>
      <c r="H607">
        <v>2969</v>
      </c>
      <c r="I607">
        <v>10.81</v>
      </c>
      <c r="J607">
        <v>3.5724</v>
      </c>
    </row>
    <row r="608" spans="1:10" x14ac:dyDescent="0.3">
      <c r="A608" t="s">
        <v>462</v>
      </c>
      <c r="B608" t="s">
        <v>193</v>
      </c>
      <c r="C608" s="25">
        <v>45838</v>
      </c>
      <c r="D608">
        <v>450289</v>
      </c>
      <c r="E608" t="s">
        <v>466</v>
      </c>
      <c r="F608" t="s">
        <v>502</v>
      </c>
      <c r="G608">
        <v>30143.43</v>
      </c>
      <c r="H608">
        <v>2315</v>
      </c>
      <c r="I608">
        <v>13.02</v>
      </c>
      <c r="J608">
        <v>3.5070000000000001</v>
      </c>
    </row>
    <row r="609" spans="1:10" x14ac:dyDescent="0.3">
      <c r="A609" t="s">
        <v>462</v>
      </c>
      <c r="B609" t="s">
        <v>193</v>
      </c>
      <c r="C609" s="25">
        <v>45869</v>
      </c>
      <c r="D609">
        <v>450289</v>
      </c>
      <c r="E609" t="s">
        <v>466</v>
      </c>
      <c r="F609" t="s">
        <v>502</v>
      </c>
      <c r="G609">
        <v>21031.14</v>
      </c>
      <c r="H609">
        <v>5046</v>
      </c>
      <c r="I609">
        <v>4.17</v>
      </c>
      <c r="J609">
        <v>2.6339000000000001</v>
      </c>
    </row>
    <row r="610" spans="1:10" x14ac:dyDescent="0.3">
      <c r="A610" t="s">
        <v>462</v>
      </c>
      <c r="B610" t="s">
        <v>193</v>
      </c>
      <c r="C610" s="25">
        <v>45900</v>
      </c>
      <c r="D610">
        <v>450289</v>
      </c>
      <c r="E610" t="s">
        <v>466</v>
      </c>
      <c r="F610" t="s">
        <v>502</v>
      </c>
      <c r="G610">
        <v>30984.53</v>
      </c>
      <c r="H610">
        <v>2892</v>
      </c>
      <c r="I610">
        <v>10.71</v>
      </c>
      <c r="J610">
        <v>3.5882000000000001</v>
      </c>
    </row>
    <row r="611" spans="1:10" x14ac:dyDescent="0.3">
      <c r="A611" t="s">
        <v>462</v>
      </c>
      <c r="B611" t="s">
        <v>193</v>
      </c>
      <c r="C611" s="25">
        <v>45930</v>
      </c>
      <c r="D611">
        <v>450289</v>
      </c>
      <c r="E611" t="s">
        <v>466</v>
      </c>
      <c r="F611" t="s">
        <v>502</v>
      </c>
      <c r="G611">
        <v>24000.75</v>
      </c>
      <c r="H611">
        <v>1360</v>
      </c>
      <c r="I611">
        <v>17.64</v>
      </c>
      <c r="J611">
        <v>2.9399000000000002</v>
      </c>
    </row>
    <row r="612" spans="1:10" x14ac:dyDescent="0.3">
      <c r="A612" t="s">
        <v>462</v>
      </c>
      <c r="B612" t="s">
        <v>193</v>
      </c>
      <c r="C612" s="25">
        <v>45961</v>
      </c>
      <c r="D612">
        <v>450289</v>
      </c>
      <c r="E612" t="s">
        <v>466</v>
      </c>
      <c r="F612" t="s">
        <v>502</v>
      </c>
      <c r="G612">
        <v>37579.46</v>
      </c>
      <c r="H612">
        <v>4892</v>
      </c>
      <c r="I612">
        <v>7.68</v>
      </c>
      <c r="J612">
        <v>3.8828</v>
      </c>
    </row>
    <row r="613" spans="1:10" x14ac:dyDescent="0.3">
      <c r="A613" t="s">
        <v>462</v>
      </c>
      <c r="B613" t="s">
        <v>193</v>
      </c>
      <c r="C613" s="25">
        <v>45991</v>
      </c>
      <c r="D613">
        <v>450289</v>
      </c>
      <c r="E613" t="s">
        <v>466</v>
      </c>
      <c r="F613" t="s">
        <v>502</v>
      </c>
      <c r="G613">
        <v>35447.379999999997</v>
      </c>
      <c r="H613">
        <v>3202</v>
      </c>
      <c r="I613">
        <v>11.07</v>
      </c>
      <c r="J613">
        <v>4.5510999999999999</v>
      </c>
    </row>
    <row r="614" spans="1:10" x14ac:dyDescent="0.3">
      <c r="A614" t="s">
        <v>462</v>
      </c>
      <c r="B614" t="s">
        <v>193</v>
      </c>
      <c r="C614" s="25">
        <v>45657</v>
      </c>
      <c r="D614">
        <v>712134</v>
      </c>
      <c r="E614" t="s">
        <v>466</v>
      </c>
      <c r="F614" t="s">
        <v>501</v>
      </c>
      <c r="G614">
        <v>26748.44</v>
      </c>
      <c r="H614">
        <v>1626</v>
      </c>
      <c r="I614">
        <v>16.45</v>
      </c>
      <c r="J614">
        <v>3.2475999999999998</v>
      </c>
    </row>
    <row r="615" spans="1:10" x14ac:dyDescent="0.3">
      <c r="A615" t="s">
        <v>462</v>
      </c>
      <c r="B615" t="s">
        <v>193</v>
      </c>
      <c r="C615" s="25">
        <v>45688</v>
      </c>
      <c r="D615">
        <v>712134</v>
      </c>
      <c r="E615" t="s">
        <v>466</v>
      </c>
      <c r="F615" t="s">
        <v>501</v>
      </c>
      <c r="G615">
        <v>26715.19</v>
      </c>
      <c r="H615">
        <v>1360</v>
      </c>
      <c r="I615">
        <v>19.64</v>
      </c>
      <c r="J615">
        <v>2.9849000000000001</v>
      </c>
    </row>
    <row r="616" spans="1:10" x14ac:dyDescent="0.3">
      <c r="A616" t="s">
        <v>462</v>
      </c>
      <c r="B616" t="s">
        <v>193</v>
      </c>
      <c r="C616" s="25">
        <v>45716</v>
      </c>
      <c r="D616">
        <v>712134</v>
      </c>
      <c r="E616" t="s">
        <v>466</v>
      </c>
      <c r="F616" t="s">
        <v>501</v>
      </c>
      <c r="G616">
        <v>25777.87</v>
      </c>
      <c r="H616">
        <v>21582</v>
      </c>
      <c r="I616">
        <v>1.19</v>
      </c>
      <c r="J616">
        <v>2.7515999999999998</v>
      </c>
    </row>
    <row r="617" spans="1:10" x14ac:dyDescent="0.3">
      <c r="A617" t="s">
        <v>462</v>
      </c>
      <c r="B617" t="s">
        <v>193</v>
      </c>
      <c r="C617" s="25">
        <v>45747</v>
      </c>
      <c r="D617">
        <v>712134</v>
      </c>
      <c r="E617" t="s">
        <v>466</v>
      </c>
      <c r="F617" t="s">
        <v>501</v>
      </c>
      <c r="G617">
        <v>35047.26</v>
      </c>
      <c r="H617">
        <v>1767</v>
      </c>
      <c r="I617">
        <v>19.84</v>
      </c>
      <c r="J617">
        <v>4.2457000000000003</v>
      </c>
    </row>
    <row r="618" spans="1:10" x14ac:dyDescent="0.3">
      <c r="A618" t="s">
        <v>462</v>
      </c>
      <c r="B618" t="s">
        <v>193</v>
      </c>
      <c r="C618" s="25">
        <v>45777</v>
      </c>
      <c r="D618">
        <v>712134</v>
      </c>
      <c r="E618" t="s">
        <v>466</v>
      </c>
      <c r="F618" t="s">
        <v>501</v>
      </c>
      <c r="G618">
        <v>18511.48</v>
      </c>
      <c r="H618">
        <v>1301</v>
      </c>
      <c r="I618">
        <v>14.23</v>
      </c>
      <c r="J618">
        <v>2.0918999999999999</v>
      </c>
    </row>
    <row r="619" spans="1:10" x14ac:dyDescent="0.3">
      <c r="A619" t="s">
        <v>462</v>
      </c>
      <c r="B619" t="s">
        <v>193</v>
      </c>
      <c r="C619" s="25">
        <v>45808</v>
      </c>
      <c r="D619">
        <v>712134</v>
      </c>
      <c r="E619" t="s">
        <v>466</v>
      </c>
      <c r="F619" t="s">
        <v>501</v>
      </c>
      <c r="G619">
        <v>29981.83</v>
      </c>
      <c r="H619">
        <v>9439</v>
      </c>
      <c r="I619">
        <v>3.18</v>
      </c>
      <c r="J619">
        <v>3.3355999999999999</v>
      </c>
    </row>
    <row r="620" spans="1:10" x14ac:dyDescent="0.3">
      <c r="A620" t="s">
        <v>462</v>
      </c>
      <c r="B620" t="s">
        <v>193</v>
      </c>
      <c r="C620" s="25">
        <v>45838</v>
      </c>
      <c r="D620">
        <v>712134</v>
      </c>
      <c r="E620" t="s">
        <v>466</v>
      </c>
      <c r="F620" t="s">
        <v>501</v>
      </c>
      <c r="G620">
        <v>30787.98</v>
      </c>
      <c r="H620">
        <v>12307</v>
      </c>
      <c r="I620">
        <v>2.5</v>
      </c>
      <c r="J620">
        <v>3.5819999999999999</v>
      </c>
    </row>
    <row r="621" spans="1:10" x14ac:dyDescent="0.3">
      <c r="A621" t="s">
        <v>462</v>
      </c>
      <c r="B621" t="s">
        <v>193</v>
      </c>
      <c r="C621" s="25">
        <v>45869</v>
      </c>
      <c r="D621">
        <v>712134</v>
      </c>
      <c r="E621" t="s">
        <v>466</v>
      </c>
      <c r="F621" t="s">
        <v>501</v>
      </c>
      <c r="G621">
        <v>30968.89</v>
      </c>
      <c r="H621">
        <v>1770</v>
      </c>
      <c r="I621">
        <v>17.5</v>
      </c>
      <c r="J621">
        <v>3.8784999999999998</v>
      </c>
    </row>
    <row r="622" spans="1:10" x14ac:dyDescent="0.3">
      <c r="A622" t="s">
        <v>462</v>
      </c>
      <c r="B622" t="s">
        <v>193</v>
      </c>
      <c r="C622" s="25">
        <v>45900</v>
      </c>
      <c r="D622">
        <v>712134</v>
      </c>
      <c r="E622" t="s">
        <v>466</v>
      </c>
      <c r="F622" t="s">
        <v>501</v>
      </c>
      <c r="G622">
        <v>29616.35</v>
      </c>
      <c r="H622">
        <v>3194</v>
      </c>
      <c r="I622">
        <v>9.27</v>
      </c>
      <c r="J622">
        <v>3.4297</v>
      </c>
    </row>
    <row r="623" spans="1:10" x14ac:dyDescent="0.3">
      <c r="A623" t="s">
        <v>462</v>
      </c>
      <c r="B623" t="s">
        <v>193</v>
      </c>
      <c r="C623" s="25">
        <v>45930</v>
      </c>
      <c r="D623">
        <v>712134</v>
      </c>
      <c r="E623" t="s">
        <v>466</v>
      </c>
      <c r="F623" t="s">
        <v>501</v>
      </c>
      <c r="G623">
        <v>23981.52</v>
      </c>
      <c r="H623">
        <v>1544</v>
      </c>
      <c r="I623">
        <v>15.53</v>
      </c>
      <c r="J623">
        <v>2.9376000000000002</v>
      </c>
    </row>
    <row r="624" spans="1:10" x14ac:dyDescent="0.3">
      <c r="A624" t="s">
        <v>462</v>
      </c>
      <c r="B624" t="s">
        <v>193</v>
      </c>
      <c r="C624" s="25">
        <v>45961</v>
      </c>
      <c r="D624">
        <v>712134</v>
      </c>
      <c r="E624" t="s">
        <v>466</v>
      </c>
      <c r="F624" t="s">
        <v>501</v>
      </c>
      <c r="G624">
        <v>25824.33</v>
      </c>
      <c r="H624">
        <v>2150</v>
      </c>
      <c r="I624">
        <v>12.01</v>
      </c>
      <c r="J624">
        <v>2.6682000000000001</v>
      </c>
    </row>
    <row r="625" spans="1:10" x14ac:dyDescent="0.3">
      <c r="A625" t="s">
        <v>462</v>
      </c>
      <c r="B625" t="s">
        <v>193</v>
      </c>
      <c r="C625" s="25">
        <v>45991</v>
      </c>
      <c r="D625">
        <v>712134</v>
      </c>
      <c r="E625" t="s">
        <v>466</v>
      </c>
      <c r="F625" t="s">
        <v>501</v>
      </c>
      <c r="G625">
        <v>22103.86</v>
      </c>
      <c r="H625">
        <v>2426</v>
      </c>
      <c r="I625">
        <v>9.11</v>
      </c>
      <c r="J625">
        <v>2.8378999999999999</v>
      </c>
    </row>
    <row r="626" spans="1:10" x14ac:dyDescent="0.3">
      <c r="A626" t="s">
        <v>462</v>
      </c>
      <c r="B626" t="s">
        <v>193</v>
      </c>
      <c r="C626" s="25">
        <v>45657</v>
      </c>
      <c r="D626">
        <v>260183</v>
      </c>
      <c r="E626" t="s">
        <v>466</v>
      </c>
      <c r="F626" t="s">
        <v>500</v>
      </c>
      <c r="G626">
        <v>24250</v>
      </c>
      <c r="H626">
        <v>1961</v>
      </c>
      <c r="I626">
        <v>12.37</v>
      </c>
      <c r="J626">
        <v>2.9443000000000001</v>
      </c>
    </row>
    <row r="627" spans="1:10" x14ac:dyDescent="0.3">
      <c r="A627" t="s">
        <v>462</v>
      </c>
      <c r="B627" t="s">
        <v>193</v>
      </c>
      <c r="C627" s="25">
        <v>45688</v>
      </c>
      <c r="D627">
        <v>260183</v>
      </c>
      <c r="E627" t="s">
        <v>466</v>
      </c>
      <c r="F627" t="s">
        <v>500</v>
      </c>
      <c r="G627">
        <v>20560.41</v>
      </c>
      <c r="H627">
        <v>14519</v>
      </c>
      <c r="I627">
        <v>1.42</v>
      </c>
      <c r="J627">
        <v>2.2972000000000001</v>
      </c>
    </row>
    <row r="628" spans="1:10" x14ac:dyDescent="0.3">
      <c r="A628" t="s">
        <v>462</v>
      </c>
      <c r="B628" t="s">
        <v>193</v>
      </c>
      <c r="C628" s="25">
        <v>45716</v>
      </c>
      <c r="D628">
        <v>260183</v>
      </c>
      <c r="E628" t="s">
        <v>466</v>
      </c>
      <c r="F628" t="s">
        <v>500</v>
      </c>
      <c r="G628">
        <v>30381.439999999999</v>
      </c>
      <c r="H628">
        <v>1806</v>
      </c>
      <c r="I628">
        <v>16.82</v>
      </c>
      <c r="J628">
        <v>3.2429999999999999</v>
      </c>
    </row>
    <row r="629" spans="1:10" x14ac:dyDescent="0.3">
      <c r="A629" t="s">
        <v>462</v>
      </c>
      <c r="B629" t="s">
        <v>193</v>
      </c>
      <c r="C629" s="25">
        <v>45747</v>
      </c>
      <c r="D629">
        <v>260183</v>
      </c>
      <c r="E629" t="s">
        <v>466</v>
      </c>
      <c r="F629" t="s">
        <v>500</v>
      </c>
      <c r="G629">
        <v>23239.35</v>
      </c>
      <c r="H629">
        <v>1634</v>
      </c>
      <c r="I629">
        <v>14.23</v>
      </c>
      <c r="J629">
        <v>2.8153000000000001</v>
      </c>
    </row>
    <row r="630" spans="1:10" x14ac:dyDescent="0.3">
      <c r="A630" t="s">
        <v>462</v>
      </c>
      <c r="B630" t="s">
        <v>193</v>
      </c>
      <c r="C630" s="25">
        <v>45777</v>
      </c>
      <c r="D630">
        <v>260183</v>
      </c>
      <c r="E630" t="s">
        <v>466</v>
      </c>
      <c r="F630" t="s">
        <v>500</v>
      </c>
      <c r="G630">
        <v>29232.28</v>
      </c>
      <c r="H630">
        <v>7443</v>
      </c>
      <c r="I630">
        <v>3.93</v>
      </c>
      <c r="J630">
        <v>3.3033999999999999</v>
      </c>
    </row>
    <row r="631" spans="1:10" x14ac:dyDescent="0.3">
      <c r="A631" t="s">
        <v>462</v>
      </c>
      <c r="B631" t="s">
        <v>193</v>
      </c>
      <c r="C631" s="25">
        <v>45808</v>
      </c>
      <c r="D631">
        <v>260183</v>
      </c>
      <c r="E631" t="s">
        <v>466</v>
      </c>
      <c r="F631" t="s">
        <v>500</v>
      </c>
      <c r="G631">
        <v>35114.629999999997</v>
      </c>
      <c r="H631">
        <v>14975</v>
      </c>
      <c r="I631">
        <v>2.34</v>
      </c>
      <c r="J631">
        <v>3.9066000000000001</v>
      </c>
    </row>
    <row r="632" spans="1:10" x14ac:dyDescent="0.3">
      <c r="A632" t="s">
        <v>462</v>
      </c>
      <c r="B632" t="s">
        <v>193</v>
      </c>
      <c r="C632" s="25">
        <v>45838</v>
      </c>
      <c r="D632">
        <v>260183</v>
      </c>
      <c r="E632" t="s">
        <v>466</v>
      </c>
      <c r="F632" t="s">
        <v>500</v>
      </c>
      <c r="G632">
        <v>33852.230000000003</v>
      </c>
      <c r="H632">
        <v>2457</v>
      </c>
      <c r="I632">
        <v>13.78</v>
      </c>
      <c r="J632">
        <v>3.9384999999999999</v>
      </c>
    </row>
    <row r="633" spans="1:10" x14ac:dyDescent="0.3">
      <c r="A633" t="s">
        <v>462</v>
      </c>
      <c r="B633" t="s">
        <v>193</v>
      </c>
      <c r="C633" s="25">
        <v>45869</v>
      </c>
      <c r="D633">
        <v>260183</v>
      </c>
      <c r="E633" t="s">
        <v>466</v>
      </c>
      <c r="F633" t="s">
        <v>500</v>
      </c>
      <c r="G633">
        <v>23983.06</v>
      </c>
      <c r="H633">
        <v>5708</v>
      </c>
      <c r="I633">
        <v>4.2</v>
      </c>
      <c r="J633">
        <v>3.0036</v>
      </c>
    </row>
    <row r="634" spans="1:10" x14ac:dyDescent="0.3">
      <c r="A634" t="s">
        <v>462</v>
      </c>
      <c r="B634" t="s">
        <v>193</v>
      </c>
      <c r="C634" s="25">
        <v>45900</v>
      </c>
      <c r="D634">
        <v>260183</v>
      </c>
      <c r="E634" t="s">
        <v>466</v>
      </c>
      <c r="F634" t="s">
        <v>500</v>
      </c>
      <c r="G634">
        <v>31080.33</v>
      </c>
      <c r="H634">
        <v>2933</v>
      </c>
      <c r="I634">
        <v>10.6</v>
      </c>
      <c r="J634">
        <v>3.5992999999999999</v>
      </c>
    </row>
    <row r="635" spans="1:10" x14ac:dyDescent="0.3">
      <c r="A635" t="s">
        <v>462</v>
      </c>
      <c r="B635" t="s">
        <v>193</v>
      </c>
      <c r="C635" s="25">
        <v>45930</v>
      </c>
      <c r="D635">
        <v>260183</v>
      </c>
      <c r="E635" t="s">
        <v>466</v>
      </c>
      <c r="F635" t="s">
        <v>500</v>
      </c>
      <c r="G635">
        <v>22367.73</v>
      </c>
      <c r="H635">
        <v>3100</v>
      </c>
      <c r="I635">
        <v>7.22</v>
      </c>
      <c r="J635">
        <v>2.7399</v>
      </c>
    </row>
    <row r="636" spans="1:10" x14ac:dyDescent="0.3">
      <c r="A636" t="s">
        <v>462</v>
      </c>
      <c r="B636" t="s">
        <v>193</v>
      </c>
      <c r="C636" s="25">
        <v>45961</v>
      </c>
      <c r="D636">
        <v>260183</v>
      </c>
      <c r="E636" t="s">
        <v>466</v>
      </c>
      <c r="F636" t="s">
        <v>500</v>
      </c>
      <c r="G636">
        <v>33870.18</v>
      </c>
      <c r="H636">
        <v>1910</v>
      </c>
      <c r="I636">
        <v>17.739999999999998</v>
      </c>
      <c r="J636">
        <v>3.4994999999999998</v>
      </c>
    </row>
    <row r="637" spans="1:10" x14ac:dyDescent="0.3">
      <c r="A637" t="s">
        <v>462</v>
      </c>
      <c r="B637" t="s">
        <v>193</v>
      </c>
      <c r="C637" s="25">
        <v>45991</v>
      </c>
      <c r="D637">
        <v>260183</v>
      </c>
      <c r="E637" t="s">
        <v>466</v>
      </c>
      <c r="F637" t="s">
        <v>500</v>
      </c>
      <c r="G637">
        <v>23416.06</v>
      </c>
      <c r="H637">
        <v>1210</v>
      </c>
      <c r="I637">
        <v>19.350000000000001</v>
      </c>
      <c r="J637">
        <v>3.0064000000000002</v>
      </c>
    </row>
    <row r="638" spans="1:10" x14ac:dyDescent="0.3">
      <c r="A638" t="s">
        <v>462</v>
      </c>
      <c r="B638" t="s">
        <v>193</v>
      </c>
      <c r="C638" s="25">
        <v>45657</v>
      </c>
      <c r="D638">
        <v>795427</v>
      </c>
      <c r="E638" t="s">
        <v>466</v>
      </c>
      <c r="F638" t="s">
        <v>499</v>
      </c>
      <c r="G638">
        <v>19952.2</v>
      </c>
      <c r="H638">
        <v>1256</v>
      </c>
      <c r="I638">
        <v>15.88</v>
      </c>
      <c r="J638">
        <v>2.4224999999999999</v>
      </c>
    </row>
    <row r="639" spans="1:10" x14ac:dyDescent="0.3">
      <c r="A639" t="s">
        <v>462</v>
      </c>
      <c r="B639" t="s">
        <v>193</v>
      </c>
      <c r="C639" s="25">
        <v>45688</v>
      </c>
      <c r="D639">
        <v>795427</v>
      </c>
      <c r="E639" t="s">
        <v>466</v>
      </c>
      <c r="F639" t="s">
        <v>499</v>
      </c>
      <c r="G639">
        <v>18945.78</v>
      </c>
      <c r="H639">
        <v>1658</v>
      </c>
      <c r="I639">
        <v>11.43</v>
      </c>
      <c r="J639">
        <v>2.1168</v>
      </c>
    </row>
    <row r="640" spans="1:10" x14ac:dyDescent="0.3">
      <c r="A640" t="s">
        <v>462</v>
      </c>
      <c r="B640" t="s">
        <v>193</v>
      </c>
      <c r="C640" s="25">
        <v>45716</v>
      </c>
      <c r="D640">
        <v>795427</v>
      </c>
      <c r="E640" t="s">
        <v>466</v>
      </c>
      <c r="F640" t="s">
        <v>499</v>
      </c>
      <c r="G640">
        <v>21193.13</v>
      </c>
      <c r="H640">
        <v>1692</v>
      </c>
      <c r="I640">
        <v>12.52</v>
      </c>
      <c r="J640">
        <v>2.2622</v>
      </c>
    </row>
    <row r="641" spans="1:10" x14ac:dyDescent="0.3">
      <c r="A641" t="s">
        <v>462</v>
      </c>
      <c r="B641" t="s">
        <v>193</v>
      </c>
      <c r="C641" s="25">
        <v>45747</v>
      </c>
      <c r="D641">
        <v>795427</v>
      </c>
      <c r="E641" t="s">
        <v>466</v>
      </c>
      <c r="F641" t="s">
        <v>499</v>
      </c>
      <c r="G641">
        <v>15057.56</v>
      </c>
      <c r="H641">
        <v>4505</v>
      </c>
      <c r="I641">
        <v>3.34</v>
      </c>
      <c r="J641">
        <v>1.8241000000000001</v>
      </c>
    </row>
    <row r="642" spans="1:10" x14ac:dyDescent="0.3">
      <c r="A642" t="s">
        <v>462</v>
      </c>
      <c r="B642" t="s">
        <v>193</v>
      </c>
      <c r="C642" s="25">
        <v>45777</v>
      </c>
      <c r="D642">
        <v>795427</v>
      </c>
      <c r="E642" t="s">
        <v>466</v>
      </c>
      <c r="F642" t="s">
        <v>499</v>
      </c>
      <c r="G642">
        <v>22625.68</v>
      </c>
      <c r="H642">
        <v>1931</v>
      </c>
      <c r="I642">
        <v>11.71</v>
      </c>
      <c r="J642">
        <v>2.5568</v>
      </c>
    </row>
    <row r="643" spans="1:10" x14ac:dyDescent="0.3">
      <c r="A643" t="s">
        <v>462</v>
      </c>
      <c r="B643" t="s">
        <v>193</v>
      </c>
      <c r="C643" s="25">
        <v>45808</v>
      </c>
      <c r="D643">
        <v>795427</v>
      </c>
      <c r="E643" t="s">
        <v>466</v>
      </c>
      <c r="F643" t="s">
        <v>499</v>
      </c>
      <c r="G643">
        <v>19138.13</v>
      </c>
      <c r="H643">
        <v>1090</v>
      </c>
      <c r="I643">
        <v>17.559999999999999</v>
      </c>
      <c r="J643">
        <v>2.1292</v>
      </c>
    </row>
    <row r="644" spans="1:10" x14ac:dyDescent="0.3">
      <c r="A644" t="s">
        <v>462</v>
      </c>
      <c r="B644" t="s">
        <v>193</v>
      </c>
      <c r="C644" s="25">
        <v>45838</v>
      </c>
      <c r="D644">
        <v>795427</v>
      </c>
      <c r="E644" t="s">
        <v>466</v>
      </c>
      <c r="F644" t="s">
        <v>499</v>
      </c>
      <c r="G644">
        <v>14070.42</v>
      </c>
      <c r="H644">
        <v>2612</v>
      </c>
      <c r="I644">
        <v>5.39</v>
      </c>
      <c r="J644">
        <v>1.637</v>
      </c>
    </row>
    <row r="645" spans="1:10" x14ac:dyDescent="0.3">
      <c r="A645" t="s">
        <v>462</v>
      </c>
      <c r="B645" t="s">
        <v>193</v>
      </c>
      <c r="C645" s="25">
        <v>45869</v>
      </c>
      <c r="D645">
        <v>795427</v>
      </c>
      <c r="E645" t="s">
        <v>466</v>
      </c>
      <c r="F645" t="s">
        <v>499</v>
      </c>
      <c r="G645">
        <v>18794.18</v>
      </c>
      <c r="H645">
        <v>1474</v>
      </c>
      <c r="I645">
        <v>12.75</v>
      </c>
      <c r="J645">
        <v>2.3538000000000001</v>
      </c>
    </row>
    <row r="646" spans="1:10" x14ac:dyDescent="0.3">
      <c r="A646" t="s">
        <v>462</v>
      </c>
      <c r="B646" t="s">
        <v>193</v>
      </c>
      <c r="C646" s="25">
        <v>45900</v>
      </c>
      <c r="D646">
        <v>795427</v>
      </c>
      <c r="E646" t="s">
        <v>466</v>
      </c>
      <c r="F646" t="s">
        <v>499</v>
      </c>
      <c r="G646">
        <v>16313.03</v>
      </c>
      <c r="H646">
        <v>1456</v>
      </c>
      <c r="I646">
        <v>11.21</v>
      </c>
      <c r="J646">
        <v>1.8891</v>
      </c>
    </row>
    <row r="647" spans="1:10" x14ac:dyDescent="0.3">
      <c r="A647" t="s">
        <v>462</v>
      </c>
      <c r="B647" t="s">
        <v>193</v>
      </c>
      <c r="C647" s="25">
        <v>45930</v>
      </c>
      <c r="D647">
        <v>795427</v>
      </c>
      <c r="E647" t="s">
        <v>466</v>
      </c>
      <c r="F647" t="s">
        <v>499</v>
      </c>
      <c r="G647">
        <v>18066.05</v>
      </c>
      <c r="H647">
        <v>1183</v>
      </c>
      <c r="I647">
        <v>15.27</v>
      </c>
      <c r="J647">
        <v>2.2130000000000001</v>
      </c>
    </row>
    <row r="648" spans="1:10" x14ac:dyDescent="0.3">
      <c r="A648" t="s">
        <v>462</v>
      </c>
      <c r="B648" t="s">
        <v>193</v>
      </c>
      <c r="C648" s="25">
        <v>45961</v>
      </c>
      <c r="D648">
        <v>795427</v>
      </c>
      <c r="E648" t="s">
        <v>466</v>
      </c>
      <c r="F648" t="s">
        <v>499</v>
      </c>
      <c r="G648">
        <v>23186.85</v>
      </c>
      <c r="H648">
        <v>2443</v>
      </c>
      <c r="I648">
        <v>9.49</v>
      </c>
      <c r="J648">
        <v>2.3957000000000002</v>
      </c>
    </row>
    <row r="649" spans="1:10" x14ac:dyDescent="0.3">
      <c r="A649" t="s">
        <v>462</v>
      </c>
      <c r="B649" t="s">
        <v>193</v>
      </c>
      <c r="C649" s="25">
        <v>45991</v>
      </c>
      <c r="D649">
        <v>795427</v>
      </c>
      <c r="E649" t="s">
        <v>466</v>
      </c>
      <c r="F649" t="s">
        <v>499</v>
      </c>
      <c r="G649">
        <v>19944.810000000001</v>
      </c>
      <c r="H649">
        <v>1780</v>
      </c>
      <c r="I649">
        <v>11.2</v>
      </c>
      <c r="J649">
        <v>2.5607000000000002</v>
      </c>
    </row>
    <row r="650" spans="1:10" x14ac:dyDescent="0.3">
      <c r="A650" t="s">
        <v>462</v>
      </c>
      <c r="B650" t="s">
        <v>193</v>
      </c>
      <c r="C650" s="25">
        <v>45657</v>
      </c>
      <c r="D650">
        <v>352001</v>
      </c>
      <c r="E650" t="s">
        <v>472</v>
      </c>
      <c r="F650" t="s">
        <v>498</v>
      </c>
      <c r="G650">
        <v>12544.85</v>
      </c>
      <c r="H650">
        <v>2886</v>
      </c>
      <c r="I650">
        <v>4.3499999999999996</v>
      </c>
      <c r="J650">
        <v>1.5230999999999999</v>
      </c>
    </row>
    <row r="651" spans="1:10" x14ac:dyDescent="0.3">
      <c r="A651" t="s">
        <v>462</v>
      </c>
      <c r="B651" t="s">
        <v>193</v>
      </c>
      <c r="C651" s="25">
        <v>45688</v>
      </c>
      <c r="D651">
        <v>352001</v>
      </c>
      <c r="E651" t="s">
        <v>472</v>
      </c>
      <c r="F651" t="s">
        <v>498</v>
      </c>
      <c r="G651">
        <v>10632.45</v>
      </c>
      <c r="H651">
        <v>2619</v>
      </c>
      <c r="I651">
        <v>4.0599999999999996</v>
      </c>
      <c r="J651">
        <v>1.1879999999999999</v>
      </c>
    </row>
    <row r="652" spans="1:10" x14ac:dyDescent="0.3">
      <c r="A652" t="s">
        <v>462</v>
      </c>
      <c r="B652" t="s">
        <v>193</v>
      </c>
      <c r="C652" s="25">
        <v>45716</v>
      </c>
      <c r="D652">
        <v>352001</v>
      </c>
      <c r="E652" t="s">
        <v>472</v>
      </c>
      <c r="F652" t="s">
        <v>498</v>
      </c>
      <c r="G652">
        <v>18260.419999999998</v>
      </c>
      <c r="H652">
        <v>1965</v>
      </c>
      <c r="I652">
        <v>9.2899999999999991</v>
      </c>
      <c r="J652">
        <v>1.9492</v>
      </c>
    </row>
    <row r="653" spans="1:10" x14ac:dyDescent="0.3">
      <c r="A653" t="s">
        <v>462</v>
      </c>
      <c r="B653" t="s">
        <v>193</v>
      </c>
      <c r="C653" s="25">
        <v>45747</v>
      </c>
      <c r="D653">
        <v>352001</v>
      </c>
      <c r="E653" t="s">
        <v>472</v>
      </c>
      <c r="F653" t="s">
        <v>498</v>
      </c>
      <c r="G653">
        <v>10648.69</v>
      </c>
      <c r="H653">
        <v>542</v>
      </c>
      <c r="I653">
        <v>19.649999999999999</v>
      </c>
      <c r="J653">
        <v>1.29</v>
      </c>
    </row>
    <row r="654" spans="1:10" x14ac:dyDescent="0.3">
      <c r="A654" t="s">
        <v>462</v>
      </c>
      <c r="B654" t="s">
        <v>193</v>
      </c>
      <c r="C654" s="25">
        <v>45777</v>
      </c>
      <c r="D654">
        <v>352001</v>
      </c>
      <c r="E654" t="s">
        <v>472</v>
      </c>
      <c r="F654" t="s">
        <v>498</v>
      </c>
      <c r="G654">
        <v>11185.97</v>
      </c>
      <c r="H654">
        <v>1074</v>
      </c>
      <c r="I654">
        <v>10.41</v>
      </c>
      <c r="J654">
        <v>1.2641</v>
      </c>
    </row>
    <row r="655" spans="1:10" x14ac:dyDescent="0.3">
      <c r="A655" t="s">
        <v>462</v>
      </c>
      <c r="B655" t="s">
        <v>193</v>
      </c>
      <c r="C655" s="25">
        <v>45808</v>
      </c>
      <c r="D655">
        <v>352001</v>
      </c>
      <c r="E655" t="s">
        <v>472</v>
      </c>
      <c r="F655" t="s">
        <v>498</v>
      </c>
      <c r="G655">
        <v>11601.41</v>
      </c>
      <c r="H655">
        <v>7623</v>
      </c>
      <c r="I655">
        <v>1.52</v>
      </c>
      <c r="J655">
        <v>1.2907</v>
      </c>
    </row>
    <row r="656" spans="1:10" x14ac:dyDescent="0.3">
      <c r="A656" t="s">
        <v>462</v>
      </c>
      <c r="B656" t="s">
        <v>193</v>
      </c>
      <c r="C656" s="25">
        <v>45838</v>
      </c>
      <c r="D656">
        <v>352001</v>
      </c>
      <c r="E656" t="s">
        <v>472</v>
      </c>
      <c r="F656" t="s">
        <v>498</v>
      </c>
      <c r="G656">
        <v>12776.42</v>
      </c>
      <c r="H656">
        <v>672</v>
      </c>
      <c r="I656">
        <v>19.010000000000002</v>
      </c>
      <c r="J656">
        <v>1.4863999999999999</v>
      </c>
    </row>
    <row r="657" spans="1:10" x14ac:dyDescent="0.3">
      <c r="A657" t="s">
        <v>462</v>
      </c>
      <c r="B657" t="s">
        <v>193</v>
      </c>
      <c r="C657" s="25">
        <v>45869</v>
      </c>
      <c r="D657">
        <v>352001</v>
      </c>
      <c r="E657" t="s">
        <v>472</v>
      </c>
      <c r="F657" t="s">
        <v>498</v>
      </c>
      <c r="G657">
        <v>9961.4</v>
      </c>
      <c r="H657">
        <v>1340</v>
      </c>
      <c r="I657">
        <v>7.43</v>
      </c>
      <c r="J657">
        <v>1.2475000000000001</v>
      </c>
    </row>
    <row r="658" spans="1:10" x14ac:dyDescent="0.3">
      <c r="A658" t="s">
        <v>462</v>
      </c>
      <c r="B658" t="s">
        <v>193</v>
      </c>
      <c r="C658" s="25">
        <v>45900</v>
      </c>
      <c r="D658">
        <v>352001</v>
      </c>
      <c r="E658" t="s">
        <v>472</v>
      </c>
      <c r="F658" t="s">
        <v>498</v>
      </c>
      <c r="G658">
        <v>12771.12</v>
      </c>
      <c r="H658">
        <v>3769</v>
      </c>
      <c r="I658">
        <v>3.39</v>
      </c>
      <c r="J658">
        <v>1.4790000000000001</v>
      </c>
    </row>
    <row r="659" spans="1:10" x14ac:dyDescent="0.3">
      <c r="A659" t="s">
        <v>462</v>
      </c>
      <c r="B659" t="s">
        <v>193</v>
      </c>
      <c r="C659" s="25">
        <v>45930</v>
      </c>
      <c r="D659">
        <v>352001</v>
      </c>
      <c r="E659" t="s">
        <v>472</v>
      </c>
      <c r="F659" t="s">
        <v>498</v>
      </c>
      <c r="G659">
        <v>11711.58</v>
      </c>
      <c r="H659">
        <v>775</v>
      </c>
      <c r="I659">
        <v>15.1</v>
      </c>
      <c r="J659">
        <v>1.4346000000000001</v>
      </c>
    </row>
    <row r="660" spans="1:10" x14ac:dyDescent="0.3">
      <c r="A660" t="s">
        <v>462</v>
      </c>
      <c r="B660" t="s">
        <v>193</v>
      </c>
      <c r="C660" s="25">
        <v>45961</v>
      </c>
      <c r="D660">
        <v>352001</v>
      </c>
      <c r="E660" t="s">
        <v>472</v>
      </c>
      <c r="F660" t="s">
        <v>498</v>
      </c>
      <c r="G660">
        <v>14882.46</v>
      </c>
      <c r="H660">
        <v>1029</v>
      </c>
      <c r="I660">
        <v>14.46</v>
      </c>
      <c r="J660">
        <v>1.5377000000000001</v>
      </c>
    </row>
    <row r="661" spans="1:10" x14ac:dyDescent="0.3">
      <c r="A661" t="s">
        <v>462</v>
      </c>
      <c r="B661" t="s">
        <v>193</v>
      </c>
      <c r="C661" s="25">
        <v>45991</v>
      </c>
      <c r="D661">
        <v>352001</v>
      </c>
      <c r="E661" t="s">
        <v>472</v>
      </c>
      <c r="F661" t="s">
        <v>498</v>
      </c>
      <c r="G661">
        <v>12304.63</v>
      </c>
      <c r="H661">
        <v>753</v>
      </c>
      <c r="I661">
        <v>16.350000000000001</v>
      </c>
      <c r="J661">
        <v>1.5798000000000001</v>
      </c>
    </row>
    <row r="662" spans="1:10" x14ac:dyDescent="0.3">
      <c r="A662" t="s">
        <v>462</v>
      </c>
      <c r="B662" t="s">
        <v>193</v>
      </c>
      <c r="C662" s="25">
        <v>45657</v>
      </c>
      <c r="D662">
        <v>905742</v>
      </c>
      <c r="E662" t="s">
        <v>463</v>
      </c>
      <c r="F662" t="s">
        <v>497</v>
      </c>
      <c r="G662">
        <v>9788.35</v>
      </c>
      <c r="H662">
        <v>687</v>
      </c>
      <c r="I662">
        <v>14.25</v>
      </c>
      <c r="J662">
        <v>1.1883999999999999</v>
      </c>
    </row>
    <row r="663" spans="1:10" x14ac:dyDescent="0.3">
      <c r="A663" t="s">
        <v>462</v>
      </c>
      <c r="B663" t="s">
        <v>193</v>
      </c>
      <c r="C663" s="25">
        <v>45688</v>
      </c>
      <c r="D663">
        <v>905742</v>
      </c>
      <c r="E663" t="s">
        <v>463</v>
      </c>
      <c r="F663" t="s">
        <v>497</v>
      </c>
      <c r="G663">
        <v>10987.1</v>
      </c>
      <c r="H663">
        <v>784</v>
      </c>
      <c r="I663">
        <v>14.01</v>
      </c>
      <c r="J663">
        <v>1.2276</v>
      </c>
    </row>
    <row r="664" spans="1:10" x14ac:dyDescent="0.3">
      <c r="A664" t="s">
        <v>462</v>
      </c>
      <c r="B664" t="s">
        <v>193</v>
      </c>
      <c r="C664" s="25">
        <v>45716</v>
      </c>
      <c r="D664">
        <v>905742</v>
      </c>
      <c r="E664" t="s">
        <v>463</v>
      </c>
      <c r="F664" t="s">
        <v>497</v>
      </c>
      <c r="G664">
        <v>14557.88</v>
      </c>
      <c r="H664">
        <v>2216</v>
      </c>
      <c r="I664">
        <v>6.57</v>
      </c>
      <c r="J664">
        <v>1.554</v>
      </c>
    </row>
    <row r="665" spans="1:10" x14ac:dyDescent="0.3">
      <c r="A665" t="s">
        <v>462</v>
      </c>
      <c r="B665" t="s">
        <v>193</v>
      </c>
      <c r="C665" s="25">
        <v>45747</v>
      </c>
      <c r="D665">
        <v>905742</v>
      </c>
      <c r="E665" t="s">
        <v>463</v>
      </c>
      <c r="F665" t="s">
        <v>497</v>
      </c>
      <c r="G665">
        <v>10050.68</v>
      </c>
      <c r="H665">
        <v>1493</v>
      </c>
      <c r="I665">
        <v>6.73</v>
      </c>
      <c r="J665">
        <v>1.2176</v>
      </c>
    </row>
    <row r="666" spans="1:10" x14ac:dyDescent="0.3">
      <c r="A666" t="s">
        <v>462</v>
      </c>
      <c r="B666" t="s">
        <v>193</v>
      </c>
      <c r="C666" s="25">
        <v>45777</v>
      </c>
      <c r="D666">
        <v>905742</v>
      </c>
      <c r="E666" t="s">
        <v>463</v>
      </c>
      <c r="F666" t="s">
        <v>497</v>
      </c>
      <c r="G666">
        <v>12255.93</v>
      </c>
      <c r="H666">
        <v>3747</v>
      </c>
      <c r="I666">
        <v>3.27</v>
      </c>
      <c r="J666">
        <v>1.385</v>
      </c>
    </row>
    <row r="667" spans="1:10" x14ac:dyDescent="0.3">
      <c r="A667" t="s">
        <v>462</v>
      </c>
      <c r="B667" t="s">
        <v>193</v>
      </c>
      <c r="C667" s="25">
        <v>45808</v>
      </c>
      <c r="D667">
        <v>905742</v>
      </c>
      <c r="E667" t="s">
        <v>463</v>
      </c>
      <c r="F667" t="s">
        <v>497</v>
      </c>
      <c r="G667">
        <v>11237.61</v>
      </c>
      <c r="H667">
        <v>574</v>
      </c>
      <c r="I667">
        <v>19.579999999999998</v>
      </c>
      <c r="J667">
        <v>1.2502</v>
      </c>
    </row>
    <row r="668" spans="1:10" x14ac:dyDescent="0.3">
      <c r="A668" t="s">
        <v>462</v>
      </c>
      <c r="B668" t="s">
        <v>193</v>
      </c>
      <c r="C668" s="25">
        <v>45838</v>
      </c>
      <c r="D668">
        <v>905742</v>
      </c>
      <c r="E668" t="s">
        <v>463</v>
      </c>
      <c r="F668" t="s">
        <v>497</v>
      </c>
      <c r="G668">
        <v>12865.8</v>
      </c>
      <c r="H668">
        <v>8280</v>
      </c>
      <c r="I668">
        <v>1.55</v>
      </c>
      <c r="J668">
        <v>1.4967999999999999</v>
      </c>
    </row>
    <row r="669" spans="1:10" x14ac:dyDescent="0.3">
      <c r="A669" t="s">
        <v>462</v>
      </c>
      <c r="B669" t="s">
        <v>193</v>
      </c>
      <c r="C669" s="25">
        <v>45869</v>
      </c>
      <c r="D669">
        <v>905742</v>
      </c>
      <c r="E669" t="s">
        <v>463</v>
      </c>
      <c r="F669" t="s">
        <v>497</v>
      </c>
      <c r="G669">
        <v>9811.74</v>
      </c>
      <c r="H669">
        <v>509</v>
      </c>
      <c r="I669">
        <v>19.27</v>
      </c>
      <c r="J669">
        <v>1.2287999999999999</v>
      </c>
    </row>
    <row r="670" spans="1:10" x14ac:dyDescent="0.3">
      <c r="A670" t="s">
        <v>462</v>
      </c>
      <c r="B670" t="s">
        <v>193</v>
      </c>
      <c r="C670" s="25">
        <v>45900</v>
      </c>
      <c r="D670">
        <v>905742</v>
      </c>
      <c r="E670" t="s">
        <v>463</v>
      </c>
      <c r="F670" t="s">
        <v>497</v>
      </c>
      <c r="G670">
        <v>13864.24</v>
      </c>
      <c r="H670">
        <v>728</v>
      </c>
      <c r="I670">
        <v>19.05</v>
      </c>
      <c r="J670">
        <v>1.6054999999999999</v>
      </c>
    </row>
    <row r="671" spans="1:10" x14ac:dyDescent="0.3">
      <c r="A671" t="s">
        <v>462</v>
      </c>
      <c r="B671" t="s">
        <v>193</v>
      </c>
      <c r="C671" s="25">
        <v>45930</v>
      </c>
      <c r="D671">
        <v>905742</v>
      </c>
      <c r="E671" t="s">
        <v>463</v>
      </c>
      <c r="F671" t="s">
        <v>497</v>
      </c>
      <c r="G671">
        <v>11235.84</v>
      </c>
      <c r="H671">
        <v>1117</v>
      </c>
      <c r="I671">
        <v>10.06</v>
      </c>
      <c r="J671">
        <v>1.3763000000000001</v>
      </c>
    </row>
    <row r="672" spans="1:10" x14ac:dyDescent="0.3">
      <c r="A672" t="s">
        <v>462</v>
      </c>
      <c r="B672" t="s">
        <v>193</v>
      </c>
      <c r="C672" s="25">
        <v>45961</v>
      </c>
      <c r="D672">
        <v>905742</v>
      </c>
      <c r="E672" t="s">
        <v>463</v>
      </c>
      <c r="F672" t="s">
        <v>497</v>
      </c>
      <c r="G672">
        <v>12823.91</v>
      </c>
      <c r="H672">
        <v>1438</v>
      </c>
      <c r="I672">
        <v>8.92</v>
      </c>
      <c r="J672">
        <v>1.325</v>
      </c>
    </row>
    <row r="673" spans="1:10" x14ac:dyDescent="0.3">
      <c r="A673" t="s">
        <v>462</v>
      </c>
      <c r="B673" t="s">
        <v>193</v>
      </c>
      <c r="C673" s="25">
        <v>45991</v>
      </c>
      <c r="D673">
        <v>905742</v>
      </c>
      <c r="E673" t="s">
        <v>463</v>
      </c>
      <c r="F673" t="s">
        <v>497</v>
      </c>
      <c r="G673">
        <v>10458.969999999999</v>
      </c>
      <c r="H673">
        <v>1207</v>
      </c>
      <c r="I673">
        <v>8.67</v>
      </c>
      <c r="J673">
        <v>1.3428</v>
      </c>
    </row>
    <row r="674" spans="1:10" x14ac:dyDescent="0.3">
      <c r="A674" t="s">
        <v>462</v>
      </c>
      <c r="B674" t="s">
        <v>193</v>
      </c>
      <c r="C674" s="25">
        <v>45657</v>
      </c>
      <c r="D674">
        <v>940438</v>
      </c>
      <c r="E674" t="s">
        <v>472</v>
      </c>
      <c r="F674" t="s">
        <v>496</v>
      </c>
      <c r="G674">
        <v>11808.92</v>
      </c>
      <c r="H674">
        <v>731</v>
      </c>
      <c r="I674">
        <v>16.16</v>
      </c>
      <c r="J674">
        <v>1.4338</v>
      </c>
    </row>
    <row r="675" spans="1:10" x14ac:dyDescent="0.3">
      <c r="A675" t="s">
        <v>462</v>
      </c>
      <c r="B675" t="s">
        <v>193</v>
      </c>
      <c r="C675" s="25">
        <v>45688</v>
      </c>
      <c r="D675">
        <v>940438</v>
      </c>
      <c r="E675" t="s">
        <v>472</v>
      </c>
      <c r="F675" t="s">
        <v>496</v>
      </c>
      <c r="G675">
        <v>11040.13</v>
      </c>
      <c r="H675">
        <v>670</v>
      </c>
      <c r="I675">
        <v>16.489999999999998</v>
      </c>
      <c r="J675">
        <v>1.2335</v>
      </c>
    </row>
    <row r="676" spans="1:10" x14ac:dyDescent="0.3">
      <c r="A676" t="s">
        <v>462</v>
      </c>
      <c r="B676" t="s">
        <v>193</v>
      </c>
      <c r="C676" s="25">
        <v>45716</v>
      </c>
      <c r="D676">
        <v>940438</v>
      </c>
      <c r="E676" t="s">
        <v>472</v>
      </c>
      <c r="F676" t="s">
        <v>496</v>
      </c>
      <c r="G676">
        <v>14404.45</v>
      </c>
      <c r="H676">
        <v>2182</v>
      </c>
      <c r="I676">
        <v>6.6</v>
      </c>
      <c r="J676">
        <v>1.5376000000000001</v>
      </c>
    </row>
    <row r="677" spans="1:10" x14ac:dyDescent="0.3">
      <c r="A677" t="s">
        <v>462</v>
      </c>
      <c r="B677" t="s">
        <v>193</v>
      </c>
      <c r="C677" s="25">
        <v>45747</v>
      </c>
      <c r="D677">
        <v>940438</v>
      </c>
      <c r="E677" t="s">
        <v>472</v>
      </c>
      <c r="F677" t="s">
        <v>496</v>
      </c>
      <c r="G677">
        <v>12017.98</v>
      </c>
      <c r="H677">
        <v>807</v>
      </c>
      <c r="I677">
        <v>14.9</v>
      </c>
      <c r="J677">
        <v>1.4559</v>
      </c>
    </row>
    <row r="678" spans="1:10" x14ac:dyDescent="0.3">
      <c r="A678" t="s">
        <v>462</v>
      </c>
      <c r="B678" t="s">
        <v>193</v>
      </c>
      <c r="C678" s="25">
        <v>45777</v>
      </c>
      <c r="D678">
        <v>940438</v>
      </c>
      <c r="E678" t="s">
        <v>472</v>
      </c>
      <c r="F678" t="s">
        <v>496</v>
      </c>
      <c r="G678">
        <v>11388.02</v>
      </c>
      <c r="H678">
        <v>719</v>
      </c>
      <c r="I678">
        <v>15.84</v>
      </c>
      <c r="J678">
        <v>1.2868999999999999</v>
      </c>
    </row>
    <row r="679" spans="1:10" x14ac:dyDescent="0.3">
      <c r="A679" t="s">
        <v>462</v>
      </c>
      <c r="B679" t="s">
        <v>193</v>
      </c>
      <c r="C679" s="25">
        <v>45808</v>
      </c>
      <c r="D679">
        <v>940438</v>
      </c>
      <c r="E679" t="s">
        <v>472</v>
      </c>
      <c r="F679" t="s">
        <v>496</v>
      </c>
      <c r="G679">
        <v>11227.52</v>
      </c>
      <c r="H679">
        <v>2409</v>
      </c>
      <c r="I679">
        <v>4.66</v>
      </c>
      <c r="J679">
        <v>1.2491000000000001</v>
      </c>
    </row>
    <row r="680" spans="1:10" x14ac:dyDescent="0.3">
      <c r="A680" t="s">
        <v>462</v>
      </c>
      <c r="B680" t="s">
        <v>193</v>
      </c>
      <c r="C680" s="25">
        <v>45838</v>
      </c>
      <c r="D680">
        <v>940438</v>
      </c>
      <c r="E680" t="s">
        <v>472</v>
      </c>
      <c r="F680" t="s">
        <v>496</v>
      </c>
      <c r="G680">
        <v>12357.62</v>
      </c>
      <c r="H680">
        <v>961</v>
      </c>
      <c r="I680">
        <v>12.86</v>
      </c>
      <c r="J680">
        <v>1.4377</v>
      </c>
    </row>
    <row r="681" spans="1:10" x14ac:dyDescent="0.3">
      <c r="A681" t="s">
        <v>462</v>
      </c>
      <c r="B681" t="s">
        <v>193</v>
      </c>
      <c r="C681" s="25">
        <v>45869</v>
      </c>
      <c r="D681">
        <v>940438</v>
      </c>
      <c r="E681" t="s">
        <v>472</v>
      </c>
      <c r="F681" t="s">
        <v>496</v>
      </c>
      <c r="G681">
        <v>12593.13</v>
      </c>
      <c r="H681">
        <v>1658</v>
      </c>
      <c r="I681">
        <v>7.6</v>
      </c>
      <c r="J681">
        <v>1.5770999999999999</v>
      </c>
    </row>
    <row r="682" spans="1:10" x14ac:dyDescent="0.3">
      <c r="A682" t="s">
        <v>462</v>
      </c>
      <c r="B682" t="s">
        <v>193</v>
      </c>
      <c r="C682" s="25">
        <v>45900</v>
      </c>
      <c r="D682">
        <v>940438</v>
      </c>
      <c r="E682" t="s">
        <v>472</v>
      </c>
      <c r="F682" t="s">
        <v>496</v>
      </c>
      <c r="G682">
        <v>11577.09</v>
      </c>
      <c r="H682">
        <v>2470</v>
      </c>
      <c r="I682">
        <v>4.6900000000000004</v>
      </c>
      <c r="J682">
        <v>1.3407</v>
      </c>
    </row>
    <row r="683" spans="1:10" x14ac:dyDescent="0.3">
      <c r="A683" t="s">
        <v>462</v>
      </c>
      <c r="B683" t="s">
        <v>193</v>
      </c>
      <c r="C683" s="25">
        <v>45930</v>
      </c>
      <c r="D683">
        <v>940438</v>
      </c>
      <c r="E683" t="s">
        <v>472</v>
      </c>
      <c r="F683" t="s">
        <v>496</v>
      </c>
      <c r="G683">
        <v>11958.96</v>
      </c>
      <c r="H683">
        <v>2700</v>
      </c>
      <c r="I683">
        <v>4.43</v>
      </c>
      <c r="J683">
        <v>1.4649000000000001</v>
      </c>
    </row>
    <row r="684" spans="1:10" x14ac:dyDescent="0.3">
      <c r="A684" t="s">
        <v>462</v>
      </c>
      <c r="B684" t="s">
        <v>193</v>
      </c>
      <c r="C684" s="25">
        <v>45961</v>
      </c>
      <c r="D684">
        <v>940438</v>
      </c>
      <c r="E684" t="s">
        <v>472</v>
      </c>
      <c r="F684" t="s">
        <v>496</v>
      </c>
      <c r="G684">
        <v>11846.02</v>
      </c>
      <c r="H684">
        <v>700</v>
      </c>
      <c r="I684">
        <v>16.93</v>
      </c>
      <c r="J684">
        <v>1.224</v>
      </c>
    </row>
    <row r="685" spans="1:10" x14ac:dyDescent="0.3">
      <c r="A685" t="s">
        <v>462</v>
      </c>
      <c r="B685" t="s">
        <v>193</v>
      </c>
      <c r="C685" s="25">
        <v>45991</v>
      </c>
      <c r="D685">
        <v>940438</v>
      </c>
      <c r="E685" t="s">
        <v>472</v>
      </c>
      <c r="F685" t="s">
        <v>496</v>
      </c>
      <c r="G685">
        <v>11163.72</v>
      </c>
      <c r="H685">
        <v>2828</v>
      </c>
      <c r="I685">
        <v>3.95</v>
      </c>
      <c r="J685">
        <v>1.4333</v>
      </c>
    </row>
    <row r="686" spans="1:10" x14ac:dyDescent="0.3">
      <c r="A686" t="s">
        <v>462</v>
      </c>
      <c r="B686" t="s">
        <v>193</v>
      </c>
      <c r="C686" s="25">
        <v>45657</v>
      </c>
      <c r="D686">
        <v>496973</v>
      </c>
      <c r="E686" t="s">
        <v>468</v>
      </c>
      <c r="F686" t="s">
        <v>495</v>
      </c>
      <c r="G686">
        <v>13162.39</v>
      </c>
      <c r="H686">
        <v>995</v>
      </c>
      <c r="I686">
        <v>13.23</v>
      </c>
      <c r="J686">
        <v>1.5981000000000001</v>
      </c>
    </row>
    <row r="687" spans="1:10" x14ac:dyDescent="0.3">
      <c r="A687" t="s">
        <v>462</v>
      </c>
      <c r="B687" t="s">
        <v>193</v>
      </c>
      <c r="C687" s="25">
        <v>45688</v>
      </c>
      <c r="D687">
        <v>496973</v>
      </c>
      <c r="E687" t="s">
        <v>468</v>
      </c>
      <c r="F687" t="s">
        <v>495</v>
      </c>
      <c r="G687">
        <v>8798.83</v>
      </c>
      <c r="H687">
        <v>929</v>
      </c>
      <c r="I687">
        <v>9.4700000000000006</v>
      </c>
      <c r="J687">
        <v>0.98309999999999997</v>
      </c>
    </row>
    <row r="688" spans="1:10" x14ac:dyDescent="0.3">
      <c r="A688" t="s">
        <v>462</v>
      </c>
      <c r="B688" t="s">
        <v>193</v>
      </c>
      <c r="C688" s="25">
        <v>45716</v>
      </c>
      <c r="D688">
        <v>496973</v>
      </c>
      <c r="E688" t="s">
        <v>468</v>
      </c>
      <c r="F688" t="s">
        <v>495</v>
      </c>
      <c r="G688">
        <v>10925.24</v>
      </c>
      <c r="H688">
        <v>1886</v>
      </c>
      <c r="I688">
        <v>5.79</v>
      </c>
      <c r="J688">
        <v>1.1661999999999999</v>
      </c>
    </row>
    <row r="689" spans="1:10" x14ac:dyDescent="0.3">
      <c r="A689" t="s">
        <v>462</v>
      </c>
      <c r="B689" t="s">
        <v>193</v>
      </c>
      <c r="C689" s="25">
        <v>45747</v>
      </c>
      <c r="D689">
        <v>496973</v>
      </c>
      <c r="E689" t="s">
        <v>468</v>
      </c>
      <c r="F689" t="s">
        <v>495</v>
      </c>
      <c r="G689">
        <v>9915.4</v>
      </c>
      <c r="H689">
        <v>1562</v>
      </c>
      <c r="I689">
        <v>6.35</v>
      </c>
      <c r="J689">
        <v>1.2012</v>
      </c>
    </row>
    <row r="690" spans="1:10" x14ac:dyDescent="0.3">
      <c r="A690" t="s">
        <v>462</v>
      </c>
      <c r="B690" t="s">
        <v>193</v>
      </c>
      <c r="C690" s="25">
        <v>45777</v>
      </c>
      <c r="D690">
        <v>496973</v>
      </c>
      <c r="E690" t="s">
        <v>468</v>
      </c>
      <c r="F690" t="s">
        <v>495</v>
      </c>
      <c r="G690">
        <v>9994.7900000000009</v>
      </c>
      <c r="H690">
        <v>501</v>
      </c>
      <c r="I690">
        <v>19.95</v>
      </c>
      <c r="J690">
        <v>1.1294999999999999</v>
      </c>
    </row>
    <row r="691" spans="1:10" x14ac:dyDescent="0.3">
      <c r="A691" t="s">
        <v>462</v>
      </c>
      <c r="B691" t="s">
        <v>193</v>
      </c>
      <c r="C691" s="25">
        <v>45808</v>
      </c>
      <c r="D691">
        <v>496973</v>
      </c>
      <c r="E691" t="s">
        <v>468</v>
      </c>
      <c r="F691" t="s">
        <v>495</v>
      </c>
      <c r="G691">
        <v>13740.44</v>
      </c>
      <c r="H691">
        <v>1873</v>
      </c>
      <c r="I691">
        <v>7.34</v>
      </c>
      <c r="J691">
        <v>1.5286999999999999</v>
      </c>
    </row>
    <row r="692" spans="1:10" x14ac:dyDescent="0.3">
      <c r="A692" t="s">
        <v>462</v>
      </c>
      <c r="B692" t="s">
        <v>193</v>
      </c>
      <c r="C692" s="25">
        <v>45838</v>
      </c>
      <c r="D692">
        <v>496973</v>
      </c>
      <c r="E692" t="s">
        <v>468</v>
      </c>
      <c r="F692" t="s">
        <v>495</v>
      </c>
      <c r="G692">
        <v>8737.19</v>
      </c>
      <c r="H692">
        <v>462</v>
      </c>
      <c r="I692">
        <v>18.899999999999999</v>
      </c>
      <c r="J692">
        <v>1.0165</v>
      </c>
    </row>
    <row r="693" spans="1:10" x14ac:dyDescent="0.3">
      <c r="A693" t="s">
        <v>462</v>
      </c>
      <c r="B693" t="s">
        <v>193</v>
      </c>
      <c r="C693" s="25">
        <v>45869</v>
      </c>
      <c r="D693">
        <v>496973</v>
      </c>
      <c r="E693" t="s">
        <v>468</v>
      </c>
      <c r="F693" t="s">
        <v>495</v>
      </c>
      <c r="G693">
        <v>9539.39</v>
      </c>
      <c r="H693">
        <v>566</v>
      </c>
      <c r="I693">
        <v>16.84</v>
      </c>
      <c r="J693">
        <v>1.1947000000000001</v>
      </c>
    </row>
    <row r="694" spans="1:10" x14ac:dyDescent="0.3">
      <c r="A694" t="s">
        <v>462</v>
      </c>
      <c r="B694" t="s">
        <v>193</v>
      </c>
      <c r="C694" s="25">
        <v>45900</v>
      </c>
      <c r="D694">
        <v>496973</v>
      </c>
      <c r="E694" t="s">
        <v>468</v>
      </c>
      <c r="F694" t="s">
        <v>495</v>
      </c>
      <c r="G694">
        <v>10165.969999999999</v>
      </c>
      <c r="H694">
        <v>2201</v>
      </c>
      <c r="I694">
        <v>4.62</v>
      </c>
      <c r="J694">
        <v>1.1773</v>
      </c>
    </row>
    <row r="695" spans="1:10" x14ac:dyDescent="0.3">
      <c r="A695" t="s">
        <v>462</v>
      </c>
      <c r="B695" t="s">
        <v>193</v>
      </c>
      <c r="C695" s="25">
        <v>45930</v>
      </c>
      <c r="D695">
        <v>496973</v>
      </c>
      <c r="E695" t="s">
        <v>468</v>
      </c>
      <c r="F695" t="s">
        <v>495</v>
      </c>
      <c r="G695">
        <v>12588.9</v>
      </c>
      <c r="H695">
        <v>1507</v>
      </c>
      <c r="I695">
        <v>8.36</v>
      </c>
      <c r="J695">
        <v>1.5421</v>
      </c>
    </row>
    <row r="696" spans="1:10" x14ac:dyDescent="0.3">
      <c r="A696" t="s">
        <v>462</v>
      </c>
      <c r="B696" t="s">
        <v>193</v>
      </c>
      <c r="C696" s="25">
        <v>45961</v>
      </c>
      <c r="D696">
        <v>496973</v>
      </c>
      <c r="E696" t="s">
        <v>468</v>
      </c>
      <c r="F696" t="s">
        <v>495</v>
      </c>
      <c r="G696">
        <v>9870.5400000000009</v>
      </c>
      <c r="H696">
        <v>758</v>
      </c>
      <c r="I696">
        <v>13.01</v>
      </c>
      <c r="J696">
        <v>1.0198</v>
      </c>
    </row>
    <row r="697" spans="1:10" x14ac:dyDescent="0.3">
      <c r="A697" t="s">
        <v>462</v>
      </c>
      <c r="B697" t="s">
        <v>193</v>
      </c>
      <c r="C697" s="25">
        <v>45991</v>
      </c>
      <c r="D697">
        <v>496973</v>
      </c>
      <c r="E697" t="s">
        <v>468</v>
      </c>
      <c r="F697" t="s">
        <v>495</v>
      </c>
      <c r="G697">
        <v>6858.1</v>
      </c>
      <c r="H697">
        <v>772</v>
      </c>
      <c r="I697">
        <v>8.89</v>
      </c>
      <c r="J697">
        <v>0.88049999999999995</v>
      </c>
    </row>
    <row r="698" spans="1:10" x14ac:dyDescent="0.3">
      <c r="A698" t="s">
        <v>462</v>
      </c>
      <c r="B698" t="s">
        <v>193</v>
      </c>
      <c r="C698" s="25">
        <v>45657</v>
      </c>
      <c r="D698">
        <v>937590</v>
      </c>
      <c r="E698" t="s">
        <v>472</v>
      </c>
      <c r="F698" t="s">
        <v>494</v>
      </c>
      <c r="G698">
        <v>6892.19</v>
      </c>
      <c r="H698">
        <v>1223</v>
      </c>
      <c r="I698">
        <v>5.64</v>
      </c>
      <c r="J698">
        <v>0.83679999999999999</v>
      </c>
    </row>
    <row r="699" spans="1:10" x14ac:dyDescent="0.3">
      <c r="A699" t="s">
        <v>462</v>
      </c>
      <c r="B699" t="s">
        <v>193</v>
      </c>
      <c r="C699" s="25">
        <v>45688</v>
      </c>
      <c r="D699">
        <v>937590</v>
      </c>
      <c r="E699" t="s">
        <v>472</v>
      </c>
      <c r="F699" t="s">
        <v>494</v>
      </c>
      <c r="G699">
        <v>4936.55</v>
      </c>
      <c r="H699">
        <v>765</v>
      </c>
      <c r="I699">
        <v>6.45</v>
      </c>
      <c r="J699">
        <v>0.55159999999999998</v>
      </c>
    </row>
    <row r="700" spans="1:10" x14ac:dyDescent="0.3">
      <c r="A700" t="s">
        <v>462</v>
      </c>
      <c r="B700" t="s">
        <v>193</v>
      </c>
      <c r="C700" s="25">
        <v>45716</v>
      </c>
      <c r="D700">
        <v>937590</v>
      </c>
      <c r="E700" t="s">
        <v>472</v>
      </c>
      <c r="F700" t="s">
        <v>494</v>
      </c>
      <c r="G700">
        <v>5362.86</v>
      </c>
      <c r="H700">
        <v>1585</v>
      </c>
      <c r="I700">
        <v>3.38</v>
      </c>
      <c r="J700">
        <v>0.57250000000000001</v>
      </c>
    </row>
    <row r="701" spans="1:10" x14ac:dyDescent="0.3">
      <c r="A701" t="s">
        <v>462</v>
      </c>
      <c r="B701" t="s">
        <v>193</v>
      </c>
      <c r="C701" s="25">
        <v>45747</v>
      </c>
      <c r="D701">
        <v>937590</v>
      </c>
      <c r="E701" t="s">
        <v>472</v>
      </c>
      <c r="F701" t="s">
        <v>494</v>
      </c>
      <c r="G701">
        <v>5060.13</v>
      </c>
      <c r="H701">
        <v>4079</v>
      </c>
      <c r="I701">
        <v>1.24</v>
      </c>
      <c r="J701">
        <v>0.61299999999999999</v>
      </c>
    </row>
    <row r="702" spans="1:10" x14ac:dyDescent="0.3">
      <c r="A702" t="s">
        <v>462</v>
      </c>
      <c r="B702" t="s">
        <v>193</v>
      </c>
      <c r="C702" s="25">
        <v>45777</v>
      </c>
      <c r="D702">
        <v>937590</v>
      </c>
      <c r="E702" t="s">
        <v>472</v>
      </c>
      <c r="F702" t="s">
        <v>494</v>
      </c>
      <c r="G702">
        <v>5547.65</v>
      </c>
      <c r="H702">
        <v>380</v>
      </c>
      <c r="I702">
        <v>14.59</v>
      </c>
      <c r="J702">
        <v>0.62690000000000001</v>
      </c>
    </row>
    <row r="703" spans="1:10" x14ac:dyDescent="0.3">
      <c r="A703" t="s">
        <v>462</v>
      </c>
      <c r="B703" t="s">
        <v>193</v>
      </c>
      <c r="C703" s="25">
        <v>45808</v>
      </c>
      <c r="D703">
        <v>937590</v>
      </c>
      <c r="E703" t="s">
        <v>472</v>
      </c>
      <c r="F703" t="s">
        <v>494</v>
      </c>
      <c r="G703">
        <v>7977.19</v>
      </c>
      <c r="H703">
        <v>400</v>
      </c>
      <c r="I703">
        <v>19.95</v>
      </c>
      <c r="J703">
        <v>0.88749999999999996</v>
      </c>
    </row>
    <row r="704" spans="1:10" x14ac:dyDescent="0.3">
      <c r="A704" t="s">
        <v>462</v>
      </c>
      <c r="B704" t="s">
        <v>193</v>
      </c>
      <c r="C704" s="25">
        <v>45838</v>
      </c>
      <c r="D704">
        <v>937590</v>
      </c>
      <c r="E704" t="s">
        <v>472</v>
      </c>
      <c r="F704" t="s">
        <v>494</v>
      </c>
      <c r="G704">
        <v>4671.7</v>
      </c>
      <c r="H704">
        <v>355</v>
      </c>
      <c r="I704">
        <v>13.16</v>
      </c>
      <c r="J704">
        <v>0.54349999999999998</v>
      </c>
    </row>
    <row r="705" spans="1:10" x14ac:dyDescent="0.3">
      <c r="A705" t="s">
        <v>462</v>
      </c>
      <c r="B705" t="s">
        <v>193</v>
      </c>
      <c r="C705" s="25">
        <v>45869</v>
      </c>
      <c r="D705">
        <v>937590</v>
      </c>
      <c r="E705" t="s">
        <v>472</v>
      </c>
      <c r="F705" t="s">
        <v>494</v>
      </c>
      <c r="G705">
        <v>6022.85</v>
      </c>
      <c r="H705">
        <v>677</v>
      </c>
      <c r="I705">
        <v>8.9</v>
      </c>
      <c r="J705">
        <v>0.75429999999999997</v>
      </c>
    </row>
    <row r="706" spans="1:10" x14ac:dyDescent="0.3">
      <c r="A706" t="s">
        <v>462</v>
      </c>
      <c r="B706" t="s">
        <v>193</v>
      </c>
      <c r="C706" s="25">
        <v>45900</v>
      </c>
      <c r="D706">
        <v>937590</v>
      </c>
      <c r="E706" t="s">
        <v>472</v>
      </c>
      <c r="F706" t="s">
        <v>494</v>
      </c>
      <c r="G706">
        <v>7185.61</v>
      </c>
      <c r="H706">
        <v>551</v>
      </c>
      <c r="I706">
        <v>13.04</v>
      </c>
      <c r="J706">
        <v>0.83209999999999995</v>
      </c>
    </row>
    <row r="707" spans="1:10" x14ac:dyDescent="0.3">
      <c r="A707" t="s">
        <v>462</v>
      </c>
      <c r="B707" t="s">
        <v>193</v>
      </c>
      <c r="C707" s="25">
        <v>45930</v>
      </c>
      <c r="D707">
        <v>937590</v>
      </c>
      <c r="E707" t="s">
        <v>472</v>
      </c>
      <c r="F707" t="s">
        <v>494</v>
      </c>
      <c r="G707">
        <v>5590.04</v>
      </c>
      <c r="H707">
        <v>514</v>
      </c>
      <c r="I707">
        <v>10.87</v>
      </c>
      <c r="J707">
        <v>0.68469999999999998</v>
      </c>
    </row>
    <row r="708" spans="1:10" x14ac:dyDescent="0.3">
      <c r="A708" t="s">
        <v>462</v>
      </c>
      <c r="B708" t="s">
        <v>193</v>
      </c>
      <c r="C708" s="25">
        <v>45961</v>
      </c>
      <c r="D708">
        <v>937590</v>
      </c>
      <c r="E708" t="s">
        <v>472</v>
      </c>
      <c r="F708" t="s">
        <v>494</v>
      </c>
      <c r="G708">
        <v>5940.55</v>
      </c>
      <c r="H708">
        <v>510</v>
      </c>
      <c r="I708">
        <v>11.64</v>
      </c>
      <c r="J708">
        <v>0.61380000000000001</v>
      </c>
    </row>
    <row r="709" spans="1:10" x14ac:dyDescent="0.3">
      <c r="A709" t="s">
        <v>462</v>
      </c>
      <c r="B709" t="s">
        <v>193</v>
      </c>
      <c r="C709" s="25">
        <v>45991</v>
      </c>
      <c r="D709">
        <v>937590</v>
      </c>
      <c r="E709" t="s">
        <v>472</v>
      </c>
      <c r="F709" t="s">
        <v>494</v>
      </c>
      <c r="G709">
        <v>4802.71</v>
      </c>
      <c r="H709">
        <v>249</v>
      </c>
      <c r="I709">
        <v>19.29</v>
      </c>
      <c r="J709">
        <v>0.61660000000000004</v>
      </c>
    </row>
    <row r="710" spans="1:10" x14ac:dyDescent="0.3">
      <c r="A710" t="s">
        <v>462</v>
      </c>
      <c r="B710" t="s">
        <v>193</v>
      </c>
      <c r="C710" s="25">
        <v>45657</v>
      </c>
      <c r="D710">
        <v>191251</v>
      </c>
      <c r="E710" t="s">
        <v>468</v>
      </c>
      <c r="F710" t="s">
        <v>493</v>
      </c>
      <c r="G710">
        <v>1568.25</v>
      </c>
      <c r="H710">
        <v>310</v>
      </c>
      <c r="I710">
        <v>5.05</v>
      </c>
      <c r="J710">
        <v>0.19040000000000001</v>
      </c>
    </row>
    <row r="711" spans="1:10" x14ac:dyDescent="0.3">
      <c r="A711" t="s">
        <v>462</v>
      </c>
      <c r="B711" t="s">
        <v>193</v>
      </c>
      <c r="C711" s="25">
        <v>45688</v>
      </c>
      <c r="D711">
        <v>191251</v>
      </c>
      <c r="E711" t="s">
        <v>468</v>
      </c>
      <c r="F711" t="s">
        <v>493</v>
      </c>
      <c r="G711">
        <v>1483.63</v>
      </c>
      <c r="H711">
        <v>199</v>
      </c>
      <c r="I711">
        <v>7.46</v>
      </c>
      <c r="J711">
        <v>0.1658</v>
      </c>
    </row>
    <row r="712" spans="1:10" x14ac:dyDescent="0.3">
      <c r="A712" t="s">
        <v>462</v>
      </c>
      <c r="B712" t="s">
        <v>193</v>
      </c>
      <c r="C712" s="25">
        <v>45716</v>
      </c>
      <c r="D712">
        <v>191251</v>
      </c>
      <c r="E712" t="s">
        <v>468</v>
      </c>
      <c r="F712" t="s">
        <v>493</v>
      </c>
      <c r="G712">
        <v>1984.19</v>
      </c>
      <c r="H712">
        <v>229</v>
      </c>
      <c r="I712">
        <v>8.68</v>
      </c>
      <c r="J712">
        <v>0.21179999999999999</v>
      </c>
    </row>
    <row r="713" spans="1:10" x14ac:dyDescent="0.3">
      <c r="A713" t="s">
        <v>462</v>
      </c>
      <c r="B713" t="s">
        <v>193</v>
      </c>
      <c r="C713" s="25">
        <v>45747</v>
      </c>
      <c r="D713">
        <v>191251</v>
      </c>
      <c r="E713" t="s">
        <v>468</v>
      </c>
      <c r="F713" t="s">
        <v>493</v>
      </c>
      <c r="G713">
        <v>1713.2</v>
      </c>
      <c r="H713">
        <v>273</v>
      </c>
      <c r="I713">
        <v>6.28</v>
      </c>
      <c r="J713">
        <v>0.20749999999999999</v>
      </c>
    </row>
    <row r="714" spans="1:10" x14ac:dyDescent="0.3">
      <c r="A714" t="s">
        <v>462</v>
      </c>
      <c r="B714" t="s">
        <v>193</v>
      </c>
      <c r="C714" s="25">
        <v>45777</v>
      </c>
      <c r="D714">
        <v>191251</v>
      </c>
      <c r="E714" t="s">
        <v>468</v>
      </c>
      <c r="F714" t="s">
        <v>493</v>
      </c>
      <c r="G714">
        <v>1776.05</v>
      </c>
      <c r="H714">
        <v>218</v>
      </c>
      <c r="I714">
        <v>8.15</v>
      </c>
      <c r="J714">
        <v>0.20069999999999999</v>
      </c>
    </row>
    <row r="715" spans="1:10" x14ac:dyDescent="0.3">
      <c r="A715" t="s">
        <v>462</v>
      </c>
      <c r="B715" t="s">
        <v>193</v>
      </c>
      <c r="C715" s="25">
        <v>45808</v>
      </c>
      <c r="D715">
        <v>191251</v>
      </c>
      <c r="E715" t="s">
        <v>468</v>
      </c>
      <c r="F715" t="s">
        <v>493</v>
      </c>
      <c r="G715">
        <v>1740.36</v>
      </c>
      <c r="H715">
        <v>717</v>
      </c>
      <c r="I715">
        <v>2.4300000000000002</v>
      </c>
      <c r="J715">
        <v>0.19359999999999999</v>
      </c>
    </row>
    <row r="716" spans="1:10" x14ac:dyDescent="0.3">
      <c r="A716" t="s">
        <v>462</v>
      </c>
      <c r="B716" t="s">
        <v>193</v>
      </c>
      <c r="C716" s="25">
        <v>45838</v>
      </c>
      <c r="D716">
        <v>191251</v>
      </c>
      <c r="E716" t="s">
        <v>468</v>
      </c>
      <c r="F716" t="s">
        <v>493</v>
      </c>
      <c r="G716">
        <v>1827.83</v>
      </c>
      <c r="H716">
        <v>106</v>
      </c>
      <c r="I716">
        <v>17.22</v>
      </c>
      <c r="J716">
        <v>0.2127</v>
      </c>
    </row>
    <row r="717" spans="1:10" x14ac:dyDescent="0.3">
      <c r="A717" t="s">
        <v>462</v>
      </c>
      <c r="B717" t="s">
        <v>193</v>
      </c>
      <c r="C717" s="25">
        <v>45869</v>
      </c>
      <c r="D717">
        <v>191251</v>
      </c>
      <c r="E717" t="s">
        <v>468</v>
      </c>
      <c r="F717" t="s">
        <v>493</v>
      </c>
      <c r="G717">
        <v>1543.29</v>
      </c>
      <c r="H717">
        <v>201</v>
      </c>
      <c r="I717">
        <v>7.7</v>
      </c>
      <c r="J717">
        <v>0.1933</v>
      </c>
    </row>
    <row r="718" spans="1:10" x14ac:dyDescent="0.3">
      <c r="A718" t="s">
        <v>462</v>
      </c>
      <c r="B718" t="s">
        <v>193</v>
      </c>
      <c r="C718" s="25">
        <v>45900</v>
      </c>
      <c r="D718">
        <v>191251</v>
      </c>
      <c r="E718" t="s">
        <v>468</v>
      </c>
      <c r="F718" t="s">
        <v>493</v>
      </c>
      <c r="G718">
        <v>1684.96</v>
      </c>
      <c r="H718">
        <v>961</v>
      </c>
      <c r="I718">
        <v>1.75</v>
      </c>
      <c r="J718">
        <v>0.1951</v>
      </c>
    </row>
    <row r="719" spans="1:10" x14ac:dyDescent="0.3">
      <c r="A719" t="s">
        <v>462</v>
      </c>
      <c r="B719" t="s">
        <v>193</v>
      </c>
      <c r="C719" s="25">
        <v>45930</v>
      </c>
      <c r="D719">
        <v>191251</v>
      </c>
      <c r="E719" t="s">
        <v>468</v>
      </c>
      <c r="F719" t="s">
        <v>493</v>
      </c>
      <c r="G719">
        <v>1360.18</v>
      </c>
      <c r="H719">
        <v>108</v>
      </c>
      <c r="I719">
        <v>12.61</v>
      </c>
      <c r="J719">
        <v>0.1666</v>
      </c>
    </row>
    <row r="720" spans="1:10" x14ac:dyDescent="0.3">
      <c r="A720" t="s">
        <v>462</v>
      </c>
      <c r="B720" t="s">
        <v>193</v>
      </c>
      <c r="C720" s="25">
        <v>45961</v>
      </c>
      <c r="D720">
        <v>191251</v>
      </c>
      <c r="E720" t="s">
        <v>468</v>
      </c>
      <c r="F720" t="s">
        <v>493</v>
      </c>
      <c r="G720">
        <v>1669.75</v>
      </c>
      <c r="H720">
        <v>217</v>
      </c>
      <c r="I720">
        <v>7.7</v>
      </c>
      <c r="J720">
        <v>0.17249999999999999</v>
      </c>
    </row>
    <row r="721" spans="1:10" x14ac:dyDescent="0.3">
      <c r="A721" t="s">
        <v>462</v>
      </c>
      <c r="B721" t="s">
        <v>193</v>
      </c>
      <c r="C721" s="25">
        <v>45991</v>
      </c>
      <c r="D721">
        <v>191251</v>
      </c>
      <c r="E721" t="s">
        <v>468</v>
      </c>
      <c r="F721" t="s">
        <v>493</v>
      </c>
      <c r="G721">
        <v>1537.87</v>
      </c>
      <c r="H721">
        <v>167</v>
      </c>
      <c r="I721">
        <v>9.19</v>
      </c>
      <c r="J721">
        <v>0.19739999999999999</v>
      </c>
    </row>
    <row r="722" spans="1:10" x14ac:dyDescent="0.3">
      <c r="A722" t="s">
        <v>462</v>
      </c>
      <c r="B722" t="s">
        <v>186</v>
      </c>
      <c r="C722" s="25">
        <v>45657</v>
      </c>
      <c r="D722">
        <v>396247</v>
      </c>
      <c r="E722" t="s">
        <v>465</v>
      </c>
      <c r="F722" t="s">
        <v>492</v>
      </c>
      <c r="G722">
        <v>113372.76</v>
      </c>
      <c r="H722">
        <v>26680</v>
      </c>
      <c r="I722">
        <v>4.25</v>
      </c>
      <c r="J722">
        <v>5.048</v>
      </c>
    </row>
    <row r="723" spans="1:10" x14ac:dyDescent="0.3">
      <c r="A723" t="s">
        <v>462</v>
      </c>
      <c r="B723" t="s">
        <v>186</v>
      </c>
      <c r="C723" s="25">
        <v>45688</v>
      </c>
      <c r="D723">
        <v>396247</v>
      </c>
      <c r="E723" t="s">
        <v>465</v>
      </c>
      <c r="F723" t="s">
        <v>492</v>
      </c>
      <c r="G723">
        <v>116111.92</v>
      </c>
      <c r="H723">
        <v>12351</v>
      </c>
      <c r="I723">
        <v>9.4</v>
      </c>
      <c r="J723">
        <v>4.7001999999999997</v>
      </c>
    </row>
    <row r="724" spans="1:10" x14ac:dyDescent="0.3">
      <c r="A724" t="s">
        <v>462</v>
      </c>
      <c r="B724" t="s">
        <v>186</v>
      </c>
      <c r="C724" s="25">
        <v>45716</v>
      </c>
      <c r="D724">
        <v>396247</v>
      </c>
      <c r="E724" t="s">
        <v>465</v>
      </c>
      <c r="F724" t="s">
        <v>492</v>
      </c>
      <c r="G724">
        <v>96913.49</v>
      </c>
      <c r="H724">
        <v>28190</v>
      </c>
      <c r="I724">
        <v>3.44</v>
      </c>
      <c r="J724">
        <v>4.0751999999999997</v>
      </c>
    </row>
    <row r="725" spans="1:10" x14ac:dyDescent="0.3">
      <c r="A725" t="s">
        <v>462</v>
      </c>
      <c r="B725" t="s">
        <v>186</v>
      </c>
      <c r="C725" s="25">
        <v>45747</v>
      </c>
      <c r="D725">
        <v>396247</v>
      </c>
      <c r="E725" t="s">
        <v>465</v>
      </c>
      <c r="F725" t="s">
        <v>492</v>
      </c>
      <c r="G725">
        <v>147509.51</v>
      </c>
      <c r="H725">
        <v>12546</v>
      </c>
      <c r="I725">
        <v>11.76</v>
      </c>
      <c r="J725">
        <v>6.1077000000000004</v>
      </c>
    </row>
    <row r="726" spans="1:10" x14ac:dyDescent="0.3">
      <c r="A726" t="s">
        <v>462</v>
      </c>
      <c r="B726" t="s">
        <v>186</v>
      </c>
      <c r="C726" s="25">
        <v>45777</v>
      </c>
      <c r="D726">
        <v>396247</v>
      </c>
      <c r="E726" t="s">
        <v>465</v>
      </c>
      <c r="F726" t="s">
        <v>492</v>
      </c>
      <c r="G726">
        <v>129895.31</v>
      </c>
      <c r="H726">
        <v>18643</v>
      </c>
      <c r="I726">
        <v>6.97</v>
      </c>
      <c r="J726">
        <v>5.6134000000000004</v>
      </c>
    </row>
    <row r="727" spans="1:10" x14ac:dyDescent="0.3">
      <c r="A727" t="s">
        <v>462</v>
      </c>
      <c r="B727" t="s">
        <v>186</v>
      </c>
      <c r="C727" s="25">
        <v>45808</v>
      </c>
      <c r="D727">
        <v>396247</v>
      </c>
      <c r="E727" t="s">
        <v>465</v>
      </c>
      <c r="F727" t="s">
        <v>492</v>
      </c>
      <c r="G727">
        <v>127663.58</v>
      </c>
      <c r="H727">
        <v>10511</v>
      </c>
      <c r="I727">
        <v>12.15</v>
      </c>
      <c r="J727">
        <v>5.0675999999999997</v>
      </c>
    </row>
    <row r="728" spans="1:10" x14ac:dyDescent="0.3">
      <c r="A728" t="s">
        <v>462</v>
      </c>
      <c r="B728" t="s">
        <v>186</v>
      </c>
      <c r="C728" s="25">
        <v>45838</v>
      </c>
      <c r="D728">
        <v>396247</v>
      </c>
      <c r="E728" t="s">
        <v>465</v>
      </c>
      <c r="F728" t="s">
        <v>492</v>
      </c>
      <c r="G728">
        <v>149905.63</v>
      </c>
      <c r="H728">
        <v>22127</v>
      </c>
      <c r="I728">
        <v>6.77</v>
      </c>
      <c r="J728">
        <v>6.0007999999999999</v>
      </c>
    </row>
    <row r="729" spans="1:10" x14ac:dyDescent="0.3">
      <c r="A729" t="s">
        <v>462</v>
      </c>
      <c r="B729" t="s">
        <v>186</v>
      </c>
      <c r="C729" s="25">
        <v>45869</v>
      </c>
      <c r="D729">
        <v>396247</v>
      </c>
      <c r="E729" t="s">
        <v>465</v>
      </c>
      <c r="F729" t="s">
        <v>492</v>
      </c>
      <c r="G729">
        <v>106585.93</v>
      </c>
      <c r="H729">
        <v>14607</v>
      </c>
      <c r="I729">
        <v>7.3</v>
      </c>
      <c r="J729">
        <v>4.4004000000000003</v>
      </c>
    </row>
    <row r="730" spans="1:10" x14ac:dyDescent="0.3">
      <c r="A730" t="s">
        <v>462</v>
      </c>
      <c r="B730" t="s">
        <v>186</v>
      </c>
      <c r="C730" s="25">
        <v>45900</v>
      </c>
      <c r="D730">
        <v>396247</v>
      </c>
      <c r="E730" t="s">
        <v>465</v>
      </c>
      <c r="F730" t="s">
        <v>492</v>
      </c>
      <c r="G730">
        <v>104420.8</v>
      </c>
      <c r="H730">
        <v>9328</v>
      </c>
      <c r="I730">
        <v>11.19</v>
      </c>
      <c r="J730">
        <v>4.3116000000000003</v>
      </c>
    </row>
    <row r="731" spans="1:10" x14ac:dyDescent="0.3">
      <c r="A731" t="s">
        <v>462</v>
      </c>
      <c r="B731" t="s">
        <v>186</v>
      </c>
      <c r="C731" s="25">
        <v>45930</v>
      </c>
      <c r="D731">
        <v>396247</v>
      </c>
      <c r="E731" t="s">
        <v>465</v>
      </c>
      <c r="F731" t="s">
        <v>492</v>
      </c>
      <c r="G731">
        <v>131527.65</v>
      </c>
      <c r="H731">
        <v>10541</v>
      </c>
      <c r="I731">
        <v>12.48</v>
      </c>
      <c r="J731">
        <v>5.3117999999999999</v>
      </c>
    </row>
    <row r="732" spans="1:10" x14ac:dyDescent="0.3">
      <c r="A732" t="s">
        <v>462</v>
      </c>
      <c r="B732" t="s">
        <v>186</v>
      </c>
      <c r="C732" s="25">
        <v>45961</v>
      </c>
      <c r="D732">
        <v>396247</v>
      </c>
      <c r="E732" t="s">
        <v>465</v>
      </c>
      <c r="F732" t="s">
        <v>492</v>
      </c>
      <c r="G732">
        <v>141102.39000000001</v>
      </c>
      <c r="H732">
        <v>9371</v>
      </c>
      <c r="I732">
        <v>15.06</v>
      </c>
      <c r="J732">
        <v>5.6775000000000002</v>
      </c>
    </row>
    <row r="733" spans="1:10" x14ac:dyDescent="0.3">
      <c r="A733" t="s">
        <v>462</v>
      </c>
      <c r="B733" t="s">
        <v>186</v>
      </c>
      <c r="C733" s="25">
        <v>45991</v>
      </c>
      <c r="D733">
        <v>396247</v>
      </c>
      <c r="E733" t="s">
        <v>465</v>
      </c>
      <c r="F733" t="s">
        <v>492</v>
      </c>
      <c r="G733">
        <v>125247.35</v>
      </c>
      <c r="H733">
        <v>9360</v>
      </c>
      <c r="I733">
        <v>13.38</v>
      </c>
      <c r="J733">
        <v>5.0983999999999998</v>
      </c>
    </row>
    <row r="734" spans="1:10" x14ac:dyDescent="0.3">
      <c r="A734" t="s">
        <v>462</v>
      </c>
      <c r="B734" t="s">
        <v>186</v>
      </c>
      <c r="C734" s="25">
        <v>45657</v>
      </c>
      <c r="D734">
        <v>339541</v>
      </c>
      <c r="E734" t="s">
        <v>472</v>
      </c>
      <c r="F734" t="s">
        <v>491</v>
      </c>
      <c r="G734">
        <v>123539.8</v>
      </c>
      <c r="H734">
        <v>9204</v>
      </c>
      <c r="I734">
        <v>13.42</v>
      </c>
      <c r="J734">
        <v>5.5007000000000001</v>
      </c>
    </row>
    <row r="735" spans="1:10" x14ac:dyDescent="0.3">
      <c r="A735" t="s">
        <v>462</v>
      </c>
      <c r="B735" t="s">
        <v>186</v>
      </c>
      <c r="C735" s="25">
        <v>45688</v>
      </c>
      <c r="D735">
        <v>339541</v>
      </c>
      <c r="E735" t="s">
        <v>472</v>
      </c>
      <c r="F735" t="s">
        <v>491</v>
      </c>
      <c r="G735">
        <v>114098.24000000001</v>
      </c>
      <c r="H735">
        <v>9737</v>
      </c>
      <c r="I735">
        <v>11.72</v>
      </c>
      <c r="J735">
        <v>4.6186999999999996</v>
      </c>
    </row>
    <row r="736" spans="1:10" x14ac:dyDescent="0.3">
      <c r="A736" t="s">
        <v>462</v>
      </c>
      <c r="B736" t="s">
        <v>186</v>
      </c>
      <c r="C736" s="25">
        <v>45716</v>
      </c>
      <c r="D736">
        <v>339541</v>
      </c>
      <c r="E736" t="s">
        <v>472</v>
      </c>
      <c r="F736" t="s">
        <v>491</v>
      </c>
      <c r="G736">
        <v>116730.3</v>
      </c>
      <c r="H736">
        <v>15180</v>
      </c>
      <c r="I736">
        <v>7.69</v>
      </c>
      <c r="J736">
        <v>4.9085000000000001</v>
      </c>
    </row>
    <row r="737" spans="1:10" x14ac:dyDescent="0.3">
      <c r="A737" t="s">
        <v>462</v>
      </c>
      <c r="B737" t="s">
        <v>186</v>
      </c>
      <c r="C737" s="25">
        <v>45747</v>
      </c>
      <c r="D737">
        <v>339541</v>
      </c>
      <c r="E737" t="s">
        <v>472</v>
      </c>
      <c r="F737" t="s">
        <v>491</v>
      </c>
      <c r="G737">
        <v>101823.24</v>
      </c>
      <c r="H737">
        <v>16455</v>
      </c>
      <c r="I737">
        <v>6.19</v>
      </c>
      <c r="J737">
        <v>4.2160000000000002</v>
      </c>
    </row>
    <row r="738" spans="1:10" x14ac:dyDescent="0.3">
      <c r="A738" t="s">
        <v>462</v>
      </c>
      <c r="B738" t="s">
        <v>186</v>
      </c>
      <c r="C738" s="25">
        <v>45777</v>
      </c>
      <c r="D738">
        <v>339541</v>
      </c>
      <c r="E738" t="s">
        <v>472</v>
      </c>
      <c r="F738" t="s">
        <v>491</v>
      </c>
      <c r="G738">
        <v>129839.59</v>
      </c>
      <c r="H738">
        <v>10002</v>
      </c>
      <c r="I738">
        <v>12.98</v>
      </c>
      <c r="J738">
        <v>5.6109999999999998</v>
      </c>
    </row>
    <row r="739" spans="1:10" x14ac:dyDescent="0.3">
      <c r="A739" t="s">
        <v>462</v>
      </c>
      <c r="B739" t="s">
        <v>186</v>
      </c>
      <c r="C739" s="25">
        <v>45808</v>
      </c>
      <c r="D739">
        <v>339541</v>
      </c>
      <c r="E739" t="s">
        <v>472</v>
      </c>
      <c r="F739" t="s">
        <v>491</v>
      </c>
      <c r="G739">
        <v>123818.43</v>
      </c>
      <c r="H739">
        <v>8408</v>
      </c>
      <c r="I739">
        <v>14.73</v>
      </c>
      <c r="J739">
        <v>4.915</v>
      </c>
    </row>
    <row r="740" spans="1:10" x14ac:dyDescent="0.3">
      <c r="A740" t="s">
        <v>462</v>
      </c>
      <c r="B740" t="s">
        <v>186</v>
      </c>
      <c r="C740" s="25">
        <v>45838</v>
      </c>
      <c r="D740">
        <v>339541</v>
      </c>
      <c r="E740" t="s">
        <v>472</v>
      </c>
      <c r="F740" t="s">
        <v>491</v>
      </c>
      <c r="G740">
        <v>123108.09</v>
      </c>
      <c r="H740">
        <v>48797</v>
      </c>
      <c r="I740">
        <v>2.52</v>
      </c>
      <c r="J740">
        <v>4.9280999999999997</v>
      </c>
    </row>
    <row r="741" spans="1:10" x14ac:dyDescent="0.3">
      <c r="A741" t="s">
        <v>462</v>
      </c>
      <c r="B741" t="s">
        <v>186</v>
      </c>
      <c r="C741" s="25">
        <v>45869</v>
      </c>
      <c r="D741">
        <v>339541</v>
      </c>
      <c r="E741" t="s">
        <v>472</v>
      </c>
      <c r="F741" t="s">
        <v>491</v>
      </c>
      <c r="G741">
        <v>118111.47</v>
      </c>
      <c r="H741">
        <v>10547</v>
      </c>
      <c r="I741">
        <v>11.2</v>
      </c>
      <c r="J741">
        <v>4.8761999999999999</v>
      </c>
    </row>
    <row r="742" spans="1:10" x14ac:dyDescent="0.3">
      <c r="A742" t="s">
        <v>462</v>
      </c>
      <c r="B742" t="s">
        <v>186</v>
      </c>
      <c r="C742" s="25">
        <v>45900</v>
      </c>
      <c r="D742">
        <v>339541</v>
      </c>
      <c r="E742" t="s">
        <v>472</v>
      </c>
      <c r="F742" t="s">
        <v>491</v>
      </c>
      <c r="G742">
        <v>127916.19</v>
      </c>
      <c r="H742">
        <v>8157</v>
      </c>
      <c r="I742">
        <v>15.68</v>
      </c>
      <c r="J742">
        <v>5.2817999999999996</v>
      </c>
    </row>
    <row r="743" spans="1:10" x14ac:dyDescent="0.3">
      <c r="A743" t="s">
        <v>462</v>
      </c>
      <c r="B743" t="s">
        <v>186</v>
      </c>
      <c r="C743" s="25">
        <v>45930</v>
      </c>
      <c r="D743">
        <v>339541</v>
      </c>
      <c r="E743" t="s">
        <v>472</v>
      </c>
      <c r="F743" t="s">
        <v>491</v>
      </c>
      <c r="G743">
        <v>148562.96</v>
      </c>
      <c r="H743">
        <v>40430</v>
      </c>
      <c r="I743">
        <v>3.67</v>
      </c>
      <c r="J743">
        <v>5.9997999999999996</v>
      </c>
    </row>
    <row r="744" spans="1:10" x14ac:dyDescent="0.3">
      <c r="A744" t="s">
        <v>462</v>
      </c>
      <c r="B744" t="s">
        <v>186</v>
      </c>
      <c r="C744" s="25">
        <v>45961</v>
      </c>
      <c r="D744">
        <v>339541</v>
      </c>
      <c r="E744" t="s">
        <v>472</v>
      </c>
      <c r="F744" t="s">
        <v>491</v>
      </c>
      <c r="G744">
        <v>167427.69</v>
      </c>
      <c r="H744">
        <v>9137</v>
      </c>
      <c r="I744">
        <v>18.32</v>
      </c>
      <c r="J744">
        <v>6.7366999999999999</v>
      </c>
    </row>
    <row r="745" spans="1:10" x14ac:dyDescent="0.3">
      <c r="A745" t="s">
        <v>462</v>
      </c>
      <c r="B745" t="s">
        <v>186</v>
      </c>
      <c r="C745" s="25">
        <v>45991</v>
      </c>
      <c r="D745">
        <v>339541</v>
      </c>
      <c r="E745" t="s">
        <v>472</v>
      </c>
      <c r="F745" t="s">
        <v>491</v>
      </c>
      <c r="G745">
        <v>116093.64</v>
      </c>
      <c r="H745">
        <v>16324</v>
      </c>
      <c r="I745">
        <v>7.11</v>
      </c>
      <c r="J745">
        <v>4.7257999999999996</v>
      </c>
    </row>
    <row r="746" spans="1:10" x14ac:dyDescent="0.3">
      <c r="A746" t="s">
        <v>462</v>
      </c>
      <c r="B746" t="s">
        <v>186</v>
      </c>
      <c r="C746" s="25">
        <v>45657</v>
      </c>
      <c r="D746">
        <v>142499</v>
      </c>
      <c r="E746" t="s">
        <v>467</v>
      </c>
      <c r="F746" t="s">
        <v>490</v>
      </c>
      <c r="G746">
        <v>121161.04</v>
      </c>
      <c r="H746">
        <v>8182</v>
      </c>
      <c r="I746">
        <v>14.81</v>
      </c>
      <c r="J746">
        <v>5.3948</v>
      </c>
    </row>
    <row r="747" spans="1:10" x14ac:dyDescent="0.3">
      <c r="A747" t="s">
        <v>462</v>
      </c>
      <c r="B747" t="s">
        <v>186</v>
      </c>
      <c r="C747" s="25">
        <v>45688</v>
      </c>
      <c r="D747">
        <v>142499</v>
      </c>
      <c r="E747" t="s">
        <v>467</v>
      </c>
      <c r="F747" t="s">
        <v>490</v>
      </c>
      <c r="G747">
        <v>113637.93</v>
      </c>
      <c r="H747">
        <v>14783</v>
      </c>
      <c r="I747">
        <v>7.69</v>
      </c>
      <c r="J747">
        <v>4.6001000000000003</v>
      </c>
    </row>
    <row r="748" spans="1:10" x14ac:dyDescent="0.3">
      <c r="A748" t="s">
        <v>462</v>
      </c>
      <c r="B748" t="s">
        <v>186</v>
      </c>
      <c r="C748" s="25">
        <v>45716</v>
      </c>
      <c r="D748">
        <v>142499</v>
      </c>
      <c r="E748" t="s">
        <v>467</v>
      </c>
      <c r="F748" t="s">
        <v>490</v>
      </c>
      <c r="G748">
        <v>132879.84</v>
      </c>
      <c r="H748">
        <v>7506</v>
      </c>
      <c r="I748">
        <v>17.7</v>
      </c>
      <c r="J748">
        <v>5.5876000000000001</v>
      </c>
    </row>
    <row r="749" spans="1:10" x14ac:dyDescent="0.3">
      <c r="A749" t="s">
        <v>462</v>
      </c>
      <c r="B749" t="s">
        <v>186</v>
      </c>
      <c r="C749" s="25">
        <v>45747</v>
      </c>
      <c r="D749">
        <v>142499</v>
      </c>
      <c r="E749" t="s">
        <v>467</v>
      </c>
      <c r="F749" t="s">
        <v>490</v>
      </c>
      <c r="G749">
        <v>125453.51</v>
      </c>
      <c r="H749">
        <v>10888</v>
      </c>
      <c r="I749">
        <v>11.52</v>
      </c>
      <c r="J749">
        <v>5.1943999999999999</v>
      </c>
    </row>
    <row r="750" spans="1:10" x14ac:dyDescent="0.3">
      <c r="A750" t="s">
        <v>462</v>
      </c>
      <c r="B750" t="s">
        <v>186</v>
      </c>
      <c r="C750" s="25">
        <v>45777</v>
      </c>
      <c r="D750">
        <v>142499</v>
      </c>
      <c r="E750" t="s">
        <v>467</v>
      </c>
      <c r="F750" t="s">
        <v>490</v>
      </c>
      <c r="G750">
        <v>132095.85999999999</v>
      </c>
      <c r="H750">
        <v>17953</v>
      </c>
      <c r="I750">
        <v>7.36</v>
      </c>
      <c r="J750">
        <v>5.7084999999999999</v>
      </c>
    </row>
    <row r="751" spans="1:10" x14ac:dyDescent="0.3">
      <c r="A751" t="s">
        <v>462</v>
      </c>
      <c r="B751" t="s">
        <v>186</v>
      </c>
      <c r="C751" s="25">
        <v>45808</v>
      </c>
      <c r="D751">
        <v>142499</v>
      </c>
      <c r="E751" t="s">
        <v>467</v>
      </c>
      <c r="F751" t="s">
        <v>490</v>
      </c>
      <c r="G751">
        <v>170111.93</v>
      </c>
      <c r="H751">
        <v>9541</v>
      </c>
      <c r="I751">
        <v>17.829999999999998</v>
      </c>
      <c r="J751">
        <v>6.7526000000000002</v>
      </c>
    </row>
    <row r="752" spans="1:10" x14ac:dyDescent="0.3">
      <c r="A752" t="s">
        <v>462</v>
      </c>
      <c r="B752" t="s">
        <v>186</v>
      </c>
      <c r="C752" s="25">
        <v>45838</v>
      </c>
      <c r="D752">
        <v>142499</v>
      </c>
      <c r="E752" t="s">
        <v>467</v>
      </c>
      <c r="F752" t="s">
        <v>490</v>
      </c>
      <c r="G752">
        <v>153734.19</v>
      </c>
      <c r="H752">
        <v>23157</v>
      </c>
      <c r="I752">
        <v>6.64</v>
      </c>
      <c r="J752">
        <v>6.1540999999999997</v>
      </c>
    </row>
    <row r="753" spans="1:10" x14ac:dyDescent="0.3">
      <c r="A753" t="s">
        <v>462</v>
      </c>
      <c r="B753" t="s">
        <v>186</v>
      </c>
      <c r="C753" s="25">
        <v>45869</v>
      </c>
      <c r="D753">
        <v>142499</v>
      </c>
      <c r="E753" t="s">
        <v>467</v>
      </c>
      <c r="F753" t="s">
        <v>490</v>
      </c>
      <c r="G753">
        <v>112594.98</v>
      </c>
      <c r="H753">
        <v>10188</v>
      </c>
      <c r="I753">
        <v>11.05</v>
      </c>
      <c r="J753">
        <v>4.6483999999999996</v>
      </c>
    </row>
    <row r="754" spans="1:10" x14ac:dyDescent="0.3">
      <c r="A754" t="s">
        <v>462</v>
      </c>
      <c r="B754" t="s">
        <v>186</v>
      </c>
      <c r="C754" s="25">
        <v>45900</v>
      </c>
      <c r="D754">
        <v>142499</v>
      </c>
      <c r="E754" t="s">
        <v>467</v>
      </c>
      <c r="F754" t="s">
        <v>490</v>
      </c>
      <c r="G754">
        <v>147558.67000000001</v>
      </c>
      <c r="H754">
        <v>10689</v>
      </c>
      <c r="I754">
        <v>13.81</v>
      </c>
      <c r="J754">
        <v>6.0928000000000004</v>
      </c>
    </row>
    <row r="755" spans="1:10" x14ac:dyDescent="0.3">
      <c r="A755" t="s">
        <v>462</v>
      </c>
      <c r="B755" t="s">
        <v>186</v>
      </c>
      <c r="C755" s="25">
        <v>45930</v>
      </c>
      <c r="D755">
        <v>142499</v>
      </c>
      <c r="E755" t="s">
        <v>467</v>
      </c>
      <c r="F755" t="s">
        <v>490</v>
      </c>
      <c r="G755">
        <v>109533.85</v>
      </c>
      <c r="H755">
        <v>7629</v>
      </c>
      <c r="I755">
        <v>14.36</v>
      </c>
      <c r="J755">
        <v>4.4236000000000004</v>
      </c>
    </row>
    <row r="756" spans="1:10" x14ac:dyDescent="0.3">
      <c r="A756" t="s">
        <v>462</v>
      </c>
      <c r="B756" t="s">
        <v>186</v>
      </c>
      <c r="C756" s="25">
        <v>45961</v>
      </c>
      <c r="D756">
        <v>142499</v>
      </c>
      <c r="E756" t="s">
        <v>467</v>
      </c>
      <c r="F756" t="s">
        <v>490</v>
      </c>
      <c r="G756">
        <v>139648.32999999999</v>
      </c>
      <c r="H756">
        <v>15765</v>
      </c>
      <c r="I756">
        <v>8.86</v>
      </c>
      <c r="J756">
        <v>5.6189999999999998</v>
      </c>
    </row>
    <row r="757" spans="1:10" x14ac:dyDescent="0.3">
      <c r="A757" t="s">
        <v>462</v>
      </c>
      <c r="B757" t="s">
        <v>186</v>
      </c>
      <c r="C757" s="25">
        <v>45991</v>
      </c>
      <c r="D757">
        <v>142499</v>
      </c>
      <c r="E757" t="s">
        <v>467</v>
      </c>
      <c r="F757" t="s">
        <v>490</v>
      </c>
      <c r="G757">
        <v>171961.2</v>
      </c>
      <c r="H757">
        <v>37614</v>
      </c>
      <c r="I757">
        <v>4.57</v>
      </c>
      <c r="J757">
        <v>7</v>
      </c>
    </row>
    <row r="758" spans="1:10" x14ac:dyDescent="0.3">
      <c r="A758" t="s">
        <v>462</v>
      </c>
      <c r="B758" t="s">
        <v>186</v>
      </c>
      <c r="C758" s="25">
        <v>45657</v>
      </c>
      <c r="D758">
        <v>541189</v>
      </c>
      <c r="E758" t="s">
        <v>472</v>
      </c>
      <c r="F758" t="s">
        <v>489</v>
      </c>
      <c r="G758">
        <v>97416.23</v>
      </c>
      <c r="H758">
        <v>36459</v>
      </c>
      <c r="I758">
        <v>2.67</v>
      </c>
      <c r="J758">
        <v>4.3375000000000004</v>
      </c>
    </row>
    <row r="759" spans="1:10" x14ac:dyDescent="0.3">
      <c r="A759" t="s">
        <v>462</v>
      </c>
      <c r="B759" t="s">
        <v>186</v>
      </c>
      <c r="C759" s="25">
        <v>45688</v>
      </c>
      <c r="D759">
        <v>541189</v>
      </c>
      <c r="E759" t="s">
        <v>472</v>
      </c>
      <c r="F759" t="s">
        <v>489</v>
      </c>
      <c r="G759">
        <v>128687.81</v>
      </c>
      <c r="H759">
        <v>9036</v>
      </c>
      <c r="I759">
        <v>14.24</v>
      </c>
      <c r="J759">
        <v>5.2092999999999998</v>
      </c>
    </row>
    <row r="760" spans="1:10" x14ac:dyDescent="0.3">
      <c r="A760" t="s">
        <v>462</v>
      </c>
      <c r="B760" t="s">
        <v>186</v>
      </c>
      <c r="C760" s="25">
        <v>45716</v>
      </c>
      <c r="D760">
        <v>541189</v>
      </c>
      <c r="E760" t="s">
        <v>472</v>
      </c>
      <c r="F760" t="s">
        <v>489</v>
      </c>
      <c r="G760">
        <v>121315.44</v>
      </c>
      <c r="H760">
        <v>20876</v>
      </c>
      <c r="I760">
        <v>5.81</v>
      </c>
      <c r="J760">
        <v>5.1013000000000002</v>
      </c>
    </row>
    <row r="761" spans="1:10" x14ac:dyDescent="0.3">
      <c r="A761" t="s">
        <v>462</v>
      </c>
      <c r="B761" t="s">
        <v>186</v>
      </c>
      <c r="C761" s="25">
        <v>45747</v>
      </c>
      <c r="D761">
        <v>541189</v>
      </c>
      <c r="E761" t="s">
        <v>472</v>
      </c>
      <c r="F761" t="s">
        <v>489</v>
      </c>
      <c r="G761">
        <v>122884.6</v>
      </c>
      <c r="H761">
        <v>17241</v>
      </c>
      <c r="I761">
        <v>7.13</v>
      </c>
      <c r="J761">
        <v>5.0880999999999998</v>
      </c>
    </row>
    <row r="762" spans="1:10" x14ac:dyDescent="0.3">
      <c r="A762" t="s">
        <v>462</v>
      </c>
      <c r="B762" t="s">
        <v>186</v>
      </c>
      <c r="C762" s="25">
        <v>45777</v>
      </c>
      <c r="D762">
        <v>541189</v>
      </c>
      <c r="E762" t="s">
        <v>472</v>
      </c>
      <c r="F762" t="s">
        <v>489</v>
      </c>
      <c r="G762">
        <v>70593.81</v>
      </c>
      <c r="H762">
        <v>3836</v>
      </c>
      <c r="I762">
        <v>18.399999999999999</v>
      </c>
      <c r="J762">
        <v>3.0507</v>
      </c>
    </row>
    <row r="763" spans="1:10" x14ac:dyDescent="0.3">
      <c r="A763" t="s">
        <v>462</v>
      </c>
      <c r="B763" t="s">
        <v>186</v>
      </c>
      <c r="C763" s="25">
        <v>45808</v>
      </c>
      <c r="D763">
        <v>541189</v>
      </c>
      <c r="E763" t="s">
        <v>472</v>
      </c>
      <c r="F763" t="s">
        <v>489</v>
      </c>
      <c r="G763">
        <v>145756.93</v>
      </c>
      <c r="H763">
        <v>28723</v>
      </c>
      <c r="I763">
        <v>5.07</v>
      </c>
      <c r="J763">
        <v>5.7858000000000001</v>
      </c>
    </row>
    <row r="764" spans="1:10" x14ac:dyDescent="0.3">
      <c r="A764" t="s">
        <v>462</v>
      </c>
      <c r="B764" t="s">
        <v>186</v>
      </c>
      <c r="C764" s="25">
        <v>45838</v>
      </c>
      <c r="D764">
        <v>541189</v>
      </c>
      <c r="E764" t="s">
        <v>472</v>
      </c>
      <c r="F764" t="s">
        <v>489</v>
      </c>
      <c r="G764">
        <v>142043.29999999999</v>
      </c>
      <c r="H764">
        <v>12722</v>
      </c>
      <c r="I764">
        <v>11.17</v>
      </c>
      <c r="J764">
        <v>5.6860999999999997</v>
      </c>
    </row>
    <row r="765" spans="1:10" x14ac:dyDescent="0.3">
      <c r="A765" t="s">
        <v>462</v>
      </c>
      <c r="B765" t="s">
        <v>186</v>
      </c>
      <c r="C765" s="25">
        <v>45869</v>
      </c>
      <c r="D765">
        <v>541189</v>
      </c>
      <c r="E765" t="s">
        <v>472</v>
      </c>
      <c r="F765" t="s">
        <v>489</v>
      </c>
      <c r="G765">
        <v>149720.76999999999</v>
      </c>
      <c r="H765">
        <v>9913</v>
      </c>
      <c r="I765">
        <v>15.1</v>
      </c>
      <c r="J765">
        <v>6.1811999999999996</v>
      </c>
    </row>
    <row r="766" spans="1:10" x14ac:dyDescent="0.3">
      <c r="A766" t="s">
        <v>462</v>
      </c>
      <c r="B766" t="s">
        <v>186</v>
      </c>
      <c r="C766" s="25">
        <v>45900</v>
      </c>
      <c r="D766">
        <v>541189</v>
      </c>
      <c r="E766" t="s">
        <v>472</v>
      </c>
      <c r="F766" t="s">
        <v>489</v>
      </c>
      <c r="G766">
        <v>124521.17</v>
      </c>
      <c r="H766">
        <v>48125</v>
      </c>
      <c r="I766">
        <v>2.59</v>
      </c>
      <c r="J766">
        <v>5.1416000000000004</v>
      </c>
    </row>
    <row r="767" spans="1:10" x14ac:dyDescent="0.3">
      <c r="A767" t="s">
        <v>462</v>
      </c>
      <c r="B767" t="s">
        <v>186</v>
      </c>
      <c r="C767" s="25">
        <v>45930</v>
      </c>
      <c r="D767">
        <v>541189</v>
      </c>
      <c r="E767" t="s">
        <v>472</v>
      </c>
      <c r="F767" t="s">
        <v>489</v>
      </c>
      <c r="G767">
        <v>136758.96</v>
      </c>
      <c r="H767">
        <v>27319</v>
      </c>
      <c r="I767">
        <v>5.01</v>
      </c>
      <c r="J767">
        <v>5.5231000000000003</v>
      </c>
    </row>
    <row r="768" spans="1:10" x14ac:dyDescent="0.3">
      <c r="A768" t="s">
        <v>462</v>
      </c>
      <c r="B768" t="s">
        <v>186</v>
      </c>
      <c r="C768" s="25">
        <v>45961</v>
      </c>
      <c r="D768">
        <v>541189</v>
      </c>
      <c r="E768" t="s">
        <v>472</v>
      </c>
      <c r="F768" t="s">
        <v>489</v>
      </c>
      <c r="G768">
        <v>107460.62</v>
      </c>
      <c r="H768">
        <v>28522</v>
      </c>
      <c r="I768">
        <v>3.77</v>
      </c>
      <c r="J768">
        <v>4.3238000000000003</v>
      </c>
    </row>
    <row r="769" spans="1:10" x14ac:dyDescent="0.3">
      <c r="A769" t="s">
        <v>462</v>
      </c>
      <c r="B769" t="s">
        <v>186</v>
      </c>
      <c r="C769" s="25">
        <v>45991</v>
      </c>
      <c r="D769">
        <v>541189</v>
      </c>
      <c r="E769" t="s">
        <v>472</v>
      </c>
      <c r="F769" t="s">
        <v>489</v>
      </c>
      <c r="G769">
        <v>136463.22</v>
      </c>
      <c r="H769">
        <v>12388</v>
      </c>
      <c r="I769">
        <v>11.02</v>
      </c>
      <c r="J769">
        <v>5.5549999999999997</v>
      </c>
    </row>
    <row r="770" spans="1:10" x14ac:dyDescent="0.3">
      <c r="A770" t="s">
        <v>462</v>
      </c>
      <c r="B770" t="s">
        <v>186</v>
      </c>
      <c r="C770" s="25">
        <v>45657</v>
      </c>
      <c r="D770">
        <v>123530</v>
      </c>
      <c r="E770" t="s">
        <v>471</v>
      </c>
      <c r="F770" t="s">
        <v>488</v>
      </c>
      <c r="G770">
        <v>104103.07</v>
      </c>
      <c r="H770">
        <v>18090</v>
      </c>
      <c r="I770">
        <v>5.75</v>
      </c>
      <c r="J770">
        <v>4.6353</v>
      </c>
    </row>
    <row r="771" spans="1:10" x14ac:dyDescent="0.3">
      <c r="A771" t="s">
        <v>462</v>
      </c>
      <c r="B771" t="s">
        <v>186</v>
      </c>
      <c r="C771" s="25">
        <v>45688</v>
      </c>
      <c r="D771">
        <v>123530</v>
      </c>
      <c r="E771" t="s">
        <v>471</v>
      </c>
      <c r="F771" t="s">
        <v>488</v>
      </c>
      <c r="G771">
        <v>123956.56</v>
      </c>
      <c r="H771">
        <v>8282</v>
      </c>
      <c r="I771">
        <v>14.97</v>
      </c>
      <c r="J771">
        <v>5.0178000000000003</v>
      </c>
    </row>
    <row r="772" spans="1:10" x14ac:dyDescent="0.3">
      <c r="A772" t="s">
        <v>462</v>
      </c>
      <c r="B772" t="s">
        <v>186</v>
      </c>
      <c r="C772" s="25">
        <v>45716</v>
      </c>
      <c r="D772">
        <v>123530</v>
      </c>
      <c r="E772" t="s">
        <v>471</v>
      </c>
      <c r="F772" t="s">
        <v>488</v>
      </c>
      <c r="G772">
        <v>120489.5</v>
      </c>
      <c r="H772">
        <v>8701</v>
      </c>
      <c r="I772">
        <v>13.85</v>
      </c>
      <c r="J772">
        <v>5.0666000000000002</v>
      </c>
    </row>
    <row r="773" spans="1:10" x14ac:dyDescent="0.3">
      <c r="A773" t="s">
        <v>462</v>
      </c>
      <c r="B773" t="s">
        <v>186</v>
      </c>
      <c r="C773" s="25">
        <v>45747</v>
      </c>
      <c r="D773">
        <v>123530</v>
      </c>
      <c r="E773" t="s">
        <v>471</v>
      </c>
      <c r="F773" t="s">
        <v>488</v>
      </c>
      <c r="G773">
        <v>94192.85</v>
      </c>
      <c r="H773">
        <v>6319</v>
      </c>
      <c r="I773">
        <v>14.91</v>
      </c>
      <c r="J773">
        <v>3.9001000000000001</v>
      </c>
    </row>
    <row r="774" spans="1:10" x14ac:dyDescent="0.3">
      <c r="A774" t="s">
        <v>462</v>
      </c>
      <c r="B774" t="s">
        <v>186</v>
      </c>
      <c r="C774" s="25">
        <v>45777</v>
      </c>
      <c r="D774">
        <v>123530</v>
      </c>
      <c r="E774" t="s">
        <v>471</v>
      </c>
      <c r="F774" t="s">
        <v>488</v>
      </c>
      <c r="G774">
        <v>111062.13</v>
      </c>
      <c r="H774">
        <v>9861</v>
      </c>
      <c r="I774">
        <v>11.26</v>
      </c>
      <c r="J774">
        <v>4.7995999999999999</v>
      </c>
    </row>
    <row r="775" spans="1:10" x14ac:dyDescent="0.3">
      <c r="A775" t="s">
        <v>462</v>
      </c>
      <c r="B775" t="s">
        <v>186</v>
      </c>
      <c r="C775" s="25">
        <v>45808</v>
      </c>
      <c r="D775">
        <v>123530</v>
      </c>
      <c r="E775" t="s">
        <v>471</v>
      </c>
      <c r="F775" t="s">
        <v>488</v>
      </c>
      <c r="G775">
        <v>119108.32</v>
      </c>
      <c r="H775">
        <v>6844</v>
      </c>
      <c r="I775">
        <v>17.399999999999999</v>
      </c>
      <c r="J775">
        <v>4.7279999999999998</v>
      </c>
    </row>
    <row r="776" spans="1:10" x14ac:dyDescent="0.3">
      <c r="A776" t="s">
        <v>462</v>
      </c>
      <c r="B776" t="s">
        <v>186</v>
      </c>
      <c r="C776" s="25">
        <v>45838</v>
      </c>
      <c r="D776">
        <v>123530</v>
      </c>
      <c r="E776" t="s">
        <v>471</v>
      </c>
      <c r="F776" t="s">
        <v>488</v>
      </c>
      <c r="G776">
        <v>107444.36</v>
      </c>
      <c r="H776">
        <v>23368</v>
      </c>
      <c r="I776">
        <v>4.5999999999999996</v>
      </c>
      <c r="J776">
        <v>4.3010999999999999</v>
      </c>
    </row>
    <row r="777" spans="1:10" x14ac:dyDescent="0.3">
      <c r="A777" t="s">
        <v>462</v>
      </c>
      <c r="B777" t="s">
        <v>186</v>
      </c>
      <c r="C777" s="25">
        <v>45869</v>
      </c>
      <c r="D777">
        <v>123530</v>
      </c>
      <c r="E777" t="s">
        <v>471</v>
      </c>
      <c r="F777" t="s">
        <v>488</v>
      </c>
      <c r="G777">
        <v>142546.68</v>
      </c>
      <c r="H777">
        <v>49476</v>
      </c>
      <c r="I777">
        <v>2.88</v>
      </c>
      <c r="J777">
        <v>5.8849999999999998</v>
      </c>
    </row>
    <row r="778" spans="1:10" x14ac:dyDescent="0.3">
      <c r="A778" t="s">
        <v>462</v>
      </c>
      <c r="B778" t="s">
        <v>186</v>
      </c>
      <c r="C778" s="25">
        <v>45900</v>
      </c>
      <c r="D778">
        <v>123530</v>
      </c>
      <c r="E778" t="s">
        <v>471</v>
      </c>
      <c r="F778" t="s">
        <v>488</v>
      </c>
      <c r="G778">
        <v>134398.49</v>
      </c>
      <c r="H778">
        <v>13727</v>
      </c>
      <c r="I778">
        <v>9.7899999999999991</v>
      </c>
      <c r="J778">
        <v>5.5494000000000003</v>
      </c>
    </row>
    <row r="779" spans="1:10" x14ac:dyDescent="0.3">
      <c r="A779" t="s">
        <v>462</v>
      </c>
      <c r="B779" t="s">
        <v>186</v>
      </c>
      <c r="C779" s="25">
        <v>45930</v>
      </c>
      <c r="D779">
        <v>123530</v>
      </c>
      <c r="E779" t="s">
        <v>471</v>
      </c>
      <c r="F779" t="s">
        <v>488</v>
      </c>
      <c r="G779">
        <v>99740.74</v>
      </c>
      <c r="H779">
        <v>9868</v>
      </c>
      <c r="I779">
        <v>10.11</v>
      </c>
      <c r="J779">
        <v>4.0281000000000002</v>
      </c>
    </row>
    <row r="780" spans="1:10" x14ac:dyDescent="0.3">
      <c r="A780" t="s">
        <v>462</v>
      </c>
      <c r="B780" t="s">
        <v>186</v>
      </c>
      <c r="C780" s="25">
        <v>45961</v>
      </c>
      <c r="D780">
        <v>123530</v>
      </c>
      <c r="E780" t="s">
        <v>471</v>
      </c>
      <c r="F780" t="s">
        <v>488</v>
      </c>
      <c r="G780">
        <v>133938.47</v>
      </c>
      <c r="H780">
        <v>11223</v>
      </c>
      <c r="I780">
        <v>11.93</v>
      </c>
      <c r="J780">
        <v>5.3891999999999998</v>
      </c>
    </row>
    <row r="781" spans="1:10" x14ac:dyDescent="0.3">
      <c r="A781" t="s">
        <v>462</v>
      </c>
      <c r="B781" t="s">
        <v>186</v>
      </c>
      <c r="C781" s="25">
        <v>45991</v>
      </c>
      <c r="D781">
        <v>123530</v>
      </c>
      <c r="E781" t="s">
        <v>471</v>
      </c>
      <c r="F781" t="s">
        <v>488</v>
      </c>
      <c r="G781">
        <v>143354.23999999999</v>
      </c>
      <c r="H781">
        <v>12180</v>
      </c>
      <c r="I781">
        <v>11.77</v>
      </c>
      <c r="J781">
        <v>5.8354999999999997</v>
      </c>
    </row>
    <row r="782" spans="1:10" x14ac:dyDescent="0.3">
      <c r="A782" t="s">
        <v>462</v>
      </c>
      <c r="B782" t="s">
        <v>186</v>
      </c>
      <c r="C782" s="25">
        <v>45657</v>
      </c>
      <c r="D782">
        <v>315485</v>
      </c>
      <c r="E782" t="s">
        <v>465</v>
      </c>
      <c r="F782" t="s">
        <v>487</v>
      </c>
      <c r="G782">
        <v>101536.9</v>
      </c>
      <c r="H782">
        <v>9803</v>
      </c>
      <c r="I782">
        <v>10.36</v>
      </c>
      <c r="J782">
        <v>4.5209999999999999</v>
      </c>
    </row>
    <row r="783" spans="1:10" x14ac:dyDescent="0.3">
      <c r="A783" t="s">
        <v>462</v>
      </c>
      <c r="B783" t="s">
        <v>186</v>
      </c>
      <c r="C783" s="25">
        <v>45688</v>
      </c>
      <c r="D783">
        <v>315485</v>
      </c>
      <c r="E783" t="s">
        <v>465</v>
      </c>
      <c r="F783" t="s">
        <v>487</v>
      </c>
      <c r="G783">
        <v>122054.37</v>
      </c>
      <c r="H783">
        <v>13011</v>
      </c>
      <c r="I783">
        <v>9.3800000000000008</v>
      </c>
      <c r="J783">
        <v>4.9408000000000003</v>
      </c>
    </row>
    <row r="784" spans="1:10" x14ac:dyDescent="0.3">
      <c r="A784" t="s">
        <v>462</v>
      </c>
      <c r="B784" t="s">
        <v>186</v>
      </c>
      <c r="C784" s="25">
        <v>45716</v>
      </c>
      <c r="D784">
        <v>315485</v>
      </c>
      <c r="E784" t="s">
        <v>465</v>
      </c>
      <c r="F784" t="s">
        <v>487</v>
      </c>
      <c r="G784">
        <v>87654.75</v>
      </c>
      <c r="H784">
        <v>32390</v>
      </c>
      <c r="I784">
        <v>2.71</v>
      </c>
      <c r="J784">
        <v>3.6859000000000002</v>
      </c>
    </row>
    <row r="785" spans="1:10" x14ac:dyDescent="0.3">
      <c r="A785" t="s">
        <v>462</v>
      </c>
      <c r="B785" t="s">
        <v>186</v>
      </c>
      <c r="C785" s="25">
        <v>45747</v>
      </c>
      <c r="D785">
        <v>315485</v>
      </c>
      <c r="E785" t="s">
        <v>465</v>
      </c>
      <c r="F785" t="s">
        <v>487</v>
      </c>
      <c r="G785">
        <v>118268.26</v>
      </c>
      <c r="H785">
        <v>13996</v>
      </c>
      <c r="I785">
        <v>8.4499999999999993</v>
      </c>
      <c r="J785">
        <v>4.8968999999999996</v>
      </c>
    </row>
    <row r="786" spans="1:10" x14ac:dyDescent="0.3">
      <c r="A786" t="s">
        <v>462</v>
      </c>
      <c r="B786" t="s">
        <v>186</v>
      </c>
      <c r="C786" s="25">
        <v>45777</v>
      </c>
      <c r="D786">
        <v>315485</v>
      </c>
      <c r="E786" t="s">
        <v>465</v>
      </c>
      <c r="F786" t="s">
        <v>487</v>
      </c>
      <c r="G786">
        <v>95835.24</v>
      </c>
      <c r="H786">
        <v>19100</v>
      </c>
      <c r="I786">
        <v>5.0199999999999996</v>
      </c>
      <c r="J786">
        <v>4.1414999999999997</v>
      </c>
    </row>
    <row r="787" spans="1:10" x14ac:dyDescent="0.3">
      <c r="A787" t="s">
        <v>462</v>
      </c>
      <c r="B787" t="s">
        <v>186</v>
      </c>
      <c r="C787" s="25">
        <v>45808</v>
      </c>
      <c r="D787">
        <v>315485</v>
      </c>
      <c r="E787" t="s">
        <v>465</v>
      </c>
      <c r="F787" t="s">
        <v>487</v>
      </c>
      <c r="G787">
        <v>132493.96</v>
      </c>
      <c r="H787">
        <v>7554</v>
      </c>
      <c r="I787">
        <v>17.54</v>
      </c>
      <c r="J787">
        <v>5.2594000000000003</v>
      </c>
    </row>
    <row r="788" spans="1:10" x14ac:dyDescent="0.3">
      <c r="A788" t="s">
        <v>462</v>
      </c>
      <c r="B788" t="s">
        <v>186</v>
      </c>
      <c r="C788" s="25">
        <v>45838</v>
      </c>
      <c r="D788">
        <v>315485</v>
      </c>
      <c r="E788" t="s">
        <v>465</v>
      </c>
      <c r="F788" t="s">
        <v>487</v>
      </c>
      <c r="G788">
        <v>123740.53</v>
      </c>
      <c r="H788">
        <v>6863</v>
      </c>
      <c r="I788">
        <v>18.03</v>
      </c>
      <c r="J788">
        <v>4.9534000000000002</v>
      </c>
    </row>
    <row r="789" spans="1:10" x14ac:dyDescent="0.3">
      <c r="A789" t="s">
        <v>462</v>
      </c>
      <c r="B789" t="s">
        <v>186</v>
      </c>
      <c r="C789" s="25">
        <v>45869</v>
      </c>
      <c r="D789">
        <v>315485</v>
      </c>
      <c r="E789" t="s">
        <v>465</v>
      </c>
      <c r="F789" t="s">
        <v>487</v>
      </c>
      <c r="G789">
        <v>128508.2</v>
      </c>
      <c r="H789">
        <v>10939</v>
      </c>
      <c r="I789">
        <v>11.75</v>
      </c>
      <c r="J789">
        <v>5.3053999999999997</v>
      </c>
    </row>
    <row r="790" spans="1:10" x14ac:dyDescent="0.3">
      <c r="A790" t="s">
        <v>462</v>
      </c>
      <c r="B790" t="s">
        <v>186</v>
      </c>
      <c r="C790" s="25">
        <v>45900</v>
      </c>
      <c r="D790">
        <v>315485</v>
      </c>
      <c r="E790" t="s">
        <v>465</v>
      </c>
      <c r="F790" t="s">
        <v>487</v>
      </c>
      <c r="G790">
        <v>119300.21</v>
      </c>
      <c r="H790">
        <v>16041</v>
      </c>
      <c r="I790">
        <v>7.44</v>
      </c>
      <c r="J790">
        <v>4.9260000000000002</v>
      </c>
    </row>
    <row r="791" spans="1:10" x14ac:dyDescent="0.3">
      <c r="A791" t="s">
        <v>462</v>
      </c>
      <c r="B791" t="s">
        <v>186</v>
      </c>
      <c r="C791" s="25">
        <v>45930</v>
      </c>
      <c r="D791">
        <v>315485</v>
      </c>
      <c r="E791" t="s">
        <v>465</v>
      </c>
      <c r="F791" t="s">
        <v>487</v>
      </c>
      <c r="G791">
        <v>91656.46</v>
      </c>
      <c r="H791">
        <v>41475</v>
      </c>
      <c r="I791">
        <v>2.21</v>
      </c>
      <c r="J791">
        <v>3.7016</v>
      </c>
    </row>
    <row r="792" spans="1:10" x14ac:dyDescent="0.3">
      <c r="A792" t="s">
        <v>462</v>
      </c>
      <c r="B792" t="s">
        <v>186</v>
      </c>
      <c r="C792" s="25">
        <v>45961</v>
      </c>
      <c r="D792">
        <v>315485</v>
      </c>
      <c r="E792" t="s">
        <v>465</v>
      </c>
      <c r="F792" t="s">
        <v>487</v>
      </c>
      <c r="G792">
        <v>83887.96</v>
      </c>
      <c r="H792">
        <v>10721</v>
      </c>
      <c r="I792">
        <v>7.82</v>
      </c>
      <c r="J792">
        <v>3.3754</v>
      </c>
    </row>
    <row r="793" spans="1:10" x14ac:dyDescent="0.3">
      <c r="A793" t="s">
        <v>462</v>
      </c>
      <c r="B793" t="s">
        <v>186</v>
      </c>
      <c r="C793" s="25">
        <v>45991</v>
      </c>
      <c r="D793">
        <v>315485</v>
      </c>
      <c r="E793" t="s">
        <v>465</v>
      </c>
      <c r="F793" t="s">
        <v>487</v>
      </c>
      <c r="G793">
        <v>137262.16</v>
      </c>
      <c r="H793">
        <v>12085</v>
      </c>
      <c r="I793">
        <v>11.36</v>
      </c>
      <c r="J793">
        <v>5.5875000000000004</v>
      </c>
    </row>
    <row r="794" spans="1:10" x14ac:dyDescent="0.3">
      <c r="A794" t="s">
        <v>462</v>
      </c>
      <c r="B794" t="s">
        <v>186</v>
      </c>
      <c r="C794" s="25">
        <v>45657</v>
      </c>
      <c r="D794">
        <v>995327</v>
      </c>
      <c r="E794" t="s">
        <v>469</v>
      </c>
      <c r="F794" t="s">
        <v>486</v>
      </c>
      <c r="G794">
        <v>113383.06</v>
      </c>
      <c r="H794">
        <v>16364</v>
      </c>
      <c r="I794">
        <v>6.93</v>
      </c>
      <c r="J794">
        <v>5.0484999999999998</v>
      </c>
    </row>
    <row r="795" spans="1:10" x14ac:dyDescent="0.3">
      <c r="A795" t="s">
        <v>462</v>
      </c>
      <c r="B795" t="s">
        <v>186</v>
      </c>
      <c r="C795" s="25">
        <v>45688</v>
      </c>
      <c r="D795">
        <v>995327</v>
      </c>
      <c r="E795" t="s">
        <v>469</v>
      </c>
      <c r="F795" t="s">
        <v>486</v>
      </c>
      <c r="G795">
        <v>93497.37</v>
      </c>
      <c r="H795">
        <v>9986</v>
      </c>
      <c r="I795">
        <v>9.36</v>
      </c>
      <c r="J795">
        <v>3.7848000000000002</v>
      </c>
    </row>
    <row r="796" spans="1:10" x14ac:dyDescent="0.3">
      <c r="A796" t="s">
        <v>462</v>
      </c>
      <c r="B796" t="s">
        <v>186</v>
      </c>
      <c r="C796" s="25">
        <v>45716</v>
      </c>
      <c r="D796">
        <v>995327</v>
      </c>
      <c r="E796" t="s">
        <v>469</v>
      </c>
      <c r="F796" t="s">
        <v>486</v>
      </c>
      <c r="G796">
        <v>115720.84</v>
      </c>
      <c r="H796">
        <v>9214</v>
      </c>
      <c r="I796">
        <v>12.56</v>
      </c>
      <c r="J796">
        <v>4.8659999999999997</v>
      </c>
    </row>
    <row r="797" spans="1:10" x14ac:dyDescent="0.3">
      <c r="A797" t="s">
        <v>462</v>
      </c>
      <c r="B797" t="s">
        <v>186</v>
      </c>
      <c r="C797" s="25">
        <v>45747</v>
      </c>
      <c r="D797">
        <v>995327</v>
      </c>
      <c r="E797" t="s">
        <v>469</v>
      </c>
      <c r="F797" t="s">
        <v>486</v>
      </c>
      <c r="G797">
        <v>146945.41</v>
      </c>
      <c r="H797">
        <v>9955</v>
      </c>
      <c r="I797">
        <v>14.76</v>
      </c>
      <c r="J797">
        <v>6.0842999999999998</v>
      </c>
    </row>
    <row r="798" spans="1:10" x14ac:dyDescent="0.3">
      <c r="A798" t="s">
        <v>462</v>
      </c>
      <c r="B798" t="s">
        <v>186</v>
      </c>
      <c r="C798" s="25">
        <v>45777</v>
      </c>
      <c r="D798">
        <v>995327</v>
      </c>
      <c r="E798" t="s">
        <v>469</v>
      </c>
      <c r="F798" t="s">
        <v>486</v>
      </c>
      <c r="G798">
        <v>118768.62</v>
      </c>
      <c r="H798">
        <v>6650</v>
      </c>
      <c r="I798">
        <v>17.86</v>
      </c>
      <c r="J798">
        <v>5.1326000000000001</v>
      </c>
    </row>
    <row r="799" spans="1:10" x14ac:dyDescent="0.3">
      <c r="A799" t="s">
        <v>462</v>
      </c>
      <c r="B799" t="s">
        <v>186</v>
      </c>
      <c r="C799" s="25">
        <v>45808</v>
      </c>
      <c r="D799">
        <v>995327</v>
      </c>
      <c r="E799" t="s">
        <v>469</v>
      </c>
      <c r="F799" t="s">
        <v>486</v>
      </c>
      <c r="G799">
        <v>103550.03</v>
      </c>
      <c r="H799">
        <v>10126</v>
      </c>
      <c r="I799">
        <v>10.23</v>
      </c>
      <c r="J799">
        <v>4.1104000000000003</v>
      </c>
    </row>
    <row r="800" spans="1:10" x14ac:dyDescent="0.3">
      <c r="A800" t="s">
        <v>462</v>
      </c>
      <c r="B800" t="s">
        <v>186</v>
      </c>
      <c r="C800" s="25">
        <v>45838</v>
      </c>
      <c r="D800">
        <v>995327</v>
      </c>
      <c r="E800" t="s">
        <v>469</v>
      </c>
      <c r="F800" t="s">
        <v>486</v>
      </c>
      <c r="G800">
        <v>88174.13</v>
      </c>
      <c r="H800">
        <v>5663</v>
      </c>
      <c r="I800">
        <v>15.57</v>
      </c>
      <c r="J800">
        <v>3.5297000000000001</v>
      </c>
    </row>
    <row r="801" spans="1:10" x14ac:dyDescent="0.3">
      <c r="A801" t="s">
        <v>462</v>
      </c>
      <c r="B801" t="s">
        <v>186</v>
      </c>
      <c r="C801" s="25">
        <v>45869</v>
      </c>
      <c r="D801">
        <v>995327</v>
      </c>
      <c r="E801" t="s">
        <v>469</v>
      </c>
      <c r="F801" t="s">
        <v>486</v>
      </c>
      <c r="G801">
        <v>126102.97</v>
      </c>
      <c r="H801">
        <v>17841</v>
      </c>
      <c r="I801">
        <v>7.07</v>
      </c>
      <c r="J801">
        <v>5.2061000000000002</v>
      </c>
    </row>
    <row r="802" spans="1:10" x14ac:dyDescent="0.3">
      <c r="A802" t="s">
        <v>462</v>
      </c>
      <c r="B802" t="s">
        <v>186</v>
      </c>
      <c r="C802" s="25">
        <v>45900</v>
      </c>
      <c r="D802">
        <v>995327</v>
      </c>
      <c r="E802" t="s">
        <v>469</v>
      </c>
      <c r="F802" t="s">
        <v>486</v>
      </c>
      <c r="G802">
        <v>106284.75</v>
      </c>
      <c r="H802">
        <v>14473</v>
      </c>
      <c r="I802">
        <v>7.34</v>
      </c>
      <c r="J802">
        <v>4.3886000000000003</v>
      </c>
    </row>
    <row r="803" spans="1:10" x14ac:dyDescent="0.3">
      <c r="A803" t="s">
        <v>462</v>
      </c>
      <c r="B803" t="s">
        <v>186</v>
      </c>
      <c r="C803" s="25">
        <v>45930</v>
      </c>
      <c r="D803">
        <v>995327</v>
      </c>
      <c r="E803" t="s">
        <v>469</v>
      </c>
      <c r="F803" t="s">
        <v>486</v>
      </c>
      <c r="G803">
        <v>88756.88</v>
      </c>
      <c r="H803">
        <v>18113</v>
      </c>
      <c r="I803">
        <v>4.9000000000000004</v>
      </c>
      <c r="J803">
        <v>3.5844999999999998</v>
      </c>
    </row>
    <row r="804" spans="1:10" x14ac:dyDescent="0.3">
      <c r="A804" t="s">
        <v>462</v>
      </c>
      <c r="B804" t="s">
        <v>186</v>
      </c>
      <c r="C804" s="25">
        <v>45961</v>
      </c>
      <c r="D804">
        <v>995327</v>
      </c>
      <c r="E804" t="s">
        <v>469</v>
      </c>
      <c r="F804" t="s">
        <v>486</v>
      </c>
      <c r="G804">
        <v>104159.2</v>
      </c>
      <c r="H804">
        <v>15221</v>
      </c>
      <c r="I804">
        <v>6.84</v>
      </c>
      <c r="J804">
        <v>4.1909999999999998</v>
      </c>
    </row>
    <row r="805" spans="1:10" x14ac:dyDescent="0.3">
      <c r="A805" t="s">
        <v>462</v>
      </c>
      <c r="B805" t="s">
        <v>186</v>
      </c>
      <c r="C805" s="25">
        <v>45991</v>
      </c>
      <c r="D805">
        <v>995327</v>
      </c>
      <c r="E805" t="s">
        <v>469</v>
      </c>
      <c r="F805" t="s">
        <v>486</v>
      </c>
      <c r="G805">
        <v>135149.95000000001</v>
      </c>
      <c r="H805">
        <v>67541</v>
      </c>
      <c r="I805">
        <v>2</v>
      </c>
      <c r="J805">
        <v>5.5015000000000001</v>
      </c>
    </row>
    <row r="806" spans="1:10" x14ac:dyDescent="0.3">
      <c r="A806" t="s">
        <v>462</v>
      </c>
      <c r="B806" t="s">
        <v>186</v>
      </c>
      <c r="C806" s="25">
        <v>45657</v>
      </c>
      <c r="D806">
        <v>278288</v>
      </c>
      <c r="E806" t="s">
        <v>472</v>
      </c>
      <c r="F806" t="s">
        <v>485</v>
      </c>
      <c r="G806">
        <v>94360.03</v>
      </c>
      <c r="H806">
        <v>6086</v>
      </c>
      <c r="I806">
        <v>15.5</v>
      </c>
      <c r="J806">
        <v>4.2015000000000002</v>
      </c>
    </row>
    <row r="807" spans="1:10" x14ac:dyDescent="0.3">
      <c r="A807" t="s">
        <v>462</v>
      </c>
      <c r="B807" t="s">
        <v>186</v>
      </c>
      <c r="C807" s="25">
        <v>45688</v>
      </c>
      <c r="D807">
        <v>278288</v>
      </c>
      <c r="E807" t="s">
        <v>472</v>
      </c>
      <c r="F807" t="s">
        <v>485</v>
      </c>
      <c r="G807">
        <v>107958.68</v>
      </c>
      <c r="H807">
        <v>15175</v>
      </c>
      <c r="I807">
        <v>7.11</v>
      </c>
      <c r="J807">
        <v>4.3701999999999996</v>
      </c>
    </row>
    <row r="808" spans="1:10" x14ac:dyDescent="0.3">
      <c r="A808" t="s">
        <v>462</v>
      </c>
      <c r="B808" t="s">
        <v>186</v>
      </c>
      <c r="C808" s="25">
        <v>45716</v>
      </c>
      <c r="D808">
        <v>278288</v>
      </c>
      <c r="E808" t="s">
        <v>472</v>
      </c>
      <c r="F808" t="s">
        <v>485</v>
      </c>
      <c r="G808">
        <v>81799.64</v>
      </c>
      <c r="H808">
        <v>10749</v>
      </c>
      <c r="I808">
        <v>7.61</v>
      </c>
      <c r="J808">
        <v>3.4397000000000002</v>
      </c>
    </row>
    <row r="809" spans="1:10" x14ac:dyDescent="0.3">
      <c r="A809" t="s">
        <v>462</v>
      </c>
      <c r="B809" t="s">
        <v>186</v>
      </c>
      <c r="C809" s="25">
        <v>45747</v>
      </c>
      <c r="D809">
        <v>278288</v>
      </c>
      <c r="E809" t="s">
        <v>472</v>
      </c>
      <c r="F809" t="s">
        <v>485</v>
      </c>
      <c r="G809">
        <v>97498.17</v>
      </c>
      <c r="H809">
        <v>5337</v>
      </c>
      <c r="I809">
        <v>18.27</v>
      </c>
      <c r="J809">
        <v>4.0369000000000002</v>
      </c>
    </row>
    <row r="810" spans="1:10" x14ac:dyDescent="0.3">
      <c r="A810" t="s">
        <v>462</v>
      </c>
      <c r="B810" t="s">
        <v>186</v>
      </c>
      <c r="C810" s="25">
        <v>45777</v>
      </c>
      <c r="D810">
        <v>278288</v>
      </c>
      <c r="E810" t="s">
        <v>472</v>
      </c>
      <c r="F810" t="s">
        <v>485</v>
      </c>
      <c r="G810">
        <v>122427.84</v>
      </c>
      <c r="H810">
        <v>16952</v>
      </c>
      <c r="I810">
        <v>7.22</v>
      </c>
      <c r="J810">
        <v>5.2907000000000002</v>
      </c>
    </row>
    <row r="811" spans="1:10" x14ac:dyDescent="0.3">
      <c r="A811" t="s">
        <v>462</v>
      </c>
      <c r="B811" t="s">
        <v>186</v>
      </c>
      <c r="C811" s="25">
        <v>45808</v>
      </c>
      <c r="D811">
        <v>278288</v>
      </c>
      <c r="E811" t="s">
        <v>472</v>
      </c>
      <c r="F811" t="s">
        <v>485</v>
      </c>
      <c r="G811">
        <v>136567.24</v>
      </c>
      <c r="H811">
        <v>8513</v>
      </c>
      <c r="I811">
        <v>16.04</v>
      </c>
      <c r="J811">
        <v>5.4211</v>
      </c>
    </row>
    <row r="812" spans="1:10" x14ac:dyDescent="0.3">
      <c r="A812" t="s">
        <v>462</v>
      </c>
      <c r="B812" t="s">
        <v>186</v>
      </c>
      <c r="C812" s="25">
        <v>45838</v>
      </c>
      <c r="D812">
        <v>278288</v>
      </c>
      <c r="E812" t="s">
        <v>472</v>
      </c>
      <c r="F812" t="s">
        <v>485</v>
      </c>
      <c r="G812">
        <v>131902.04999999999</v>
      </c>
      <c r="H812">
        <v>8964</v>
      </c>
      <c r="I812">
        <v>14.71</v>
      </c>
      <c r="J812">
        <v>5.2801</v>
      </c>
    </row>
    <row r="813" spans="1:10" x14ac:dyDescent="0.3">
      <c r="A813" t="s">
        <v>462</v>
      </c>
      <c r="B813" t="s">
        <v>186</v>
      </c>
      <c r="C813" s="25">
        <v>45869</v>
      </c>
      <c r="D813">
        <v>278288</v>
      </c>
      <c r="E813" t="s">
        <v>472</v>
      </c>
      <c r="F813" t="s">
        <v>485</v>
      </c>
      <c r="G813">
        <v>104971.45</v>
      </c>
      <c r="H813">
        <v>19579</v>
      </c>
      <c r="I813">
        <v>5.36</v>
      </c>
      <c r="J813">
        <v>4.3337000000000003</v>
      </c>
    </row>
    <row r="814" spans="1:10" x14ac:dyDescent="0.3">
      <c r="A814" t="s">
        <v>462</v>
      </c>
      <c r="B814" t="s">
        <v>186</v>
      </c>
      <c r="C814" s="25">
        <v>45900</v>
      </c>
      <c r="D814">
        <v>278288</v>
      </c>
      <c r="E814" t="s">
        <v>472</v>
      </c>
      <c r="F814" t="s">
        <v>485</v>
      </c>
      <c r="G814">
        <v>142015.99</v>
      </c>
      <c r="H814">
        <v>84999</v>
      </c>
      <c r="I814">
        <v>1.67</v>
      </c>
      <c r="J814">
        <v>5.8639999999999999</v>
      </c>
    </row>
    <row r="815" spans="1:10" x14ac:dyDescent="0.3">
      <c r="A815" t="s">
        <v>462</v>
      </c>
      <c r="B815" t="s">
        <v>186</v>
      </c>
      <c r="C815" s="25">
        <v>45930</v>
      </c>
      <c r="D815">
        <v>278288</v>
      </c>
      <c r="E815" t="s">
        <v>472</v>
      </c>
      <c r="F815" t="s">
        <v>485</v>
      </c>
      <c r="G815">
        <v>124526.59</v>
      </c>
      <c r="H815">
        <v>12500</v>
      </c>
      <c r="I815">
        <v>9.9600000000000009</v>
      </c>
      <c r="J815">
        <v>5.0290999999999997</v>
      </c>
    </row>
    <row r="816" spans="1:10" x14ac:dyDescent="0.3">
      <c r="A816" t="s">
        <v>462</v>
      </c>
      <c r="B816" t="s">
        <v>186</v>
      </c>
      <c r="C816" s="25">
        <v>45961</v>
      </c>
      <c r="D816">
        <v>278288</v>
      </c>
      <c r="E816" t="s">
        <v>472</v>
      </c>
      <c r="F816" t="s">
        <v>485</v>
      </c>
      <c r="G816">
        <v>121254.56</v>
      </c>
      <c r="H816">
        <v>10738</v>
      </c>
      <c r="I816">
        <v>11.29</v>
      </c>
      <c r="J816">
        <v>4.8788999999999998</v>
      </c>
    </row>
    <row r="817" spans="1:10" x14ac:dyDescent="0.3">
      <c r="A817" t="s">
        <v>462</v>
      </c>
      <c r="B817" t="s">
        <v>186</v>
      </c>
      <c r="C817" s="25">
        <v>45991</v>
      </c>
      <c r="D817">
        <v>278288</v>
      </c>
      <c r="E817" t="s">
        <v>472</v>
      </c>
      <c r="F817" t="s">
        <v>485</v>
      </c>
      <c r="G817">
        <v>106132.88</v>
      </c>
      <c r="H817">
        <v>11027</v>
      </c>
      <c r="I817">
        <v>9.6199999999999992</v>
      </c>
      <c r="J817">
        <v>4.3202999999999996</v>
      </c>
    </row>
    <row r="818" spans="1:10" x14ac:dyDescent="0.3">
      <c r="A818" t="s">
        <v>462</v>
      </c>
      <c r="B818" t="s">
        <v>186</v>
      </c>
      <c r="C818" s="25">
        <v>45657</v>
      </c>
      <c r="D818">
        <v>449941</v>
      </c>
      <c r="E818" t="s">
        <v>469</v>
      </c>
      <c r="F818" t="s">
        <v>484</v>
      </c>
      <c r="G818">
        <v>93618.68</v>
      </c>
      <c r="H818">
        <v>16831</v>
      </c>
      <c r="I818">
        <v>5.56</v>
      </c>
      <c r="J818">
        <v>4.1684999999999999</v>
      </c>
    </row>
    <row r="819" spans="1:10" x14ac:dyDescent="0.3">
      <c r="A819" t="s">
        <v>462</v>
      </c>
      <c r="B819" t="s">
        <v>186</v>
      </c>
      <c r="C819" s="25">
        <v>45688</v>
      </c>
      <c r="D819">
        <v>449941</v>
      </c>
      <c r="E819" t="s">
        <v>469</v>
      </c>
      <c r="F819" t="s">
        <v>484</v>
      </c>
      <c r="G819">
        <v>104802.93</v>
      </c>
      <c r="H819">
        <v>8373</v>
      </c>
      <c r="I819">
        <v>12.52</v>
      </c>
      <c r="J819">
        <v>4.2423999999999999</v>
      </c>
    </row>
    <row r="820" spans="1:10" x14ac:dyDescent="0.3">
      <c r="A820" t="s">
        <v>462</v>
      </c>
      <c r="B820" t="s">
        <v>186</v>
      </c>
      <c r="C820" s="25">
        <v>45716</v>
      </c>
      <c r="D820">
        <v>449941</v>
      </c>
      <c r="E820" t="s">
        <v>469</v>
      </c>
      <c r="F820" t="s">
        <v>484</v>
      </c>
      <c r="G820">
        <v>110500.28</v>
      </c>
      <c r="H820">
        <v>6036</v>
      </c>
      <c r="I820">
        <v>18.309999999999999</v>
      </c>
      <c r="J820">
        <v>4.6464999999999996</v>
      </c>
    </row>
    <row r="821" spans="1:10" x14ac:dyDescent="0.3">
      <c r="A821" t="s">
        <v>462</v>
      </c>
      <c r="B821" t="s">
        <v>186</v>
      </c>
      <c r="C821" s="25">
        <v>45747</v>
      </c>
      <c r="D821">
        <v>449941</v>
      </c>
      <c r="E821" t="s">
        <v>469</v>
      </c>
      <c r="F821" t="s">
        <v>484</v>
      </c>
      <c r="G821">
        <v>114461.01</v>
      </c>
      <c r="H821">
        <v>13595</v>
      </c>
      <c r="I821">
        <v>8.42</v>
      </c>
      <c r="J821">
        <v>4.7393000000000001</v>
      </c>
    </row>
    <row r="822" spans="1:10" x14ac:dyDescent="0.3">
      <c r="A822" t="s">
        <v>462</v>
      </c>
      <c r="B822" t="s">
        <v>186</v>
      </c>
      <c r="C822" s="25">
        <v>45777</v>
      </c>
      <c r="D822">
        <v>449941</v>
      </c>
      <c r="E822" t="s">
        <v>469</v>
      </c>
      <c r="F822" t="s">
        <v>484</v>
      </c>
      <c r="G822">
        <v>74817.539999999994</v>
      </c>
      <c r="H822">
        <v>6098</v>
      </c>
      <c r="I822">
        <v>12.27</v>
      </c>
      <c r="J822">
        <v>3.2332999999999998</v>
      </c>
    </row>
    <row r="823" spans="1:10" x14ac:dyDescent="0.3">
      <c r="A823" t="s">
        <v>462</v>
      </c>
      <c r="B823" t="s">
        <v>186</v>
      </c>
      <c r="C823" s="25">
        <v>45808</v>
      </c>
      <c r="D823">
        <v>449941</v>
      </c>
      <c r="E823" t="s">
        <v>469</v>
      </c>
      <c r="F823" t="s">
        <v>484</v>
      </c>
      <c r="G823">
        <v>89957.56</v>
      </c>
      <c r="H823">
        <v>9918</v>
      </c>
      <c r="I823">
        <v>9.07</v>
      </c>
      <c r="J823">
        <v>3.5709</v>
      </c>
    </row>
    <row r="824" spans="1:10" x14ac:dyDescent="0.3">
      <c r="A824" t="s">
        <v>462</v>
      </c>
      <c r="B824" t="s">
        <v>186</v>
      </c>
      <c r="C824" s="25">
        <v>45838</v>
      </c>
      <c r="D824">
        <v>449941</v>
      </c>
      <c r="E824" t="s">
        <v>469</v>
      </c>
      <c r="F824" t="s">
        <v>484</v>
      </c>
      <c r="G824">
        <v>83661.460000000006</v>
      </c>
      <c r="H824">
        <v>24133</v>
      </c>
      <c r="I824">
        <v>3.47</v>
      </c>
      <c r="J824">
        <v>3.3490000000000002</v>
      </c>
    </row>
    <row r="825" spans="1:10" x14ac:dyDescent="0.3">
      <c r="A825" t="s">
        <v>462</v>
      </c>
      <c r="B825" t="s">
        <v>186</v>
      </c>
      <c r="C825" s="25">
        <v>45869</v>
      </c>
      <c r="D825">
        <v>449941</v>
      </c>
      <c r="E825" t="s">
        <v>469</v>
      </c>
      <c r="F825" t="s">
        <v>484</v>
      </c>
      <c r="G825">
        <v>119325.81</v>
      </c>
      <c r="H825">
        <v>13477</v>
      </c>
      <c r="I825">
        <v>8.85</v>
      </c>
      <c r="J825">
        <v>4.9263000000000003</v>
      </c>
    </row>
    <row r="826" spans="1:10" x14ac:dyDescent="0.3">
      <c r="A826" t="s">
        <v>462</v>
      </c>
      <c r="B826" t="s">
        <v>186</v>
      </c>
      <c r="C826" s="25">
        <v>45900</v>
      </c>
      <c r="D826">
        <v>449941</v>
      </c>
      <c r="E826" t="s">
        <v>469</v>
      </c>
      <c r="F826" t="s">
        <v>484</v>
      </c>
      <c r="G826">
        <v>117241.42</v>
      </c>
      <c r="H826">
        <v>12045</v>
      </c>
      <c r="I826">
        <v>9.73</v>
      </c>
      <c r="J826">
        <v>4.8410000000000002</v>
      </c>
    </row>
    <row r="827" spans="1:10" x14ac:dyDescent="0.3">
      <c r="A827" t="s">
        <v>462</v>
      </c>
      <c r="B827" t="s">
        <v>186</v>
      </c>
      <c r="C827" s="25">
        <v>45930</v>
      </c>
      <c r="D827">
        <v>449941</v>
      </c>
      <c r="E827" t="s">
        <v>469</v>
      </c>
      <c r="F827" t="s">
        <v>484</v>
      </c>
      <c r="G827">
        <v>96561.86</v>
      </c>
      <c r="H827">
        <v>7113</v>
      </c>
      <c r="I827">
        <v>13.57</v>
      </c>
      <c r="J827">
        <v>3.8997000000000002</v>
      </c>
    </row>
    <row r="828" spans="1:10" x14ac:dyDescent="0.3">
      <c r="A828" t="s">
        <v>462</v>
      </c>
      <c r="B828" t="s">
        <v>186</v>
      </c>
      <c r="C828" s="25">
        <v>45961</v>
      </c>
      <c r="D828">
        <v>449941</v>
      </c>
      <c r="E828" t="s">
        <v>469</v>
      </c>
      <c r="F828" t="s">
        <v>484</v>
      </c>
      <c r="G828">
        <v>101894.62</v>
      </c>
      <c r="H828">
        <v>23251</v>
      </c>
      <c r="I828">
        <v>4.38</v>
      </c>
      <c r="J828">
        <v>4.0998999999999999</v>
      </c>
    </row>
    <row r="829" spans="1:10" x14ac:dyDescent="0.3">
      <c r="A829" t="s">
        <v>462</v>
      </c>
      <c r="B829" t="s">
        <v>186</v>
      </c>
      <c r="C829" s="25">
        <v>45991</v>
      </c>
      <c r="D829">
        <v>449941</v>
      </c>
      <c r="E829" t="s">
        <v>469</v>
      </c>
      <c r="F829" t="s">
        <v>484</v>
      </c>
      <c r="G829">
        <v>104126.37</v>
      </c>
      <c r="H829">
        <v>72339</v>
      </c>
      <c r="I829">
        <v>1.44</v>
      </c>
      <c r="J829">
        <v>4.2386999999999997</v>
      </c>
    </row>
    <row r="830" spans="1:10" x14ac:dyDescent="0.3">
      <c r="A830" t="s">
        <v>462</v>
      </c>
      <c r="B830" t="s">
        <v>186</v>
      </c>
      <c r="C830" s="25">
        <v>45657</v>
      </c>
      <c r="D830">
        <v>535874</v>
      </c>
      <c r="E830" t="s">
        <v>472</v>
      </c>
      <c r="F830" t="s">
        <v>483</v>
      </c>
      <c r="G830">
        <v>85045.79</v>
      </c>
      <c r="H830">
        <v>6629</v>
      </c>
      <c r="I830">
        <v>12.83</v>
      </c>
      <c r="J830">
        <v>3.7867000000000002</v>
      </c>
    </row>
    <row r="831" spans="1:10" x14ac:dyDescent="0.3">
      <c r="A831" t="s">
        <v>462</v>
      </c>
      <c r="B831" t="s">
        <v>186</v>
      </c>
      <c r="C831" s="25">
        <v>45688</v>
      </c>
      <c r="D831">
        <v>535874</v>
      </c>
      <c r="E831" t="s">
        <v>472</v>
      </c>
      <c r="F831" t="s">
        <v>483</v>
      </c>
      <c r="G831">
        <v>115982.83</v>
      </c>
      <c r="H831">
        <v>19475</v>
      </c>
      <c r="I831">
        <v>5.96</v>
      </c>
      <c r="J831">
        <v>4.6950000000000003</v>
      </c>
    </row>
    <row r="832" spans="1:10" x14ac:dyDescent="0.3">
      <c r="A832" t="s">
        <v>462</v>
      </c>
      <c r="B832" t="s">
        <v>186</v>
      </c>
      <c r="C832" s="25">
        <v>45716</v>
      </c>
      <c r="D832">
        <v>535874</v>
      </c>
      <c r="E832" t="s">
        <v>472</v>
      </c>
      <c r="F832" t="s">
        <v>483</v>
      </c>
      <c r="G832">
        <v>105194.97</v>
      </c>
      <c r="H832">
        <v>7258</v>
      </c>
      <c r="I832">
        <v>14.49</v>
      </c>
      <c r="J832">
        <v>4.4234</v>
      </c>
    </row>
    <row r="833" spans="1:10" x14ac:dyDescent="0.3">
      <c r="A833" t="s">
        <v>462</v>
      </c>
      <c r="B833" t="s">
        <v>186</v>
      </c>
      <c r="C833" s="25">
        <v>45747</v>
      </c>
      <c r="D833">
        <v>535874</v>
      </c>
      <c r="E833" t="s">
        <v>472</v>
      </c>
      <c r="F833" t="s">
        <v>483</v>
      </c>
      <c r="G833">
        <v>113246.08</v>
      </c>
      <c r="H833">
        <v>7692</v>
      </c>
      <c r="I833">
        <v>14.72</v>
      </c>
      <c r="J833">
        <v>4.6890000000000001</v>
      </c>
    </row>
    <row r="834" spans="1:10" x14ac:dyDescent="0.3">
      <c r="A834" t="s">
        <v>462</v>
      </c>
      <c r="B834" t="s">
        <v>186</v>
      </c>
      <c r="C834" s="25">
        <v>45777</v>
      </c>
      <c r="D834">
        <v>535874</v>
      </c>
      <c r="E834" t="s">
        <v>472</v>
      </c>
      <c r="F834" t="s">
        <v>483</v>
      </c>
      <c r="G834">
        <v>113592.79</v>
      </c>
      <c r="H834">
        <v>10791</v>
      </c>
      <c r="I834">
        <v>10.53</v>
      </c>
      <c r="J834">
        <v>4.9089</v>
      </c>
    </row>
    <row r="835" spans="1:10" x14ac:dyDescent="0.3">
      <c r="A835" t="s">
        <v>462</v>
      </c>
      <c r="B835" t="s">
        <v>186</v>
      </c>
      <c r="C835" s="25">
        <v>45808</v>
      </c>
      <c r="D835">
        <v>535874</v>
      </c>
      <c r="E835" t="s">
        <v>472</v>
      </c>
      <c r="F835" t="s">
        <v>483</v>
      </c>
      <c r="G835">
        <v>102179.56</v>
      </c>
      <c r="H835">
        <v>11661</v>
      </c>
      <c r="I835">
        <v>8.76</v>
      </c>
      <c r="J835">
        <v>4.056</v>
      </c>
    </row>
    <row r="836" spans="1:10" x14ac:dyDescent="0.3">
      <c r="A836" t="s">
        <v>462</v>
      </c>
      <c r="B836" t="s">
        <v>186</v>
      </c>
      <c r="C836" s="25">
        <v>45838</v>
      </c>
      <c r="D836">
        <v>535874</v>
      </c>
      <c r="E836" t="s">
        <v>472</v>
      </c>
      <c r="F836" t="s">
        <v>483</v>
      </c>
      <c r="G836">
        <v>96713.94</v>
      </c>
      <c r="H836">
        <v>5965</v>
      </c>
      <c r="I836">
        <v>16.21</v>
      </c>
      <c r="J836">
        <v>3.8715000000000002</v>
      </c>
    </row>
    <row r="837" spans="1:10" x14ac:dyDescent="0.3">
      <c r="A837" t="s">
        <v>462</v>
      </c>
      <c r="B837" t="s">
        <v>186</v>
      </c>
      <c r="C837" s="25">
        <v>45869</v>
      </c>
      <c r="D837">
        <v>535874</v>
      </c>
      <c r="E837" t="s">
        <v>472</v>
      </c>
      <c r="F837" t="s">
        <v>483</v>
      </c>
      <c r="G837">
        <v>100373.01</v>
      </c>
      <c r="H837">
        <v>11736</v>
      </c>
      <c r="I837">
        <v>8.5500000000000007</v>
      </c>
      <c r="J837">
        <v>4.1439000000000004</v>
      </c>
    </row>
    <row r="838" spans="1:10" x14ac:dyDescent="0.3">
      <c r="A838" t="s">
        <v>462</v>
      </c>
      <c r="B838" t="s">
        <v>186</v>
      </c>
      <c r="C838" s="25">
        <v>45900</v>
      </c>
      <c r="D838">
        <v>535874</v>
      </c>
      <c r="E838" t="s">
        <v>472</v>
      </c>
      <c r="F838" t="s">
        <v>483</v>
      </c>
      <c r="G838">
        <v>97206.57</v>
      </c>
      <c r="H838">
        <v>22941</v>
      </c>
      <c r="I838">
        <v>4.24</v>
      </c>
      <c r="J838">
        <v>4.0137</v>
      </c>
    </row>
    <row r="839" spans="1:10" x14ac:dyDescent="0.3">
      <c r="A839" t="s">
        <v>462</v>
      </c>
      <c r="B839" t="s">
        <v>186</v>
      </c>
      <c r="C839" s="25">
        <v>45930</v>
      </c>
      <c r="D839">
        <v>535874</v>
      </c>
      <c r="E839" t="s">
        <v>472</v>
      </c>
      <c r="F839" t="s">
        <v>483</v>
      </c>
      <c r="G839">
        <v>85934.6</v>
      </c>
      <c r="H839">
        <v>6209</v>
      </c>
      <c r="I839">
        <v>13.84</v>
      </c>
      <c r="J839">
        <v>3.4704999999999999</v>
      </c>
    </row>
    <row r="840" spans="1:10" x14ac:dyDescent="0.3">
      <c r="A840" t="s">
        <v>462</v>
      </c>
      <c r="B840" t="s">
        <v>186</v>
      </c>
      <c r="C840" s="25">
        <v>45961</v>
      </c>
      <c r="D840">
        <v>535874</v>
      </c>
      <c r="E840" t="s">
        <v>472</v>
      </c>
      <c r="F840" t="s">
        <v>483</v>
      </c>
      <c r="G840">
        <v>113260.53</v>
      </c>
      <c r="H840">
        <v>5901</v>
      </c>
      <c r="I840">
        <v>19.190000000000001</v>
      </c>
      <c r="J840">
        <v>4.5571999999999999</v>
      </c>
    </row>
    <row r="841" spans="1:10" x14ac:dyDescent="0.3">
      <c r="A841" t="s">
        <v>462</v>
      </c>
      <c r="B841" t="s">
        <v>186</v>
      </c>
      <c r="C841" s="25">
        <v>45991</v>
      </c>
      <c r="D841">
        <v>535874</v>
      </c>
      <c r="E841" t="s">
        <v>472</v>
      </c>
      <c r="F841" t="s">
        <v>483</v>
      </c>
      <c r="G841">
        <v>109682.68</v>
      </c>
      <c r="H841">
        <v>8392</v>
      </c>
      <c r="I841">
        <v>13.07</v>
      </c>
      <c r="J841">
        <v>4.4649000000000001</v>
      </c>
    </row>
    <row r="842" spans="1:10" x14ac:dyDescent="0.3">
      <c r="A842" t="s">
        <v>462</v>
      </c>
      <c r="B842" t="s">
        <v>186</v>
      </c>
      <c r="C842" s="25">
        <v>45657</v>
      </c>
      <c r="D842">
        <v>748779</v>
      </c>
      <c r="E842" t="s">
        <v>464</v>
      </c>
      <c r="F842" t="s">
        <v>482</v>
      </c>
      <c r="G842">
        <v>60873.64</v>
      </c>
      <c r="H842">
        <v>3477</v>
      </c>
      <c r="I842">
        <v>17.510000000000002</v>
      </c>
      <c r="J842">
        <v>2.7105000000000001</v>
      </c>
    </row>
    <row r="843" spans="1:10" x14ac:dyDescent="0.3">
      <c r="A843" t="s">
        <v>462</v>
      </c>
      <c r="B843" t="s">
        <v>186</v>
      </c>
      <c r="C843" s="25">
        <v>45688</v>
      </c>
      <c r="D843">
        <v>748779</v>
      </c>
      <c r="E843" t="s">
        <v>464</v>
      </c>
      <c r="F843" t="s">
        <v>482</v>
      </c>
      <c r="G843">
        <v>67908.05</v>
      </c>
      <c r="H843">
        <v>6058</v>
      </c>
      <c r="I843">
        <v>11.21</v>
      </c>
      <c r="J843">
        <v>2.7488999999999999</v>
      </c>
    </row>
    <row r="844" spans="1:10" x14ac:dyDescent="0.3">
      <c r="A844" t="s">
        <v>462</v>
      </c>
      <c r="B844" t="s">
        <v>186</v>
      </c>
      <c r="C844" s="25">
        <v>45716</v>
      </c>
      <c r="D844">
        <v>748779</v>
      </c>
      <c r="E844" t="s">
        <v>464</v>
      </c>
      <c r="F844" t="s">
        <v>482</v>
      </c>
      <c r="G844">
        <v>56614.720000000001</v>
      </c>
      <c r="H844">
        <v>2986</v>
      </c>
      <c r="I844">
        <v>18.96</v>
      </c>
      <c r="J844">
        <v>2.3805999999999998</v>
      </c>
    </row>
    <row r="845" spans="1:10" x14ac:dyDescent="0.3">
      <c r="A845" t="s">
        <v>462</v>
      </c>
      <c r="B845" t="s">
        <v>186</v>
      </c>
      <c r="C845" s="25">
        <v>45747</v>
      </c>
      <c r="D845">
        <v>748779</v>
      </c>
      <c r="E845" t="s">
        <v>464</v>
      </c>
      <c r="F845" t="s">
        <v>482</v>
      </c>
      <c r="G845">
        <v>45785.440000000002</v>
      </c>
      <c r="H845">
        <v>4813</v>
      </c>
      <c r="I845">
        <v>9.51</v>
      </c>
      <c r="J845">
        <v>1.8957999999999999</v>
      </c>
    </row>
    <row r="846" spans="1:10" x14ac:dyDescent="0.3">
      <c r="A846" t="s">
        <v>462</v>
      </c>
      <c r="B846" t="s">
        <v>186</v>
      </c>
      <c r="C846" s="25">
        <v>45777</v>
      </c>
      <c r="D846">
        <v>748779</v>
      </c>
      <c r="E846" t="s">
        <v>464</v>
      </c>
      <c r="F846" t="s">
        <v>482</v>
      </c>
      <c r="G846">
        <v>63543.33</v>
      </c>
      <c r="H846">
        <v>3516</v>
      </c>
      <c r="I846">
        <v>18.07</v>
      </c>
      <c r="J846">
        <v>2.746</v>
      </c>
    </row>
    <row r="847" spans="1:10" x14ac:dyDescent="0.3">
      <c r="A847" t="s">
        <v>462</v>
      </c>
      <c r="B847" t="s">
        <v>186</v>
      </c>
      <c r="C847" s="25">
        <v>45808</v>
      </c>
      <c r="D847">
        <v>748779</v>
      </c>
      <c r="E847" t="s">
        <v>464</v>
      </c>
      <c r="F847" t="s">
        <v>482</v>
      </c>
      <c r="G847">
        <v>59811.93</v>
      </c>
      <c r="H847">
        <v>7894</v>
      </c>
      <c r="I847">
        <v>7.58</v>
      </c>
      <c r="J847">
        <v>2.3742000000000001</v>
      </c>
    </row>
    <row r="848" spans="1:10" x14ac:dyDescent="0.3">
      <c r="A848" t="s">
        <v>462</v>
      </c>
      <c r="B848" t="s">
        <v>186</v>
      </c>
      <c r="C848" s="25">
        <v>45838</v>
      </c>
      <c r="D848">
        <v>748779</v>
      </c>
      <c r="E848" t="s">
        <v>464</v>
      </c>
      <c r="F848" t="s">
        <v>482</v>
      </c>
      <c r="G848">
        <v>64877.77</v>
      </c>
      <c r="H848">
        <v>11277</v>
      </c>
      <c r="I848">
        <v>5.75</v>
      </c>
      <c r="J848">
        <v>2.5971000000000002</v>
      </c>
    </row>
    <row r="849" spans="1:10" x14ac:dyDescent="0.3">
      <c r="A849" t="s">
        <v>462</v>
      </c>
      <c r="B849" t="s">
        <v>186</v>
      </c>
      <c r="C849" s="25">
        <v>45869</v>
      </c>
      <c r="D849">
        <v>748779</v>
      </c>
      <c r="E849" t="s">
        <v>464</v>
      </c>
      <c r="F849" t="s">
        <v>482</v>
      </c>
      <c r="G849">
        <v>57958.29</v>
      </c>
      <c r="H849">
        <v>5175</v>
      </c>
      <c r="I849">
        <v>11.2</v>
      </c>
      <c r="J849">
        <v>2.3927999999999998</v>
      </c>
    </row>
    <row r="850" spans="1:10" x14ac:dyDescent="0.3">
      <c r="A850" t="s">
        <v>462</v>
      </c>
      <c r="B850" t="s">
        <v>186</v>
      </c>
      <c r="C850" s="25">
        <v>45900</v>
      </c>
      <c r="D850">
        <v>748779</v>
      </c>
      <c r="E850" t="s">
        <v>464</v>
      </c>
      <c r="F850" t="s">
        <v>482</v>
      </c>
      <c r="G850">
        <v>67847.820000000007</v>
      </c>
      <c r="H850">
        <v>3410</v>
      </c>
      <c r="I850">
        <v>19.899999999999999</v>
      </c>
      <c r="J850">
        <v>2.8014999999999999</v>
      </c>
    </row>
    <row r="851" spans="1:10" x14ac:dyDescent="0.3">
      <c r="A851" t="s">
        <v>462</v>
      </c>
      <c r="B851" t="s">
        <v>186</v>
      </c>
      <c r="C851" s="25">
        <v>45930</v>
      </c>
      <c r="D851">
        <v>748779</v>
      </c>
      <c r="E851" t="s">
        <v>464</v>
      </c>
      <c r="F851" t="s">
        <v>482</v>
      </c>
      <c r="G851">
        <v>61878.52</v>
      </c>
      <c r="H851">
        <v>3576</v>
      </c>
      <c r="I851">
        <v>17.3</v>
      </c>
      <c r="J851">
        <v>2.4990000000000001</v>
      </c>
    </row>
    <row r="852" spans="1:10" x14ac:dyDescent="0.3">
      <c r="A852" t="s">
        <v>462</v>
      </c>
      <c r="B852" t="s">
        <v>186</v>
      </c>
      <c r="C852" s="25">
        <v>45961</v>
      </c>
      <c r="D852">
        <v>748779</v>
      </c>
      <c r="E852" t="s">
        <v>464</v>
      </c>
      <c r="F852" t="s">
        <v>482</v>
      </c>
      <c r="G852">
        <v>74468.11</v>
      </c>
      <c r="H852">
        <v>3803</v>
      </c>
      <c r="I852">
        <v>19.579999999999998</v>
      </c>
      <c r="J852">
        <v>2.9963000000000002</v>
      </c>
    </row>
    <row r="853" spans="1:10" x14ac:dyDescent="0.3">
      <c r="A853" t="s">
        <v>462</v>
      </c>
      <c r="B853" t="s">
        <v>186</v>
      </c>
      <c r="C853" s="25">
        <v>45991</v>
      </c>
      <c r="D853">
        <v>748779</v>
      </c>
      <c r="E853" t="s">
        <v>464</v>
      </c>
      <c r="F853" t="s">
        <v>482</v>
      </c>
      <c r="G853">
        <v>59871.07</v>
      </c>
      <c r="H853">
        <v>9100</v>
      </c>
      <c r="I853">
        <v>6.58</v>
      </c>
      <c r="J853">
        <v>2.4371999999999998</v>
      </c>
    </row>
    <row r="854" spans="1:10" x14ac:dyDescent="0.3">
      <c r="A854" t="s">
        <v>462</v>
      </c>
      <c r="B854" t="s">
        <v>186</v>
      </c>
      <c r="C854" s="25">
        <v>45657</v>
      </c>
      <c r="D854">
        <v>803251</v>
      </c>
      <c r="E854" t="s">
        <v>469</v>
      </c>
      <c r="F854" t="s">
        <v>481</v>
      </c>
      <c r="G854">
        <v>58200.98</v>
      </c>
      <c r="H854">
        <v>32927</v>
      </c>
      <c r="I854">
        <v>1.77</v>
      </c>
      <c r="J854">
        <v>2.5914000000000001</v>
      </c>
    </row>
    <row r="855" spans="1:10" x14ac:dyDescent="0.3">
      <c r="A855" t="s">
        <v>462</v>
      </c>
      <c r="B855" t="s">
        <v>186</v>
      </c>
      <c r="C855" s="25">
        <v>45688</v>
      </c>
      <c r="D855">
        <v>803251</v>
      </c>
      <c r="E855" t="s">
        <v>469</v>
      </c>
      <c r="F855" t="s">
        <v>481</v>
      </c>
      <c r="G855">
        <v>60818.49</v>
      </c>
      <c r="H855">
        <v>5620</v>
      </c>
      <c r="I855">
        <v>10.82</v>
      </c>
      <c r="J855">
        <v>2.4619</v>
      </c>
    </row>
    <row r="856" spans="1:10" x14ac:dyDescent="0.3">
      <c r="A856" t="s">
        <v>462</v>
      </c>
      <c r="B856" t="s">
        <v>186</v>
      </c>
      <c r="C856" s="25">
        <v>45716</v>
      </c>
      <c r="D856">
        <v>803251</v>
      </c>
      <c r="E856" t="s">
        <v>469</v>
      </c>
      <c r="F856" t="s">
        <v>481</v>
      </c>
      <c r="G856">
        <v>63256.08</v>
      </c>
      <c r="H856">
        <v>14063</v>
      </c>
      <c r="I856">
        <v>4.5</v>
      </c>
      <c r="J856">
        <v>2.6598999999999999</v>
      </c>
    </row>
    <row r="857" spans="1:10" x14ac:dyDescent="0.3">
      <c r="A857" t="s">
        <v>462</v>
      </c>
      <c r="B857" t="s">
        <v>186</v>
      </c>
      <c r="C857" s="25">
        <v>45747</v>
      </c>
      <c r="D857">
        <v>803251</v>
      </c>
      <c r="E857" t="s">
        <v>469</v>
      </c>
      <c r="F857" t="s">
        <v>481</v>
      </c>
      <c r="G857">
        <v>76428.75</v>
      </c>
      <c r="H857">
        <v>5379</v>
      </c>
      <c r="I857">
        <v>14.21</v>
      </c>
      <c r="J857">
        <v>3.1646000000000001</v>
      </c>
    </row>
    <row r="858" spans="1:10" x14ac:dyDescent="0.3">
      <c r="A858" t="s">
        <v>462</v>
      </c>
      <c r="B858" t="s">
        <v>186</v>
      </c>
      <c r="C858" s="25">
        <v>45777</v>
      </c>
      <c r="D858">
        <v>803251</v>
      </c>
      <c r="E858" t="s">
        <v>469</v>
      </c>
      <c r="F858" t="s">
        <v>481</v>
      </c>
      <c r="G858">
        <v>50291.67</v>
      </c>
      <c r="H858">
        <v>6949</v>
      </c>
      <c r="I858">
        <v>7.24</v>
      </c>
      <c r="J858">
        <v>2.1734</v>
      </c>
    </row>
    <row r="859" spans="1:10" x14ac:dyDescent="0.3">
      <c r="A859" t="s">
        <v>462</v>
      </c>
      <c r="B859" t="s">
        <v>186</v>
      </c>
      <c r="C859" s="25">
        <v>45808</v>
      </c>
      <c r="D859">
        <v>803251</v>
      </c>
      <c r="E859" t="s">
        <v>469</v>
      </c>
      <c r="F859" t="s">
        <v>481</v>
      </c>
      <c r="G859">
        <v>58799.519999999997</v>
      </c>
      <c r="H859">
        <v>7653</v>
      </c>
      <c r="I859">
        <v>7.68</v>
      </c>
      <c r="J859">
        <v>2.3340999999999998</v>
      </c>
    </row>
    <row r="860" spans="1:10" x14ac:dyDescent="0.3">
      <c r="A860" t="s">
        <v>462</v>
      </c>
      <c r="B860" t="s">
        <v>186</v>
      </c>
      <c r="C860" s="25">
        <v>45838</v>
      </c>
      <c r="D860">
        <v>803251</v>
      </c>
      <c r="E860" t="s">
        <v>469</v>
      </c>
      <c r="F860" t="s">
        <v>481</v>
      </c>
      <c r="G860">
        <v>48991.08</v>
      </c>
      <c r="H860">
        <v>2745</v>
      </c>
      <c r="I860">
        <v>17.850000000000001</v>
      </c>
      <c r="J860">
        <v>1.9612000000000001</v>
      </c>
    </row>
    <row r="861" spans="1:10" x14ac:dyDescent="0.3">
      <c r="A861" t="s">
        <v>462</v>
      </c>
      <c r="B861" t="s">
        <v>186</v>
      </c>
      <c r="C861" s="25">
        <v>45869</v>
      </c>
      <c r="D861">
        <v>803251</v>
      </c>
      <c r="E861" t="s">
        <v>469</v>
      </c>
      <c r="F861" t="s">
        <v>481</v>
      </c>
      <c r="G861">
        <v>61337.7</v>
      </c>
      <c r="H861">
        <v>3606</v>
      </c>
      <c r="I861">
        <v>17.010000000000002</v>
      </c>
      <c r="J861">
        <v>2.5323000000000002</v>
      </c>
    </row>
    <row r="862" spans="1:10" x14ac:dyDescent="0.3">
      <c r="A862" t="s">
        <v>462</v>
      </c>
      <c r="B862" t="s">
        <v>186</v>
      </c>
      <c r="C862" s="25">
        <v>45900</v>
      </c>
      <c r="D862">
        <v>803251</v>
      </c>
      <c r="E862" t="s">
        <v>469</v>
      </c>
      <c r="F862" t="s">
        <v>481</v>
      </c>
      <c r="G862">
        <v>62114.53</v>
      </c>
      <c r="H862">
        <v>6481</v>
      </c>
      <c r="I862">
        <v>9.58</v>
      </c>
      <c r="J862">
        <v>2.5648</v>
      </c>
    </row>
    <row r="863" spans="1:10" x14ac:dyDescent="0.3">
      <c r="A863" t="s">
        <v>462</v>
      </c>
      <c r="B863" t="s">
        <v>186</v>
      </c>
      <c r="C863" s="25">
        <v>45930</v>
      </c>
      <c r="D863">
        <v>803251</v>
      </c>
      <c r="E863" t="s">
        <v>469</v>
      </c>
      <c r="F863" t="s">
        <v>481</v>
      </c>
      <c r="G863">
        <v>58607.22</v>
      </c>
      <c r="H863">
        <v>7260</v>
      </c>
      <c r="I863">
        <v>8.07</v>
      </c>
      <c r="J863">
        <v>2.3668999999999998</v>
      </c>
    </row>
    <row r="864" spans="1:10" x14ac:dyDescent="0.3">
      <c r="A864" t="s">
        <v>462</v>
      </c>
      <c r="B864" t="s">
        <v>186</v>
      </c>
      <c r="C864" s="25">
        <v>45961</v>
      </c>
      <c r="D864">
        <v>803251</v>
      </c>
      <c r="E864" t="s">
        <v>469</v>
      </c>
      <c r="F864" t="s">
        <v>481</v>
      </c>
      <c r="G864">
        <v>54939.95</v>
      </c>
      <c r="H864">
        <v>3960</v>
      </c>
      <c r="I864">
        <v>13.87</v>
      </c>
      <c r="J864">
        <v>2.2105999999999999</v>
      </c>
    </row>
    <row r="865" spans="1:10" x14ac:dyDescent="0.3">
      <c r="A865" t="s">
        <v>462</v>
      </c>
      <c r="B865" t="s">
        <v>186</v>
      </c>
      <c r="C865" s="25">
        <v>45991</v>
      </c>
      <c r="D865">
        <v>803251</v>
      </c>
      <c r="E865" t="s">
        <v>469</v>
      </c>
      <c r="F865" t="s">
        <v>481</v>
      </c>
      <c r="G865">
        <v>61325.75</v>
      </c>
      <c r="H865">
        <v>49527</v>
      </c>
      <c r="I865">
        <v>1.24</v>
      </c>
      <c r="J865">
        <v>2.4964</v>
      </c>
    </row>
    <row r="866" spans="1:10" x14ac:dyDescent="0.3">
      <c r="A866" t="s">
        <v>462</v>
      </c>
      <c r="B866" t="s">
        <v>186</v>
      </c>
      <c r="C866" s="25">
        <v>45657</v>
      </c>
      <c r="D866">
        <v>187632</v>
      </c>
      <c r="E866" t="s">
        <v>469</v>
      </c>
      <c r="F866" t="s">
        <v>480</v>
      </c>
      <c r="G866">
        <v>56728.11</v>
      </c>
      <c r="H866">
        <v>4665</v>
      </c>
      <c r="I866">
        <v>12.16</v>
      </c>
      <c r="J866">
        <v>2.5259</v>
      </c>
    </row>
    <row r="867" spans="1:10" x14ac:dyDescent="0.3">
      <c r="A867" t="s">
        <v>462</v>
      </c>
      <c r="B867" t="s">
        <v>186</v>
      </c>
      <c r="C867" s="25">
        <v>45688</v>
      </c>
      <c r="D867">
        <v>187632</v>
      </c>
      <c r="E867" t="s">
        <v>469</v>
      </c>
      <c r="F867" t="s">
        <v>480</v>
      </c>
      <c r="G867">
        <v>60069.83</v>
      </c>
      <c r="H867">
        <v>4989</v>
      </c>
      <c r="I867">
        <v>12.04</v>
      </c>
      <c r="J867">
        <v>2.4316</v>
      </c>
    </row>
    <row r="868" spans="1:10" x14ac:dyDescent="0.3">
      <c r="A868" t="s">
        <v>462</v>
      </c>
      <c r="B868" t="s">
        <v>186</v>
      </c>
      <c r="C868" s="25">
        <v>45716</v>
      </c>
      <c r="D868">
        <v>187632</v>
      </c>
      <c r="E868" t="s">
        <v>469</v>
      </c>
      <c r="F868" t="s">
        <v>480</v>
      </c>
      <c r="G868">
        <v>43180.45</v>
      </c>
      <c r="H868">
        <v>4866</v>
      </c>
      <c r="I868">
        <v>8.8699999999999992</v>
      </c>
      <c r="J868">
        <v>1.8157000000000001</v>
      </c>
    </row>
    <row r="869" spans="1:10" x14ac:dyDescent="0.3">
      <c r="A869" t="s">
        <v>462</v>
      </c>
      <c r="B869" t="s">
        <v>186</v>
      </c>
      <c r="C869" s="25">
        <v>45747</v>
      </c>
      <c r="D869">
        <v>187632</v>
      </c>
      <c r="E869" t="s">
        <v>469</v>
      </c>
      <c r="F869" t="s">
        <v>480</v>
      </c>
      <c r="G869">
        <v>49193.52</v>
      </c>
      <c r="H869">
        <v>3309</v>
      </c>
      <c r="I869">
        <v>14.87</v>
      </c>
      <c r="J869">
        <v>2.0369000000000002</v>
      </c>
    </row>
    <row r="870" spans="1:10" x14ac:dyDescent="0.3">
      <c r="A870" t="s">
        <v>462</v>
      </c>
      <c r="B870" t="s">
        <v>186</v>
      </c>
      <c r="C870" s="25">
        <v>45777</v>
      </c>
      <c r="D870">
        <v>187632</v>
      </c>
      <c r="E870" t="s">
        <v>469</v>
      </c>
      <c r="F870" t="s">
        <v>480</v>
      </c>
      <c r="G870">
        <v>44419.66</v>
      </c>
      <c r="H870">
        <v>2478</v>
      </c>
      <c r="I870">
        <v>17.920000000000002</v>
      </c>
      <c r="J870">
        <v>1.9196</v>
      </c>
    </row>
    <row r="871" spans="1:10" x14ac:dyDescent="0.3">
      <c r="A871" t="s">
        <v>462</v>
      </c>
      <c r="B871" t="s">
        <v>186</v>
      </c>
      <c r="C871" s="25">
        <v>45808</v>
      </c>
      <c r="D871">
        <v>187632</v>
      </c>
      <c r="E871" t="s">
        <v>469</v>
      </c>
      <c r="F871" t="s">
        <v>480</v>
      </c>
      <c r="G871">
        <v>64209.58</v>
      </c>
      <c r="H871">
        <v>6744</v>
      </c>
      <c r="I871">
        <v>9.52</v>
      </c>
      <c r="J871">
        <v>2.5488</v>
      </c>
    </row>
    <row r="872" spans="1:10" x14ac:dyDescent="0.3">
      <c r="A872" t="s">
        <v>462</v>
      </c>
      <c r="B872" t="s">
        <v>186</v>
      </c>
      <c r="C872" s="25">
        <v>45838</v>
      </c>
      <c r="D872">
        <v>187632</v>
      </c>
      <c r="E872" t="s">
        <v>469</v>
      </c>
      <c r="F872" t="s">
        <v>480</v>
      </c>
      <c r="G872">
        <v>63050.03</v>
      </c>
      <c r="H872">
        <v>10293</v>
      </c>
      <c r="I872">
        <v>6.13</v>
      </c>
      <c r="J872">
        <v>2.5238999999999998</v>
      </c>
    </row>
    <row r="873" spans="1:10" x14ac:dyDescent="0.3">
      <c r="A873" t="s">
        <v>462</v>
      </c>
      <c r="B873" t="s">
        <v>186</v>
      </c>
      <c r="C873" s="25">
        <v>45869</v>
      </c>
      <c r="D873">
        <v>187632</v>
      </c>
      <c r="E873" t="s">
        <v>469</v>
      </c>
      <c r="F873" t="s">
        <v>480</v>
      </c>
      <c r="G873">
        <v>63183.69</v>
      </c>
      <c r="H873">
        <v>8422</v>
      </c>
      <c r="I873">
        <v>7.5</v>
      </c>
      <c r="J873">
        <v>2.6084999999999998</v>
      </c>
    </row>
    <row r="874" spans="1:10" x14ac:dyDescent="0.3">
      <c r="A874" t="s">
        <v>462</v>
      </c>
      <c r="B874" t="s">
        <v>186</v>
      </c>
      <c r="C874" s="25">
        <v>45900</v>
      </c>
      <c r="D874">
        <v>187632</v>
      </c>
      <c r="E874" t="s">
        <v>469</v>
      </c>
      <c r="F874" t="s">
        <v>480</v>
      </c>
      <c r="G874">
        <v>63104.73</v>
      </c>
      <c r="H874">
        <v>8430</v>
      </c>
      <c r="I874">
        <v>7.49</v>
      </c>
      <c r="J874">
        <v>2.6055999999999999</v>
      </c>
    </row>
    <row r="875" spans="1:10" x14ac:dyDescent="0.3">
      <c r="A875" t="s">
        <v>462</v>
      </c>
      <c r="B875" t="s">
        <v>186</v>
      </c>
      <c r="C875" s="25">
        <v>45930</v>
      </c>
      <c r="D875">
        <v>187632</v>
      </c>
      <c r="E875" t="s">
        <v>469</v>
      </c>
      <c r="F875" t="s">
        <v>480</v>
      </c>
      <c r="G875">
        <v>55025.08</v>
      </c>
      <c r="H875">
        <v>25389</v>
      </c>
      <c r="I875">
        <v>2.17</v>
      </c>
      <c r="J875">
        <v>2.2222</v>
      </c>
    </row>
    <row r="876" spans="1:10" x14ac:dyDescent="0.3">
      <c r="A876" t="s">
        <v>462</v>
      </c>
      <c r="B876" t="s">
        <v>186</v>
      </c>
      <c r="C876" s="25">
        <v>45961</v>
      </c>
      <c r="D876">
        <v>187632</v>
      </c>
      <c r="E876" t="s">
        <v>469</v>
      </c>
      <c r="F876" t="s">
        <v>480</v>
      </c>
      <c r="G876">
        <v>56328.53</v>
      </c>
      <c r="H876">
        <v>15183</v>
      </c>
      <c r="I876">
        <v>3.71</v>
      </c>
      <c r="J876">
        <v>2.2665000000000002</v>
      </c>
    </row>
    <row r="877" spans="1:10" x14ac:dyDescent="0.3">
      <c r="A877" t="s">
        <v>462</v>
      </c>
      <c r="B877" t="s">
        <v>186</v>
      </c>
      <c r="C877" s="25">
        <v>45991</v>
      </c>
      <c r="D877">
        <v>187632</v>
      </c>
      <c r="E877" t="s">
        <v>469</v>
      </c>
      <c r="F877" t="s">
        <v>480</v>
      </c>
      <c r="G877">
        <v>39757.699999999997</v>
      </c>
      <c r="H877">
        <v>2357</v>
      </c>
      <c r="I877">
        <v>16.87</v>
      </c>
      <c r="J877">
        <v>1.6184000000000001</v>
      </c>
    </row>
    <row r="878" spans="1:10" x14ac:dyDescent="0.3">
      <c r="A878" t="s">
        <v>462</v>
      </c>
      <c r="B878" t="s">
        <v>186</v>
      </c>
      <c r="C878" s="25">
        <v>45657</v>
      </c>
      <c r="D878">
        <v>538377</v>
      </c>
      <c r="E878" t="s">
        <v>472</v>
      </c>
      <c r="F878" t="s">
        <v>479</v>
      </c>
      <c r="G878">
        <v>35759.78</v>
      </c>
      <c r="H878">
        <v>2256</v>
      </c>
      <c r="I878">
        <v>15.85</v>
      </c>
      <c r="J878">
        <v>1.5922000000000001</v>
      </c>
    </row>
    <row r="879" spans="1:10" x14ac:dyDescent="0.3">
      <c r="A879" t="s">
        <v>462</v>
      </c>
      <c r="B879" t="s">
        <v>186</v>
      </c>
      <c r="C879" s="25">
        <v>45688</v>
      </c>
      <c r="D879">
        <v>538377</v>
      </c>
      <c r="E879" t="s">
        <v>472</v>
      </c>
      <c r="F879" t="s">
        <v>479</v>
      </c>
      <c r="G879">
        <v>35706.400000000001</v>
      </c>
      <c r="H879">
        <v>2000</v>
      </c>
      <c r="I879">
        <v>17.850000000000001</v>
      </c>
      <c r="J879">
        <v>1.4454</v>
      </c>
    </row>
    <row r="880" spans="1:10" x14ac:dyDescent="0.3">
      <c r="A880" t="s">
        <v>462</v>
      </c>
      <c r="B880" t="s">
        <v>186</v>
      </c>
      <c r="C880" s="25">
        <v>45716</v>
      </c>
      <c r="D880">
        <v>538377</v>
      </c>
      <c r="E880" t="s">
        <v>472</v>
      </c>
      <c r="F880" t="s">
        <v>479</v>
      </c>
      <c r="G880">
        <v>33568.589999999997</v>
      </c>
      <c r="H880">
        <v>7147</v>
      </c>
      <c r="I880">
        <v>4.7</v>
      </c>
      <c r="J880">
        <v>1.4116</v>
      </c>
    </row>
    <row r="881" spans="1:10" x14ac:dyDescent="0.3">
      <c r="A881" t="s">
        <v>462</v>
      </c>
      <c r="B881" t="s">
        <v>186</v>
      </c>
      <c r="C881" s="25">
        <v>45747</v>
      </c>
      <c r="D881">
        <v>538377</v>
      </c>
      <c r="E881" t="s">
        <v>472</v>
      </c>
      <c r="F881" t="s">
        <v>479</v>
      </c>
      <c r="G881">
        <v>49662.97</v>
      </c>
      <c r="H881">
        <v>4826</v>
      </c>
      <c r="I881">
        <v>10.29</v>
      </c>
      <c r="J881">
        <v>2.0562999999999998</v>
      </c>
    </row>
    <row r="882" spans="1:10" x14ac:dyDescent="0.3">
      <c r="A882" t="s">
        <v>462</v>
      </c>
      <c r="B882" t="s">
        <v>186</v>
      </c>
      <c r="C882" s="25">
        <v>45777</v>
      </c>
      <c r="D882">
        <v>538377</v>
      </c>
      <c r="E882" t="s">
        <v>472</v>
      </c>
      <c r="F882" t="s">
        <v>479</v>
      </c>
      <c r="G882">
        <v>44160.82</v>
      </c>
      <c r="H882">
        <v>3022</v>
      </c>
      <c r="I882">
        <v>14.61</v>
      </c>
      <c r="J882">
        <v>1.9084000000000001</v>
      </c>
    </row>
    <row r="883" spans="1:10" x14ac:dyDescent="0.3">
      <c r="A883" t="s">
        <v>462</v>
      </c>
      <c r="B883" t="s">
        <v>186</v>
      </c>
      <c r="C883" s="25">
        <v>45808</v>
      </c>
      <c r="D883">
        <v>538377</v>
      </c>
      <c r="E883" t="s">
        <v>472</v>
      </c>
      <c r="F883" t="s">
        <v>479</v>
      </c>
      <c r="G883">
        <v>52905.56</v>
      </c>
      <c r="H883">
        <v>13852</v>
      </c>
      <c r="I883">
        <v>3.82</v>
      </c>
      <c r="J883">
        <v>2.1000999999999999</v>
      </c>
    </row>
    <row r="884" spans="1:10" x14ac:dyDescent="0.3">
      <c r="A884" t="s">
        <v>462</v>
      </c>
      <c r="B884" t="s">
        <v>186</v>
      </c>
      <c r="C884" s="25">
        <v>45838</v>
      </c>
      <c r="D884">
        <v>538377</v>
      </c>
      <c r="E884" t="s">
        <v>472</v>
      </c>
      <c r="F884" t="s">
        <v>479</v>
      </c>
      <c r="G884">
        <v>55432.639999999999</v>
      </c>
      <c r="H884">
        <v>3827</v>
      </c>
      <c r="I884">
        <v>14.48</v>
      </c>
      <c r="J884">
        <v>2.2189999999999999</v>
      </c>
    </row>
    <row r="885" spans="1:10" x14ac:dyDescent="0.3">
      <c r="A885" t="s">
        <v>462</v>
      </c>
      <c r="B885" t="s">
        <v>186</v>
      </c>
      <c r="C885" s="25">
        <v>45869</v>
      </c>
      <c r="D885">
        <v>538377</v>
      </c>
      <c r="E885" t="s">
        <v>472</v>
      </c>
      <c r="F885" t="s">
        <v>479</v>
      </c>
      <c r="G885">
        <v>54073.06</v>
      </c>
      <c r="H885">
        <v>3860</v>
      </c>
      <c r="I885">
        <v>14.01</v>
      </c>
      <c r="J885">
        <v>2.2324000000000002</v>
      </c>
    </row>
    <row r="886" spans="1:10" x14ac:dyDescent="0.3">
      <c r="A886" t="s">
        <v>462</v>
      </c>
      <c r="B886" t="s">
        <v>186</v>
      </c>
      <c r="C886" s="25">
        <v>45900</v>
      </c>
      <c r="D886">
        <v>538377</v>
      </c>
      <c r="E886" t="s">
        <v>472</v>
      </c>
      <c r="F886" t="s">
        <v>479</v>
      </c>
      <c r="G886">
        <v>46258.22</v>
      </c>
      <c r="H886">
        <v>3465</v>
      </c>
      <c r="I886">
        <v>13.35</v>
      </c>
      <c r="J886">
        <v>1.91</v>
      </c>
    </row>
    <row r="887" spans="1:10" x14ac:dyDescent="0.3">
      <c r="A887" t="s">
        <v>462</v>
      </c>
      <c r="B887" t="s">
        <v>186</v>
      </c>
      <c r="C887" s="25">
        <v>45930</v>
      </c>
      <c r="D887">
        <v>538377</v>
      </c>
      <c r="E887" t="s">
        <v>472</v>
      </c>
      <c r="F887" t="s">
        <v>479</v>
      </c>
      <c r="G887">
        <v>50618.21</v>
      </c>
      <c r="H887">
        <v>4459</v>
      </c>
      <c r="I887">
        <v>11.35</v>
      </c>
      <c r="J887">
        <v>2.0442</v>
      </c>
    </row>
    <row r="888" spans="1:10" x14ac:dyDescent="0.3">
      <c r="A888" t="s">
        <v>462</v>
      </c>
      <c r="B888" t="s">
        <v>186</v>
      </c>
      <c r="C888" s="25">
        <v>45961</v>
      </c>
      <c r="D888">
        <v>538377</v>
      </c>
      <c r="E888" t="s">
        <v>472</v>
      </c>
      <c r="F888" t="s">
        <v>479</v>
      </c>
      <c r="G888">
        <v>56138.13</v>
      </c>
      <c r="H888">
        <v>3993</v>
      </c>
      <c r="I888">
        <v>14.06</v>
      </c>
      <c r="J888">
        <v>2.2587999999999999</v>
      </c>
    </row>
    <row r="889" spans="1:10" x14ac:dyDescent="0.3">
      <c r="A889" t="s">
        <v>462</v>
      </c>
      <c r="B889" t="s">
        <v>186</v>
      </c>
      <c r="C889" s="25">
        <v>45991</v>
      </c>
      <c r="D889">
        <v>538377</v>
      </c>
      <c r="E889" t="s">
        <v>472</v>
      </c>
      <c r="F889" t="s">
        <v>479</v>
      </c>
      <c r="G889">
        <v>55175.78</v>
      </c>
      <c r="H889">
        <v>11830</v>
      </c>
      <c r="I889">
        <v>4.66</v>
      </c>
      <c r="J889">
        <v>2.246</v>
      </c>
    </row>
    <row r="890" spans="1:10" x14ac:dyDescent="0.3">
      <c r="A890" t="s">
        <v>462</v>
      </c>
      <c r="B890" t="s">
        <v>186</v>
      </c>
      <c r="C890" s="25">
        <v>45657</v>
      </c>
      <c r="D890">
        <v>810767</v>
      </c>
      <c r="E890" t="s">
        <v>463</v>
      </c>
      <c r="F890" t="s">
        <v>478</v>
      </c>
      <c r="G890">
        <v>19808.91</v>
      </c>
      <c r="H890">
        <v>2307</v>
      </c>
      <c r="I890">
        <v>8.59</v>
      </c>
      <c r="J890">
        <v>0.88200000000000001</v>
      </c>
    </row>
    <row r="891" spans="1:10" x14ac:dyDescent="0.3">
      <c r="A891" t="s">
        <v>462</v>
      </c>
      <c r="B891" t="s">
        <v>186</v>
      </c>
      <c r="C891" s="25">
        <v>45688</v>
      </c>
      <c r="D891">
        <v>810767</v>
      </c>
      <c r="E891" t="s">
        <v>463</v>
      </c>
      <c r="F891" t="s">
        <v>478</v>
      </c>
      <c r="G891">
        <v>28880.75</v>
      </c>
      <c r="H891">
        <v>1927</v>
      </c>
      <c r="I891">
        <v>14.99</v>
      </c>
      <c r="J891">
        <v>1.1691</v>
      </c>
    </row>
    <row r="892" spans="1:10" x14ac:dyDescent="0.3">
      <c r="A892" t="s">
        <v>462</v>
      </c>
      <c r="B892" t="s">
        <v>186</v>
      </c>
      <c r="C892" s="25">
        <v>45716</v>
      </c>
      <c r="D892">
        <v>810767</v>
      </c>
      <c r="E892" t="s">
        <v>463</v>
      </c>
      <c r="F892" t="s">
        <v>478</v>
      </c>
      <c r="G892">
        <v>23456.16</v>
      </c>
      <c r="H892">
        <v>2008</v>
      </c>
      <c r="I892">
        <v>11.68</v>
      </c>
      <c r="J892">
        <v>0.98629999999999995</v>
      </c>
    </row>
    <row r="893" spans="1:10" x14ac:dyDescent="0.3">
      <c r="A893" t="s">
        <v>462</v>
      </c>
      <c r="B893" t="s">
        <v>186</v>
      </c>
      <c r="C893" s="25">
        <v>45747</v>
      </c>
      <c r="D893">
        <v>810767</v>
      </c>
      <c r="E893" t="s">
        <v>463</v>
      </c>
      <c r="F893" t="s">
        <v>478</v>
      </c>
      <c r="G893">
        <v>22131.34</v>
      </c>
      <c r="H893">
        <v>3249</v>
      </c>
      <c r="I893">
        <v>6.81</v>
      </c>
      <c r="J893">
        <v>0.91639999999999999</v>
      </c>
    </row>
    <row r="894" spans="1:10" x14ac:dyDescent="0.3">
      <c r="A894" t="s">
        <v>462</v>
      </c>
      <c r="B894" t="s">
        <v>186</v>
      </c>
      <c r="C894" s="25">
        <v>45777</v>
      </c>
      <c r="D894">
        <v>810767</v>
      </c>
      <c r="E894" t="s">
        <v>463</v>
      </c>
      <c r="F894" t="s">
        <v>478</v>
      </c>
      <c r="G894">
        <v>18913.099999999999</v>
      </c>
      <c r="H894">
        <v>3259</v>
      </c>
      <c r="I894">
        <v>5.8</v>
      </c>
      <c r="J894">
        <v>0.81730000000000003</v>
      </c>
    </row>
    <row r="895" spans="1:10" x14ac:dyDescent="0.3">
      <c r="A895" t="s">
        <v>462</v>
      </c>
      <c r="B895" t="s">
        <v>186</v>
      </c>
      <c r="C895" s="25">
        <v>45808</v>
      </c>
      <c r="D895">
        <v>810767</v>
      </c>
      <c r="E895" t="s">
        <v>463</v>
      </c>
      <c r="F895" t="s">
        <v>478</v>
      </c>
      <c r="G895">
        <v>15580.07</v>
      </c>
      <c r="H895">
        <v>1027</v>
      </c>
      <c r="I895">
        <v>15.17</v>
      </c>
      <c r="J895">
        <v>0.61850000000000005</v>
      </c>
    </row>
    <row r="896" spans="1:10" x14ac:dyDescent="0.3">
      <c r="A896" t="s">
        <v>462</v>
      </c>
      <c r="B896" t="s">
        <v>186</v>
      </c>
      <c r="C896" s="25">
        <v>45838</v>
      </c>
      <c r="D896">
        <v>810767</v>
      </c>
      <c r="E896" t="s">
        <v>463</v>
      </c>
      <c r="F896" t="s">
        <v>478</v>
      </c>
      <c r="G896">
        <v>21419.72</v>
      </c>
      <c r="H896">
        <v>2240</v>
      </c>
      <c r="I896">
        <v>9.56</v>
      </c>
      <c r="J896">
        <v>0.85740000000000005</v>
      </c>
    </row>
    <row r="897" spans="1:10" x14ac:dyDescent="0.3">
      <c r="A897" t="s">
        <v>462</v>
      </c>
      <c r="B897" t="s">
        <v>186</v>
      </c>
      <c r="C897" s="25">
        <v>45869</v>
      </c>
      <c r="D897">
        <v>810767</v>
      </c>
      <c r="E897" t="s">
        <v>463</v>
      </c>
      <c r="F897" t="s">
        <v>478</v>
      </c>
      <c r="G897">
        <v>24897.59</v>
      </c>
      <c r="H897">
        <v>4632</v>
      </c>
      <c r="I897">
        <v>5.38</v>
      </c>
      <c r="J897">
        <v>1.0279</v>
      </c>
    </row>
    <row r="898" spans="1:10" x14ac:dyDescent="0.3">
      <c r="A898" t="s">
        <v>462</v>
      </c>
      <c r="B898" t="s">
        <v>186</v>
      </c>
      <c r="C898" s="25">
        <v>45900</v>
      </c>
      <c r="D898">
        <v>810767</v>
      </c>
      <c r="E898" t="s">
        <v>463</v>
      </c>
      <c r="F898" t="s">
        <v>478</v>
      </c>
      <c r="G898">
        <v>24203.15</v>
      </c>
      <c r="H898">
        <v>1326</v>
      </c>
      <c r="I898">
        <v>18.25</v>
      </c>
      <c r="J898">
        <v>0.99939999999999996</v>
      </c>
    </row>
    <row r="899" spans="1:10" x14ac:dyDescent="0.3">
      <c r="A899" t="s">
        <v>462</v>
      </c>
      <c r="B899" t="s">
        <v>186</v>
      </c>
      <c r="C899" s="25">
        <v>45930</v>
      </c>
      <c r="D899">
        <v>810767</v>
      </c>
      <c r="E899" t="s">
        <v>463</v>
      </c>
      <c r="F899" t="s">
        <v>478</v>
      </c>
      <c r="G899">
        <v>20270.36</v>
      </c>
      <c r="H899">
        <v>6026</v>
      </c>
      <c r="I899">
        <v>3.36</v>
      </c>
      <c r="J899">
        <v>0.81859999999999999</v>
      </c>
    </row>
    <row r="900" spans="1:10" x14ac:dyDescent="0.3">
      <c r="A900" t="s">
        <v>462</v>
      </c>
      <c r="B900" t="s">
        <v>186</v>
      </c>
      <c r="C900" s="25">
        <v>45961</v>
      </c>
      <c r="D900">
        <v>810767</v>
      </c>
      <c r="E900" t="s">
        <v>463</v>
      </c>
      <c r="F900" t="s">
        <v>478</v>
      </c>
      <c r="G900">
        <v>19595.599999999999</v>
      </c>
      <c r="H900">
        <v>1023</v>
      </c>
      <c r="I900">
        <v>19.149999999999999</v>
      </c>
      <c r="J900">
        <v>0.78849999999999998</v>
      </c>
    </row>
    <row r="901" spans="1:10" x14ac:dyDescent="0.3">
      <c r="A901" t="s">
        <v>462</v>
      </c>
      <c r="B901" t="s">
        <v>186</v>
      </c>
      <c r="C901" s="25">
        <v>45991</v>
      </c>
      <c r="D901">
        <v>810767</v>
      </c>
      <c r="E901" t="s">
        <v>463</v>
      </c>
      <c r="F901" t="s">
        <v>478</v>
      </c>
      <c r="G901">
        <v>21098.61</v>
      </c>
      <c r="H901">
        <v>1401</v>
      </c>
      <c r="I901">
        <v>15.06</v>
      </c>
      <c r="J901">
        <v>0.8589</v>
      </c>
    </row>
    <row r="902" spans="1:10" x14ac:dyDescent="0.3">
      <c r="A902" t="s">
        <v>462</v>
      </c>
      <c r="B902" t="s">
        <v>186</v>
      </c>
      <c r="C902" s="25">
        <v>45657</v>
      </c>
      <c r="D902">
        <v>456576</v>
      </c>
      <c r="E902" t="s">
        <v>472</v>
      </c>
      <c r="F902" t="s">
        <v>477</v>
      </c>
      <c r="G902">
        <v>15896.74</v>
      </c>
      <c r="H902">
        <v>1216</v>
      </c>
      <c r="I902">
        <v>13.07</v>
      </c>
      <c r="J902">
        <v>0.70779999999999998</v>
      </c>
    </row>
    <row r="903" spans="1:10" x14ac:dyDescent="0.3">
      <c r="A903" t="s">
        <v>462</v>
      </c>
      <c r="B903" t="s">
        <v>186</v>
      </c>
      <c r="C903" s="25">
        <v>45688</v>
      </c>
      <c r="D903">
        <v>456576</v>
      </c>
      <c r="E903" t="s">
        <v>472</v>
      </c>
      <c r="F903" t="s">
        <v>477</v>
      </c>
      <c r="G903">
        <v>18461.830000000002</v>
      </c>
      <c r="H903">
        <v>2103</v>
      </c>
      <c r="I903">
        <v>8.7799999999999994</v>
      </c>
      <c r="J903">
        <v>0.74729999999999996</v>
      </c>
    </row>
    <row r="904" spans="1:10" x14ac:dyDescent="0.3">
      <c r="A904" t="s">
        <v>462</v>
      </c>
      <c r="B904" t="s">
        <v>186</v>
      </c>
      <c r="C904" s="25">
        <v>45716</v>
      </c>
      <c r="D904">
        <v>456576</v>
      </c>
      <c r="E904" t="s">
        <v>472</v>
      </c>
      <c r="F904" t="s">
        <v>477</v>
      </c>
      <c r="G904">
        <v>17535.54</v>
      </c>
      <c r="H904">
        <v>2040</v>
      </c>
      <c r="I904">
        <v>8.6</v>
      </c>
      <c r="J904">
        <v>0.73740000000000006</v>
      </c>
    </row>
    <row r="905" spans="1:10" x14ac:dyDescent="0.3">
      <c r="A905" t="s">
        <v>462</v>
      </c>
      <c r="B905" t="s">
        <v>186</v>
      </c>
      <c r="C905" s="25">
        <v>45747</v>
      </c>
      <c r="D905">
        <v>456576</v>
      </c>
      <c r="E905" t="s">
        <v>472</v>
      </c>
      <c r="F905" t="s">
        <v>477</v>
      </c>
      <c r="G905">
        <v>17888.900000000001</v>
      </c>
      <c r="H905">
        <v>3005</v>
      </c>
      <c r="I905">
        <v>5.95</v>
      </c>
      <c r="J905">
        <v>0.74070000000000003</v>
      </c>
    </row>
    <row r="906" spans="1:10" x14ac:dyDescent="0.3">
      <c r="A906" t="s">
        <v>462</v>
      </c>
      <c r="B906" t="s">
        <v>186</v>
      </c>
      <c r="C906" s="25">
        <v>45777</v>
      </c>
      <c r="D906">
        <v>456576</v>
      </c>
      <c r="E906" t="s">
        <v>472</v>
      </c>
      <c r="F906" t="s">
        <v>477</v>
      </c>
      <c r="G906">
        <v>17314.349999999999</v>
      </c>
      <c r="H906">
        <v>2236</v>
      </c>
      <c r="I906">
        <v>7.74</v>
      </c>
      <c r="J906">
        <v>0.74819999999999998</v>
      </c>
    </row>
    <row r="907" spans="1:10" x14ac:dyDescent="0.3">
      <c r="A907" t="s">
        <v>462</v>
      </c>
      <c r="B907" t="s">
        <v>186</v>
      </c>
      <c r="C907" s="25">
        <v>45808</v>
      </c>
      <c r="D907">
        <v>456576</v>
      </c>
      <c r="E907" t="s">
        <v>472</v>
      </c>
      <c r="F907" t="s">
        <v>477</v>
      </c>
      <c r="G907">
        <v>16109.59</v>
      </c>
      <c r="H907">
        <v>1772</v>
      </c>
      <c r="I907">
        <v>9.09</v>
      </c>
      <c r="J907">
        <v>0.63949999999999996</v>
      </c>
    </row>
    <row r="908" spans="1:10" x14ac:dyDescent="0.3">
      <c r="A908" t="s">
        <v>462</v>
      </c>
      <c r="B908" t="s">
        <v>186</v>
      </c>
      <c r="C908" s="25">
        <v>45838</v>
      </c>
      <c r="D908">
        <v>456576</v>
      </c>
      <c r="E908" t="s">
        <v>472</v>
      </c>
      <c r="F908" t="s">
        <v>477</v>
      </c>
      <c r="G908">
        <v>19594.830000000002</v>
      </c>
      <c r="H908">
        <v>1834</v>
      </c>
      <c r="I908">
        <v>10.68</v>
      </c>
      <c r="J908">
        <v>0.78439999999999999</v>
      </c>
    </row>
    <row r="909" spans="1:10" x14ac:dyDescent="0.3">
      <c r="A909" t="s">
        <v>462</v>
      </c>
      <c r="B909" t="s">
        <v>186</v>
      </c>
      <c r="C909" s="25">
        <v>45869</v>
      </c>
      <c r="D909">
        <v>456576</v>
      </c>
      <c r="E909" t="s">
        <v>472</v>
      </c>
      <c r="F909" t="s">
        <v>477</v>
      </c>
      <c r="G909">
        <v>14133.87</v>
      </c>
      <c r="H909">
        <v>1641</v>
      </c>
      <c r="I909">
        <v>8.61</v>
      </c>
      <c r="J909">
        <v>0.58350000000000002</v>
      </c>
    </row>
    <row r="910" spans="1:10" x14ac:dyDescent="0.3">
      <c r="A910" t="s">
        <v>462</v>
      </c>
      <c r="B910" t="s">
        <v>186</v>
      </c>
      <c r="C910" s="25">
        <v>45900</v>
      </c>
      <c r="D910">
        <v>456576</v>
      </c>
      <c r="E910" t="s">
        <v>472</v>
      </c>
      <c r="F910" t="s">
        <v>477</v>
      </c>
      <c r="G910">
        <v>16754.86</v>
      </c>
      <c r="H910">
        <v>4177</v>
      </c>
      <c r="I910">
        <v>4.01</v>
      </c>
      <c r="J910">
        <v>0.69179999999999997</v>
      </c>
    </row>
    <row r="911" spans="1:10" x14ac:dyDescent="0.3">
      <c r="A911" t="s">
        <v>462</v>
      </c>
      <c r="B911" t="s">
        <v>186</v>
      </c>
      <c r="C911" s="25">
        <v>45930</v>
      </c>
      <c r="D911">
        <v>456576</v>
      </c>
      <c r="E911" t="s">
        <v>472</v>
      </c>
      <c r="F911" t="s">
        <v>477</v>
      </c>
      <c r="G911">
        <v>14479.07</v>
      </c>
      <c r="H911">
        <v>1306</v>
      </c>
      <c r="I911">
        <v>11.08</v>
      </c>
      <c r="J911">
        <v>0.5847</v>
      </c>
    </row>
    <row r="912" spans="1:10" x14ac:dyDescent="0.3">
      <c r="A912" t="s">
        <v>462</v>
      </c>
      <c r="B912" t="s">
        <v>186</v>
      </c>
      <c r="C912" s="25">
        <v>45961</v>
      </c>
      <c r="D912">
        <v>456576</v>
      </c>
      <c r="E912" t="s">
        <v>472</v>
      </c>
      <c r="F912" t="s">
        <v>477</v>
      </c>
      <c r="G912">
        <v>21091.84</v>
      </c>
      <c r="H912">
        <v>14724</v>
      </c>
      <c r="I912">
        <v>1.43</v>
      </c>
      <c r="J912">
        <v>0.84870000000000001</v>
      </c>
    </row>
    <row r="913" spans="1:10" x14ac:dyDescent="0.3">
      <c r="A913" t="s">
        <v>462</v>
      </c>
      <c r="B913" t="s">
        <v>186</v>
      </c>
      <c r="C913" s="25">
        <v>45991</v>
      </c>
      <c r="D913">
        <v>456576</v>
      </c>
      <c r="E913" t="s">
        <v>472</v>
      </c>
      <c r="F913" t="s">
        <v>477</v>
      </c>
      <c r="G913">
        <v>15228.39</v>
      </c>
      <c r="H913">
        <v>1395</v>
      </c>
      <c r="I913">
        <v>10.92</v>
      </c>
      <c r="J913">
        <v>0.61990000000000001</v>
      </c>
    </row>
    <row r="914" spans="1:10" x14ac:dyDescent="0.3">
      <c r="A914" t="s">
        <v>462</v>
      </c>
      <c r="B914" t="s">
        <v>186</v>
      </c>
      <c r="C914" s="25">
        <v>45657</v>
      </c>
      <c r="D914">
        <v>342928</v>
      </c>
      <c r="E914" t="s">
        <v>472</v>
      </c>
      <c r="F914" t="s">
        <v>476</v>
      </c>
      <c r="G914">
        <v>11408.18</v>
      </c>
      <c r="H914">
        <v>784</v>
      </c>
      <c r="I914">
        <v>14.55</v>
      </c>
      <c r="J914">
        <v>0.50800000000000001</v>
      </c>
    </row>
    <row r="915" spans="1:10" x14ac:dyDescent="0.3">
      <c r="A915" t="s">
        <v>462</v>
      </c>
      <c r="B915" t="s">
        <v>186</v>
      </c>
      <c r="C915" s="25">
        <v>45688</v>
      </c>
      <c r="D915">
        <v>342928</v>
      </c>
      <c r="E915" t="s">
        <v>472</v>
      </c>
      <c r="F915" t="s">
        <v>476</v>
      </c>
      <c r="G915">
        <v>14375.85</v>
      </c>
      <c r="H915">
        <v>9369</v>
      </c>
      <c r="I915">
        <v>1.53</v>
      </c>
      <c r="J915">
        <v>0.58189999999999997</v>
      </c>
    </row>
    <row r="916" spans="1:10" x14ac:dyDescent="0.3">
      <c r="A916" t="s">
        <v>462</v>
      </c>
      <c r="B916" t="s">
        <v>186</v>
      </c>
      <c r="C916" s="25">
        <v>45716</v>
      </c>
      <c r="D916">
        <v>342928</v>
      </c>
      <c r="E916" t="s">
        <v>472</v>
      </c>
      <c r="F916" t="s">
        <v>476</v>
      </c>
      <c r="G916">
        <v>14638.81</v>
      </c>
      <c r="H916">
        <v>1000</v>
      </c>
      <c r="I916">
        <v>14.63</v>
      </c>
      <c r="J916">
        <v>0.61560000000000004</v>
      </c>
    </row>
    <row r="917" spans="1:10" x14ac:dyDescent="0.3">
      <c r="A917" t="s">
        <v>462</v>
      </c>
      <c r="B917" t="s">
        <v>186</v>
      </c>
      <c r="C917" s="25">
        <v>45747</v>
      </c>
      <c r="D917">
        <v>342928</v>
      </c>
      <c r="E917" t="s">
        <v>472</v>
      </c>
      <c r="F917" t="s">
        <v>476</v>
      </c>
      <c r="G917">
        <v>17244.310000000001</v>
      </c>
      <c r="H917">
        <v>2083</v>
      </c>
      <c r="I917">
        <v>8.2799999999999994</v>
      </c>
      <c r="J917">
        <v>0.71399999999999997</v>
      </c>
    </row>
    <row r="918" spans="1:10" x14ac:dyDescent="0.3">
      <c r="A918" t="s">
        <v>462</v>
      </c>
      <c r="B918" t="s">
        <v>186</v>
      </c>
      <c r="C918" s="25">
        <v>45777</v>
      </c>
      <c r="D918">
        <v>342928</v>
      </c>
      <c r="E918" t="s">
        <v>472</v>
      </c>
      <c r="F918" t="s">
        <v>476</v>
      </c>
      <c r="G918">
        <v>13628.54</v>
      </c>
      <c r="H918">
        <v>2335</v>
      </c>
      <c r="I918">
        <v>5.84</v>
      </c>
      <c r="J918">
        <v>0.58899999999999997</v>
      </c>
    </row>
    <row r="919" spans="1:10" x14ac:dyDescent="0.3">
      <c r="A919" t="s">
        <v>462</v>
      </c>
      <c r="B919" t="s">
        <v>186</v>
      </c>
      <c r="C919" s="25">
        <v>45808</v>
      </c>
      <c r="D919">
        <v>342928</v>
      </c>
      <c r="E919" t="s">
        <v>472</v>
      </c>
      <c r="F919" t="s">
        <v>476</v>
      </c>
      <c r="G919">
        <v>14364.53</v>
      </c>
      <c r="H919">
        <v>759</v>
      </c>
      <c r="I919">
        <v>18.93</v>
      </c>
      <c r="J919">
        <v>0.57020000000000004</v>
      </c>
    </row>
    <row r="920" spans="1:10" x14ac:dyDescent="0.3">
      <c r="A920" t="s">
        <v>462</v>
      </c>
      <c r="B920" t="s">
        <v>186</v>
      </c>
      <c r="C920" s="25">
        <v>45838</v>
      </c>
      <c r="D920">
        <v>342928</v>
      </c>
      <c r="E920" t="s">
        <v>472</v>
      </c>
      <c r="F920" t="s">
        <v>476</v>
      </c>
      <c r="G920">
        <v>16018.06</v>
      </c>
      <c r="H920">
        <v>3014</v>
      </c>
      <c r="I920">
        <v>5.31</v>
      </c>
      <c r="J920">
        <v>0.64119999999999999</v>
      </c>
    </row>
    <row r="921" spans="1:10" x14ac:dyDescent="0.3">
      <c r="A921" t="s">
        <v>462</v>
      </c>
      <c r="B921" t="s">
        <v>186</v>
      </c>
      <c r="C921" s="25">
        <v>45869</v>
      </c>
      <c r="D921">
        <v>342928</v>
      </c>
      <c r="E921" t="s">
        <v>472</v>
      </c>
      <c r="F921" t="s">
        <v>476</v>
      </c>
      <c r="G921">
        <v>16091.83</v>
      </c>
      <c r="H921">
        <v>1347</v>
      </c>
      <c r="I921">
        <v>11.95</v>
      </c>
      <c r="J921">
        <v>0.6643</v>
      </c>
    </row>
    <row r="922" spans="1:10" x14ac:dyDescent="0.3">
      <c r="A922" t="s">
        <v>462</v>
      </c>
      <c r="B922" t="s">
        <v>186</v>
      </c>
      <c r="C922" s="25">
        <v>45900</v>
      </c>
      <c r="D922">
        <v>342928</v>
      </c>
      <c r="E922" t="s">
        <v>472</v>
      </c>
      <c r="F922" t="s">
        <v>476</v>
      </c>
      <c r="G922">
        <v>16881.259999999998</v>
      </c>
      <c r="H922">
        <v>1620</v>
      </c>
      <c r="I922">
        <v>10.42</v>
      </c>
      <c r="J922">
        <v>0.69699999999999995</v>
      </c>
    </row>
    <row r="923" spans="1:10" x14ac:dyDescent="0.3">
      <c r="A923" t="s">
        <v>462</v>
      </c>
      <c r="B923" t="s">
        <v>186</v>
      </c>
      <c r="C923" s="25">
        <v>45930</v>
      </c>
      <c r="D923">
        <v>342928</v>
      </c>
      <c r="E923" t="s">
        <v>472</v>
      </c>
      <c r="F923" t="s">
        <v>476</v>
      </c>
      <c r="G923">
        <v>21219.9</v>
      </c>
      <c r="H923">
        <v>1062</v>
      </c>
      <c r="I923">
        <v>19.98</v>
      </c>
      <c r="J923">
        <v>0.85699999999999998</v>
      </c>
    </row>
    <row r="924" spans="1:10" x14ac:dyDescent="0.3">
      <c r="A924" t="s">
        <v>462</v>
      </c>
      <c r="B924" t="s">
        <v>186</v>
      </c>
      <c r="C924" s="25">
        <v>45961</v>
      </c>
      <c r="D924">
        <v>342928</v>
      </c>
      <c r="E924" t="s">
        <v>472</v>
      </c>
      <c r="F924" t="s">
        <v>476</v>
      </c>
      <c r="G924">
        <v>16299.19</v>
      </c>
      <c r="H924">
        <v>5947</v>
      </c>
      <c r="I924">
        <v>2.74</v>
      </c>
      <c r="J924">
        <v>0.65580000000000005</v>
      </c>
    </row>
    <row r="925" spans="1:10" x14ac:dyDescent="0.3">
      <c r="A925" t="s">
        <v>462</v>
      </c>
      <c r="B925" t="s">
        <v>186</v>
      </c>
      <c r="C925" s="25">
        <v>45991</v>
      </c>
      <c r="D925">
        <v>342928</v>
      </c>
      <c r="E925" t="s">
        <v>472</v>
      </c>
      <c r="F925" t="s">
        <v>476</v>
      </c>
      <c r="G925">
        <v>16582.16</v>
      </c>
      <c r="H925">
        <v>1799</v>
      </c>
      <c r="I925">
        <v>9.2200000000000006</v>
      </c>
      <c r="J925">
        <v>0.67500000000000004</v>
      </c>
    </row>
    <row r="926" spans="1:10" x14ac:dyDescent="0.3">
      <c r="A926" t="s">
        <v>462</v>
      </c>
      <c r="B926" t="s">
        <v>186</v>
      </c>
      <c r="C926" s="25">
        <v>45657</v>
      </c>
      <c r="D926">
        <v>884811</v>
      </c>
      <c r="E926" t="s">
        <v>469</v>
      </c>
      <c r="F926" t="s">
        <v>475</v>
      </c>
      <c r="G926">
        <v>12262.61</v>
      </c>
      <c r="H926">
        <v>4224</v>
      </c>
      <c r="I926">
        <v>2.9</v>
      </c>
      <c r="J926">
        <v>0.54600000000000004</v>
      </c>
    </row>
    <row r="927" spans="1:10" x14ac:dyDescent="0.3">
      <c r="A927" t="s">
        <v>462</v>
      </c>
      <c r="B927" t="s">
        <v>186</v>
      </c>
      <c r="C927" s="25">
        <v>45688</v>
      </c>
      <c r="D927">
        <v>884811</v>
      </c>
      <c r="E927" t="s">
        <v>469</v>
      </c>
      <c r="F927" t="s">
        <v>475</v>
      </c>
      <c r="G927">
        <v>12287.39</v>
      </c>
      <c r="H927">
        <v>616</v>
      </c>
      <c r="I927">
        <v>19.95</v>
      </c>
      <c r="J927">
        <v>0.49740000000000001</v>
      </c>
    </row>
    <row r="928" spans="1:10" x14ac:dyDescent="0.3">
      <c r="A928" t="s">
        <v>462</v>
      </c>
      <c r="B928" t="s">
        <v>186</v>
      </c>
      <c r="C928" s="25">
        <v>45716</v>
      </c>
      <c r="D928">
        <v>884811</v>
      </c>
      <c r="E928" t="s">
        <v>469</v>
      </c>
      <c r="F928" t="s">
        <v>475</v>
      </c>
      <c r="G928">
        <v>15732.24</v>
      </c>
      <c r="H928">
        <v>1022</v>
      </c>
      <c r="I928">
        <v>15.39</v>
      </c>
      <c r="J928">
        <v>0.66149999999999998</v>
      </c>
    </row>
    <row r="929" spans="1:10" x14ac:dyDescent="0.3">
      <c r="A929" t="s">
        <v>462</v>
      </c>
      <c r="B929" t="s">
        <v>186</v>
      </c>
      <c r="C929" s="25">
        <v>45747</v>
      </c>
      <c r="D929">
        <v>884811</v>
      </c>
      <c r="E929" t="s">
        <v>469</v>
      </c>
      <c r="F929" t="s">
        <v>475</v>
      </c>
      <c r="G929">
        <v>17157</v>
      </c>
      <c r="H929">
        <v>1117</v>
      </c>
      <c r="I929">
        <v>15.36</v>
      </c>
      <c r="J929">
        <v>0.71040000000000003</v>
      </c>
    </row>
    <row r="930" spans="1:10" x14ac:dyDescent="0.3">
      <c r="A930" t="s">
        <v>462</v>
      </c>
      <c r="B930" t="s">
        <v>186</v>
      </c>
      <c r="C930" s="25">
        <v>45777</v>
      </c>
      <c r="D930">
        <v>884811</v>
      </c>
      <c r="E930" t="s">
        <v>469</v>
      </c>
      <c r="F930" t="s">
        <v>475</v>
      </c>
      <c r="G930">
        <v>11240.01</v>
      </c>
      <c r="H930">
        <v>839</v>
      </c>
      <c r="I930">
        <v>13.4</v>
      </c>
      <c r="J930">
        <v>0.48570000000000002</v>
      </c>
    </row>
    <row r="931" spans="1:10" x14ac:dyDescent="0.3">
      <c r="A931" t="s">
        <v>462</v>
      </c>
      <c r="B931" t="s">
        <v>186</v>
      </c>
      <c r="C931" s="25">
        <v>45808</v>
      </c>
      <c r="D931">
        <v>884811</v>
      </c>
      <c r="E931" t="s">
        <v>469</v>
      </c>
      <c r="F931" t="s">
        <v>475</v>
      </c>
      <c r="G931">
        <v>14380.42</v>
      </c>
      <c r="H931">
        <v>1157</v>
      </c>
      <c r="I931">
        <v>12.43</v>
      </c>
      <c r="J931">
        <v>0.57079999999999997</v>
      </c>
    </row>
    <row r="932" spans="1:10" x14ac:dyDescent="0.3">
      <c r="A932" t="s">
        <v>462</v>
      </c>
      <c r="B932" t="s">
        <v>186</v>
      </c>
      <c r="C932" s="25">
        <v>45838</v>
      </c>
      <c r="D932">
        <v>884811</v>
      </c>
      <c r="E932" t="s">
        <v>469</v>
      </c>
      <c r="F932" t="s">
        <v>475</v>
      </c>
      <c r="G932">
        <v>16108.5</v>
      </c>
      <c r="H932">
        <v>7210</v>
      </c>
      <c r="I932">
        <v>2.23</v>
      </c>
      <c r="J932">
        <v>0.64480000000000004</v>
      </c>
    </row>
    <row r="933" spans="1:10" x14ac:dyDescent="0.3">
      <c r="A933" t="s">
        <v>462</v>
      </c>
      <c r="B933" t="s">
        <v>186</v>
      </c>
      <c r="C933" s="25">
        <v>45869</v>
      </c>
      <c r="D933">
        <v>884811</v>
      </c>
      <c r="E933" t="s">
        <v>469</v>
      </c>
      <c r="F933" t="s">
        <v>475</v>
      </c>
      <c r="G933">
        <v>14339.16</v>
      </c>
      <c r="H933">
        <v>764</v>
      </c>
      <c r="I933">
        <v>18.78</v>
      </c>
      <c r="J933">
        <v>0.59199999999999997</v>
      </c>
    </row>
    <row r="934" spans="1:10" x14ac:dyDescent="0.3">
      <c r="A934" t="s">
        <v>462</v>
      </c>
      <c r="B934" t="s">
        <v>186</v>
      </c>
      <c r="C934" s="25">
        <v>45900</v>
      </c>
      <c r="D934">
        <v>884811</v>
      </c>
      <c r="E934" t="s">
        <v>469</v>
      </c>
      <c r="F934" t="s">
        <v>475</v>
      </c>
      <c r="G934">
        <v>13465.43</v>
      </c>
      <c r="H934">
        <v>844</v>
      </c>
      <c r="I934">
        <v>15.95</v>
      </c>
      <c r="J934">
        <v>0.55600000000000005</v>
      </c>
    </row>
    <row r="935" spans="1:10" x14ac:dyDescent="0.3">
      <c r="A935" t="s">
        <v>462</v>
      </c>
      <c r="B935" t="s">
        <v>186</v>
      </c>
      <c r="C935" s="25">
        <v>45930</v>
      </c>
      <c r="D935">
        <v>884811</v>
      </c>
      <c r="E935" t="s">
        <v>469</v>
      </c>
      <c r="F935" t="s">
        <v>475</v>
      </c>
      <c r="G935">
        <v>14702.86</v>
      </c>
      <c r="H935">
        <v>1186</v>
      </c>
      <c r="I935">
        <v>12.4</v>
      </c>
      <c r="J935">
        <v>0.59379999999999999</v>
      </c>
    </row>
    <row r="936" spans="1:10" x14ac:dyDescent="0.3">
      <c r="A936" t="s">
        <v>462</v>
      </c>
      <c r="B936" t="s">
        <v>186</v>
      </c>
      <c r="C936" s="25">
        <v>45961</v>
      </c>
      <c r="D936">
        <v>884811</v>
      </c>
      <c r="E936" t="s">
        <v>469</v>
      </c>
      <c r="F936" t="s">
        <v>475</v>
      </c>
      <c r="G936">
        <v>15182</v>
      </c>
      <c r="H936">
        <v>2202</v>
      </c>
      <c r="I936">
        <v>6.9</v>
      </c>
      <c r="J936">
        <v>0.6109</v>
      </c>
    </row>
    <row r="937" spans="1:10" x14ac:dyDescent="0.3">
      <c r="A937" t="s">
        <v>462</v>
      </c>
      <c r="B937" t="s">
        <v>186</v>
      </c>
      <c r="C937" s="25">
        <v>45991</v>
      </c>
      <c r="D937">
        <v>884811</v>
      </c>
      <c r="E937" t="s">
        <v>469</v>
      </c>
      <c r="F937" t="s">
        <v>475</v>
      </c>
      <c r="G937">
        <v>10799.33</v>
      </c>
      <c r="H937">
        <v>3969</v>
      </c>
      <c r="I937">
        <v>2.72</v>
      </c>
      <c r="J937">
        <v>0.43959999999999999</v>
      </c>
    </row>
    <row r="938" spans="1:10" x14ac:dyDescent="0.3">
      <c r="A938" t="s">
        <v>462</v>
      </c>
      <c r="B938" t="s">
        <v>186</v>
      </c>
      <c r="C938" s="25">
        <v>45657</v>
      </c>
      <c r="D938">
        <v>146698</v>
      </c>
      <c r="E938" t="s">
        <v>464</v>
      </c>
      <c r="F938" t="s">
        <v>474</v>
      </c>
      <c r="G938">
        <v>7795.57</v>
      </c>
      <c r="H938">
        <v>738</v>
      </c>
      <c r="I938">
        <v>10.57</v>
      </c>
      <c r="J938">
        <v>0.34710000000000002</v>
      </c>
    </row>
    <row r="939" spans="1:10" x14ac:dyDescent="0.3">
      <c r="A939" t="s">
        <v>462</v>
      </c>
      <c r="B939" t="s">
        <v>186</v>
      </c>
      <c r="C939" s="25">
        <v>45688</v>
      </c>
      <c r="D939">
        <v>146698</v>
      </c>
      <c r="E939" t="s">
        <v>464</v>
      </c>
      <c r="F939" t="s">
        <v>474</v>
      </c>
      <c r="G939">
        <v>5651.31</v>
      </c>
      <c r="H939">
        <v>627</v>
      </c>
      <c r="I939">
        <v>9.02</v>
      </c>
      <c r="J939">
        <v>0.2288</v>
      </c>
    </row>
    <row r="940" spans="1:10" x14ac:dyDescent="0.3">
      <c r="A940" t="s">
        <v>462</v>
      </c>
      <c r="B940" t="s">
        <v>186</v>
      </c>
      <c r="C940" s="25">
        <v>45716</v>
      </c>
      <c r="D940">
        <v>146698</v>
      </c>
      <c r="E940" t="s">
        <v>464</v>
      </c>
      <c r="F940" t="s">
        <v>474</v>
      </c>
      <c r="G940">
        <v>8064.74</v>
      </c>
      <c r="H940">
        <v>2116</v>
      </c>
      <c r="I940">
        <v>3.81</v>
      </c>
      <c r="J940">
        <v>0.33910000000000001</v>
      </c>
    </row>
    <row r="941" spans="1:10" x14ac:dyDescent="0.3">
      <c r="A941" t="s">
        <v>462</v>
      </c>
      <c r="B941" t="s">
        <v>186</v>
      </c>
      <c r="C941" s="25">
        <v>45747</v>
      </c>
      <c r="D941">
        <v>146698</v>
      </c>
      <c r="E941" t="s">
        <v>464</v>
      </c>
      <c r="F941" t="s">
        <v>474</v>
      </c>
      <c r="G941">
        <v>9670.2900000000009</v>
      </c>
      <c r="H941">
        <v>690</v>
      </c>
      <c r="I941">
        <v>14.02</v>
      </c>
      <c r="J941">
        <v>0.40039999999999998</v>
      </c>
    </row>
    <row r="942" spans="1:10" x14ac:dyDescent="0.3">
      <c r="A942" t="s">
        <v>462</v>
      </c>
      <c r="B942" t="s">
        <v>186</v>
      </c>
      <c r="C942" s="25">
        <v>45777</v>
      </c>
      <c r="D942">
        <v>146698</v>
      </c>
      <c r="E942" t="s">
        <v>464</v>
      </c>
      <c r="F942" t="s">
        <v>474</v>
      </c>
      <c r="G942">
        <v>7626.37</v>
      </c>
      <c r="H942">
        <v>5135</v>
      </c>
      <c r="I942">
        <v>1.49</v>
      </c>
      <c r="J942">
        <v>0.3296</v>
      </c>
    </row>
    <row r="943" spans="1:10" x14ac:dyDescent="0.3">
      <c r="A943" t="s">
        <v>462</v>
      </c>
      <c r="B943" t="s">
        <v>186</v>
      </c>
      <c r="C943" s="25">
        <v>45808</v>
      </c>
      <c r="D943">
        <v>146698</v>
      </c>
      <c r="E943" t="s">
        <v>464</v>
      </c>
      <c r="F943" t="s">
        <v>474</v>
      </c>
      <c r="G943">
        <v>7255.83</v>
      </c>
      <c r="H943">
        <v>1608</v>
      </c>
      <c r="I943">
        <v>4.51</v>
      </c>
      <c r="J943">
        <v>0.28799999999999998</v>
      </c>
    </row>
    <row r="944" spans="1:10" x14ac:dyDescent="0.3">
      <c r="A944" t="s">
        <v>462</v>
      </c>
      <c r="B944" t="s">
        <v>186</v>
      </c>
      <c r="C944" s="25">
        <v>45838</v>
      </c>
      <c r="D944">
        <v>146698</v>
      </c>
      <c r="E944" t="s">
        <v>464</v>
      </c>
      <c r="F944" t="s">
        <v>474</v>
      </c>
      <c r="G944">
        <v>7993.53</v>
      </c>
      <c r="H944">
        <v>993</v>
      </c>
      <c r="I944">
        <v>8.0500000000000007</v>
      </c>
      <c r="J944">
        <v>0.32</v>
      </c>
    </row>
    <row r="945" spans="1:10" x14ac:dyDescent="0.3">
      <c r="A945" t="s">
        <v>462</v>
      </c>
      <c r="B945" t="s">
        <v>186</v>
      </c>
      <c r="C945" s="25">
        <v>45869</v>
      </c>
      <c r="D945">
        <v>146698</v>
      </c>
      <c r="E945" t="s">
        <v>464</v>
      </c>
      <c r="F945" t="s">
        <v>474</v>
      </c>
      <c r="G945">
        <v>7423.62</v>
      </c>
      <c r="H945">
        <v>1067</v>
      </c>
      <c r="I945">
        <v>6.96</v>
      </c>
      <c r="J945">
        <v>0.30649999999999999</v>
      </c>
    </row>
    <row r="946" spans="1:10" x14ac:dyDescent="0.3">
      <c r="A946" t="s">
        <v>462</v>
      </c>
      <c r="B946" t="s">
        <v>186</v>
      </c>
      <c r="C946" s="25">
        <v>45900</v>
      </c>
      <c r="D946">
        <v>146698</v>
      </c>
      <c r="E946" t="s">
        <v>464</v>
      </c>
      <c r="F946" t="s">
        <v>474</v>
      </c>
      <c r="G946">
        <v>8082.94</v>
      </c>
      <c r="H946">
        <v>916</v>
      </c>
      <c r="I946">
        <v>8.82</v>
      </c>
      <c r="J946">
        <v>0.33379999999999999</v>
      </c>
    </row>
    <row r="947" spans="1:10" x14ac:dyDescent="0.3">
      <c r="A947" t="s">
        <v>462</v>
      </c>
      <c r="B947" t="s">
        <v>186</v>
      </c>
      <c r="C947" s="25">
        <v>45930</v>
      </c>
      <c r="D947">
        <v>146698</v>
      </c>
      <c r="E947" t="s">
        <v>464</v>
      </c>
      <c r="F947" t="s">
        <v>474</v>
      </c>
      <c r="G947">
        <v>8594.7999999999993</v>
      </c>
      <c r="H947">
        <v>649</v>
      </c>
      <c r="I947">
        <v>13.25</v>
      </c>
      <c r="J947">
        <v>0.34710000000000002</v>
      </c>
    </row>
    <row r="948" spans="1:10" x14ac:dyDescent="0.3">
      <c r="A948" t="s">
        <v>462</v>
      </c>
      <c r="B948" t="s">
        <v>186</v>
      </c>
      <c r="C948" s="25">
        <v>45961</v>
      </c>
      <c r="D948">
        <v>146698</v>
      </c>
      <c r="E948" t="s">
        <v>464</v>
      </c>
      <c r="F948" t="s">
        <v>474</v>
      </c>
      <c r="G948">
        <v>8075.51</v>
      </c>
      <c r="H948">
        <v>609</v>
      </c>
      <c r="I948">
        <v>13.25</v>
      </c>
      <c r="J948">
        <v>0.32490000000000002</v>
      </c>
    </row>
    <row r="949" spans="1:10" x14ac:dyDescent="0.3">
      <c r="A949" t="s">
        <v>462</v>
      </c>
      <c r="B949" t="s">
        <v>186</v>
      </c>
      <c r="C949" s="25">
        <v>45991</v>
      </c>
      <c r="D949">
        <v>146698</v>
      </c>
      <c r="E949" t="s">
        <v>464</v>
      </c>
      <c r="F949" t="s">
        <v>474</v>
      </c>
      <c r="G949">
        <v>7369.59</v>
      </c>
      <c r="H949">
        <v>582</v>
      </c>
      <c r="I949">
        <v>12.67</v>
      </c>
      <c r="J949">
        <v>0.3</v>
      </c>
    </row>
    <row r="950" spans="1:10" x14ac:dyDescent="0.3">
      <c r="A950" t="s">
        <v>462</v>
      </c>
      <c r="B950" t="s">
        <v>186</v>
      </c>
      <c r="C950" s="25">
        <v>45657</v>
      </c>
      <c r="D950">
        <v>136781</v>
      </c>
      <c r="E950" t="s">
        <v>469</v>
      </c>
      <c r="F950" t="s">
        <v>473</v>
      </c>
      <c r="G950">
        <v>1753.53</v>
      </c>
      <c r="H950">
        <v>520</v>
      </c>
      <c r="I950">
        <v>3.37</v>
      </c>
      <c r="J950">
        <v>7.8100000000000003E-2</v>
      </c>
    </row>
    <row r="951" spans="1:10" x14ac:dyDescent="0.3">
      <c r="A951" t="s">
        <v>462</v>
      </c>
      <c r="B951" t="s">
        <v>186</v>
      </c>
      <c r="C951" s="25">
        <v>45688</v>
      </c>
      <c r="D951">
        <v>136781</v>
      </c>
      <c r="E951" t="s">
        <v>469</v>
      </c>
      <c r="F951" t="s">
        <v>473</v>
      </c>
      <c r="G951">
        <v>2138.33</v>
      </c>
      <c r="H951">
        <v>162</v>
      </c>
      <c r="I951">
        <v>13.18</v>
      </c>
      <c r="J951">
        <v>8.6599999999999996E-2</v>
      </c>
    </row>
    <row r="952" spans="1:10" x14ac:dyDescent="0.3">
      <c r="A952" t="s">
        <v>462</v>
      </c>
      <c r="B952" t="s">
        <v>186</v>
      </c>
      <c r="C952" s="25">
        <v>45716</v>
      </c>
      <c r="D952">
        <v>136781</v>
      </c>
      <c r="E952" t="s">
        <v>469</v>
      </c>
      <c r="F952" t="s">
        <v>473</v>
      </c>
      <c r="G952">
        <v>2410.19</v>
      </c>
      <c r="H952">
        <v>128</v>
      </c>
      <c r="I952">
        <v>18.86</v>
      </c>
      <c r="J952">
        <v>0.1013</v>
      </c>
    </row>
    <row r="953" spans="1:10" x14ac:dyDescent="0.3">
      <c r="A953" t="s">
        <v>462</v>
      </c>
      <c r="B953" t="s">
        <v>186</v>
      </c>
      <c r="C953" s="25">
        <v>45747</v>
      </c>
      <c r="D953">
        <v>136781</v>
      </c>
      <c r="E953" t="s">
        <v>469</v>
      </c>
      <c r="F953" t="s">
        <v>473</v>
      </c>
      <c r="G953">
        <v>2238.5</v>
      </c>
      <c r="H953">
        <v>134</v>
      </c>
      <c r="I953">
        <v>16.73</v>
      </c>
      <c r="J953">
        <v>9.2700000000000005E-2</v>
      </c>
    </row>
    <row r="954" spans="1:10" x14ac:dyDescent="0.3">
      <c r="A954" t="s">
        <v>462</v>
      </c>
      <c r="B954" t="s">
        <v>186</v>
      </c>
      <c r="C954" s="25">
        <v>45777</v>
      </c>
      <c r="D954">
        <v>136781</v>
      </c>
      <c r="E954" t="s">
        <v>469</v>
      </c>
      <c r="F954" t="s">
        <v>473</v>
      </c>
      <c r="G954">
        <v>2346.2399999999998</v>
      </c>
      <c r="H954">
        <v>174</v>
      </c>
      <c r="I954">
        <v>13.51</v>
      </c>
      <c r="J954">
        <v>0.1014</v>
      </c>
    </row>
    <row r="955" spans="1:10" x14ac:dyDescent="0.3">
      <c r="A955" t="s">
        <v>462</v>
      </c>
      <c r="B955" t="s">
        <v>186</v>
      </c>
      <c r="C955" s="25">
        <v>45808</v>
      </c>
      <c r="D955">
        <v>136781</v>
      </c>
      <c r="E955" t="s">
        <v>469</v>
      </c>
      <c r="F955" t="s">
        <v>473</v>
      </c>
      <c r="G955">
        <v>2642.96</v>
      </c>
      <c r="H955">
        <v>213</v>
      </c>
      <c r="I955">
        <v>12.41</v>
      </c>
      <c r="J955">
        <v>0.10489999999999999</v>
      </c>
    </row>
    <row r="956" spans="1:10" x14ac:dyDescent="0.3">
      <c r="A956" t="s">
        <v>462</v>
      </c>
      <c r="B956" t="s">
        <v>186</v>
      </c>
      <c r="C956" s="25">
        <v>45838</v>
      </c>
      <c r="D956">
        <v>136781</v>
      </c>
      <c r="E956" t="s">
        <v>469</v>
      </c>
      <c r="F956" t="s">
        <v>473</v>
      </c>
      <c r="G956">
        <v>2304.39</v>
      </c>
      <c r="H956">
        <v>192</v>
      </c>
      <c r="I956">
        <v>11.98</v>
      </c>
      <c r="J956">
        <v>9.2200000000000004E-2</v>
      </c>
    </row>
    <row r="957" spans="1:10" x14ac:dyDescent="0.3">
      <c r="A957" t="s">
        <v>462</v>
      </c>
      <c r="B957" t="s">
        <v>186</v>
      </c>
      <c r="C957" s="25">
        <v>45869</v>
      </c>
      <c r="D957">
        <v>136781</v>
      </c>
      <c r="E957" t="s">
        <v>469</v>
      </c>
      <c r="F957" t="s">
        <v>473</v>
      </c>
      <c r="G957">
        <v>2205.77</v>
      </c>
      <c r="H957">
        <v>131</v>
      </c>
      <c r="I957">
        <v>16.86</v>
      </c>
      <c r="J957">
        <v>9.11E-2</v>
      </c>
    </row>
    <row r="958" spans="1:10" x14ac:dyDescent="0.3">
      <c r="A958" t="s">
        <v>462</v>
      </c>
      <c r="B958" t="s">
        <v>186</v>
      </c>
      <c r="C958" s="25">
        <v>45900</v>
      </c>
      <c r="D958">
        <v>136781</v>
      </c>
      <c r="E958" t="s">
        <v>469</v>
      </c>
      <c r="F958" t="s">
        <v>473</v>
      </c>
      <c r="G958">
        <v>2187.87</v>
      </c>
      <c r="H958">
        <v>1987</v>
      </c>
      <c r="I958">
        <v>1.1000000000000001</v>
      </c>
      <c r="J958">
        <v>9.0300000000000005E-2</v>
      </c>
    </row>
    <row r="959" spans="1:10" x14ac:dyDescent="0.3">
      <c r="A959" t="s">
        <v>462</v>
      </c>
      <c r="B959" t="s">
        <v>186</v>
      </c>
      <c r="C959" s="25">
        <v>45930</v>
      </c>
      <c r="D959">
        <v>136781</v>
      </c>
      <c r="E959" t="s">
        <v>469</v>
      </c>
      <c r="F959" t="s">
        <v>473</v>
      </c>
      <c r="G959">
        <v>2547.9499999999998</v>
      </c>
      <c r="H959">
        <v>150</v>
      </c>
      <c r="I959">
        <v>16.989999999999998</v>
      </c>
      <c r="J959">
        <v>0.10290000000000001</v>
      </c>
    </row>
    <row r="960" spans="1:10" x14ac:dyDescent="0.3">
      <c r="A960" t="s">
        <v>462</v>
      </c>
      <c r="B960" t="s">
        <v>186</v>
      </c>
      <c r="C960" s="25">
        <v>45961</v>
      </c>
      <c r="D960">
        <v>136781</v>
      </c>
      <c r="E960" t="s">
        <v>469</v>
      </c>
      <c r="F960" t="s">
        <v>473</v>
      </c>
      <c r="G960">
        <v>2342.04</v>
      </c>
      <c r="H960">
        <v>142</v>
      </c>
      <c r="I960">
        <v>16.46</v>
      </c>
      <c r="J960">
        <v>9.4200000000000006E-2</v>
      </c>
    </row>
    <row r="961" spans="1:10" x14ac:dyDescent="0.3">
      <c r="A961" t="s">
        <v>462</v>
      </c>
      <c r="B961" t="s">
        <v>186</v>
      </c>
      <c r="C961" s="25">
        <v>45991</v>
      </c>
      <c r="D961">
        <v>136781</v>
      </c>
      <c r="E961" t="s">
        <v>469</v>
      </c>
      <c r="F961" t="s">
        <v>473</v>
      </c>
      <c r="G961">
        <v>2093.04</v>
      </c>
      <c r="H961">
        <v>175</v>
      </c>
      <c r="I961">
        <v>11.95</v>
      </c>
      <c r="J961">
        <v>8.5199999999999998E-2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BCDA-5BCD-47C9-9E40-FAD2804E2CC6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7D70-6F15-4966-BC1B-29FA0E0B3CCC}">
  <sheetPr>
    <tabColor theme="4" tint="0.79998168889431442"/>
  </sheetPr>
  <dimension ref="A1:P529"/>
  <sheetViews>
    <sheetView topLeftCell="A472" zoomScale="60" workbookViewId="0">
      <selection activeCell="E496" sqref="E486:E496"/>
    </sheetView>
  </sheetViews>
  <sheetFormatPr defaultRowHeight="14.4" x14ac:dyDescent="0.3"/>
  <cols>
    <col min="1" max="1" width="20.33203125" bestFit="1" customWidth="1"/>
    <col min="2" max="2" width="12.5546875" bestFit="1" customWidth="1"/>
    <col min="3" max="3" width="23.109375" bestFit="1" customWidth="1"/>
    <col min="4" max="4" width="6.6640625" bestFit="1" customWidth="1"/>
    <col min="5" max="5" width="14.33203125" style="10" bestFit="1" customWidth="1"/>
    <col min="6" max="6" width="17.6640625" style="10" bestFit="1" customWidth="1"/>
    <col min="7" max="7" width="14.44140625" style="10" bestFit="1" customWidth="1"/>
    <col min="8" max="9" width="12" bestFit="1" customWidth="1"/>
    <col min="10" max="10" width="5.44140625" bestFit="1" customWidth="1"/>
    <col min="11" max="11" width="7" bestFit="1" customWidth="1"/>
    <col min="14" max="14" width="15.33203125" bestFit="1" customWidth="1"/>
    <col min="15" max="15" width="14.88671875" bestFit="1" customWidth="1"/>
    <col min="16" max="16" width="15.33203125" bestFit="1" customWidth="1"/>
  </cols>
  <sheetData>
    <row r="1" spans="1:16" x14ac:dyDescent="0.3">
      <c r="A1" s="13" t="s">
        <v>197</v>
      </c>
      <c r="B1" s="13" t="s">
        <v>22</v>
      </c>
      <c r="C1" s="13" t="s">
        <v>333</v>
      </c>
      <c r="D1" s="13" t="s">
        <v>558</v>
      </c>
      <c r="E1" s="24" t="s">
        <v>21</v>
      </c>
      <c r="F1" s="24" t="s">
        <v>557</v>
      </c>
      <c r="G1" s="24" t="s">
        <v>556</v>
      </c>
      <c r="H1" s="13" t="s">
        <v>555</v>
      </c>
      <c r="I1" s="13" t="s">
        <v>554</v>
      </c>
      <c r="J1" s="13" t="s">
        <v>365</v>
      </c>
      <c r="K1" s="13" t="s">
        <v>326</v>
      </c>
    </row>
    <row r="2" spans="1:16" x14ac:dyDescent="0.3">
      <c r="A2" s="31">
        <v>45657</v>
      </c>
      <c r="B2" t="s">
        <v>186</v>
      </c>
      <c r="C2" t="s">
        <v>553</v>
      </c>
      <c r="D2" t="s">
        <v>24</v>
      </c>
      <c r="E2" s="10">
        <v>3646088.07</v>
      </c>
      <c r="F2" s="10">
        <v>4822856.1936376654</v>
      </c>
      <c r="G2" s="10">
        <v>1513669.486359512</v>
      </c>
      <c r="H2">
        <v>0.41514890954334838</v>
      </c>
      <c r="I2">
        <v>0.31385333204758448</v>
      </c>
    </row>
    <row r="3" spans="1:16" x14ac:dyDescent="0.3">
      <c r="A3" s="31">
        <v>45657</v>
      </c>
      <c r="B3" t="s">
        <v>186</v>
      </c>
      <c r="C3" t="s">
        <v>324</v>
      </c>
      <c r="D3" t="s">
        <v>552</v>
      </c>
      <c r="E3" s="10">
        <v>1064325.98</v>
      </c>
      <c r="F3" s="10">
        <v>1423276.2503343141</v>
      </c>
      <c r="G3" s="10">
        <v>1153167.075743309</v>
      </c>
      <c r="H3">
        <v>1.0834716970296161</v>
      </c>
      <c r="I3">
        <v>0.81022013503874701</v>
      </c>
      <c r="J3">
        <v>5.51</v>
      </c>
      <c r="K3">
        <v>0.25219999999999998</v>
      </c>
    </row>
    <row r="4" spans="1:16" x14ac:dyDescent="0.3">
      <c r="A4" s="31">
        <v>45657</v>
      </c>
      <c r="B4" t="s">
        <v>186</v>
      </c>
      <c r="C4" t="s">
        <v>323</v>
      </c>
      <c r="D4" t="s">
        <v>552</v>
      </c>
      <c r="E4" s="10">
        <v>2237703.89</v>
      </c>
      <c r="F4" s="10">
        <v>2973692.8770764121</v>
      </c>
      <c r="G4" s="10">
        <v>2400491.4112321069</v>
      </c>
      <c r="H4">
        <v>1.072747570382115</v>
      </c>
      <c r="I4">
        <v>0.80724254671254148</v>
      </c>
      <c r="J4">
        <v>5.47</v>
      </c>
      <c r="K4">
        <v>0.2475</v>
      </c>
      <c r="N4" s="11">
        <f>SUM(E486:E496)</f>
        <v>15865024.33</v>
      </c>
      <c r="O4" s="11">
        <f>SUM(F486:F496)</f>
        <v>20832191.67719087</v>
      </c>
      <c r="P4" s="11">
        <f>SUM(G486:G496)</f>
        <v>15609729.950727185</v>
      </c>
    </row>
    <row r="5" spans="1:16" x14ac:dyDescent="0.3">
      <c r="A5" s="31">
        <v>45657</v>
      </c>
      <c r="B5" t="s">
        <v>186</v>
      </c>
      <c r="C5" t="s">
        <v>322</v>
      </c>
      <c r="D5" t="s">
        <v>552</v>
      </c>
      <c r="E5" s="10">
        <v>1090706.42</v>
      </c>
      <c r="F5" s="10">
        <v>1382741.4046653139</v>
      </c>
      <c r="G5" s="10">
        <v>1148731.566418861</v>
      </c>
      <c r="H5">
        <v>1.0531996010611739</v>
      </c>
      <c r="I5">
        <v>0.83076384531705405</v>
      </c>
      <c r="J5">
        <v>4.76</v>
      </c>
      <c r="K5">
        <v>0.2112</v>
      </c>
    </row>
    <row r="6" spans="1:16" x14ac:dyDescent="0.3">
      <c r="A6" s="31">
        <v>45657</v>
      </c>
      <c r="B6" t="s">
        <v>186</v>
      </c>
      <c r="C6" t="s">
        <v>321</v>
      </c>
      <c r="D6" t="s">
        <v>552</v>
      </c>
      <c r="E6" s="10">
        <v>1514850.42</v>
      </c>
      <c r="F6" s="10">
        <v>2033083.371359549</v>
      </c>
      <c r="G6" s="10">
        <v>1644142.3070584559</v>
      </c>
      <c r="H6">
        <v>1.0853496063713379</v>
      </c>
      <c r="I6">
        <v>0.80869399170728407</v>
      </c>
      <c r="J6">
        <v>5.61</v>
      </c>
      <c r="K6">
        <v>0.25490000000000002</v>
      </c>
    </row>
    <row r="7" spans="1:16" x14ac:dyDescent="0.3">
      <c r="A7" s="31">
        <v>45657</v>
      </c>
      <c r="B7" t="s">
        <v>186</v>
      </c>
      <c r="C7" t="s">
        <v>320</v>
      </c>
      <c r="D7" t="s">
        <v>552</v>
      </c>
      <c r="E7" s="10">
        <v>980095.85</v>
      </c>
      <c r="F7" s="10">
        <v>1295394.9907480839</v>
      </c>
      <c r="G7" s="10">
        <v>1055235.830490092</v>
      </c>
      <c r="H7">
        <v>1.076665951080287</v>
      </c>
      <c r="I7">
        <v>0.8146054585873449</v>
      </c>
      <c r="J7">
        <v>5.39</v>
      </c>
      <c r="K7">
        <v>0.24340000000000001</v>
      </c>
    </row>
    <row r="8" spans="1:16" x14ac:dyDescent="0.3">
      <c r="A8" s="31">
        <v>45657</v>
      </c>
      <c r="B8" t="s">
        <v>186</v>
      </c>
      <c r="C8" t="s">
        <v>319</v>
      </c>
      <c r="D8" t="s">
        <v>552</v>
      </c>
      <c r="E8" s="10">
        <v>305346.38</v>
      </c>
      <c r="F8" s="10">
        <v>384421.98161903571</v>
      </c>
      <c r="G8" s="10">
        <v>310387.53797763272</v>
      </c>
      <c r="H8">
        <v>1.01650963727696</v>
      </c>
      <c r="I8">
        <v>0.80741360488908887</v>
      </c>
      <c r="J8">
        <v>4.87</v>
      </c>
      <c r="K8">
        <v>0.20569999999999999</v>
      </c>
    </row>
    <row r="9" spans="1:16" x14ac:dyDescent="0.3">
      <c r="A9" s="31">
        <v>45657</v>
      </c>
      <c r="B9" t="s">
        <v>186</v>
      </c>
      <c r="C9" t="s">
        <v>268</v>
      </c>
      <c r="D9" t="s">
        <v>552</v>
      </c>
      <c r="E9" s="10">
        <v>1136154.72</v>
      </c>
      <c r="F9" s="10">
        <v>1520142.788332887</v>
      </c>
      <c r="G9" s="10">
        <v>1280085.290727769</v>
      </c>
      <c r="H9">
        <v>1.126682192305436</v>
      </c>
      <c r="I9">
        <v>0.84208227052908324</v>
      </c>
      <c r="J9">
        <v>5.54</v>
      </c>
      <c r="K9">
        <v>0.25259999999999999</v>
      </c>
    </row>
    <row r="10" spans="1:16" x14ac:dyDescent="0.3">
      <c r="A10" s="31">
        <v>45657</v>
      </c>
      <c r="B10" t="s">
        <v>186</v>
      </c>
      <c r="C10" t="s">
        <v>318</v>
      </c>
      <c r="D10" t="s">
        <v>552</v>
      </c>
      <c r="E10" s="10">
        <v>852698.53</v>
      </c>
      <c r="F10" s="10">
        <v>1111442.2966631909</v>
      </c>
      <c r="G10" s="10">
        <v>924983.45518659602</v>
      </c>
      <c r="H10">
        <v>1.084771959424623</v>
      </c>
      <c r="I10">
        <v>0.83223704727057102</v>
      </c>
      <c r="J10">
        <v>5.29</v>
      </c>
      <c r="K10">
        <v>0.23280000000000001</v>
      </c>
    </row>
    <row r="11" spans="1:16" x14ac:dyDescent="0.3">
      <c r="A11" s="31">
        <v>45657</v>
      </c>
      <c r="B11" t="s">
        <v>186</v>
      </c>
      <c r="C11" t="s">
        <v>317</v>
      </c>
      <c r="D11" t="s">
        <v>552</v>
      </c>
      <c r="E11" s="10">
        <v>1228282.77</v>
      </c>
      <c r="F11" s="10">
        <v>1595172.4285714291</v>
      </c>
      <c r="G11" s="10">
        <v>1271381.575179335</v>
      </c>
      <c r="H11">
        <v>1.035088667065919</v>
      </c>
      <c r="I11">
        <v>0.79701827364075772</v>
      </c>
      <c r="J11">
        <v>5.28</v>
      </c>
      <c r="K11">
        <v>0.23</v>
      </c>
    </row>
    <row r="12" spans="1:16" x14ac:dyDescent="0.3">
      <c r="A12" s="31">
        <v>45657</v>
      </c>
      <c r="B12" t="s">
        <v>186</v>
      </c>
      <c r="C12" t="s">
        <v>316</v>
      </c>
      <c r="D12" t="s">
        <v>552</v>
      </c>
      <c r="E12" s="10">
        <v>2063791.11</v>
      </c>
      <c r="F12" s="10">
        <v>2766105.2271813429</v>
      </c>
      <c r="G12" s="10">
        <v>2198780.734007712</v>
      </c>
      <c r="H12">
        <v>1.0654085693816711</v>
      </c>
      <c r="I12">
        <v>0.79490133361566506</v>
      </c>
      <c r="J12">
        <v>5.56</v>
      </c>
      <c r="K12">
        <v>0.25390000000000001</v>
      </c>
    </row>
    <row r="13" spans="1:16" x14ac:dyDescent="0.3">
      <c r="A13" s="31">
        <v>45657</v>
      </c>
      <c r="B13" t="s">
        <v>192</v>
      </c>
      <c r="C13" t="s">
        <v>553</v>
      </c>
      <c r="D13" t="s">
        <v>24</v>
      </c>
      <c r="E13" s="10">
        <v>1126697.8899999999</v>
      </c>
      <c r="F13" s="10">
        <v>1419372.4993701179</v>
      </c>
      <c r="G13" s="10">
        <v>470667.63277500932</v>
      </c>
      <c r="H13">
        <v>0.41774075992545728</v>
      </c>
      <c r="I13">
        <v>0.33160261522882811</v>
      </c>
    </row>
    <row r="14" spans="1:16" x14ac:dyDescent="0.3">
      <c r="A14" s="31">
        <v>45657</v>
      </c>
      <c r="B14" t="s">
        <v>192</v>
      </c>
      <c r="C14" t="s">
        <v>324</v>
      </c>
      <c r="D14" t="s">
        <v>552</v>
      </c>
      <c r="E14" s="10">
        <v>331011.78999999998</v>
      </c>
      <c r="F14" s="10">
        <v>416996.46006550762</v>
      </c>
      <c r="G14" s="10">
        <v>353459.4221649869</v>
      </c>
      <c r="H14">
        <v>1.0678152043012941</v>
      </c>
      <c r="I14">
        <v>0.84763170917436703</v>
      </c>
      <c r="J14">
        <v>4.4800000000000004</v>
      </c>
      <c r="K14">
        <v>0.20619999999999999</v>
      </c>
    </row>
    <row r="15" spans="1:16" x14ac:dyDescent="0.3">
      <c r="A15" s="31">
        <v>45657</v>
      </c>
      <c r="B15" t="s">
        <v>192</v>
      </c>
      <c r="C15" t="s">
        <v>323</v>
      </c>
      <c r="D15" t="s">
        <v>552</v>
      </c>
      <c r="E15" s="10">
        <v>587943.69999999995</v>
      </c>
      <c r="F15" s="10">
        <v>740669.81607457786</v>
      </c>
      <c r="G15" s="10">
        <v>624176.63991532021</v>
      </c>
      <c r="H15">
        <v>1.0616265467515349</v>
      </c>
      <c r="I15">
        <v>0.84271915281136822</v>
      </c>
      <c r="J15">
        <v>4.4800000000000004</v>
      </c>
      <c r="K15">
        <v>0.20619999999999999</v>
      </c>
    </row>
    <row r="16" spans="1:16" x14ac:dyDescent="0.3">
      <c r="A16" s="31">
        <v>45657</v>
      </c>
      <c r="B16" t="s">
        <v>192</v>
      </c>
      <c r="C16" t="s">
        <v>322</v>
      </c>
      <c r="D16" t="s">
        <v>552</v>
      </c>
      <c r="E16" s="10">
        <v>611762.68000000005</v>
      </c>
      <c r="F16" s="10">
        <v>770676.08969513723</v>
      </c>
      <c r="G16" s="10">
        <v>652970.67680326779</v>
      </c>
      <c r="H16">
        <v>1.067359448607208</v>
      </c>
      <c r="I16">
        <v>0.84726993030440179</v>
      </c>
      <c r="J16">
        <v>4.4800000000000004</v>
      </c>
      <c r="K16">
        <v>0.20619999999999999</v>
      </c>
    </row>
    <row r="17" spans="1:11" x14ac:dyDescent="0.3">
      <c r="A17" s="31">
        <v>45657</v>
      </c>
      <c r="B17" t="s">
        <v>192</v>
      </c>
      <c r="C17" t="s">
        <v>321</v>
      </c>
      <c r="D17" t="s">
        <v>552</v>
      </c>
      <c r="E17" s="10">
        <v>336833.74</v>
      </c>
      <c r="F17" s="10">
        <v>424330.73822121433</v>
      </c>
      <c r="G17" s="10">
        <v>361201.41064570373</v>
      </c>
      <c r="H17">
        <v>1.0723433188305409</v>
      </c>
      <c r="I17">
        <v>0.85122612648768392</v>
      </c>
      <c r="J17">
        <v>4.4800000000000004</v>
      </c>
      <c r="K17">
        <v>0.20619999999999999</v>
      </c>
    </row>
    <row r="18" spans="1:11" x14ac:dyDescent="0.3">
      <c r="A18" s="31">
        <v>45657</v>
      </c>
      <c r="B18" t="s">
        <v>192</v>
      </c>
      <c r="C18" t="s">
        <v>320</v>
      </c>
      <c r="D18" t="s">
        <v>552</v>
      </c>
      <c r="E18" s="10">
        <v>280462.5</v>
      </c>
      <c r="F18" s="10">
        <v>353316.32653061219</v>
      </c>
      <c r="G18" s="10">
        <v>300246.62894641579</v>
      </c>
      <c r="H18">
        <v>1.0705410846242041</v>
      </c>
      <c r="I18">
        <v>0.84979551297469313</v>
      </c>
      <c r="J18">
        <v>4.4800000000000004</v>
      </c>
      <c r="K18">
        <v>0.20619999999999999</v>
      </c>
    </row>
    <row r="19" spans="1:11" x14ac:dyDescent="0.3">
      <c r="A19" s="31">
        <v>45657</v>
      </c>
      <c r="B19" t="s">
        <v>192</v>
      </c>
      <c r="C19" t="s">
        <v>319</v>
      </c>
      <c r="D19" t="s">
        <v>552</v>
      </c>
      <c r="E19" s="10">
        <v>59848.38</v>
      </c>
      <c r="F19" s="10">
        <v>75394.784580498846</v>
      </c>
      <c r="G19" s="10">
        <v>62921.253618454357</v>
      </c>
      <c r="H19">
        <v>1.051344307372303</v>
      </c>
      <c r="I19">
        <v>0.83455711119213394</v>
      </c>
      <c r="J19">
        <v>4.4800000000000004</v>
      </c>
      <c r="K19">
        <v>0.20619999999999999</v>
      </c>
    </row>
    <row r="20" spans="1:11" x14ac:dyDescent="0.3">
      <c r="A20" s="31">
        <v>45657</v>
      </c>
      <c r="B20" t="s">
        <v>192</v>
      </c>
      <c r="C20" t="s">
        <v>268</v>
      </c>
      <c r="D20" t="s">
        <v>552</v>
      </c>
      <c r="E20" s="10">
        <v>313920.73</v>
      </c>
      <c r="F20" s="10">
        <v>395465.77223481977</v>
      </c>
      <c r="G20" s="10">
        <v>334546.74145194108</v>
      </c>
      <c r="H20">
        <v>1.065704521813329</v>
      </c>
      <c r="I20">
        <v>0.84595624941542047</v>
      </c>
      <c r="J20">
        <v>4.4800000000000004</v>
      </c>
      <c r="K20">
        <v>0.20619999999999999</v>
      </c>
    </row>
    <row r="21" spans="1:11" x14ac:dyDescent="0.3">
      <c r="A21" s="31">
        <v>45657</v>
      </c>
      <c r="B21" t="s">
        <v>192</v>
      </c>
      <c r="C21" t="s">
        <v>318</v>
      </c>
      <c r="D21" t="s">
        <v>552</v>
      </c>
      <c r="E21" s="10">
        <v>163437.26999999999</v>
      </c>
      <c r="F21" s="10">
        <v>205892.25245653809</v>
      </c>
      <c r="G21" s="10">
        <v>172719.0389705752</v>
      </c>
      <c r="H21">
        <v>1.056791018172142</v>
      </c>
      <c r="I21">
        <v>0.83888071022504618</v>
      </c>
      <c r="J21">
        <v>4.4800000000000004</v>
      </c>
      <c r="K21">
        <v>0.20619999999999999</v>
      </c>
    </row>
    <row r="22" spans="1:11" x14ac:dyDescent="0.3">
      <c r="A22" s="31">
        <v>45657</v>
      </c>
      <c r="B22" t="s">
        <v>192</v>
      </c>
      <c r="C22" t="s">
        <v>317</v>
      </c>
      <c r="D22" t="s">
        <v>552</v>
      </c>
      <c r="E22" s="10">
        <v>171891.59</v>
      </c>
      <c r="F22" s="10">
        <v>216542.69337364571</v>
      </c>
      <c r="G22" s="10">
        <v>180303.60371200871</v>
      </c>
      <c r="H22">
        <v>1.0489379015692899</v>
      </c>
      <c r="I22">
        <v>0.83264690626570248</v>
      </c>
      <c r="J22">
        <v>4.4800000000000004</v>
      </c>
      <c r="K22">
        <v>0.20619999999999999</v>
      </c>
    </row>
    <row r="23" spans="1:11" x14ac:dyDescent="0.3">
      <c r="A23" s="31">
        <v>45657</v>
      </c>
      <c r="B23" t="s">
        <v>192</v>
      </c>
      <c r="C23" t="s">
        <v>316</v>
      </c>
      <c r="D23" t="s">
        <v>552</v>
      </c>
      <c r="E23" s="10">
        <v>561159.03</v>
      </c>
      <c r="F23" s="10">
        <v>706927.47543461819</v>
      </c>
      <c r="G23" s="10">
        <v>582699.33050981339</v>
      </c>
      <c r="H23">
        <v>1.0383853762627919</v>
      </c>
      <c r="I23">
        <v>0.82427031167740439</v>
      </c>
      <c r="J23">
        <v>4.4800000000000004</v>
      </c>
      <c r="K23">
        <v>0.20619999999999999</v>
      </c>
    </row>
    <row r="24" spans="1:11" x14ac:dyDescent="0.3">
      <c r="A24" s="31">
        <v>45657</v>
      </c>
      <c r="B24" t="s">
        <v>191</v>
      </c>
      <c r="C24" t="s">
        <v>553</v>
      </c>
      <c r="D24" t="s">
        <v>24</v>
      </c>
      <c r="E24" s="10">
        <v>487450.5</v>
      </c>
      <c r="F24" s="10">
        <v>590491.21744397341</v>
      </c>
      <c r="G24" s="10">
        <v>188845.1267691871</v>
      </c>
      <c r="H24">
        <v>0.38741395643083171</v>
      </c>
      <c r="I24">
        <v>0.31981022103365148</v>
      </c>
    </row>
    <row r="25" spans="1:11" x14ac:dyDescent="0.3">
      <c r="A25" s="31">
        <v>45657</v>
      </c>
      <c r="B25" t="s">
        <v>191</v>
      </c>
      <c r="C25" t="s">
        <v>324</v>
      </c>
      <c r="D25" t="s">
        <v>552</v>
      </c>
      <c r="E25" s="10">
        <v>146380.22</v>
      </c>
      <c r="F25" s="10">
        <v>177323.1011508177</v>
      </c>
      <c r="G25" s="10">
        <v>144123.72669570401</v>
      </c>
      <c r="H25">
        <v>0.98458471162090033</v>
      </c>
      <c r="I25">
        <v>0.81277467944305326</v>
      </c>
      <c r="J25">
        <v>4.5</v>
      </c>
      <c r="K25">
        <v>0.17449999999999999</v>
      </c>
    </row>
    <row r="26" spans="1:11" x14ac:dyDescent="0.3">
      <c r="A26" s="31">
        <v>45657</v>
      </c>
      <c r="B26" t="s">
        <v>191</v>
      </c>
      <c r="C26" t="s">
        <v>323</v>
      </c>
      <c r="D26" t="s">
        <v>552</v>
      </c>
      <c r="E26" s="10">
        <v>469563.73</v>
      </c>
      <c r="F26" s="10">
        <v>568823.41611144762</v>
      </c>
      <c r="G26" s="10">
        <v>481704.98824389611</v>
      </c>
      <c r="H26">
        <v>1.025856465199934</v>
      </c>
      <c r="I26">
        <v>0.84684451202254529</v>
      </c>
      <c r="J26">
        <v>4.5</v>
      </c>
      <c r="K26">
        <v>0.17449999999999999</v>
      </c>
    </row>
    <row r="27" spans="1:11" x14ac:dyDescent="0.3">
      <c r="A27" s="31">
        <v>45657</v>
      </c>
      <c r="B27" t="s">
        <v>191</v>
      </c>
      <c r="C27" t="s">
        <v>322</v>
      </c>
      <c r="D27" t="s">
        <v>552</v>
      </c>
      <c r="E27" s="10">
        <v>299021.53000000003</v>
      </c>
      <c r="F27" s="10">
        <v>362230.80557238043</v>
      </c>
      <c r="G27" s="10">
        <v>308623.42392207321</v>
      </c>
      <c r="H27">
        <v>1.0321110453888489</v>
      </c>
      <c r="I27">
        <v>0.85200766796849503</v>
      </c>
      <c r="J27">
        <v>4.5</v>
      </c>
      <c r="K27">
        <v>0.17449999999999999</v>
      </c>
    </row>
    <row r="28" spans="1:11" x14ac:dyDescent="0.3">
      <c r="A28" s="31">
        <v>45657</v>
      </c>
      <c r="B28" t="s">
        <v>191</v>
      </c>
      <c r="C28" t="s">
        <v>321</v>
      </c>
      <c r="D28" t="s">
        <v>552</v>
      </c>
      <c r="E28" s="10">
        <v>286285.96999999997</v>
      </c>
      <c r="F28" s="10">
        <v>346803.11326468812</v>
      </c>
      <c r="G28" s="10">
        <v>284950.62915977399</v>
      </c>
      <c r="H28">
        <v>0.99533563995390351</v>
      </c>
      <c r="I28">
        <v>0.82164957078194734</v>
      </c>
      <c r="J28">
        <v>4.5</v>
      </c>
      <c r="K28">
        <v>0.17449999999999999</v>
      </c>
    </row>
    <row r="29" spans="1:11" x14ac:dyDescent="0.3">
      <c r="A29" s="31">
        <v>45657</v>
      </c>
      <c r="B29" t="s">
        <v>191</v>
      </c>
      <c r="C29" t="s">
        <v>320</v>
      </c>
      <c r="D29" t="s">
        <v>552</v>
      </c>
      <c r="E29" s="10">
        <v>216898.77</v>
      </c>
      <c r="F29" s="10">
        <v>262748.35857056332</v>
      </c>
      <c r="G29" s="10">
        <v>217857.4625389392</v>
      </c>
      <c r="H29">
        <v>1.004419999887225</v>
      </c>
      <c r="I29">
        <v>0.82914870990690404</v>
      </c>
      <c r="J29">
        <v>4.5</v>
      </c>
      <c r="K29">
        <v>0.17449999999999999</v>
      </c>
    </row>
    <row r="30" spans="1:11" x14ac:dyDescent="0.3">
      <c r="A30" s="31">
        <v>45657</v>
      </c>
      <c r="B30" t="s">
        <v>191</v>
      </c>
      <c r="C30" t="s">
        <v>319</v>
      </c>
      <c r="D30" t="s">
        <v>552</v>
      </c>
      <c r="E30" s="10">
        <v>179731.17</v>
      </c>
      <c r="F30" s="10">
        <v>217724.00969109629</v>
      </c>
      <c r="G30" s="10">
        <v>177906.14313217509</v>
      </c>
      <c r="H30">
        <v>0.98984579654255334</v>
      </c>
      <c r="I30">
        <v>0.81711770504587777</v>
      </c>
      <c r="J30">
        <v>4.5</v>
      </c>
      <c r="K30">
        <v>0.17449999999999999</v>
      </c>
    </row>
    <row r="31" spans="1:11" x14ac:dyDescent="0.3">
      <c r="A31" s="31">
        <v>45657</v>
      </c>
      <c r="B31" t="s">
        <v>191</v>
      </c>
      <c r="C31" t="s">
        <v>268</v>
      </c>
      <c r="D31" t="s">
        <v>552</v>
      </c>
      <c r="E31" s="10">
        <v>183879.65</v>
      </c>
      <c r="F31" s="10">
        <v>222749.42459115689</v>
      </c>
      <c r="G31" s="10">
        <v>189049.7182844131</v>
      </c>
      <c r="H31">
        <v>1.0281165875854841</v>
      </c>
      <c r="I31">
        <v>0.84871024305181697</v>
      </c>
      <c r="J31">
        <v>4.5</v>
      </c>
      <c r="K31">
        <v>0.17449999999999999</v>
      </c>
    </row>
    <row r="32" spans="1:11" x14ac:dyDescent="0.3">
      <c r="A32" s="31">
        <v>45657</v>
      </c>
      <c r="B32" t="s">
        <v>191</v>
      </c>
      <c r="C32" t="s">
        <v>318</v>
      </c>
      <c r="D32" t="s">
        <v>552</v>
      </c>
      <c r="E32" s="10">
        <v>319710.31</v>
      </c>
      <c r="F32" s="10">
        <v>387292.92549969722</v>
      </c>
      <c r="G32" s="10">
        <v>317275.38813283871</v>
      </c>
      <c r="H32">
        <v>0.99238397452005445</v>
      </c>
      <c r="I32">
        <v>0.81921297096630497</v>
      </c>
      <c r="J32">
        <v>4.5</v>
      </c>
      <c r="K32">
        <v>0.17449999999999999</v>
      </c>
    </row>
    <row r="33" spans="1:11" x14ac:dyDescent="0.3">
      <c r="A33" s="31">
        <v>45657</v>
      </c>
      <c r="B33" t="s">
        <v>191</v>
      </c>
      <c r="C33" t="s">
        <v>317</v>
      </c>
      <c r="D33" t="s">
        <v>552</v>
      </c>
      <c r="E33" s="10">
        <v>535822.38</v>
      </c>
      <c r="F33" s="10">
        <v>649088.28588734102</v>
      </c>
      <c r="G33" s="10">
        <v>549081.15751357342</v>
      </c>
      <c r="H33">
        <v>1.024744725133679</v>
      </c>
      <c r="I33">
        <v>0.84592677059785149</v>
      </c>
      <c r="J33">
        <v>4.5</v>
      </c>
      <c r="K33">
        <v>0.17449999999999999</v>
      </c>
    </row>
    <row r="34" spans="1:11" x14ac:dyDescent="0.3">
      <c r="A34" s="31">
        <v>45657</v>
      </c>
      <c r="B34" t="s">
        <v>191</v>
      </c>
      <c r="C34" t="s">
        <v>316</v>
      </c>
      <c r="D34" t="s">
        <v>552</v>
      </c>
      <c r="E34" s="10">
        <v>322571.90999999997</v>
      </c>
      <c r="F34" s="10">
        <v>390759.43064809212</v>
      </c>
      <c r="G34" s="10">
        <v>331221.55856658157</v>
      </c>
      <c r="H34">
        <v>1.02681463666995</v>
      </c>
      <c r="I34">
        <v>0.84763548257104326</v>
      </c>
      <c r="J34">
        <v>4.5</v>
      </c>
      <c r="K34">
        <v>0.17449999999999999</v>
      </c>
    </row>
    <row r="35" spans="1:11" x14ac:dyDescent="0.3">
      <c r="A35" s="31">
        <v>45657</v>
      </c>
      <c r="B35" t="s">
        <v>193</v>
      </c>
      <c r="C35" t="s">
        <v>553</v>
      </c>
      <c r="D35" t="s">
        <v>24</v>
      </c>
      <c r="E35" s="10">
        <v>2031939.68</v>
      </c>
      <c r="F35" s="10">
        <v>2970672.0467836261</v>
      </c>
      <c r="G35" s="10">
        <v>885349.40839910612</v>
      </c>
      <c r="H35">
        <v>0.43571638327329981</v>
      </c>
      <c r="I35">
        <v>0.29803000615893699</v>
      </c>
    </row>
    <row r="36" spans="1:11" x14ac:dyDescent="0.3">
      <c r="A36" s="31">
        <v>45657</v>
      </c>
      <c r="B36" t="s">
        <v>193</v>
      </c>
      <c r="C36" t="s">
        <v>324</v>
      </c>
      <c r="D36" t="s">
        <v>552</v>
      </c>
      <c r="E36" s="10">
        <v>586933.97</v>
      </c>
      <c r="F36" s="10">
        <v>858090.5994152046</v>
      </c>
      <c r="G36" s="10">
        <v>713949.70921301935</v>
      </c>
      <c r="H36">
        <v>1.2164054999457941</v>
      </c>
      <c r="I36">
        <v>0.83202136196292287</v>
      </c>
      <c r="J36">
        <v>6.71</v>
      </c>
      <c r="K36">
        <v>0.316</v>
      </c>
    </row>
    <row r="37" spans="1:11" x14ac:dyDescent="0.3">
      <c r="A37" s="31">
        <v>45657</v>
      </c>
      <c r="B37" t="s">
        <v>193</v>
      </c>
      <c r="C37" t="s">
        <v>323</v>
      </c>
      <c r="D37" t="s">
        <v>552</v>
      </c>
      <c r="E37" s="10">
        <v>1180196.46</v>
      </c>
      <c r="F37" s="10">
        <v>1725433.421052631</v>
      </c>
      <c r="G37" s="10">
        <v>1360291.4070666879</v>
      </c>
      <c r="H37">
        <v>1.152597430318244</v>
      </c>
      <c r="I37">
        <v>0.78837664233767868</v>
      </c>
      <c r="J37">
        <v>6.71</v>
      </c>
      <c r="K37">
        <v>0.316</v>
      </c>
    </row>
    <row r="38" spans="1:11" x14ac:dyDescent="0.3">
      <c r="A38" s="31">
        <v>45657</v>
      </c>
      <c r="B38" t="s">
        <v>193</v>
      </c>
      <c r="C38" t="s">
        <v>322</v>
      </c>
      <c r="D38" t="s">
        <v>552</v>
      </c>
      <c r="E38" s="10">
        <v>179922.21</v>
      </c>
      <c r="F38" s="10">
        <v>263044.16666666669</v>
      </c>
      <c r="G38" s="10">
        <v>215947.10467410201</v>
      </c>
      <c r="H38">
        <v>1.2002248342442099</v>
      </c>
      <c r="I38">
        <v>0.82095378662303964</v>
      </c>
      <c r="J38">
        <v>6.71</v>
      </c>
      <c r="K38">
        <v>0.316</v>
      </c>
    </row>
    <row r="39" spans="1:11" x14ac:dyDescent="0.3">
      <c r="A39" s="31">
        <v>45657</v>
      </c>
      <c r="B39" t="s">
        <v>193</v>
      </c>
      <c r="C39" t="s">
        <v>321</v>
      </c>
      <c r="D39" t="s">
        <v>552</v>
      </c>
      <c r="E39" s="10">
        <v>891730.71</v>
      </c>
      <c r="F39" s="10">
        <v>1303699.868421053</v>
      </c>
      <c r="G39" s="10">
        <v>1001778.860172555</v>
      </c>
      <c r="H39">
        <v>1.1234096223652039</v>
      </c>
      <c r="I39">
        <v>0.76841218169779957</v>
      </c>
      <c r="J39">
        <v>6.71</v>
      </c>
      <c r="K39">
        <v>0.316</v>
      </c>
    </row>
    <row r="40" spans="1:11" x14ac:dyDescent="0.3">
      <c r="A40" s="31">
        <v>45657</v>
      </c>
      <c r="B40" t="s">
        <v>193</v>
      </c>
      <c r="C40" t="s">
        <v>320</v>
      </c>
      <c r="D40" t="s">
        <v>552</v>
      </c>
      <c r="E40" s="10">
        <v>482734.58</v>
      </c>
      <c r="F40" s="10">
        <v>705752.30994152045</v>
      </c>
      <c r="G40" s="10">
        <v>580781.02978850529</v>
      </c>
      <c r="H40">
        <v>1.2031063318242201</v>
      </c>
      <c r="I40">
        <v>0.82292473096776619</v>
      </c>
      <c r="J40">
        <v>6.71</v>
      </c>
      <c r="K40">
        <v>0.316</v>
      </c>
    </row>
    <row r="41" spans="1:11" x14ac:dyDescent="0.3">
      <c r="A41" s="31">
        <v>45657</v>
      </c>
      <c r="B41" t="s">
        <v>193</v>
      </c>
      <c r="C41" t="s">
        <v>319</v>
      </c>
      <c r="D41" t="s">
        <v>552</v>
      </c>
      <c r="E41" s="10">
        <v>65766.83</v>
      </c>
      <c r="F41" s="10">
        <v>96150.336257309944</v>
      </c>
      <c r="G41" s="10">
        <v>77408.589766399804</v>
      </c>
      <c r="H41">
        <v>1.1770156744121589</v>
      </c>
      <c r="I41">
        <v>0.80507872129791669</v>
      </c>
      <c r="J41">
        <v>6.71</v>
      </c>
      <c r="K41">
        <v>0.316</v>
      </c>
    </row>
    <row r="42" spans="1:11" x14ac:dyDescent="0.3">
      <c r="A42" s="31">
        <v>45657</v>
      </c>
      <c r="B42" t="s">
        <v>193</v>
      </c>
      <c r="C42" t="s">
        <v>268</v>
      </c>
      <c r="D42" t="s">
        <v>552</v>
      </c>
      <c r="E42" s="10">
        <v>638354.34</v>
      </c>
      <c r="F42" s="10">
        <v>933266.57894736843</v>
      </c>
      <c r="G42" s="10">
        <v>771972.9506922717</v>
      </c>
      <c r="H42">
        <v>1.2093173059531039</v>
      </c>
      <c r="I42">
        <v>0.82717303727192304</v>
      </c>
      <c r="J42">
        <v>6.71</v>
      </c>
      <c r="K42">
        <v>0.316</v>
      </c>
    </row>
    <row r="43" spans="1:11" x14ac:dyDescent="0.3">
      <c r="A43" s="31">
        <v>45657</v>
      </c>
      <c r="B43" t="s">
        <v>193</v>
      </c>
      <c r="C43" t="s">
        <v>318</v>
      </c>
      <c r="D43" t="s">
        <v>552</v>
      </c>
      <c r="E43" s="10">
        <v>369550.95</v>
      </c>
      <c r="F43" s="10">
        <v>540279.16666666674</v>
      </c>
      <c r="G43" s="10">
        <v>413859.10274372232</v>
      </c>
      <c r="H43">
        <v>1.119897277340844</v>
      </c>
      <c r="I43">
        <v>0.76600973770113701</v>
      </c>
      <c r="J43">
        <v>6.71</v>
      </c>
      <c r="K43">
        <v>0.316</v>
      </c>
    </row>
    <row r="44" spans="1:11" x14ac:dyDescent="0.3">
      <c r="A44" s="31">
        <v>45657</v>
      </c>
      <c r="B44" t="s">
        <v>193</v>
      </c>
      <c r="C44" t="s">
        <v>317</v>
      </c>
      <c r="D44" t="s">
        <v>552</v>
      </c>
      <c r="E44" s="10">
        <v>520568.8</v>
      </c>
      <c r="F44" s="10">
        <v>761065.49707602337</v>
      </c>
      <c r="G44" s="10">
        <v>608245.61140892457</v>
      </c>
      <c r="H44">
        <v>1.16842502164733</v>
      </c>
      <c r="I44">
        <v>0.79920271480677363</v>
      </c>
      <c r="J44">
        <v>6.71</v>
      </c>
      <c r="K44">
        <v>0.316</v>
      </c>
    </row>
    <row r="45" spans="1:11" x14ac:dyDescent="0.3">
      <c r="A45" s="31">
        <v>45657</v>
      </c>
      <c r="B45" t="s">
        <v>193</v>
      </c>
      <c r="C45" t="s">
        <v>316</v>
      </c>
      <c r="D45" t="s">
        <v>552</v>
      </c>
      <c r="E45" s="10">
        <v>1180060.17</v>
      </c>
      <c r="F45" s="10">
        <v>1725234.166666667</v>
      </c>
      <c r="G45" s="10">
        <v>1368023.855087715</v>
      </c>
      <c r="H45">
        <v>1.159283136458809</v>
      </c>
      <c r="I45">
        <v>0.79294966533782507</v>
      </c>
      <c r="J45">
        <v>6.71</v>
      </c>
      <c r="K45">
        <v>0.316</v>
      </c>
    </row>
    <row r="46" spans="1:11" x14ac:dyDescent="0.3">
      <c r="A46" s="31">
        <v>45688</v>
      </c>
      <c r="B46" t="s">
        <v>186</v>
      </c>
      <c r="C46" t="s">
        <v>553</v>
      </c>
      <c r="D46" t="s">
        <v>24</v>
      </c>
      <c r="E46" s="10">
        <v>2425119.9500000002</v>
      </c>
      <c r="F46" s="10">
        <v>3253691.633818639</v>
      </c>
      <c r="G46" s="10">
        <v>1040626.547393179</v>
      </c>
      <c r="H46">
        <v>0.42910312431893488</v>
      </c>
      <c r="I46">
        <v>0.31982949354418871</v>
      </c>
    </row>
    <row r="47" spans="1:11" x14ac:dyDescent="0.3">
      <c r="A47" s="31">
        <v>45688</v>
      </c>
      <c r="B47" t="s">
        <v>186</v>
      </c>
      <c r="C47" t="s">
        <v>324</v>
      </c>
      <c r="D47" t="s">
        <v>552</v>
      </c>
      <c r="E47" s="10">
        <v>1811322.36</v>
      </c>
      <c r="F47" s="10">
        <v>2428046.0589812328</v>
      </c>
      <c r="G47" s="10">
        <v>1989082.1619615019</v>
      </c>
      <c r="H47">
        <v>1.098138137024655</v>
      </c>
      <c r="I47">
        <v>0.81921105022039298</v>
      </c>
      <c r="J47">
        <v>5.55</v>
      </c>
      <c r="K47">
        <v>0.254</v>
      </c>
    </row>
    <row r="48" spans="1:11" x14ac:dyDescent="0.3">
      <c r="A48" s="31">
        <v>45688</v>
      </c>
      <c r="B48" t="s">
        <v>186</v>
      </c>
      <c r="C48" t="s">
        <v>323</v>
      </c>
      <c r="D48" t="s">
        <v>552</v>
      </c>
      <c r="E48" s="10">
        <v>2178603.73</v>
      </c>
      <c r="F48" s="10">
        <v>2926657.3481998928</v>
      </c>
      <c r="G48" s="10">
        <v>2365144.4258440272</v>
      </c>
      <c r="H48">
        <v>1.085623967899856</v>
      </c>
      <c r="I48">
        <v>0.80813848170465286</v>
      </c>
      <c r="J48">
        <v>5.67</v>
      </c>
      <c r="K48">
        <v>0.25559999999999999</v>
      </c>
    </row>
    <row r="49" spans="1:11" x14ac:dyDescent="0.3">
      <c r="A49" s="31">
        <v>45688</v>
      </c>
      <c r="B49" t="s">
        <v>186</v>
      </c>
      <c r="C49" t="s">
        <v>322</v>
      </c>
      <c r="D49" t="s">
        <v>552</v>
      </c>
      <c r="E49" s="10">
        <v>1528523.54</v>
      </c>
      <c r="F49" s="10">
        <v>2013865.006587615</v>
      </c>
      <c r="G49" s="10">
        <v>1676137.422911457</v>
      </c>
      <c r="H49">
        <v>1.096572855470356</v>
      </c>
      <c r="I49">
        <v>0.83229879730199996</v>
      </c>
      <c r="J49">
        <v>5.3</v>
      </c>
      <c r="K49">
        <v>0.24099999999999999</v>
      </c>
    </row>
    <row r="50" spans="1:11" x14ac:dyDescent="0.3">
      <c r="A50" s="31">
        <v>45688</v>
      </c>
      <c r="B50" t="s">
        <v>186</v>
      </c>
      <c r="C50" t="s">
        <v>321</v>
      </c>
      <c r="D50" t="s">
        <v>552</v>
      </c>
      <c r="E50" s="10">
        <v>1222703.31</v>
      </c>
      <c r="F50" s="10">
        <v>1663541.918367347</v>
      </c>
      <c r="G50" s="10">
        <v>1385516.0780691791</v>
      </c>
      <c r="H50">
        <v>1.1331580333001461</v>
      </c>
      <c r="I50">
        <v>0.83287115447560756</v>
      </c>
      <c r="J50">
        <v>5.65</v>
      </c>
      <c r="K50">
        <v>0.26500000000000001</v>
      </c>
    </row>
    <row r="51" spans="1:11" x14ac:dyDescent="0.3">
      <c r="A51" s="31">
        <v>45688</v>
      </c>
      <c r="B51" t="s">
        <v>186</v>
      </c>
      <c r="C51" t="s">
        <v>320</v>
      </c>
      <c r="D51" t="s">
        <v>552</v>
      </c>
      <c r="E51" s="10">
        <v>1149320.75</v>
      </c>
      <c r="F51" s="10">
        <v>1512065.1887909491</v>
      </c>
      <c r="G51" s="10">
        <v>1242894.715225429</v>
      </c>
      <c r="H51">
        <v>1.081416754396394</v>
      </c>
      <c r="I51">
        <v>0.82198487501669892</v>
      </c>
      <c r="J51">
        <v>5.33</v>
      </c>
      <c r="K51">
        <v>0.2399</v>
      </c>
    </row>
    <row r="52" spans="1:11" x14ac:dyDescent="0.3">
      <c r="A52" s="31">
        <v>45688</v>
      </c>
      <c r="B52" t="s">
        <v>186</v>
      </c>
      <c r="C52" t="s">
        <v>319</v>
      </c>
      <c r="D52" t="s">
        <v>552</v>
      </c>
      <c r="E52" s="10">
        <v>457757.14</v>
      </c>
      <c r="F52" s="10">
        <v>621530.4005431094</v>
      </c>
      <c r="G52" s="10">
        <v>511263.60609375261</v>
      </c>
      <c r="H52">
        <v>1.116888326621738</v>
      </c>
      <c r="I52">
        <v>0.82258825255690982</v>
      </c>
      <c r="J52">
        <v>5.72</v>
      </c>
      <c r="K52">
        <v>0.26350000000000001</v>
      </c>
    </row>
    <row r="53" spans="1:11" x14ac:dyDescent="0.3">
      <c r="A53" s="31">
        <v>45688</v>
      </c>
      <c r="B53" t="s">
        <v>186</v>
      </c>
      <c r="C53" t="s">
        <v>268</v>
      </c>
      <c r="D53" t="s">
        <v>552</v>
      </c>
      <c r="E53" s="10">
        <v>410679.84</v>
      </c>
      <c r="F53" s="10">
        <v>535785.83170254412</v>
      </c>
      <c r="G53" s="10">
        <v>439273.12287713657</v>
      </c>
      <c r="H53">
        <v>1.069624267110693</v>
      </c>
      <c r="I53">
        <v>0.81986700074034591</v>
      </c>
      <c r="J53">
        <v>5.0599999999999996</v>
      </c>
      <c r="K53">
        <v>0.23350000000000001</v>
      </c>
    </row>
    <row r="54" spans="1:11" x14ac:dyDescent="0.3">
      <c r="A54" s="31">
        <v>45688</v>
      </c>
      <c r="B54" t="s">
        <v>186</v>
      </c>
      <c r="C54" t="s">
        <v>318</v>
      </c>
      <c r="D54" t="s">
        <v>552</v>
      </c>
      <c r="E54" s="10">
        <v>1244344.2</v>
      </c>
      <c r="F54" s="10">
        <v>1643132.4442096921</v>
      </c>
      <c r="G54" s="10">
        <v>1385671.924430998</v>
      </c>
      <c r="H54">
        <v>1.1135760703758639</v>
      </c>
      <c r="I54">
        <v>0.84331115809564183</v>
      </c>
      <c r="J54">
        <v>5.26</v>
      </c>
      <c r="K54">
        <v>0.2427</v>
      </c>
    </row>
    <row r="55" spans="1:11" x14ac:dyDescent="0.3">
      <c r="A55" s="31">
        <v>45688</v>
      </c>
      <c r="B55" t="s">
        <v>186</v>
      </c>
      <c r="C55" t="s">
        <v>317</v>
      </c>
      <c r="D55" t="s">
        <v>552</v>
      </c>
      <c r="E55" s="10">
        <v>897538.23</v>
      </c>
      <c r="F55" s="10">
        <v>1163216.9906687399</v>
      </c>
      <c r="G55" s="10">
        <v>924943.19855524215</v>
      </c>
      <c r="H55">
        <v>1.030533483298246</v>
      </c>
      <c r="I55">
        <v>0.79515963571292658</v>
      </c>
      <c r="J55">
        <v>5.31</v>
      </c>
      <c r="K55">
        <v>0.22839999999999999</v>
      </c>
    </row>
    <row r="56" spans="1:11" x14ac:dyDescent="0.3">
      <c r="A56" s="31">
        <v>45688</v>
      </c>
      <c r="B56" t="s">
        <v>186</v>
      </c>
      <c r="C56" t="s">
        <v>316</v>
      </c>
      <c r="D56" t="s">
        <v>552</v>
      </c>
      <c r="E56" s="10">
        <v>2115872.7200000002</v>
      </c>
      <c r="F56" s="10">
        <v>2945667.1585688442</v>
      </c>
      <c r="G56" s="10">
        <v>2293621.7097753398</v>
      </c>
      <c r="H56">
        <v>1.0840074112659011</v>
      </c>
      <c r="I56">
        <v>0.77864252351229624</v>
      </c>
      <c r="J56">
        <v>6.11</v>
      </c>
      <c r="K56">
        <v>0.28170000000000001</v>
      </c>
    </row>
    <row r="57" spans="1:11" x14ac:dyDescent="0.3">
      <c r="A57" s="31">
        <v>45688</v>
      </c>
      <c r="B57" t="s">
        <v>192</v>
      </c>
      <c r="C57" t="s">
        <v>553</v>
      </c>
      <c r="D57" t="s">
        <v>24</v>
      </c>
      <c r="E57" s="10">
        <v>539155.86</v>
      </c>
      <c r="F57" s="10">
        <v>715155.67051333061</v>
      </c>
      <c r="G57" s="10">
        <v>233400.0381212123</v>
      </c>
      <c r="H57">
        <v>0.43289901016973509</v>
      </c>
      <c r="I57">
        <v>0.32636256376696332</v>
      </c>
    </row>
    <row r="58" spans="1:11" x14ac:dyDescent="0.3">
      <c r="A58" s="31">
        <v>45688</v>
      </c>
      <c r="B58" t="s">
        <v>192</v>
      </c>
      <c r="C58" t="s">
        <v>324</v>
      </c>
      <c r="D58" t="s">
        <v>552</v>
      </c>
      <c r="E58" s="10">
        <v>594993.27</v>
      </c>
      <c r="F58" s="10">
        <v>789220.41384799045</v>
      </c>
      <c r="G58" s="10">
        <v>669450.10387848434</v>
      </c>
      <c r="H58">
        <v>1.1251389513674399</v>
      </c>
      <c r="I58">
        <v>0.84824225543591325</v>
      </c>
      <c r="J58">
        <v>4.9800000000000004</v>
      </c>
      <c r="K58">
        <v>0.24610000000000001</v>
      </c>
    </row>
    <row r="59" spans="1:11" x14ac:dyDescent="0.3">
      <c r="A59" s="31">
        <v>45688</v>
      </c>
      <c r="B59" t="s">
        <v>192</v>
      </c>
      <c r="C59" t="s">
        <v>323</v>
      </c>
      <c r="D59" t="s">
        <v>552</v>
      </c>
      <c r="E59" s="10">
        <v>427081.38</v>
      </c>
      <c r="F59" s="10">
        <v>566496.06048547546</v>
      </c>
      <c r="G59" s="10">
        <v>459082.3811084351</v>
      </c>
      <c r="H59">
        <v>1.0749295160290879</v>
      </c>
      <c r="I59">
        <v>0.81038936213432966</v>
      </c>
      <c r="J59">
        <v>4.9800000000000004</v>
      </c>
      <c r="K59">
        <v>0.24610000000000001</v>
      </c>
    </row>
    <row r="60" spans="1:11" x14ac:dyDescent="0.3">
      <c r="A60" s="31">
        <v>45688</v>
      </c>
      <c r="B60" t="s">
        <v>192</v>
      </c>
      <c r="C60" t="s">
        <v>322</v>
      </c>
      <c r="D60" t="s">
        <v>552</v>
      </c>
      <c r="E60" s="10">
        <v>633297.41</v>
      </c>
      <c r="F60" s="10">
        <v>840028.39899190876</v>
      </c>
      <c r="G60" s="10">
        <v>687924.92770918075</v>
      </c>
      <c r="H60">
        <v>1.086258868024079</v>
      </c>
      <c r="I60">
        <v>0.81893056060335279</v>
      </c>
      <c r="J60">
        <v>4.9800000000000004</v>
      </c>
      <c r="K60">
        <v>0.24610000000000001</v>
      </c>
    </row>
    <row r="61" spans="1:11" x14ac:dyDescent="0.3">
      <c r="A61" s="31">
        <v>45688</v>
      </c>
      <c r="B61" t="s">
        <v>192</v>
      </c>
      <c r="C61" t="s">
        <v>321</v>
      </c>
      <c r="D61" t="s">
        <v>552</v>
      </c>
      <c r="E61" s="10">
        <v>515269.91</v>
      </c>
      <c r="F61" s="10">
        <v>683472.48972012196</v>
      </c>
      <c r="G61" s="10">
        <v>578305.48431371222</v>
      </c>
      <c r="H61">
        <v>1.1223350579771141</v>
      </c>
      <c r="I61">
        <v>0.8461284002089462</v>
      </c>
      <c r="J61">
        <v>4.9800000000000004</v>
      </c>
      <c r="K61">
        <v>0.24610000000000001</v>
      </c>
    </row>
    <row r="62" spans="1:11" x14ac:dyDescent="0.3">
      <c r="A62" s="31">
        <v>45688</v>
      </c>
      <c r="B62" t="s">
        <v>192</v>
      </c>
      <c r="C62" t="s">
        <v>320</v>
      </c>
      <c r="D62" t="s">
        <v>552</v>
      </c>
      <c r="E62" s="10">
        <v>414729.71</v>
      </c>
      <c r="F62" s="10">
        <v>550112.36238227878</v>
      </c>
      <c r="G62" s="10">
        <v>443773.32374583831</v>
      </c>
      <c r="H62">
        <v>1.07003022220385</v>
      </c>
      <c r="I62">
        <v>0.80669578451948254</v>
      </c>
      <c r="J62">
        <v>4.9800000000000004</v>
      </c>
      <c r="K62">
        <v>0.24610000000000001</v>
      </c>
    </row>
    <row r="63" spans="1:11" x14ac:dyDescent="0.3">
      <c r="A63" s="31">
        <v>45688</v>
      </c>
      <c r="B63" t="s">
        <v>192</v>
      </c>
      <c r="C63" t="s">
        <v>319</v>
      </c>
      <c r="D63" t="s">
        <v>552</v>
      </c>
      <c r="E63" s="10">
        <v>133721.45000000001</v>
      </c>
      <c r="F63" s="10">
        <v>177372.92744395809</v>
      </c>
      <c r="G63" s="10">
        <v>142668.23880531651</v>
      </c>
      <c r="H63">
        <v>1.066906160569725</v>
      </c>
      <c r="I63">
        <v>0.80434055445351571</v>
      </c>
      <c r="J63">
        <v>4.9800000000000004</v>
      </c>
      <c r="K63">
        <v>0.24610000000000001</v>
      </c>
    </row>
    <row r="64" spans="1:11" x14ac:dyDescent="0.3">
      <c r="A64" s="31">
        <v>45688</v>
      </c>
      <c r="B64" t="s">
        <v>192</v>
      </c>
      <c r="C64" t="s">
        <v>268</v>
      </c>
      <c r="D64" t="s">
        <v>552</v>
      </c>
      <c r="E64" s="10">
        <v>251792.45</v>
      </c>
      <c r="F64" s="10">
        <v>333986.53667595168</v>
      </c>
      <c r="G64" s="10">
        <v>282939.47251119203</v>
      </c>
      <c r="H64">
        <v>1.1237011773434511</v>
      </c>
      <c r="I64">
        <v>0.84715831759922777</v>
      </c>
      <c r="J64">
        <v>4.9800000000000004</v>
      </c>
      <c r="K64">
        <v>0.24610000000000001</v>
      </c>
    </row>
    <row r="65" spans="1:11" x14ac:dyDescent="0.3">
      <c r="A65" s="31">
        <v>45688</v>
      </c>
      <c r="B65" t="s">
        <v>192</v>
      </c>
      <c r="C65" t="s">
        <v>318</v>
      </c>
      <c r="D65" t="s">
        <v>552</v>
      </c>
      <c r="E65" s="10">
        <v>638077.01</v>
      </c>
      <c r="F65" s="10">
        <v>846368.23186098947</v>
      </c>
      <c r="G65" s="10">
        <v>707912.11654210521</v>
      </c>
      <c r="H65">
        <v>1.109446203902732</v>
      </c>
      <c r="I65">
        <v>0.83641149312226926</v>
      </c>
      <c r="J65">
        <v>4.9800000000000004</v>
      </c>
      <c r="K65">
        <v>0.24610000000000001</v>
      </c>
    </row>
    <row r="66" spans="1:11" x14ac:dyDescent="0.3">
      <c r="A66" s="31">
        <v>45688</v>
      </c>
      <c r="B66" t="s">
        <v>192</v>
      </c>
      <c r="C66" t="s">
        <v>317</v>
      </c>
      <c r="D66" t="s">
        <v>552</v>
      </c>
      <c r="E66" s="10">
        <v>126917.61</v>
      </c>
      <c r="F66" s="10">
        <v>168348.07003581381</v>
      </c>
      <c r="G66" s="10">
        <v>136370.55215467329</v>
      </c>
      <c r="H66">
        <v>1.0744809341640871</v>
      </c>
      <c r="I66">
        <v>0.81005117626630552</v>
      </c>
      <c r="J66">
        <v>4.9800000000000004</v>
      </c>
      <c r="K66">
        <v>0.24610000000000001</v>
      </c>
    </row>
    <row r="67" spans="1:11" x14ac:dyDescent="0.3">
      <c r="A67" s="31">
        <v>45688</v>
      </c>
      <c r="B67" t="s">
        <v>192</v>
      </c>
      <c r="C67" t="s">
        <v>316</v>
      </c>
      <c r="D67" t="s">
        <v>552</v>
      </c>
      <c r="E67" s="10">
        <v>274802.38</v>
      </c>
      <c r="F67" s="10">
        <v>364507.73312110361</v>
      </c>
      <c r="G67" s="10">
        <v>296321.70181188552</v>
      </c>
      <c r="H67">
        <v>1.078308353122289</v>
      </c>
      <c r="I67">
        <v>0.81293666741889381</v>
      </c>
      <c r="J67">
        <v>4.9800000000000004</v>
      </c>
      <c r="K67">
        <v>0.24610000000000001</v>
      </c>
    </row>
    <row r="68" spans="1:11" x14ac:dyDescent="0.3">
      <c r="A68" s="31">
        <v>45688</v>
      </c>
      <c r="B68" t="s">
        <v>191</v>
      </c>
      <c r="C68" t="s">
        <v>553</v>
      </c>
      <c r="D68" t="s">
        <v>24</v>
      </c>
      <c r="E68" s="10">
        <v>556550.57999999996</v>
      </c>
      <c r="F68" s="10">
        <v>658172.39829706703</v>
      </c>
      <c r="G68" s="10">
        <v>222320.2179272456</v>
      </c>
      <c r="H68">
        <v>0.399460940148954</v>
      </c>
      <c r="I68">
        <v>0.33778417098995561</v>
      </c>
    </row>
    <row r="69" spans="1:11" x14ac:dyDescent="0.3">
      <c r="A69" s="31">
        <v>45688</v>
      </c>
      <c r="B69" t="s">
        <v>191</v>
      </c>
      <c r="C69" t="s">
        <v>324</v>
      </c>
      <c r="D69" t="s">
        <v>552</v>
      </c>
      <c r="E69" s="10">
        <v>349698.95</v>
      </c>
      <c r="F69" s="10">
        <v>413551.26537369908</v>
      </c>
      <c r="G69" s="10">
        <v>351588.64101459808</v>
      </c>
      <c r="H69">
        <v>1.0054037651946</v>
      </c>
      <c r="I69">
        <v>0.85016942384855354</v>
      </c>
      <c r="J69">
        <v>4.28</v>
      </c>
      <c r="K69">
        <v>0.15440000000000001</v>
      </c>
    </row>
    <row r="70" spans="1:11" x14ac:dyDescent="0.3">
      <c r="A70" s="31">
        <v>45688</v>
      </c>
      <c r="B70" t="s">
        <v>191</v>
      </c>
      <c r="C70" t="s">
        <v>323</v>
      </c>
      <c r="D70" t="s">
        <v>552</v>
      </c>
      <c r="E70" s="10">
        <v>504934.13</v>
      </c>
      <c r="F70" s="10">
        <v>597131.18495742662</v>
      </c>
      <c r="G70" s="10">
        <v>491042.59071818221</v>
      </c>
      <c r="H70">
        <v>0.97248841293057797</v>
      </c>
      <c r="I70">
        <v>0.82233620197409685</v>
      </c>
      <c r="J70">
        <v>4.28</v>
      </c>
      <c r="K70">
        <v>0.15440000000000001</v>
      </c>
    </row>
    <row r="71" spans="1:11" x14ac:dyDescent="0.3">
      <c r="A71" s="31">
        <v>45688</v>
      </c>
      <c r="B71" t="s">
        <v>191</v>
      </c>
      <c r="C71" t="s">
        <v>322</v>
      </c>
      <c r="D71" t="s">
        <v>552</v>
      </c>
      <c r="E71" s="10">
        <v>357583.02</v>
      </c>
      <c r="F71" s="10">
        <v>422874.9053926206</v>
      </c>
      <c r="G71" s="10">
        <v>350448.93383882672</v>
      </c>
      <c r="H71">
        <v>0.98004914729683379</v>
      </c>
      <c r="I71">
        <v>0.82872955895420264</v>
      </c>
      <c r="J71">
        <v>4.28</v>
      </c>
      <c r="K71">
        <v>0.15440000000000001</v>
      </c>
    </row>
    <row r="72" spans="1:11" x14ac:dyDescent="0.3">
      <c r="A72" s="31">
        <v>45688</v>
      </c>
      <c r="B72" t="s">
        <v>191</v>
      </c>
      <c r="C72" t="s">
        <v>321</v>
      </c>
      <c r="D72" t="s">
        <v>552</v>
      </c>
      <c r="E72" s="10">
        <v>126828.03</v>
      </c>
      <c r="F72" s="10">
        <v>149985.8443708609</v>
      </c>
      <c r="G72" s="10">
        <v>125210.1026725875</v>
      </c>
      <c r="H72">
        <v>0.98724314075198893</v>
      </c>
      <c r="I72">
        <v>0.83481279981988177</v>
      </c>
      <c r="J72">
        <v>4.28</v>
      </c>
      <c r="K72">
        <v>0.15440000000000001</v>
      </c>
    </row>
    <row r="73" spans="1:11" x14ac:dyDescent="0.3">
      <c r="A73" s="31">
        <v>45688</v>
      </c>
      <c r="B73" t="s">
        <v>191</v>
      </c>
      <c r="C73" t="s">
        <v>320</v>
      </c>
      <c r="D73" t="s">
        <v>552</v>
      </c>
      <c r="E73" s="10">
        <v>296893.02</v>
      </c>
      <c r="F73" s="10">
        <v>351103.38221381273</v>
      </c>
      <c r="G73" s="10">
        <v>295573.59289846482</v>
      </c>
      <c r="H73">
        <v>0.99555588372695591</v>
      </c>
      <c r="I73">
        <v>0.84184205527951406</v>
      </c>
      <c r="J73">
        <v>4.28</v>
      </c>
      <c r="K73">
        <v>0.15440000000000001</v>
      </c>
    </row>
    <row r="74" spans="1:11" x14ac:dyDescent="0.3">
      <c r="A74" s="31">
        <v>45688</v>
      </c>
      <c r="B74" t="s">
        <v>191</v>
      </c>
      <c r="C74" t="s">
        <v>319</v>
      </c>
      <c r="D74" t="s">
        <v>552</v>
      </c>
      <c r="E74" s="10">
        <v>72072.08</v>
      </c>
      <c r="F74" s="10">
        <v>85231.882686849567</v>
      </c>
      <c r="G74" s="10">
        <v>69860.808425625713</v>
      </c>
      <c r="H74">
        <v>0.96931861028050958</v>
      </c>
      <c r="I74">
        <v>0.81965581685319899</v>
      </c>
      <c r="J74">
        <v>4.28</v>
      </c>
      <c r="K74">
        <v>0.15440000000000001</v>
      </c>
    </row>
    <row r="75" spans="1:11" x14ac:dyDescent="0.3">
      <c r="A75" s="31">
        <v>45688</v>
      </c>
      <c r="B75" t="s">
        <v>191</v>
      </c>
      <c r="C75" t="s">
        <v>268</v>
      </c>
      <c r="D75" t="s">
        <v>552</v>
      </c>
      <c r="E75" s="10">
        <v>85436.77</v>
      </c>
      <c r="F75" s="10">
        <v>101036.8614001892</v>
      </c>
      <c r="G75" s="10">
        <v>84911.716733816109</v>
      </c>
      <c r="H75">
        <v>0.99385448131777576</v>
      </c>
      <c r="I75">
        <v>0.84040334940231121</v>
      </c>
      <c r="J75">
        <v>4.28</v>
      </c>
      <c r="K75">
        <v>0.15440000000000001</v>
      </c>
    </row>
    <row r="76" spans="1:11" x14ac:dyDescent="0.3">
      <c r="A76" s="31">
        <v>45688</v>
      </c>
      <c r="B76" t="s">
        <v>191</v>
      </c>
      <c r="C76" t="s">
        <v>318</v>
      </c>
      <c r="D76" t="s">
        <v>552</v>
      </c>
      <c r="E76" s="10">
        <v>235997.69</v>
      </c>
      <c r="F76" s="10">
        <v>279089.03736991482</v>
      </c>
      <c r="G76" s="10">
        <v>229480.83371019259</v>
      </c>
      <c r="H76">
        <v>0.97238593187158995</v>
      </c>
      <c r="I76">
        <v>0.82224954399061656</v>
      </c>
      <c r="J76">
        <v>4.28</v>
      </c>
      <c r="K76">
        <v>0.15440000000000001</v>
      </c>
    </row>
    <row r="77" spans="1:11" x14ac:dyDescent="0.3">
      <c r="A77" s="31">
        <v>45688</v>
      </c>
      <c r="B77" t="s">
        <v>191</v>
      </c>
      <c r="C77" t="s">
        <v>317</v>
      </c>
      <c r="D77" t="s">
        <v>552</v>
      </c>
      <c r="E77" s="10">
        <v>360041.43</v>
      </c>
      <c r="F77" s="10">
        <v>425782.20198675501</v>
      </c>
      <c r="G77" s="10">
        <v>356977.93809008237</v>
      </c>
      <c r="H77">
        <v>0.99149127946215077</v>
      </c>
      <c r="I77">
        <v>0.83840502591319466</v>
      </c>
      <c r="J77">
        <v>4.28</v>
      </c>
      <c r="K77">
        <v>0.15440000000000001</v>
      </c>
    </row>
    <row r="78" spans="1:11" x14ac:dyDescent="0.3">
      <c r="A78" s="31">
        <v>45688</v>
      </c>
      <c r="B78" t="s">
        <v>191</v>
      </c>
      <c r="C78" t="s">
        <v>316</v>
      </c>
      <c r="D78" t="s">
        <v>552</v>
      </c>
      <c r="E78" s="10">
        <v>274743.07</v>
      </c>
      <c r="F78" s="10">
        <v>324909.02317880793</v>
      </c>
      <c r="G78" s="10">
        <v>273270.18540478859</v>
      </c>
      <c r="H78">
        <v>0.99463904732806752</v>
      </c>
      <c r="I78">
        <v>0.84106677842061395</v>
      </c>
      <c r="J78">
        <v>4.28</v>
      </c>
      <c r="K78">
        <v>0.15440000000000001</v>
      </c>
    </row>
    <row r="79" spans="1:11" x14ac:dyDescent="0.3">
      <c r="A79" s="31">
        <v>45688</v>
      </c>
      <c r="B79" t="s">
        <v>193</v>
      </c>
      <c r="C79" t="s">
        <v>553</v>
      </c>
      <c r="D79" t="s">
        <v>24</v>
      </c>
      <c r="E79" s="10">
        <v>1329413.51</v>
      </c>
      <c r="F79" s="10">
        <v>1971546.06258342</v>
      </c>
      <c r="G79" s="10">
        <v>620317.74406759767</v>
      </c>
      <c r="H79">
        <v>0.46661007985964997</v>
      </c>
      <c r="I79">
        <v>0.31463517684936199</v>
      </c>
    </row>
    <row r="80" spans="1:11" x14ac:dyDescent="0.3">
      <c r="A80" s="31">
        <v>45688</v>
      </c>
      <c r="B80" t="s">
        <v>193</v>
      </c>
      <c r="C80" t="s">
        <v>324</v>
      </c>
      <c r="D80" t="s">
        <v>552</v>
      </c>
      <c r="E80" s="10">
        <v>866630.14</v>
      </c>
      <c r="F80" s="10">
        <v>1285229.3341242771</v>
      </c>
      <c r="G80" s="10">
        <v>1062214.32316684</v>
      </c>
      <c r="H80">
        <v>1.225683569194628</v>
      </c>
      <c r="I80">
        <v>0.82647843070793736</v>
      </c>
      <c r="J80">
        <v>6.89</v>
      </c>
      <c r="K80">
        <v>0.32569999999999999</v>
      </c>
    </row>
    <row r="81" spans="1:11" x14ac:dyDescent="0.3">
      <c r="A81" s="31">
        <v>45688</v>
      </c>
      <c r="B81" t="s">
        <v>193</v>
      </c>
      <c r="C81" t="s">
        <v>323</v>
      </c>
      <c r="D81" t="s">
        <v>552</v>
      </c>
      <c r="E81" s="10">
        <v>1246588.22</v>
      </c>
      <c r="F81" s="10">
        <v>1848714.5484205841</v>
      </c>
      <c r="G81" s="10">
        <v>1440939.3720422401</v>
      </c>
      <c r="H81">
        <v>1.155906456457803</v>
      </c>
      <c r="I81">
        <v>0.77942772358949663</v>
      </c>
      <c r="J81">
        <v>6.89</v>
      </c>
      <c r="K81">
        <v>0.32569999999999999</v>
      </c>
    </row>
    <row r="82" spans="1:11" x14ac:dyDescent="0.3">
      <c r="A82" s="31">
        <v>45688</v>
      </c>
      <c r="B82" t="s">
        <v>193</v>
      </c>
      <c r="C82" t="s">
        <v>322</v>
      </c>
      <c r="D82" t="s">
        <v>552</v>
      </c>
      <c r="E82" s="10">
        <v>537643.11</v>
      </c>
      <c r="F82" s="10">
        <v>797335.17722082161</v>
      </c>
      <c r="G82" s="10">
        <v>651133.8094838867</v>
      </c>
      <c r="H82">
        <v>1.211089284644393</v>
      </c>
      <c r="I82">
        <v>0.81663750463571416</v>
      </c>
      <c r="J82">
        <v>6.89</v>
      </c>
      <c r="K82">
        <v>0.32569999999999999</v>
      </c>
    </row>
    <row r="83" spans="1:11" x14ac:dyDescent="0.3">
      <c r="A83" s="31">
        <v>45688</v>
      </c>
      <c r="B83" t="s">
        <v>193</v>
      </c>
      <c r="C83" t="s">
        <v>321</v>
      </c>
      <c r="D83" t="s">
        <v>552</v>
      </c>
      <c r="E83" s="10">
        <v>580605.37</v>
      </c>
      <c r="F83" s="10">
        <v>861049.04345246928</v>
      </c>
      <c r="G83" s="10">
        <v>662339.64059653576</v>
      </c>
      <c r="H83">
        <v>1.1407742243178629</v>
      </c>
      <c r="I83">
        <v>0.7692240594575348</v>
      </c>
      <c r="J83">
        <v>6.89</v>
      </c>
      <c r="K83">
        <v>0.32569999999999999</v>
      </c>
    </row>
    <row r="84" spans="1:11" x14ac:dyDescent="0.3">
      <c r="A84" s="31">
        <v>45688</v>
      </c>
      <c r="B84" t="s">
        <v>193</v>
      </c>
      <c r="C84" t="s">
        <v>320</v>
      </c>
      <c r="D84" t="s">
        <v>552</v>
      </c>
      <c r="E84" s="10">
        <v>437698.02</v>
      </c>
      <c r="F84" s="10">
        <v>649114.66706213856</v>
      </c>
      <c r="G84" s="10">
        <v>530304.53439942864</v>
      </c>
      <c r="H84">
        <v>1.211576269866216</v>
      </c>
      <c r="I84">
        <v>0.81696587877078974</v>
      </c>
      <c r="J84">
        <v>6.89</v>
      </c>
      <c r="K84">
        <v>0.32569999999999999</v>
      </c>
    </row>
    <row r="85" spans="1:11" x14ac:dyDescent="0.3">
      <c r="A85" s="31">
        <v>45688</v>
      </c>
      <c r="B85" t="s">
        <v>193</v>
      </c>
      <c r="C85" t="s">
        <v>319</v>
      </c>
      <c r="D85" t="s">
        <v>552</v>
      </c>
      <c r="E85" s="10">
        <v>251963.61</v>
      </c>
      <c r="F85" s="10">
        <v>373666.92866676551</v>
      </c>
      <c r="G85" s="10">
        <v>305645.20483531512</v>
      </c>
      <c r="H85">
        <v>1.2130529675904991</v>
      </c>
      <c r="I85">
        <v>0.81796161604627338</v>
      </c>
      <c r="J85">
        <v>6.89</v>
      </c>
      <c r="K85">
        <v>0.32569999999999999</v>
      </c>
    </row>
    <row r="86" spans="1:11" x14ac:dyDescent="0.3">
      <c r="A86" s="31">
        <v>45688</v>
      </c>
      <c r="B86" t="s">
        <v>193</v>
      </c>
      <c r="C86" t="s">
        <v>268</v>
      </c>
      <c r="D86" t="s">
        <v>552</v>
      </c>
      <c r="E86" s="10">
        <v>73450.62</v>
      </c>
      <c r="F86" s="10">
        <v>108928.6964259232</v>
      </c>
      <c r="G86" s="10">
        <v>90256.32750088106</v>
      </c>
      <c r="H86">
        <v>1.2288027997705271</v>
      </c>
      <c r="I86">
        <v>0.82858172788526629</v>
      </c>
      <c r="J86">
        <v>6.89</v>
      </c>
      <c r="K86">
        <v>0.32569999999999999</v>
      </c>
    </row>
    <row r="87" spans="1:11" x14ac:dyDescent="0.3">
      <c r="A87" s="31">
        <v>45688</v>
      </c>
      <c r="B87" t="s">
        <v>193</v>
      </c>
      <c r="C87" t="s">
        <v>318</v>
      </c>
      <c r="D87" t="s">
        <v>552</v>
      </c>
      <c r="E87" s="10">
        <v>370269.5</v>
      </c>
      <c r="F87" s="10">
        <v>549116.86193089129</v>
      </c>
      <c r="G87" s="10">
        <v>438510.77149582852</v>
      </c>
      <c r="H87">
        <v>1.18430162758701</v>
      </c>
      <c r="I87">
        <v>0.79857458748192112</v>
      </c>
      <c r="J87">
        <v>6.89</v>
      </c>
      <c r="K87">
        <v>0.32569999999999999</v>
      </c>
    </row>
    <row r="88" spans="1:11" x14ac:dyDescent="0.3">
      <c r="A88" s="31">
        <v>45688</v>
      </c>
      <c r="B88" t="s">
        <v>193</v>
      </c>
      <c r="C88" t="s">
        <v>317</v>
      </c>
      <c r="D88" t="s">
        <v>552</v>
      </c>
      <c r="E88" s="10">
        <v>410579.19</v>
      </c>
      <c r="F88" s="10">
        <v>608896.91531959071</v>
      </c>
      <c r="G88" s="10">
        <v>482357.44768992398</v>
      </c>
      <c r="H88">
        <v>1.1748219574643419</v>
      </c>
      <c r="I88">
        <v>0.79218244591820575</v>
      </c>
      <c r="J88">
        <v>6.89</v>
      </c>
      <c r="K88">
        <v>0.32569999999999999</v>
      </c>
    </row>
    <row r="89" spans="1:11" x14ac:dyDescent="0.3">
      <c r="A89" s="31">
        <v>45688</v>
      </c>
      <c r="B89" t="s">
        <v>193</v>
      </c>
      <c r="C89" t="s">
        <v>316</v>
      </c>
      <c r="D89" t="s">
        <v>552</v>
      </c>
      <c r="E89" s="10">
        <v>1566327.27</v>
      </c>
      <c r="F89" s="10">
        <v>2322893.771318404</v>
      </c>
      <c r="G89" s="10">
        <v>1920040.517703406</v>
      </c>
      <c r="H89">
        <v>1.22582333493013</v>
      </c>
      <c r="I89">
        <v>0.82657267474338658</v>
      </c>
      <c r="J89">
        <v>6.89</v>
      </c>
      <c r="K89">
        <v>0.32569999999999999</v>
      </c>
    </row>
    <row r="90" spans="1:11" x14ac:dyDescent="0.3">
      <c r="A90" s="31">
        <v>45716</v>
      </c>
      <c r="B90" t="s">
        <v>186</v>
      </c>
      <c r="C90" t="s">
        <v>553</v>
      </c>
      <c r="D90" t="s">
        <v>24</v>
      </c>
      <c r="E90" s="10">
        <v>3003275.23</v>
      </c>
      <c r="F90" s="10">
        <v>3934276.9739108491</v>
      </c>
      <c r="G90" s="10">
        <v>1277847.771096607</v>
      </c>
      <c r="H90">
        <v>0.42548473690724881</v>
      </c>
      <c r="I90">
        <v>0.32479862998216141</v>
      </c>
    </row>
    <row r="91" spans="1:11" x14ac:dyDescent="0.3">
      <c r="A91" s="31">
        <v>45716</v>
      </c>
      <c r="B91" t="s">
        <v>186</v>
      </c>
      <c r="C91" t="s">
        <v>324</v>
      </c>
      <c r="D91" t="s">
        <v>552</v>
      </c>
      <c r="E91" s="10">
        <v>1874508.94</v>
      </c>
      <c r="F91" s="10">
        <v>2477215.4618739262</v>
      </c>
      <c r="G91" s="10">
        <v>1991393.9907487</v>
      </c>
      <c r="H91">
        <v>1.0623550244303981</v>
      </c>
      <c r="I91">
        <v>0.80388404698648241</v>
      </c>
      <c r="J91">
        <v>5.66</v>
      </c>
      <c r="K91">
        <v>0.24329999999999999</v>
      </c>
    </row>
    <row r="92" spans="1:11" x14ac:dyDescent="0.3">
      <c r="A92" s="31">
        <v>45716</v>
      </c>
      <c r="B92" t="s">
        <v>186</v>
      </c>
      <c r="C92" t="s">
        <v>323</v>
      </c>
      <c r="D92" t="s">
        <v>552</v>
      </c>
      <c r="E92" s="10">
        <v>1702732.07</v>
      </c>
      <c r="F92" s="10">
        <v>2193676.9775830968</v>
      </c>
      <c r="G92" s="10">
        <v>1795715.220412286</v>
      </c>
      <c r="H92">
        <v>1.0546082099765031</v>
      </c>
      <c r="I92">
        <v>0.81858689258376161</v>
      </c>
      <c r="J92">
        <v>5.3</v>
      </c>
      <c r="K92">
        <v>0.2238</v>
      </c>
    </row>
    <row r="93" spans="1:11" x14ac:dyDescent="0.3">
      <c r="A93" s="31">
        <v>45716</v>
      </c>
      <c r="B93" t="s">
        <v>186</v>
      </c>
      <c r="C93" t="s">
        <v>322</v>
      </c>
      <c r="D93" t="s">
        <v>552</v>
      </c>
      <c r="E93" s="10">
        <v>1337153.3500000001</v>
      </c>
      <c r="F93" s="10">
        <v>1702729.3391060741</v>
      </c>
      <c r="G93" s="10">
        <v>1419184.033690352</v>
      </c>
      <c r="H93">
        <v>1.0613472521235889</v>
      </c>
      <c r="I93">
        <v>0.83347599709265463</v>
      </c>
      <c r="J93">
        <v>5.08</v>
      </c>
      <c r="K93">
        <v>0.2147</v>
      </c>
    </row>
    <row r="94" spans="1:11" x14ac:dyDescent="0.3">
      <c r="A94" s="31">
        <v>45716</v>
      </c>
      <c r="B94" t="s">
        <v>186</v>
      </c>
      <c r="C94" t="s">
        <v>321</v>
      </c>
      <c r="D94" t="s">
        <v>552</v>
      </c>
      <c r="E94" s="10">
        <v>1218359.27</v>
      </c>
      <c r="F94" s="10">
        <v>1664652.6438037979</v>
      </c>
      <c r="G94" s="10">
        <v>1314309.654123632</v>
      </c>
      <c r="H94">
        <v>1.0787537686840369</v>
      </c>
      <c r="I94">
        <v>0.78953988329984681</v>
      </c>
      <c r="J94">
        <v>6.09</v>
      </c>
      <c r="K94">
        <v>0.2681</v>
      </c>
    </row>
    <row r="95" spans="1:11" x14ac:dyDescent="0.3">
      <c r="A95" s="31">
        <v>45716</v>
      </c>
      <c r="B95" t="s">
        <v>186</v>
      </c>
      <c r="C95" t="s">
        <v>320</v>
      </c>
      <c r="D95" t="s">
        <v>552</v>
      </c>
      <c r="E95" s="10">
        <v>1154843.32</v>
      </c>
      <c r="F95" s="10">
        <v>1538560.245137224</v>
      </c>
      <c r="G95" s="10">
        <v>1234623.9231256661</v>
      </c>
      <c r="H95">
        <v>1.0690834866894889</v>
      </c>
      <c r="I95">
        <v>0.80245406510913042</v>
      </c>
      <c r="J95">
        <v>5.79</v>
      </c>
      <c r="K95">
        <v>0.24940000000000001</v>
      </c>
    </row>
    <row r="96" spans="1:11" x14ac:dyDescent="0.3">
      <c r="A96" s="31">
        <v>45716</v>
      </c>
      <c r="B96" t="s">
        <v>186</v>
      </c>
      <c r="C96" t="s">
        <v>319</v>
      </c>
      <c r="D96" t="s">
        <v>552</v>
      </c>
      <c r="E96" s="10">
        <v>284793.94</v>
      </c>
      <c r="F96" s="10">
        <v>354839.19760777469</v>
      </c>
      <c r="G96" s="10">
        <v>299140.71681476221</v>
      </c>
      <c r="H96">
        <v>1.050375990496013</v>
      </c>
      <c r="I96">
        <v>0.84303176997210039</v>
      </c>
      <c r="J96">
        <v>4.9000000000000004</v>
      </c>
      <c r="K96">
        <v>0.19739999999999999</v>
      </c>
    </row>
    <row r="97" spans="1:11" x14ac:dyDescent="0.3">
      <c r="A97" s="31">
        <v>45716</v>
      </c>
      <c r="B97" t="s">
        <v>186</v>
      </c>
      <c r="C97" t="s">
        <v>268</v>
      </c>
      <c r="D97" t="s">
        <v>552</v>
      </c>
      <c r="E97" s="10">
        <v>679888.14</v>
      </c>
      <c r="F97" s="10">
        <v>884925.34166341287</v>
      </c>
      <c r="G97" s="10">
        <v>704102.684613958</v>
      </c>
      <c r="H97">
        <v>1.0356154831792741</v>
      </c>
      <c r="I97">
        <v>0.79566337572663626</v>
      </c>
      <c r="J97">
        <v>5.46</v>
      </c>
      <c r="K97">
        <v>0.23169999999999999</v>
      </c>
    </row>
    <row r="98" spans="1:11" x14ac:dyDescent="0.3">
      <c r="A98" s="31">
        <v>45716</v>
      </c>
      <c r="B98" t="s">
        <v>186</v>
      </c>
      <c r="C98" t="s">
        <v>318</v>
      </c>
      <c r="D98" t="s">
        <v>552</v>
      </c>
      <c r="E98" s="10">
        <v>1181538.1299999999</v>
      </c>
      <c r="F98" s="10">
        <v>1514598.2950903729</v>
      </c>
      <c r="G98" s="10">
        <v>1219873.0931161749</v>
      </c>
      <c r="H98">
        <v>1.0324449648664109</v>
      </c>
      <c r="I98">
        <v>0.8054103170922875</v>
      </c>
      <c r="J98">
        <v>5.19</v>
      </c>
      <c r="K98">
        <v>0.21990000000000001</v>
      </c>
    </row>
    <row r="99" spans="1:11" x14ac:dyDescent="0.3">
      <c r="A99" s="31">
        <v>45716</v>
      </c>
      <c r="B99" t="s">
        <v>186</v>
      </c>
      <c r="C99" t="s">
        <v>317</v>
      </c>
      <c r="D99" t="s">
        <v>552</v>
      </c>
      <c r="E99" s="10">
        <v>1079341.92</v>
      </c>
      <c r="F99" s="10">
        <v>1392699.2516129031</v>
      </c>
      <c r="G99" s="10">
        <v>1107879.3368816529</v>
      </c>
      <c r="H99">
        <v>1.02643964470652</v>
      </c>
      <c r="I99">
        <v>0.79549072464755288</v>
      </c>
      <c r="J99">
        <v>5.36</v>
      </c>
      <c r="K99">
        <v>0.22500000000000001</v>
      </c>
    </row>
    <row r="100" spans="1:11" x14ac:dyDescent="0.3">
      <c r="A100" s="31">
        <v>45716</v>
      </c>
      <c r="B100" t="s">
        <v>186</v>
      </c>
      <c r="C100" t="s">
        <v>316</v>
      </c>
      <c r="D100" t="s">
        <v>552</v>
      </c>
      <c r="E100" s="10">
        <v>1912008.44</v>
      </c>
      <c r="F100" s="10">
        <v>2576136.405281595</v>
      </c>
      <c r="G100" s="10">
        <v>2054004.278127033</v>
      </c>
      <c r="H100">
        <v>1.0742652778912589</v>
      </c>
      <c r="I100">
        <v>0.79731968925089258</v>
      </c>
      <c r="J100">
        <v>5.95</v>
      </c>
      <c r="K100">
        <v>0.25779999999999997</v>
      </c>
    </row>
    <row r="101" spans="1:11" x14ac:dyDescent="0.3">
      <c r="A101" s="31">
        <v>45716</v>
      </c>
      <c r="B101" t="s">
        <v>192</v>
      </c>
      <c r="C101" t="s">
        <v>553</v>
      </c>
      <c r="D101" t="s">
        <v>24</v>
      </c>
      <c r="E101" s="10">
        <v>982111.14</v>
      </c>
      <c r="F101" s="10">
        <v>1257021.809804172</v>
      </c>
      <c r="G101" s="10">
        <v>414398.74098997639</v>
      </c>
      <c r="H101">
        <v>0.42194688982957312</v>
      </c>
      <c r="I101">
        <v>0.32966710502384561</v>
      </c>
    </row>
    <row r="102" spans="1:11" x14ac:dyDescent="0.3">
      <c r="A102" s="31">
        <v>45716</v>
      </c>
      <c r="B102" t="s">
        <v>192</v>
      </c>
      <c r="C102" t="s">
        <v>324</v>
      </c>
      <c r="D102" t="s">
        <v>552</v>
      </c>
      <c r="E102" s="10">
        <v>513849.38</v>
      </c>
      <c r="F102" s="10">
        <v>657685.11455266865</v>
      </c>
      <c r="G102" s="10">
        <v>553743.55282443517</v>
      </c>
      <c r="H102">
        <v>1.0776378728421061</v>
      </c>
      <c r="I102">
        <v>0.84195847005153757</v>
      </c>
      <c r="J102">
        <v>4.9000000000000004</v>
      </c>
      <c r="K102">
        <v>0.21870000000000001</v>
      </c>
    </row>
    <row r="103" spans="1:11" x14ac:dyDescent="0.3">
      <c r="A103" s="31">
        <v>45716</v>
      </c>
      <c r="B103" t="s">
        <v>192</v>
      </c>
      <c r="C103" t="s">
        <v>323</v>
      </c>
      <c r="D103" t="s">
        <v>552</v>
      </c>
      <c r="E103" s="10">
        <v>587726.43000000005</v>
      </c>
      <c r="F103" s="10">
        <v>752241.68693203642</v>
      </c>
      <c r="G103" s="10">
        <v>632441.09246006352</v>
      </c>
      <c r="H103">
        <v>1.0760807412728799</v>
      </c>
      <c r="I103">
        <v>0.84074188315650122</v>
      </c>
      <c r="J103">
        <v>4.9000000000000004</v>
      </c>
      <c r="K103">
        <v>0.21870000000000001</v>
      </c>
    </row>
    <row r="104" spans="1:11" x14ac:dyDescent="0.3">
      <c r="A104" s="31">
        <v>45716</v>
      </c>
      <c r="B104" t="s">
        <v>192</v>
      </c>
      <c r="C104" t="s">
        <v>322</v>
      </c>
      <c r="D104" t="s">
        <v>552</v>
      </c>
      <c r="E104" s="10">
        <v>652952.76</v>
      </c>
      <c r="F104" s="10">
        <v>835726.04633303464</v>
      </c>
      <c r="G104" s="10">
        <v>696031.81932802871</v>
      </c>
      <c r="H104">
        <v>1.0659757672638199</v>
      </c>
      <c r="I104">
        <v>0.8328468669632223</v>
      </c>
      <c r="J104">
        <v>4.9000000000000004</v>
      </c>
      <c r="K104">
        <v>0.21870000000000001</v>
      </c>
    </row>
    <row r="105" spans="1:11" x14ac:dyDescent="0.3">
      <c r="A105" s="31">
        <v>45716</v>
      </c>
      <c r="B105" t="s">
        <v>192</v>
      </c>
      <c r="C105" t="s">
        <v>321</v>
      </c>
      <c r="D105" t="s">
        <v>552</v>
      </c>
      <c r="E105" s="10">
        <v>265068.15000000002</v>
      </c>
      <c r="F105" s="10">
        <v>339265.51900678361</v>
      </c>
      <c r="G105" s="10">
        <v>280660.24151473702</v>
      </c>
      <c r="H105">
        <v>1.058822953699782</v>
      </c>
      <c r="I105">
        <v>0.82725837372563993</v>
      </c>
      <c r="J105">
        <v>4.9000000000000004</v>
      </c>
      <c r="K105">
        <v>0.21870000000000001</v>
      </c>
    </row>
    <row r="106" spans="1:11" x14ac:dyDescent="0.3">
      <c r="A106" s="31">
        <v>45716</v>
      </c>
      <c r="B106" t="s">
        <v>192</v>
      </c>
      <c r="C106" t="s">
        <v>320</v>
      </c>
      <c r="D106" t="s">
        <v>552</v>
      </c>
      <c r="E106" s="10">
        <v>249238.46</v>
      </c>
      <c r="F106" s="10">
        <v>319004.81249200052</v>
      </c>
      <c r="G106" s="10">
        <v>261809.0093049414</v>
      </c>
      <c r="H106">
        <v>1.0504358328363179</v>
      </c>
      <c r="I106">
        <v>0.82070551619501553</v>
      </c>
      <c r="J106">
        <v>4.9000000000000004</v>
      </c>
      <c r="K106">
        <v>0.21870000000000001</v>
      </c>
    </row>
    <row r="107" spans="1:11" x14ac:dyDescent="0.3">
      <c r="A107" s="31">
        <v>45716</v>
      </c>
      <c r="B107" t="s">
        <v>192</v>
      </c>
      <c r="C107" t="s">
        <v>319</v>
      </c>
      <c r="D107" t="s">
        <v>552</v>
      </c>
      <c r="E107" s="10">
        <v>89345.46</v>
      </c>
      <c r="F107" s="10">
        <v>114354.8700883144</v>
      </c>
      <c r="G107" s="10">
        <v>95248.827950141902</v>
      </c>
      <c r="H107">
        <v>1.066073507821683</v>
      </c>
      <c r="I107">
        <v>0.83292323166108118</v>
      </c>
      <c r="J107">
        <v>4.9000000000000004</v>
      </c>
      <c r="K107">
        <v>0.21870000000000001</v>
      </c>
    </row>
    <row r="108" spans="1:11" x14ac:dyDescent="0.3">
      <c r="A108" s="31">
        <v>45716</v>
      </c>
      <c r="B108" t="s">
        <v>192</v>
      </c>
      <c r="C108" t="s">
        <v>268</v>
      </c>
      <c r="D108" t="s">
        <v>552</v>
      </c>
      <c r="E108" s="10">
        <v>204327.15</v>
      </c>
      <c r="F108" s="10">
        <v>261522.0145910662</v>
      </c>
      <c r="G108" s="10">
        <v>216628.04688870639</v>
      </c>
      <c r="H108">
        <v>1.06020196967807</v>
      </c>
      <c r="I108">
        <v>0.82833579890947573</v>
      </c>
      <c r="J108">
        <v>4.9000000000000004</v>
      </c>
      <c r="K108">
        <v>0.21870000000000001</v>
      </c>
    </row>
    <row r="109" spans="1:11" x14ac:dyDescent="0.3">
      <c r="A109" s="31">
        <v>45716</v>
      </c>
      <c r="B109" t="s">
        <v>192</v>
      </c>
      <c r="C109" t="s">
        <v>318</v>
      </c>
      <c r="D109" t="s">
        <v>552</v>
      </c>
      <c r="E109" s="10">
        <v>520017.25</v>
      </c>
      <c r="F109" s="10">
        <v>665579.48291309352</v>
      </c>
      <c r="G109" s="10">
        <v>542030.57525475672</v>
      </c>
      <c r="H109">
        <v>1.042331913517786</v>
      </c>
      <c r="I109">
        <v>0.81437392403144593</v>
      </c>
      <c r="J109">
        <v>4.9000000000000004</v>
      </c>
      <c r="K109">
        <v>0.21870000000000001</v>
      </c>
    </row>
    <row r="110" spans="1:11" x14ac:dyDescent="0.3">
      <c r="A110" s="31">
        <v>45716</v>
      </c>
      <c r="B110" t="s">
        <v>192</v>
      </c>
      <c r="C110" t="s">
        <v>317</v>
      </c>
      <c r="D110" t="s">
        <v>552</v>
      </c>
      <c r="E110" s="10">
        <v>295627.87</v>
      </c>
      <c r="F110" s="10">
        <v>378379.45731473179</v>
      </c>
      <c r="G110" s="10">
        <v>321320.78982512362</v>
      </c>
      <c r="H110">
        <v>1.086909667295995</v>
      </c>
      <c r="I110">
        <v>0.84920252305836075</v>
      </c>
      <c r="J110">
        <v>4.9000000000000004</v>
      </c>
      <c r="K110">
        <v>0.21870000000000001</v>
      </c>
    </row>
    <row r="111" spans="1:11" x14ac:dyDescent="0.3">
      <c r="A111" s="31">
        <v>45716</v>
      </c>
      <c r="B111" t="s">
        <v>192</v>
      </c>
      <c r="C111" t="s">
        <v>316</v>
      </c>
      <c r="D111" t="s">
        <v>552</v>
      </c>
      <c r="E111" s="10">
        <v>329855.99</v>
      </c>
      <c r="F111" s="10">
        <v>422188.64712658391</v>
      </c>
      <c r="G111" s="10">
        <v>354060.31411587168</v>
      </c>
      <c r="H111">
        <v>1.0733784586293911</v>
      </c>
      <c r="I111">
        <v>0.83863058972714299</v>
      </c>
      <c r="J111">
        <v>4.9000000000000004</v>
      </c>
      <c r="K111">
        <v>0.21870000000000001</v>
      </c>
    </row>
    <row r="112" spans="1:11" x14ac:dyDescent="0.3">
      <c r="A112" s="31">
        <v>45716</v>
      </c>
      <c r="B112" t="s">
        <v>191</v>
      </c>
      <c r="C112" t="s">
        <v>553</v>
      </c>
      <c r="D112" t="s">
        <v>24</v>
      </c>
      <c r="E112" s="10">
        <v>824954.4</v>
      </c>
      <c r="F112" s="10">
        <v>978477.52342545392</v>
      </c>
      <c r="G112" s="10">
        <v>323318.3860388202</v>
      </c>
      <c r="H112">
        <v>0.39192273662498223</v>
      </c>
      <c r="I112">
        <v>0.33043005924852242</v>
      </c>
    </row>
    <row r="113" spans="1:11" x14ac:dyDescent="0.3">
      <c r="A113" s="31">
        <v>45716</v>
      </c>
      <c r="B113" t="s">
        <v>191</v>
      </c>
      <c r="C113" t="s">
        <v>324</v>
      </c>
      <c r="D113" t="s">
        <v>552</v>
      </c>
      <c r="E113" s="10">
        <v>334844.67</v>
      </c>
      <c r="F113" s="10">
        <v>397158.90167239949</v>
      </c>
      <c r="G113" s="10">
        <v>331998.87768889632</v>
      </c>
      <c r="H113">
        <v>0.99150115690626428</v>
      </c>
      <c r="I113">
        <v>0.83593462538767127</v>
      </c>
      <c r="J113">
        <v>4.38</v>
      </c>
      <c r="K113">
        <v>0.15690000000000001</v>
      </c>
    </row>
    <row r="114" spans="1:11" x14ac:dyDescent="0.3">
      <c r="A114" s="31">
        <v>45716</v>
      </c>
      <c r="B114" t="s">
        <v>191</v>
      </c>
      <c r="C114" t="s">
        <v>323</v>
      </c>
      <c r="D114" t="s">
        <v>552</v>
      </c>
      <c r="E114" s="10">
        <v>454513.21</v>
      </c>
      <c r="F114" s="10">
        <v>539097.62780215882</v>
      </c>
      <c r="G114" s="10">
        <v>454459.11107412161</v>
      </c>
      <c r="H114">
        <v>0.9998809739195953</v>
      </c>
      <c r="I114">
        <v>0.84299964911161063</v>
      </c>
      <c r="J114">
        <v>4.38</v>
      </c>
      <c r="K114">
        <v>0.15690000000000001</v>
      </c>
    </row>
    <row r="115" spans="1:11" x14ac:dyDescent="0.3">
      <c r="A115" s="31">
        <v>45716</v>
      </c>
      <c r="B115" t="s">
        <v>191</v>
      </c>
      <c r="C115" t="s">
        <v>322</v>
      </c>
      <c r="D115" t="s">
        <v>552</v>
      </c>
      <c r="E115" s="10">
        <v>354538.41</v>
      </c>
      <c r="F115" s="10">
        <v>420517.6254299609</v>
      </c>
      <c r="G115" s="10">
        <v>346277.21894015389</v>
      </c>
      <c r="H115">
        <v>0.97669874172492033</v>
      </c>
      <c r="I115">
        <v>0.82345470914828023</v>
      </c>
      <c r="J115">
        <v>4.38</v>
      </c>
      <c r="K115">
        <v>0.15690000000000001</v>
      </c>
    </row>
    <row r="116" spans="1:11" x14ac:dyDescent="0.3">
      <c r="A116" s="31">
        <v>45716</v>
      </c>
      <c r="B116" t="s">
        <v>191</v>
      </c>
      <c r="C116" t="s">
        <v>321</v>
      </c>
      <c r="D116" t="s">
        <v>552</v>
      </c>
      <c r="E116" s="10">
        <v>90089.84</v>
      </c>
      <c r="F116" s="10">
        <v>106855.4619855296</v>
      </c>
      <c r="G116" s="10">
        <v>89136.779776470416</v>
      </c>
      <c r="H116">
        <v>0.98942100215152362</v>
      </c>
      <c r="I116">
        <v>0.83418084691394945</v>
      </c>
      <c r="J116">
        <v>4.38</v>
      </c>
      <c r="K116">
        <v>0.15690000000000001</v>
      </c>
    </row>
    <row r="117" spans="1:11" x14ac:dyDescent="0.3">
      <c r="A117" s="31">
        <v>45716</v>
      </c>
      <c r="B117" t="s">
        <v>191</v>
      </c>
      <c r="C117" t="s">
        <v>320</v>
      </c>
      <c r="D117" t="s">
        <v>552</v>
      </c>
      <c r="E117" s="10">
        <v>198874.08</v>
      </c>
      <c r="F117" s="10">
        <v>235884.3316332582</v>
      </c>
      <c r="G117" s="10">
        <v>199565.0050104495</v>
      </c>
      <c r="H117">
        <v>1.0034741833146359</v>
      </c>
      <c r="I117">
        <v>0.84602908395256937</v>
      </c>
      <c r="J117">
        <v>4.38</v>
      </c>
      <c r="K117">
        <v>0.15690000000000001</v>
      </c>
    </row>
    <row r="118" spans="1:11" x14ac:dyDescent="0.3">
      <c r="A118" s="31">
        <v>45716</v>
      </c>
      <c r="B118" t="s">
        <v>191</v>
      </c>
      <c r="C118" t="s">
        <v>319</v>
      </c>
      <c r="D118" t="s">
        <v>552</v>
      </c>
      <c r="E118" s="10">
        <v>136115.44</v>
      </c>
      <c r="F118" s="10">
        <v>161446.37646779741</v>
      </c>
      <c r="G118" s="10">
        <v>131869.179713191</v>
      </c>
      <c r="H118">
        <v>0.96880397780877003</v>
      </c>
      <c r="I118">
        <v>0.81679863369057393</v>
      </c>
      <c r="J118">
        <v>4.38</v>
      </c>
      <c r="K118">
        <v>0.15690000000000001</v>
      </c>
    </row>
    <row r="119" spans="1:11" x14ac:dyDescent="0.3">
      <c r="A119" s="31">
        <v>45716</v>
      </c>
      <c r="B119" t="s">
        <v>191</v>
      </c>
      <c r="C119" t="s">
        <v>268</v>
      </c>
      <c r="D119" t="s">
        <v>552</v>
      </c>
      <c r="E119" s="10">
        <v>160848.04</v>
      </c>
      <c r="F119" s="10">
        <v>190781.68663266519</v>
      </c>
      <c r="G119" s="10">
        <v>160139.39373115689</v>
      </c>
      <c r="H119">
        <v>0.99559431206719673</v>
      </c>
      <c r="I119">
        <v>0.83938556450385338</v>
      </c>
      <c r="J119">
        <v>4.38</v>
      </c>
      <c r="K119">
        <v>0.15690000000000001</v>
      </c>
    </row>
    <row r="120" spans="1:11" x14ac:dyDescent="0.3">
      <c r="A120" s="31">
        <v>45716</v>
      </c>
      <c r="B120" t="s">
        <v>191</v>
      </c>
      <c r="C120" t="s">
        <v>318</v>
      </c>
      <c r="D120" t="s">
        <v>552</v>
      </c>
      <c r="E120" s="10">
        <v>295337.45</v>
      </c>
      <c r="F120" s="10">
        <v>350299.43067251821</v>
      </c>
      <c r="G120" s="10">
        <v>291586.57845066732</v>
      </c>
      <c r="H120">
        <v>0.98729970903001718</v>
      </c>
      <c r="I120">
        <v>0.83239238468320731</v>
      </c>
      <c r="J120">
        <v>4.38</v>
      </c>
      <c r="K120">
        <v>0.15690000000000001</v>
      </c>
    </row>
    <row r="121" spans="1:11" x14ac:dyDescent="0.3">
      <c r="A121" s="31">
        <v>45716</v>
      </c>
      <c r="B121" t="s">
        <v>191</v>
      </c>
      <c r="C121" t="s">
        <v>317</v>
      </c>
      <c r="D121" t="s">
        <v>552</v>
      </c>
      <c r="E121" s="10">
        <v>315617.31</v>
      </c>
      <c r="F121" s="10">
        <v>374353.35072945087</v>
      </c>
      <c r="G121" s="10">
        <v>305658.20869734773</v>
      </c>
      <c r="H121">
        <v>0.96844564291276591</v>
      </c>
      <c r="I121">
        <v>0.81649652153975283</v>
      </c>
      <c r="J121">
        <v>4.38</v>
      </c>
      <c r="K121">
        <v>0.15690000000000001</v>
      </c>
    </row>
    <row r="122" spans="1:11" x14ac:dyDescent="0.3">
      <c r="A122" s="31">
        <v>45716</v>
      </c>
      <c r="B122" t="s">
        <v>191</v>
      </c>
      <c r="C122" t="s">
        <v>316</v>
      </c>
      <c r="D122" t="s">
        <v>552</v>
      </c>
      <c r="E122" s="10">
        <v>283073.19</v>
      </c>
      <c r="F122" s="10">
        <v>335752.80512394739</v>
      </c>
      <c r="G122" s="10">
        <v>278291.52471826709</v>
      </c>
      <c r="H122">
        <v>0.98310802488313032</v>
      </c>
      <c r="I122">
        <v>0.82885837577896715</v>
      </c>
      <c r="J122">
        <v>4.38</v>
      </c>
      <c r="K122">
        <v>0.15690000000000001</v>
      </c>
    </row>
    <row r="123" spans="1:11" x14ac:dyDescent="0.3">
      <c r="A123" s="31">
        <v>45716</v>
      </c>
      <c r="B123" t="s">
        <v>193</v>
      </c>
      <c r="C123" t="s">
        <v>553</v>
      </c>
      <c r="D123" t="s">
        <v>24</v>
      </c>
      <c r="E123" s="10">
        <v>1196209.69</v>
      </c>
      <c r="F123" s="10">
        <v>1736405.4144287989</v>
      </c>
      <c r="G123" s="10">
        <v>500985.76917655458</v>
      </c>
      <c r="H123">
        <v>0.41881099389568949</v>
      </c>
      <c r="I123">
        <v>0.28851889369474049</v>
      </c>
    </row>
    <row r="124" spans="1:11" x14ac:dyDescent="0.3">
      <c r="A124" s="31">
        <v>45716</v>
      </c>
      <c r="B124" t="s">
        <v>193</v>
      </c>
      <c r="C124" t="s">
        <v>324</v>
      </c>
      <c r="D124" t="s">
        <v>552</v>
      </c>
      <c r="E124" s="10">
        <v>1025814.89</v>
      </c>
      <c r="F124" s="10">
        <v>1489062.1135142981</v>
      </c>
      <c r="G124" s="10">
        <v>1156142.487138754</v>
      </c>
      <c r="H124">
        <v>1.127047870341163</v>
      </c>
      <c r="I124">
        <v>0.77642327787802734</v>
      </c>
      <c r="J124">
        <v>6.96</v>
      </c>
      <c r="K124">
        <v>0.31109999999999999</v>
      </c>
    </row>
    <row r="125" spans="1:11" x14ac:dyDescent="0.3">
      <c r="A125" s="31">
        <v>45716</v>
      </c>
      <c r="B125" t="s">
        <v>193</v>
      </c>
      <c r="C125" t="s">
        <v>323</v>
      </c>
      <c r="D125" t="s">
        <v>552</v>
      </c>
      <c r="E125" s="10">
        <v>660492.43000000005</v>
      </c>
      <c r="F125" s="10">
        <v>958763.86993758171</v>
      </c>
      <c r="G125" s="10">
        <v>765909.56936095282</v>
      </c>
      <c r="H125">
        <v>1.159603857020667</v>
      </c>
      <c r="I125">
        <v>0.79885109710153734</v>
      </c>
      <c r="J125">
        <v>6.96</v>
      </c>
      <c r="K125">
        <v>0.31109999999999999</v>
      </c>
    </row>
    <row r="126" spans="1:11" x14ac:dyDescent="0.3">
      <c r="A126" s="31">
        <v>45716</v>
      </c>
      <c r="B126" t="s">
        <v>193</v>
      </c>
      <c r="C126" t="s">
        <v>322</v>
      </c>
      <c r="D126" t="s">
        <v>552</v>
      </c>
      <c r="E126" s="10">
        <v>329662.18</v>
      </c>
      <c r="F126" s="10">
        <v>478534.15590071131</v>
      </c>
      <c r="G126" s="10">
        <v>379909.43267924333</v>
      </c>
      <c r="H126">
        <v>1.152420434395123</v>
      </c>
      <c r="I126">
        <v>0.79390243725480047</v>
      </c>
      <c r="J126">
        <v>6.96</v>
      </c>
      <c r="K126">
        <v>0.31109999999999999</v>
      </c>
    </row>
    <row r="127" spans="1:11" x14ac:dyDescent="0.3">
      <c r="A127" s="31">
        <v>45716</v>
      </c>
      <c r="B127" t="s">
        <v>193</v>
      </c>
      <c r="C127" t="s">
        <v>321</v>
      </c>
      <c r="D127" t="s">
        <v>552</v>
      </c>
      <c r="E127" s="10">
        <v>863201.28000000003</v>
      </c>
      <c r="F127" s="10">
        <v>1253013.906227319</v>
      </c>
      <c r="G127" s="10">
        <v>1002063.930883431</v>
      </c>
      <c r="H127">
        <v>1.160869375545216</v>
      </c>
      <c r="I127">
        <v>0.79972291281309937</v>
      </c>
      <c r="J127">
        <v>6.96</v>
      </c>
      <c r="K127">
        <v>0.31109999999999999</v>
      </c>
    </row>
    <row r="128" spans="1:11" x14ac:dyDescent="0.3">
      <c r="A128" s="31">
        <v>45716</v>
      </c>
      <c r="B128" t="s">
        <v>193</v>
      </c>
      <c r="C128" t="s">
        <v>320</v>
      </c>
      <c r="D128" t="s">
        <v>552</v>
      </c>
      <c r="E128" s="10">
        <v>706730.78</v>
      </c>
      <c r="F128" s="10">
        <v>1025882.972855277</v>
      </c>
      <c r="G128" s="10">
        <v>823278.15503804712</v>
      </c>
      <c r="H128">
        <v>1.1649105689694841</v>
      </c>
      <c r="I128">
        <v>0.80250689096307737</v>
      </c>
      <c r="J128">
        <v>6.96</v>
      </c>
      <c r="K128">
        <v>0.31109999999999999</v>
      </c>
    </row>
    <row r="129" spans="1:11" x14ac:dyDescent="0.3">
      <c r="A129" s="31">
        <v>45716</v>
      </c>
      <c r="B129" t="s">
        <v>193</v>
      </c>
      <c r="C129" t="s">
        <v>319</v>
      </c>
      <c r="D129" t="s">
        <v>552</v>
      </c>
      <c r="E129" s="10">
        <v>59333.04</v>
      </c>
      <c r="F129" s="10">
        <v>86127.217302946723</v>
      </c>
      <c r="G129" s="10">
        <v>68165.302844312071</v>
      </c>
      <c r="H129">
        <v>1.1488590984772069</v>
      </c>
      <c r="I129">
        <v>0.79144903294094804</v>
      </c>
      <c r="J129">
        <v>6.96</v>
      </c>
      <c r="K129">
        <v>0.31109999999999999</v>
      </c>
    </row>
    <row r="130" spans="1:11" x14ac:dyDescent="0.3">
      <c r="A130" s="31">
        <v>45716</v>
      </c>
      <c r="B130" t="s">
        <v>193</v>
      </c>
      <c r="C130" t="s">
        <v>268</v>
      </c>
      <c r="D130" t="s">
        <v>552</v>
      </c>
      <c r="E130" s="10">
        <v>314712.95</v>
      </c>
      <c r="F130" s="10">
        <v>456834.01074176218</v>
      </c>
      <c r="G130" s="10">
        <v>374418.99843723571</v>
      </c>
      <c r="H130">
        <v>1.1897158932838181</v>
      </c>
      <c r="I130">
        <v>0.81959527888322248</v>
      </c>
      <c r="J130">
        <v>6.96</v>
      </c>
      <c r="K130">
        <v>0.31109999999999999</v>
      </c>
    </row>
    <row r="131" spans="1:11" x14ac:dyDescent="0.3">
      <c r="A131" s="31">
        <v>45716</v>
      </c>
      <c r="B131" t="s">
        <v>193</v>
      </c>
      <c r="C131" t="s">
        <v>318</v>
      </c>
      <c r="D131" t="s">
        <v>552</v>
      </c>
      <c r="E131" s="10">
        <v>366183.43</v>
      </c>
      <c r="F131" s="10">
        <v>531548.01858034544</v>
      </c>
      <c r="G131" s="10">
        <v>434666.90843381919</v>
      </c>
      <c r="H131">
        <v>1.1870195995319051</v>
      </c>
      <c r="I131">
        <v>0.81773780211752911</v>
      </c>
      <c r="J131">
        <v>6.96</v>
      </c>
      <c r="K131">
        <v>0.31109999999999999</v>
      </c>
    </row>
    <row r="132" spans="1:11" x14ac:dyDescent="0.3">
      <c r="A132" s="31">
        <v>45716</v>
      </c>
      <c r="B132" t="s">
        <v>193</v>
      </c>
      <c r="C132" t="s">
        <v>317</v>
      </c>
      <c r="D132" t="s">
        <v>552</v>
      </c>
      <c r="E132" s="10">
        <v>468096.74</v>
      </c>
      <c r="F132" s="10">
        <v>679484.30831760773</v>
      </c>
      <c r="G132" s="10">
        <v>523488.11108671641</v>
      </c>
      <c r="H132">
        <v>1.1183331699484089</v>
      </c>
      <c r="I132">
        <v>0.77041972077745924</v>
      </c>
      <c r="J132">
        <v>6.96</v>
      </c>
      <c r="K132">
        <v>0.31109999999999999</v>
      </c>
    </row>
    <row r="133" spans="1:11" x14ac:dyDescent="0.3">
      <c r="A133" s="31">
        <v>45716</v>
      </c>
      <c r="B133" t="s">
        <v>193</v>
      </c>
      <c r="C133" t="s">
        <v>316</v>
      </c>
      <c r="D133" t="s">
        <v>552</v>
      </c>
      <c r="E133" s="10">
        <v>1299079.26</v>
      </c>
      <c r="F133" s="10">
        <v>1885729.8011322401</v>
      </c>
      <c r="G133" s="10">
        <v>1441735.4055510969</v>
      </c>
      <c r="H133">
        <v>1.109813273095513</v>
      </c>
      <c r="I133">
        <v>0.76455036383549912</v>
      </c>
      <c r="J133">
        <v>6.96</v>
      </c>
      <c r="K133">
        <v>0.31109999999999999</v>
      </c>
    </row>
    <row r="134" spans="1:11" x14ac:dyDescent="0.3">
      <c r="A134" s="31">
        <v>45747</v>
      </c>
      <c r="B134" t="s">
        <v>186</v>
      </c>
      <c r="C134" t="s">
        <v>553</v>
      </c>
      <c r="D134" t="s">
        <v>24</v>
      </c>
      <c r="E134" s="10">
        <v>2821690.12</v>
      </c>
      <c r="F134" s="10">
        <v>3739970.6008961392</v>
      </c>
      <c r="G134" s="10">
        <v>1187672.487865383</v>
      </c>
      <c r="H134">
        <v>0.42090819237988558</v>
      </c>
      <c r="I134">
        <v>0.31756198500084548</v>
      </c>
    </row>
    <row r="135" spans="1:11" x14ac:dyDescent="0.3">
      <c r="A135" s="31">
        <v>45747</v>
      </c>
      <c r="B135" t="s">
        <v>186</v>
      </c>
      <c r="C135" t="s">
        <v>324</v>
      </c>
      <c r="D135" t="s">
        <v>552</v>
      </c>
      <c r="E135" s="10">
        <v>1468866.1</v>
      </c>
      <c r="F135" s="10">
        <v>2054070.899174941</v>
      </c>
      <c r="G135" s="10">
        <v>1647168.401760139</v>
      </c>
      <c r="H135">
        <v>1.1213877165251069</v>
      </c>
      <c r="I135">
        <v>0.80190435608710398</v>
      </c>
      <c r="J135">
        <v>6.08</v>
      </c>
      <c r="K135">
        <v>0.28489999999999999</v>
      </c>
    </row>
    <row r="136" spans="1:11" x14ac:dyDescent="0.3">
      <c r="A136" s="31">
        <v>45747</v>
      </c>
      <c r="B136" t="s">
        <v>186</v>
      </c>
      <c r="C136" t="s">
        <v>323</v>
      </c>
      <c r="D136" t="s">
        <v>552</v>
      </c>
      <c r="E136" s="10">
        <v>1831318.55</v>
      </c>
      <c r="F136" s="10">
        <v>2402989.830730875</v>
      </c>
      <c r="G136" s="10">
        <v>1979679.9806754941</v>
      </c>
      <c r="H136">
        <v>1.0810134483023139</v>
      </c>
      <c r="I136">
        <v>0.82384034895119385</v>
      </c>
      <c r="J136">
        <v>5.37</v>
      </c>
      <c r="K136">
        <v>0.2379</v>
      </c>
    </row>
    <row r="137" spans="1:11" x14ac:dyDescent="0.3">
      <c r="A137" s="31">
        <v>45747</v>
      </c>
      <c r="B137" t="s">
        <v>186</v>
      </c>
      <c r="C137" t="s">
        <v>322</v>
      </c>
      <c r="D137" t="s">
        <v>552</v>
      </c>
      <c r="E137" s="10">
        <v>1336482.99</v>
      </c>
      <c r="F137" s="10">
        <v>1672694.605757196</v>
      </c>
      <c r="G137" s="10">
        <v>1354773.6590853981</v>
      </c>
      <c r="H137">
        <v>1.013685672935799</v>
      </c>
      <c r="I137">
        <v>0.80993485267570298</v>
      </c>
      <c r="J137">
        <v>4.66</v>
      </c>
      <c r="K137">
        <v>0.20100000000000001</v>
      </c>
    </row>
    <row r="138" spans="1:11" x14ac:dyDescent="0.3">
      <c r="A138" s="31">
        <v>45747</v>
      </c>
      <c r="B138" t="s">
        <v>186</v>
      </c>
      <c r="C138" t="s">
        <v>321</v>
      </c>
      <c r="D138" t="s">
        <v>552</v>
      </c>
      <c r="E138" s="10">
        <v>646923.77</v>
      </c>
      <c r="F138" s="10">
        <v>837441.77346278331</v>
      </c>
      <c r="G138" s="10">
        <v>673530.06765667745</v>
      </c>
      <c r="H138">
        <v>1.041127407726381</v>
      </c>
      <c r="I138">
        <v>0.80427092246862908</v>
      </c>
      <c r="J138">
        <v>5.13</v>
      </c>
      <c r="K138">
        <v>0.22750000000000001</v>
      </c>
    </row>
    <row r="139" spans="1:11" x14ac:dyDescent="0.3">
      <c r="A139" s="31">
        <v>45747</v>
      </c>
      <c r="B139" t="s">
        <v>186</v>
      </c>
      <c r="C139" t="s">
        <v>320</v>
      </c>
      <c r="D139" t="s">
        <v>552</v>
      </c>
      <c r="E139" s="10">
        <v>1761978.86</v>
      </c>
      <c r="F139" s="10">
        <v>2404447.134279476</v>
      </c>
      <c r="G139" s="10">
        <v>2017233.1155472461</v>
      </c>
      <c r="H139">
        <v>1.144867944412935</v>
      </c>
      <c r="I139">
        <v>0.83895922966579861</v>
      </c>
      <c r="J139">
        <v>5.84</v>
      </c>
      <c r="K139">
        <v>0.26719999999999999</v>
      </c>
    </row>
    <row r="140" spans="1:11" x14ac:dyDescent="0.3">
      <c r="A140" s="31">
        <v>45747</v>
      </c>
      <c r="B140" t="s">
        <v>186</v>
      </c>
      <c r="C140" t="s">
        <v>319</v>
      </c>
      <c r="D140" t="s">
        <v>552</v>
      </c>
      <c r="E140" s="10">
        <v>574959.44999999995</v>
      </c>
      <c r="F140" s="10">
        <v>734678.57142857148</v>
      </c>
      <c r="G140" s="10">
        <v>623659.03312097606</v>
      </c>
      <c r="H140">
        <v>1.084700900421719</v>
      </c>
      <c r="I140">
        <v>0.8488869246700369</v>
      </c>
      <c r="J140">
        <v>4.9800000000000004</v>
      </c>
      <c r="K140">
        <v>0.21740000000000001</v>
      </c>
    </row>
    <row r="141" spans="1:11" x14ac:dyDescent="0.3">
      <c r="A141" s="31">
        <v>45747</v>
      </c>
      <c r="B141" t="s">
        <v>186</v>
      </c>
      <c r="C141" t="s">
        <v>268</v>
      </c>
      <c r="D141" t="s">
        <v>552</v>
      </c>
      <c r="E141" s="10">
        <v>500681.44</v>
      </c>
      <c r="F141" s="10">
        <v>656803.67309458216</v>
      </c>
      <c r="G141" s="10">
        <v>543659.83053472789</v>
      </c>
      <c r="H141">
        <v>1.0858397917340969</v>
      </c>
      <c r="I141">
        <v>0.8277356732389024</v>
      </c>
      <c r="J141">
        <v>5.25</v>
      </c>
      <c r="K141">
        <v>0.23769999999999999</v>
      </c>
    </row>
    <row r="142" spans="1:11" x14ac:dyDescent="0.3">
      <c r="A142" s="31">
        <v>45747</v>
      </c>
      <c r="B142" t="s">
        <v>186</v>
      </c>
      <c r="C142" t="s">
        <v>318</v>
      </c>
      <c r="D142" t="s">
        <v>552</v>
      </c>
      <c r="E142" s="10">
        <v>1121787.43</v>
      </c>
      <c r="F142" s="10">
        <v>1446907.558364504</v>
      </c>
      <c r="G142" s="10">
        <v>1169921.785921975</v>
      </c>
      <c r="H142">
        <v>1.042908624784622</v>
      </c>
      <c r="I142">
        <v>0.80856705679551744</v>
      </c>
      <c r="J142">
        <v>5.05</v>
      </c>
      <c r="K142">
        <v>0.22470000000000001</v>
      </c>
    </row>
    <row r="143" spans="1:11" x14ac:dyDescent="0.3">
      <c r="A143" s="31">
        <v>45747</v>
      </c>
      <c r="B143" t="s">
        <v>186</v>
      </c>
      <c r="C143" t="s">
        <v>317</v>
      </c>
      <c r="D143" t="s">
        <v>552</v>
      </c>
      <c r="E143" s="10">
        <v>1153887.5</v>
      </c>
      <c r="F143" s="10">
        <v>1546144.3119388991</v>
      </c>
      <c r="G143" s="10">
        <v>1219156.140895484</v>
      </c>
      <c r="H143">
        <v>1.0565641285614791</v>
      </c>
      <c r="I143">
        <v>0.78851380914543168</v>
      </c>
      <c r="J143">
        <v>5.61</v>
      </c>
      <c r="K143">
        <v>0.25369999999999998</v>
      </c>
    </row>
    <row r="144" spans="1:11" x14ac:dyDescent="0.3">
      <c r="A144" s="31">
        <v>45747</v>
      </c>
      <c r="B144" t="s">
        <v>186</v>
      </c>
      <c r="C144" t="s">
        <v>316</v>
      </c>
      <c r="D144" t="s">
        <v>552</v>
      </c>
      <c r="E144" s="10">
        <v>1845613.48</v>
      </c>
      <c r="F144" s="10">
        <v>2520985.4937850018</v>
      </c>
      <c r="G144" s="10">
        <v>2101256.2921972778</v>
      </c>
      <c r="H144">
        <v>1.138513732678891</v>
      </c>
      <c r="I144">
        <v>0.83350590369421607</v>
      </c>
      <c r="J144">
        <v>5.78</v>
      </c>
      <c r="K144">
        <v>0.26790000000000003</v>
      </c>
    </row>
    <row r="145" spans="1:11" x14ac:dyDescent="0.3">
      <c r="A145" s="31">
        <v>45747</v>
      </c>
      <c r="B145" t="s">
        <v>192</v>
      </c>
      <c r="C145" t="s">
        <v>553</v>
      </c>
      <c r="D145" t="s">
        <v>24</v>
      </c>
      <c r="E145" s="10">
        <v>976098.34000000008</v>
      </c>
      <c r="F145" s="10">
        <v>1232914.4120247569</v>
      </c>
      <c r="G145" s="10">
        <v>408749.4251086429</v>
      </c>
      <c r="H145">
        <v>0.41875844713417182</v>
      </c>
      <c r="I145">
        <v>0.33153106259612392</v>
      </c>
    </row>
    <row r="146" spans="1:11" x14ac:dyDescent="0.3">
      <c r="A146" s="31">
        <v>45747</v>
      </c>
      <c r="B146" t="s">
        <v>192</v>
      </c>
      <c r="C146" t="s">
        <v>324</v>
      </c>
      <c r="D146" t="s">
        <v>552</v>
      </c>
      <c r="E146" s="10">
        <v>250959.46</v>
      </c>
      <c r="F146" s="10">
        <v>316988.07629152457</v>
      </c>
      <c r="G146" s="10">
        <v>260577.7004517508</v>
      </c>
      <c r="H146">
        <v>1.038325873237657</v>
      </c>
      <c r="I146">
        <v>0.82204259384225287</v>
      </c>
      <c r="J146">
        <v>4.55</v>
      </c>
      <c r="K146">
        <v>0.20830000000000001</v>
      </c>
    </row>
    <row r="147" spans="1:11" x14ac:dyDescent="0.3">
      <c r="A147" s="31">
        <v>45747</v>
      </c>
      <c r="B147" t="s">
        <v>192</v>
      </c>
      <c r="C147" t="s">
        <v>323</v>
      </c>
      <c r="D147" t="s">
        <v>552</v>
      </c>
      <c r="E147" s="10">
        <v>390454.91</v>
      </c>
      <c r="F147" s="10">
        <v>493185.43640267779</v>
      </c>
      <c r="G147" s="10">
        <v>401338.57004743651</v>
      </c>
      <c r="H147">
        <v>1.0278743070421019</v>
      </c>
      <c r="I147">
        <v>0.81376808888523244</v>
      </c>
      <c r="J147">
        <v>4.55</v>
      </c>
      <c r="K147">
        <v>0.20830000000000001</v>
      </c>
    </row>
    <row r="148" spans="1:11" x14ac:dyDescent="0.3">
      <c r="A148" s="31">
        <v>45747</v>
      </c>
      <c r="B148" t="s">
        <v>192</v>
      </c>
      <c r="C148" t="s">
        <v>322</v>
      </c>
      <c r="D148" t="s">
        <v>552</v>
      </c>
      <c r="E148" s="10">
        <v>729130.38</v>
      </c>
      <c r="F148" s="10">
        <v>920968.01818870788</v>
      </c>
      <c r="G148" s="10">
        <v>765525.81707057147</v>
      </c>
      <c r="H148">
        <v>1.049916226327823</v>
      </c>
      <c r="I148">
        <v>0.83121867638373725</v>
      </c>
      <c r="J148">
        <v>4.55</v>
      </c>
      <c r="K148">
        <v>0.20830000000000001</v>
      </c>
    </row>
    <row r="149" spans="1:11" x14ac:dyDescent="0.3">
      <c r="A149" s="31">
        <v>45747</v>
      </c>
      <c r="B149" t="s">
        <v>192</v>
      </c>
      <c r="C149" t="s">
        <v>321</v>
      </c>
      <c r="D149" t="s">
        <v>552</v>
      </c>
      <c r="E149" s="10">
        <v>235180.82</v>
      </c>
      <c r="F149" s="10">
        <v>297058.00176834658</v>
      </c>
      <c r="G149" s="10">
        <v>246643.94263761799</v>
      </c>
      <c r="H149">
        <v>1.0487417410893369</v>
      </c>
      <c r="I149">
        <v>0.83028883642042817</v>
      </c>
      <c r="J149">
        <v>4.55</v>
      </c>
      <c r="K149">
        <v>0.20830000000000001</v>
      </c>
    </row>
    <row r="150" spans="1:11" x14ac:dyDescent="0.3">
      <c r="A150" s="31">
        <v>45747</v>
      </c>
      <c r="B150" t="s">
        <v>192</v>
      </c>
      <c r="C150" t="s">
        <v>320</v>
      </c>
      <c r="D150" t="s">
        <v>552</v>
      </c>
      <c r="E150" s="10">
        <v>259882.91</v>
      </c>
      <c r="F150" s="10">
        <v>328259.32802829362</v>
      </c>
      <c r="G150" s="10">
        <v>278896.89613480133</v>
      </c>
      <c r="H150">
        <v>1.0731636648781611</v>
      </c>
      <c r="I150">
        <v>0.84962367348404022</v>
      </c>
      <c r="J150">
        <v>4.55</v>
      </c>
      <c r="K150">
        <v>0.20830000000000001</v>
      </c>
    </row>
    <row r="151" spans="1:11" x14ac:dyDescent="0.3">
      <c r="A151" s="31">
        <v>45747</v>
      </c>
      <c r="B151" t="s">
        <v>192</v>
      </c>
      <c r="C151" t="s">
        <v>319</v>
      </c>
      <c r="D151" t="s">
        <v>552</v>
      </c>
      <c r="E151" s="10">
        <v>215952.71</v>
      </c>
      <c r="F151" s="10">
        <v>272770.88543640269</v>
      </c>
      <c r="G151" s="10">
        <v>227529.85303626591</v>
      </c>
      <c r="H151">
        <v>1.0536096214595589</v>
      </c>
      <c r="I151">
        <v>0.83414273730953281</v>
      </c>
      <c r="J151">
        <v>4.55</v>
      </c>
      <c r="K151">
        <v>0.20830000000000001</v>
      </c>
    </row>
    <row r="152" spans="1:11" x14ac:dyDescent="0.3">
      <c r="A152" s="31">
        <v>45747</v>
      </c>
      <c r="B152" t="s">
        <v>192</v>
      </c>
      <c r="C152" t="s">
        <v>268</v>
      </c>
      <c r="D152" t="s">
        <v>552</v>
      </c>
      <c r="E152" s="10">
        <v>203605.11</v>
      </c>
      <c r="F152" s="10">
        <v>257174.57370215989</v>
      </c>
      <c r="G152" s="10">
        <v>213523.2825891581</v>
      </c>
      <c r="H152">
        <v>1.0487127881474001</v>
      </c>
      <c r="I152">
        <v>0.83026591437629649</v>
      </c>
      <c r="J152">
        <v>4.55</v>
      </c>
      <c r="K152">
        <v>0.20830000000000001</v>
      </c>
    </row>
    <row r="153" spans="1:11" x14ac:dyDescent="0.3">
      <c r="A153" s="31">
        <v>45747</v>
      </c>
      <c r="B153" t="s">
        <v>192</v>
      </c>
      <c r="C153" t="s">
        <v>318</v>
      </c>
      <c r="D153" t="s">
        <v>552</v>
      </c>
      <c r="E153" s="10">
        <v>483706.72</v>
      </c>
      <c r="F153" s="10">
        <v>610972.23695844389</v>
      </c>
      <c r="G153" s="10">
        <v>515335.28153789247</v>
      </c>
      <c r="H153">
        <v>1.0653878894589111</v>
      </c>
      <c r="I153">
        <v>0.84346759208461985</v>
      </c>
      <c r="J153">
        <v>4.55</v>
      </c>
      <c r="K153">
        <v>0.20830000000000001</v>
      </c>
    </row>
    <row r="154" spans="1:11" x14ac:dyDescent="0.3">
      <c r="A154" s="31">
        <v>45747</v>
      </c>
      <c r="B154" t="s">
        <v>192</v>
      </c>
      <c r="C154" t="s">
        <v>317</v>
      </c>
      <c r="D154" t="s">
        <v>552</v>
      </c>
      <c r="E154" s="10">
        <v>219697.67</v>
      </c>
      <c r="F154" s="10">
        <v>277501.16205633449</v>
      </c>
      <c r="G154" s="10">
        <v>233725.19639651419</v>
      </c>
      <c r="H154">
        <v>1.063849226969563</v>
      </c>
      <c r="I154">
        <v>0.84224943299180322</v>
      </c>
      <c r="J154">
        <v>4.55</v>
      </c>
      <c r="K154">
        <v>0.20830000000000001</v>
      </c>
    </row>
    <row r="155" spans="1:11" x14ac:dyDescent="0.3">
      <c r="A155" s="31">
        <v>45747</v>
      </c>
      <c r="B155" t="s">
        <v>192</v>
      </c>
      <c r="C155" t="s">
        <v>316</v>
      </c>
      <c r="D155" t="s">
        <v>552</v>
      </c>
      <c r="E155" s="10">
        <v>450067.95</v>
      </c>
      <c r="F155" s="10">
        <v>568482.94808639644</v>
      </c>
      <c r="G155" s="10">
        <v>476009.85673431063</v>
      </c>
      <c r="H155">
        <v>1.057639977995124</v>
      </c>
      <c r="I155">
        <v>0.83733357057873969</v>
      </c>
      <c r="J155">
        <v>4.55</v>
      </c>
      <c r="K155">
        <v>0.20830000000000001</v>
      </c>
    </row>
    <row r="156" spans="1:11" x14ac:dyDescent="0.3">
      <c r="A156" s="31">
        <v>45747</v>
      </c>
      <c r="B156" t="s">
        <v>191</v>
      </c>
      <c r="C156" t="s">
        <v>553</v>
      </c>
      <c r="D156" t="s">
        <v>24</v>
      </c>
      <c r="E156" s="10">
        <v>723602.8</v>
      </c>
      <c r="F156" s="10">
        <v>861842.30585993326</v>
      </c>
      <c r="G156" s="10">
        <v>279797.51141115121</v>
      </c>
      <c r="H156">
        <v>0.38667278707483038</v>
      </c>
      <c r="I156">
        <v>0.32465047202802771</v>
      </c>
    </row>
    <row r="157" spans="1:11" x14ac:dyDescent="0.3">
      <c r="A157" s="31">
        <v>45747</v>
      </c>
      <c r="B157" t="s">
        <v>191</v>
      </c>
      <c r="C157" t="s">
        <v>324</v>
      </c>
      <c r="D157" t="s">
        <v>552</v>
      </c>
      <c r="E157" s="10">
        <v>103854.57</v>
      </c>
      <c r="F157" s="10">
        <v>123695.29537875181</v>
      </c>
      <c r="G157" s="10">
        <v>105343.6529096657</v>
      </c>
      <c r="H157">
        <v>1.0143381548800949</v>
      </c>
      <c r="I157">
        <v>0.85163831483732788</v>
      </c>
      <c r="J157">
        <v>4.33</v>
      </c>
      <c r="K157">
        <v>0.16039999999999999</v>
      </c>
    </row>
    <row r="158" spans="1:11" x14ac:dyDescent="0.3">
      <c r="A158" s="31">
        <v>45747</v>
      </c>
      <c r="B158" t="s">
        <v>191</v>
      </c>
      <c r="C158" t="s">
        <v>323</v>
      </c>
      <c r="D158" t="s">
        <v>552</v>
      </c>
      <c r="E158" s="10">
        <v>512269.38</v>
      </c>
      <c r="F158" s="10">
        <v>610135.04049547401</v>
      </c>
      <c r="G158" s="10">
        <v>497873.40787483891</v>
      </c>
      <c r="H158">
        <v>0.97189765251016735</v>
      </c>
      <c r="I158">
        <v>0.81600526904753656</v>
      </c>
      <c r="J158">
        <v>4.33</v>
      </c>
      <c r="K158">
        <v>0.16039999999999999</v>
      </c>
    </row>
    <row r="159" spans="1:11" x14ac:dyDescent="0.3">
      <c r="A159" s="31">
        <v>45747</v>
      </c>
      <c r="B159" t="s">
        <v>191</v>
      </c>
      <c r="C159" t="s">
        <v>322</v>
      </c>
      <c r="D159" t="s">
        <v>552</v>
      </c>
      <c r="E159" s="10">
        <v>438060.29</v>
      </c>
      <c r="F159" s="10">
        <v>521748.79704621242</v>
      </c>
      <c r="G159" s="10">
        <v>432801.18802480632</v>
      </c>
      <c r="H159">
        <v>0.98799457039305327</v>
      </c>
      <c r="I159">
        <v>0.82952024130200763</v>
      </c>
      <c r="J159">
        <v>4.33</v>
      </c>
      <c r="K159">
        <v>0.16039999999999999</v>
      </c>
    </row>
    <row r="160" spans="1:11" x14ac:dyDescent="0.3">
      <c r="A160" s="31">
        <v>45747</v>
      </c>
      <c r="B160" t="s">
        <v>191</v>
      </c>
      <c r="C160" t="s">
        <v>321</v>
      </c>
      <c r="D160" t="s">
        <v>552</v>
      </c>
      <c r="E160" s="10">
        <v>161503.26999999999</v>
      </c>
      <c r="F160" s="10">
        <v>192357.39637922819</v>
      </c>
      <c r="G160" s="10">
        <v>162003.12740753079</v>
      </c>
      <c r="H160">
        <v>1.0030950296395289</v>
      </c>
      <c r="I160">
        <v>0.84219858688534821</v>
      </c>
      <c r="J160">
        <v>4.33</v>
      </c>
      <c r="K160">
        <v>0.16039999999999999</v>
      </c>
    </row>
    <row r="161" spans="1:11" x14ac:dyDescent="0.3">
      <c r="A161" s="31">
        <v>45747</v>
      </c>
      <c r="B161" t="s">
        <v>191</v>
      </c>
      <c r="C161" t="s">
        <v>320</v>
      </c>
      <c r="D161" t="s">
        <v>552</v>
      </c>
      <c r="E161" s="10">
        <v>293556.92</v>
      </c>
      <c r="F161" s="10">
        <v>349639.01858027629</v>
      </c>
      <c r="G161" s="10">
        <v>297427.25584801048</v>
      </c>
      <c r="H161">
        <v>1.0131842773388231</v>
      </c>
      <c r="I161">
        <v>0.8506695192536754</v>
      </c>
      <c r="J161">
        <v>4.33</v>
      </c>
      <c r="K161">
        <v>0.16039999999999999</v>
      </c>
    </row>
    <row r="162" spans="1:11" x14ac:dyDescent="0.3">
      <c r="A162" s="31">
        <v>45747</v>
      </c>
      <c r="B162" t="s">
        <v>191</v>
      </c>
      <c r="C162" t="s">
        <v>319</v>
      </c>
      <c r="D162" t="s">
        <v>552</v>
      </c>
      <c r="E162" s="10">
        <v>177553.07</v>
      </c>
      <c r="F162" s="10">
        <v>211473.4040019057</v>
      </c>
      <c r="G162" s="10">
        <v>173898.5366310965</v>
      </c>
      <c r="H162">
        <v>0.97941723356907595</v>
      </c>
      <c r="I162">
        <v>0.82231870930459627</v>
      </c>
      <c r="J162">
        <v>4.33</v>
      </c>
      <c r="K162">
        <v>0.16039999999999999</v>
      </c>
    </row>
    <row r="163" spans="1:11" x14ac:dyDescent="0.3">
      <c r="A163" s="31">
        <v>45747</v>
      </c>
      <c r="B163" t="s">
        <v>191</v>
      </c>
      <c r="C163" t="s">
        <v>268</v>
      </c>
      <c r="D163" t="s">
        <v>552</v>
      </c>
      <c r="E163" s="10">
        <v>80120.91</v>
      </c>
      <c r="F163" s="10">
        <v>95427.477370176275</v>
      </c>
      <c r="G163" s="10">
        <v>79190.573177342812</v>
      </c>
      <c r="H163">
        <v>0.98838833929048997</v>
      </c>
      <c r="I163">
        <v>0.82985084966829537</v>
      </c>
      <c r="J163">
        <v>4.33</v>
      </c>
      <c r="K163">
        <v>0.16039999999999999</v>
      </c>
    </row>
    <row r="164" spans="1:11" x14ac:dyDescent="0.3">
      <c r="A164" s="31">
        <v>45747</v>
      </c>
      <c r="B164" t="s">
        <v>191</v>
      </c>
      <c r="C164" t="s">
        <v>318</v>
      </c>
      <c r="D164" t="s">
        <v>552</v>
      </c>
      <c r="E164" s="10">
        <v>254085.63</v>
      </c>
      <c r="F164" s="10">
        <v>302627.00095283467</v>
      </c>
      <c r="G164" s="10">
        <v>252270.2113904143</v>
      </c>
      <c r="H164">
        <v>0.99285509137377936</v>
      </c>
      <c r="I164">
        <v>0.83360113471742525</v>
      </c>
      <c r="J164">
        <v>4.33</v>
      </c>
      <c r="K164">
        <v>0.16039999999999999</v>
      </c>
    </row>
    <row r="165" spans="1:11" x14ac:dyDescent="0.3">
      <c r="A165" s="31">
        <v>45747</v>
      </c>
      <c r="B165" t="s">
        <v>191</v>
      </c>
      <c r="C165" t="s">
        <v>317</v>
      </c>
      <c r="D165" t="s">
        <v>552</v>
      </c>
      <c r="E165" s="10">
        <v>238453.28</v>
      </c>
      <c r="F165" s="10">
        <v>284008.19437827542</v>
      </c>
      <c r="G165" s="10">
        <v>232317.12708366569</v>
      </c>
      <c r="H165">
        <v>0.97426685463779605</v>
      </c>
      <c r="I165">
        <v>0.81799445115389358</v>
      </c>
      <c r="J165">
        <v>4.33</v>
      </c>
      <c r="K165">
        <v>0.16039999999999999</v>
      </c>
    </row>
    <row r="166" spans="1:11" x14ac:dyDescent="0.3">
      <c r="A166" s="31">
        <v>45747</v>
      </c>
      <c r="B166" t="s">
        <v>191</v>
      </c>
      <c r="C166" t="s">
        <v>316</v>
      </c>
      <c r="D166" t="s">
        <v>552</v>
      </c>
      <c r="E166" s="10">
        <v>186465.98</v>
      </c>
      <c r="F166" s="10">
        <v>222089.0662220105</v>
      </c>
      <c r="G166" s="10">
        <v>182680.19220147259</v>
      </c>
      <c r="H166">
        <v>0.97969716621483771</v>
      </c>
      <c r="I166">
        <v>0.8225537407539778</v>
      </c>
      <c r="J166">
        <v>4.33</v>
      </c>
      <c r="K166">
        <v>0.16039999999999999</v>
      </c>
    </row>
    <row r="167" spans="1:11" x14ac:dyDescent="0.3">
      <c r="A167" s="31">
        <v>45747</v>
      </c>
      <c r="B167" t="s">
        <v>193</v>
      </c>
      <c r="C167" t="s">
        <v>553</v>
      </c>
      <c r="D167" t="s">
        <v>24</v>
      </c>
      <c r="E167" s="10">
        <v>1121988.98</v>
      </c>
      <c r="F167" s="10">
        <v>1684921.129298694</v>
      </c>
      <c r="G167" s="10">
        <v>481438.60372571438</v>
      </c>
      <c r="H167">
        <v>0.42909387909114249</v>
      </c>
      <c r="I167">
        <v>0.28573361408679182</v>
      </c>
    </row>
    <row r="168" spans="1:11" x14ac:dyDescent="0.3">
      <c r="A168" s="31">
        <v>45747</v>
      </c>
      <c r="B168" t="s">
        <v>193</v>
      </c>
      <c r="C168" t="s">
        <v>324</v>
      </c>
      <c r="D168" t="s">
        <v>552</v>
      </c>
      <c r="E168" s="10">
        <v>1114052.07</v>
      </c>
      <c r="F168" s="10">
        <v>1673002.0573659709</v>
      </c>
      <c r="G168" s="10">
        <v>1346251.929408784</v>
      </c>
      <c r="H168">
        <v>1.2084281925967639</v>
      </c>
      <c r="I168">
        <v>0.8046923334501852</v>
      </c>
      <c r="J168">
        <v>6.94</v>
      </c>
      <c r="K168">
        <v>0.33410000000000001</v>
      </c>
    </row>
    <row r="169" spans="1:11" x14ac:dyDescent="0.3">
      <c r="A169" s="31">
        <v>45747</v>
      </c>
      <c r="B169" t="s">
        <v>193</v>
      </c>
      <c r="C169" t="s">
        <v>323</v>
      </c>
      <c r="D169" t="s">
        <v>552</v>
      </c>
      <c r="E169" s="10">
        <v>928594.26</v>
      </c>
      <c r="F169" s="10">
        <v>1394495.0593182161</v>
      </c>
      <c r="G169" s="10">
        <v>1132065.479902653</v>
      </c>
      <c r="H169">
        <v>1.219117464610058</v>
      </c>
      <c r="I169">
        <v>0.81181031968383732</v>
      </c>
      <c r="J169">
        <v>6.94</v>
      </c>
      <c r="K169">
        <v>0.33410000000000001</v>
      </c>
    </row>
    <row r="170" spans="1:11" x14ac:dyDescent="0.3">
      <c r="A170" s="31">
        <v>45747</v>
      </c>
      <c r="B170" t="s">
        <v>193</v>
      </c>
      <c r="C170" t="s">
        <v>322</v>
      </c>
      <c r="D170" t="s">
        <v>552</v>
      </c>
      <c r="E170" s="10">
        <v>169292.32</v>
      </c>
      <c r="F170" s="10">
        <v>254230.84547229321</v>
      </c>
      <c r="G170" s="10">
        <v>199801.65659300381</v>
      </c>
      <c r="H170">
        <v>1.1802168969803459</v>
      </c>
      <c r="I170">
        <v>0.78590643169921237</v>
      </c>
      <c r="J170">
        <v>6.94</v>
      </c>
      <c r="K170">
        <v>0.33410000000000001</v>
      </c>
    </row>
    <row r="171" spans="1:11" x14ac:dyDescent="0.3">
      <c r="A171" s="31">
        <v>45747</v>
      </c>
      <c r="B171" t="s">
        <v>193</v>
      </c>
      <c r="C171" t="s">
        <v>321</v>
      </c>
      <c r="D171" t="s">
        <v>552</v>
      </c>
      <c r="E171" s="10">
        <v>250239.68</v>
      </c>
      <c r="F171" s="10">
        <v>375791.68043249741</v>
      </c>
      <c r="G171" s="10">
        <v>301472.806037337</v>
      </c>
      <c r="H171">
        <v>1.204736219441046</v>
      </c>
      <c r="I171">
        <v>0.80223384852579216</v>
      </c>
      <c r="J171">
        <v>6.94</v>
      </c>
      <c r="K171">
        <v>0.33410000000000001</v>
      </c>
    </row>
    <row r="172" spans="1:11" x14ac:dyDescent="0.3">
      <c r="A172" s="31">
        <v>45747</v>
      </c>
      <c r="B172" t="s">
        <v>193</v>
      </c>
      <c r="C172" t="s">
        <v>320</v>
      </c>
      <c r="D172" t="s">
        <v>552</v>
      </c>
      <c r="E172" s="10">
        <v>1208539.03</v>
      </c>
      <c r="F172" s="10">
        <v>1814895.675026281</v>
      </c>
      <c r="G172" s="10">
        <v>1504254.8407325989</v>
      </c>
      <c r="H172">
        <v>1.244688672348959</v>
      </c>
      <c r="I172">
        <v>0.82883818691717204</v>
      </c>
      <c r="J172">
        <v>6.94</v>
      </c>
      <c r="K172">
        <v>0.33410000000000001</v>
      </c>
    </row>
    <row r="173" spans="1:11" x14ac:dyDescent="0.3">
      <c r="A173" s="31">
        <v>45747</v>
      </c>
      <c r="B173" t="s">
        <v>193</v>
      </c>
      <c r="C173" t="s">
        <v>319</v>
      </c>
      <c r="D173" t="s">
        <v>552</v>
      </c>
      <c r="E173" s="10">
        <v>181453.67</v>
      </c>
      <c r="F173" s="10">
        <v>272493.87295389711</v>
      </c>
      <c r="G173" s="10">
        <v>223380.3974291551</v>
      </c>
      <c r="H173">
        <v>1.2310602338831449</v>
      </c>
      <c r="I173">
        <v>0.81976300974278637</v>
      </c>
      <c r="J173">
        <v>6.94</v>
      </c>
      <c r="K173">
        <v>0.33410000000000001</v>
      </c>
    </row>
    <row r="174" spans="1:11" x14ac:dyDescent="0.3">
      <c r="A174" s="31">
        <v>45747</v>
      </c>
      <c r="B174" t="s">
        <v>193</v>
      </c>
      <c r="C174" t="s">
        <v>268</v>
      </c>
      <c r="D174" t="s">
        <v>552</v>
      </c>
      <c r="E174" s="10">
        <v>216955.42</v>
      </c>
      <c r="F174" s="10">
        <v>325807.80898032739</v>
      </c>
      <c r="G174" s="10">
        <v>254427.07372295571</v>
      </c>
      <c r="H174">
        <v>1.172715914278406</v>
      </c>
      <c r="I174">
        <v>0.78091152731799063</v>
      </c>
      <c r="J174">
        <v>6.94</v>
      </c>
      <c r="K174">
        <v>0.33410000000000001</v>
      </c>
    </row>
    <row r="175" spans="1:11" x14ac:dyDescent="0.3">
      <c r="A175" s="31">
        <v>45747</v>
      </c>
      <c r="B175" t="s">
        <v>193</v>
      </c>
      <c r="C175" t="s">
        <v>318</v>
      </c>
      <c r="D175" t="s">
        <v>552</v>
      </c>
      <c r="E175" s="10">
        <v>383995.08</v>
      </c>
      <c r="F175" s="10">
        <v>576655.77414026146</v>
      </c>
      <c r="G175" s="10">
        <v>452600.20867087168</v>
      </c>
      <c r="H175">
        <v>1.1786614783472531</v>
      </c>
      <c r="I175">
        <v>0.78487067843143554</v>
      </c>
      <c r="J175">
        <v>6.94</v>
      </c>
      <c r="K175">
        <v>0.33410000000000001</v>
      </c>
    </row>
    <row r="176" spans="1:11" x14ac:dyDescent="0.3">
      <c r="A176" s="31">
        <v>45747</v>
      </c>
      <c r="B176" t="s">
        <v>193</v>
      </c>
      <c r="C176" t="s">
        <v>317</v>
      </c>
      <c r="D176" t="s">
        <v>552</v>
      </c>
      <c r="E176" s="10">
        <v>695736.55</v>
      </c>
      <c r="F176" s="10">
        <v>1044806.3523051511</v>
      </c>
      <c r="G176" s="10">
        <v>865851.43770743662</v>
      </c>
      <c r="H176">
        <v>1.244510494248773</v>
      </c>
      <c r="I176">
        <v>0.82871953812025823</v>
      </c>
      <c r="J176">
        <v>6.94</v>
      </c>
      <c r="K176">
        <v>0.33410000000000001</v>
      </c>
    </row>
    <row r="177" spans="1:11" x14ac:dyDescent="0.3">
      <c r="A177" s="31">
        <v>45747</v>
      </c>
      <c r="B177" t="s">
        <v>193</v>
      </c>
      <c r="C177" t="s">
        <v>316</v>
      </c>
      <c r="D177" t="s">
        <v>552</v>
      </c>
      <c r="E177" s="10">
        <v>1209079.55</v>
      </c>
      <c r="F177" s="10">
        <v>1815707.3884967719</v>
      </c>
      <c r="G177" s="10">
        <v>1480155.824169738</v>
      </c>
      <c r="H177">
        <v>1.224200528550613</v>
      </c>
      <c r="I177">
        <v>0.81519513196185334</v>
      </c>
      <c r="J177">
        <v>6.94</v>
      </c>
      <c r="K177">
        <v>0.33410000000000001</v>
      </c>
    </row>
    <row r="178" spans="1:11" x14ac:dyDescent="0.3">
      <c r="A178" s="31">
        <v>45777</v>
      </c>
      <c r="B178" t="s">
        <v>186</v>
      </c>
      <c r="C178" t="s">
        <v>553</v>
      </c>
      <c r="D178" t="s">
        <v>24</v>
      </c>
      <c r="E178" s="10">
        <v>3027162.88</v>
      </c>
      <c r="F178" s="10">
        <v>4096143.438475884</v>
      </c>
      <c r="G178" s="10">
        <v>1326102.228988094</v>
      </c>
      <c r="H178">
        <v>0.43806768302738103</v>
      </c>
      <c r="I178">
        <v>0.32374408975324293</v>
      </c>
    </row>
    <row r="179" spans="1:11" x14ac:dyDescent="0.3">
      <c r="A179" s="31">
        <v>45777</v>
      </c>
      <c r="B179" t="s">
        <v>186</v>
      </c>
      <c r="C179" t="s">
        <v>324</v>
      </c>
      <c r="D179" t="s">
        <v>552</v>
      </c>
      <c r="E179" s="10">
        <v>1699257.02</v>
      </c>
      <c r="F179" s="10">
        <v>2408244.0759637188</v>
      </c>
      <c r="G179" s="10">
        <v>1934005.0725925851</v>
      </c>
      <c r="H179">
        <v>1.138147466704351</v>
      </c>
      <c r="I179">
        <v>0.80307685250659022</v>
      </c>
      <c r="J179">
        <v>6.08</v>
      </c>
      <c r="K179">
        <v>0.2944</v>
      </c>
    </row>
    <row r="180" spans="1:11" x14ac:dyDescent="0.3">
      <c r="A180" s="31">
        <v>45777</v>
      </c>
      <c r="B180" t="s">
        <v>186</v>
      </c>
      <c r="C180" t="s">
        <v>323</v>
      </c>
      <c r="D180" t="s">
        <v>552</v>
      </c>
      <c r="E180" s="10">
        <v>2098482.56</v>
      </c>
      <c r="F180" s="10">
        <v>2808085.855747357</v>
      </c>
      <c r="G180" s="10">
        <v>2311679.369566916</v>
      </c>
      <c r="H180">
        <v>1.101595702356905</v>
      </c>
      <c r="I180">
        <v>0.82322246837131519</v>
      </c>
      <c r="J180">
        <v>5.56</v>
      </c>
      <c r="K180">
        <v>0.25269999999999998</v>
      </c>
    </row>
    <row r="181" spans="1:11" x14ac:dyDescent="0.3">
      <c r="A181" s="31">
        <v>45777</v>
      </c>
      <c r="B181" t="s">
        <v>186</v>
      </c>
      <c r="C181" t="s">
        <v>322</v>
      </c>
      <c r="D181" t="s">
        <v>552</v>
      </c>
      <c r="E181" s="10">
        <v>1200139.21</v>
      </c>
      <c r="F181" s="10">
        <v>1558419.9584469551</v>
      </c>
      <c r="G181" s="10">
        <v>1243554.3498577699</v>
      </c>
      <c r="H181">
        <v>1.036175086603303</v>
      </c>
      <c r="I181">
        <v>0.79795843419320356</v>
      </c>
      <c r="J181">
        <v>5.18</v>
      </c>
      <c r="K181">
        <v>0.22989999999999999</v>
      </c>
    </row>
    <row r="182" spans="1:11" x14ac:dyDescent="0.3">
      <c r="A182" s="31">
        <v>45777</v>
      </c>
      <c r="B182" t="s">
        <v>186</v>
      </c>
      <c r="C182" t="s">
        <v>321</v>
      </c>
      <c r="D182" t="s">
        <v>552</v>
      </c>
      <c r="E182" s="10">
        <v>745981.36</v>
      </c>
      <c r="F182" s="10">
        <v>980780.12095713906</v>
      </c>
      <c r="G182" s="10">
        <v>785681.58745397464</v>
      </c>
      <c r="H182">
        <v>1.0532187928314649</v>
      </c>
      <c r="I182">
        <v>0.80107821382761246</v>
      </c>
      <c r="J182">
        <v>5.37</v>
      </c>
      <c r="K182">
        <v>0.2394</v>
      </c>
    </row>
    <row r="183" spans="1:11" x14ac:dyDescent="0.3">
      <c r="A183" s="31">
        <v>45777</v>
      </c>
      <c r="B183" t="s">
        <v>186</v>
      </c>
      <c r="C183" t="s">
        <v>320</v>
      </c>
      <c r="D183" t="s">
        <v>552</v>
      </c>
      <c r="E183" s="10">
        <v>1274741.47</v>
      </c>
      <c r="F183" s="10">
        <v>1747418.0534612751</v>
      </c>
      <c r="G183" s="10">
        <v>1389573.5084070731</v>
      </c>
      <c r="H183">
        <v>1.0900826097758261</v>
      </c>
      <c r="I183">
        <v>0.79521526383146512</v>
      </c>
      <c r="J183">
        <v>5.7</v>
      </c>
      <c r="K183">
        <v>0.27050000000000002</v>
      </c>
    </row>
    <row r="184" spans="1:11" x14ac:dyDescent="0.3">
      <c r="A184" s="31">
        <v>45777</v>
      </c>
      <c r="B184" t="s">
        <v>186</v>
      </c>
      <c r="C184" t="s">
        <v>319</v>
      </c>
      <c r="D184" t="s">
        <v>552</v>
      </c>
      <c r="E184" s="10">
        <v>945262.43</v>
      </c>
      <c r="F184" s="10">
        <v>1298080.7882449881</v>
      </c>
      <c r="G184" s="10">
        <v>1056934.1387463789</v>
      </c>
      <c r="H184">
        <v>1.118138312919492</v>
      </c>
      <c r="I184">
        <v>0.8142283194679738</v>
      </c>
      <c r="J184">
        <v>5.84</v>
      </c>
      <c r="K184">
        <v>0.27179999999999999</v>
      </c>
    </row>
    <row r="185" spans="1:11" x14ac:dyDescent="0.3">
      <c r="A185" s="31">
        <v>45777</v>
      </c>
      <c r="B185" t="s">
        <v>186</v>
      </c>
      <c r="C185" t="s">
        <v>268</v>
      </c>
      <c r="D185" t="s">
        <v>552</v>
      </c>
      <c r="E185" s="10">
        <v>615736.75</v>
      </c>
      <c r="F185" s="10">
        <v>811461.18871903</v>
      </c>
      <c r="G185" s="10">
        <v>668778.45807295432</v>
      </c>
      <c r="H185">
        <v>1.086143482702558</v>
      </c>
      <c r="I185">
        <v>0.82416567467470114</v>
      </c>
      <c r="J185">
        <v>5.36</v>
      </c>
      <c r="K185">
        <v>0.2412</v>
      </c>
    </row>
    <row r="186" spans="1:11" x14ac:dyDescent="0.3">
      <c r="A186" s="31">
        <v>45777</v>
      </c>
      <c r="B186" t="s">
        <v>186</v>
      </c>
      <c r="C186" t="s">
        <v>318</v>
      </c>
      <c r="D186" t="s">
        <v>552</v>
      </c>
      <c r="E186" s="10">
        <v>1336090.22</v>
      </c>
      <c r="F186" s="10">
        <v>1753629.373933587</v>
      </c>
      <c r="G186" s="10">
        <v>1459243.0568717751</v>
      </c>
      <c r="H186">
        <v>1.0921740426120139</v>
      </c>
      <c r="I186">
        <v>0.83212740306609334</v>
      </c>
      <c r="J186">
        <v>5.33</v>
      </c>
      <c r="K186">
        <v>0.23810000000000001</v>
      </c>
    </row>
    <row r="187" spans="1:11" x14ac:dyDescent="0.3">
      <c r="A187" s="31">
        <v>45777</v>
      </c>
      <c r="B187" t="s">
        <v>186</v>
      </c>
      <c r="C187" t="s">
        <v>317</v>
      </c>
      <c r="D187" t="s">
        <v>552</v>
      </c>
      <c r="E187" s="10">
        <v>950546.4</v>
      </c>
      <c r="F187" s="10">
        <v>1218024.6027678109</v>
      </c>
      <c r="G187" s="10">
        <v>1030600.883912254</v>
      </c>
      <c r="H187">
        <v>1.0842194383275281</v>
      </c>
      <c r="I187">
        <v>0.8461248496708027</v>
      </c>
      <c r="J187">
        <v>5.0999999999999996</v>
      </c>
      <c r="K187">
        <v>0.21959999999999999</v>
      </c>
    </row>
    <row r="188" spans="1:11" x14ac:dyDescent="0.3">
      <c r="A188" s="31">
        <v>45777</v>
      </c>
      <c r="B188" t="s">
        <v>186</v>
      </c>
      <c r="C188" t="s">
        <v>316</v>
      </c>
      <c r="D188" t="s">
        <v>552</v>
      </c>
      <c r="E188" s="10">
        <v>1878667.42</v>
      </c>
      <c r="F188" s="10">
        <v>2613979.9916515928</v>
      </c>
      <c r="G188" s="10">
        <v>2064508.0858788539</v>
      </c>
      <c r="H188">
        <v>1.098921535499271</v>
      </c>
      <c r="I188">
        <v>0.78979490756332638</v>
      </c>
      <c r="J188">
        <v>5.91</v>
      </c>
      <c r="K188">
        <v>0.28129999999999999</v>
      </c>
    </row>
    <row r="189" spans="1:11" x14ac:dyDescent="0.3">
      <c r="A189" s="31">
        <v>45777</v>
      </c>
      <c r="B189" t="s">
        <v>192</v>
      </c>
      <c r="C189" t="s">
        <v>553</v>
      </c>
      <c r="D189" t="s">
        <v>24</v>
      </c>
      <c r="E189" s="10">
        <v>556917.53</v>
      </c>
      <c r="F189" s="10">
        <v>721022.17762817198</v>
      </c>
      <c r="G189" s="10">
        <v>238034.12895125509</v>
      </c>
      <c r="H189">
        <v>0.42741360458029592</v>
      </c>
      <c r="I189">
        <v>0.33013426817782049</v>
      </c>
    </row>
    <row r="190" spans="1:11" x14ac:dyDescent="0.3">
      <c r="A190" s="31">
        <v>45777</v>
      </c>
      <c r="B190" t="s">
        <v>192</v>
      </c>
      <c r="C190" t="s">
        <v>324</v>
      </c>
      <c r="D190" t="s">
        <v>552</v>
      </c>
      <c r="E190" s="10">
        <v>378080.75</v>
      </c>
      <c r="F190" s="10">
        <v>489488.28327291558</v>
      </c>
      <c r="G190" s="10">
        <v>415473.94739492238</v>
      </c>
      <c r="H190">
        <v>1.098902674613617</v>
      </c>
      <c r="I190">
        <v>0.84879242587155812</v>
      </c>
      <c r="J190">
        <v>5.0199999999999996</v>
      </c>
      <c r="K190">
        <v>0.2276</v>
      </c>
    </row>
    <row r="191" spans="1:11" x14ac:dyDescent="0.3">
      <c r="A191" s="31">
        <v>45777</v>
      </c>
      <c r="B191" t="s">
        <v>192</v>
      </c>
      <c r="C191" t="s">
        <v>323</v>
      </c>
      <c r="D191" t="s">
        <v>552</v>
      </c>
      <c r="E191" s="10">
        <v>497431.48</v>
      </c>
      <c r="F191" s="10">
        <v>644007.61263593996</v>
      </c>
      <c r="G191" s="10">
        <v>536865.1132057705</v>
      </c>
      <c r="H191">
        <v>1.079274502702906</v>
      </c>
      <c r="I191">
        <v>0.83363162588772444</v>
      </c>
      <c r="J191">
        <v>5.0199999999999996</v>
      </c>
      <c r="K191">
        <v>0.2276</v>
      </c>
    </row>
    <row r="192" spans="1:11" x14ac:dyDescent="0.3">
      <c r="A192" s="31">
        <v>45777</v>
      </c>
      <c r="B192" t="s">
        <v>192</v>
      </c>
      <c r="C192" t="s">
        <v>322</v>
      </c>
      <c r="D192" t="s">
        <v>552</v>
      </c>
      <c r="E192" s="10">
        <v>698814.5</v>
      </c>
      <c r="F192" s="10">
        <v>904731.3568099431</v>
      </c>
      <c r="G192" s="10">
        <v>759237.26417539967</v>
      </c>
      <c r="H192">
        <v>1.0864646686286561</v>
      </c>
      <c r="I192">
        <v>0.8391853100487735</v>
      </c>
      <c r="J192">
        <v>5.0199999999999996</v>
      </c>
      <c r="K192">
        <v>0.2276</v>
      </c>
    </row>
    <row r="193" spans="1:11" x14ac:dyDescent="0.3">
      <c r="A193" s="31">
        <v>45777</v>
      </c>
      <c r="B193" t="s">
        <v>192</v>
      </c>
      <c r="C193" t="s">
        <v>321</v>
      </c>
      <c r="D193" t="s">
        <v>552</v>
      </c>
      <c r="E193" s="10">
        <v>229155.5</v>
      </c>
      <c r="F193" s="10">
        <v>296679.82910409122</v>
      </c>
      <c r="G193" s="10">
        <v>247240.99347715211</v>
      </c>
      <c r="H193">
        <v>1.0789223626626989</v>
      </c>
      <c r="I193">
        <v>0.83335963292066872</v>
      </c>
      <c r="J193">
        <v>5.0199999999999996</v>
      </c>
      <c r="K193">
        <v>0.2276</v>
      </c>
    </row>
    <row r="194" spans="1:11" x14ac:dyDescent="0.3">
      <c r="A194" s="31">
        <v>45777</v>
      </c>
      <c r="B194" t="s">
        <v>192</v>
      </c>
      <c r="C194" t="s">
        <v>320</v>
      </c>
      <c r="D194" t="s">
        <v>552</v>
      </c>
      <c r="E194" s="10">
        <v>623178.04</v>
      </c>
      <c r="F194" s="10">
        <v>806807.40548938385</v>
      </c>
      <c r="G194" s="10">
        <v>680774.35944746027</v>
      </c>
      <c r="H194">
        <v>1.092423538299681</v>
      </c>
      <c r="I194">
        <v>0.84378794098267362</v>
      </c>
      <c r="J194">
        <v>5.0199999999999996</v>
      </c>
      <c r="K194">
        <v>0.2276</v>
      </c>
    </row>
    <row r="195" spans="1:11" x14ac:dyDescent="0.3">
      <c r="A195" s="31">
        <v>45777</v>
      </c>
      <c r="B195" t="s">
        <v>192</v>
      </c>
      <c r="C195" t="s">
        <v>319</v>
      </c>
      <c r="D195" t="s">
        <v>552</v>
      </c>
      <c r="E195" s="10">
        <v>94013.48</v>
      </c>
      <c r="F195" s="10">
        <v>121716.0538581046</v>
      </c>
      <c r="G195" s="10">
        <v>97993.050952091944</v>
      </c>
      <c r="H195">
        <v>1.0423297909203231</v>
      </c>
      <c r="I195">
        <v>0.80509553050685734</v>
      </c>
      <c r="J195">
        <v>5.0199999999999996</v>
      </c>
      <c r="K195">
        <v>0.2276</v>
      </c>
    </row>
    <row r="196" spans="1:11" x14ac:dyDescent="0.3">
      <c r="A196" s="31">
        <v>45777</v>
      </c>
      <c r="B196" t="s">
        <v>192</v>
      </c>
      <c r="C196" t="s">
        <v>268</v>
      </c>
      <c r="D196" t="s">
        <v>552</v>
      </c>
      <c r="E196" s="10">
        <v>267640.93</v>
      </c>
      <c r="F196" s="10">
        <v>346505.60590367683</v>
      </c>
      <c r="G196" s="10">
        <v>284135.17163545912</v>
      </c>
      <c r="H196">
        <v>1.061628248098895</v>
      </c>
      <c r="I196">
        <v>0.82000165883158682</v>
      </c>
      <c r="J196">
        <v>5.0199999999999996</v>
      </c>
      <c r="K196">
        <v>0.2276</v>
      </c>
    </row>
    <row r="197" spans="1:11" x14ac:dyDescent="0.3">
      <c r="A197" s="31">
        <v>45777</v>
      </c>
      <c r="B197" t="s">
        <v>192</v>
      </c>
      <c r="C197" t="s">
        <v>318</v>
      </c>
      <c r="D197" t="s">
        <v>552</v>
      </c>
      <c r="E197" s="10">
        <v>542955.43999999994</v>
      </c>
      <c r="F197" s="10">
        <v>702945.9347488347</v>
      </c>
      <c r="G197" s="10">
        <v>573399.37018059928</v>
      </c>
      <c r="H197">
        <v>1.0560707710757979</v>
      </c>
      <c r="I197">
        <v>0.81570906357894668</v>
      </c>
      <c r="J197">
        <v>5.0199999999999996</v>
      </c>
      <c r="K197">
        <v>0.2276</v>
      </c>
    </row>
    <row r="198" spans="1:11" x14ac:dyDescent="0.3">
      <c r="A198" s="31">
        <v>45777</v>
      </c>
      <c r="B198" t="s">
        <v>192</v>
      </c>
      <c r="C198" t="s">
        <v>317</v>
      </c>
      <c r="D198" t="s">
        <v>552</v>
      </c>
      <c r="E198" s="10">
        <v>366394.3</v>
      </c>
      <c r="F198" s="10">
        <v>474358.23407560849</v>
      </c>
      <c r="G198" s="10">
        <v>384317.2635859744</v>
      </c>
      <c r="H198">
        <v>1.0489171463256231</v>
      </c>
      <c r="I198">
        <v>0.81018360382191168</v>
      </c>
      <c r="J198">
        <v>5.0199999999999996</v>
      </c>
      <c r="K198">
        <v>0.2276</v>
      </c>
    </row>
    <row r="199" spans="1:11" x14ac:dyDescent="0.3">
      <c r="A199" s="31">
        <v>45777</v>
      </c>
      <c r="B199" t="s">
        <v>192</v>
      </c>
      <c r="C199" t="s">
        <v>316</v>
      </c>
      <c r="D199" t="s">
        <v>552</v>
      </c>
      <c r="E199" s="10">
        <v>465058.08</v>
      </c>
      <c r="F199" s="10">
        <v>602094.87312273437</v>
      </c>
      <c r="G199" s="10">
        <v>496594.7266550347</v>
      </c>
      <c r="H199">
        <v>1.0678122755227359</v>
      </c>
      <c r="I199">
        <v>0.82477820161376136</v>
      </c>
      <c r="J199">
        <v>5.0199999999999996</v>
      </c>
      <c r="K199">
        <v>0.2276</v>
      </c>
    </row>
    <row r="200" spans="1:11" x14ac:dyDescent="0.3">
      <c r="A200" s="31">
        <v>45777</v>
      </c>
      <c r="B200" t="s">
        <v>191</v>
      </c>
      <c r="C200" t="s">
        <v>553</v>
      </c>
      <c r="D200" t="s">
        <v>24</v>
      </c>
      <c r="E200" s="10">
        <v>610709.06999999995</v>
      </c>
      <c r="F200" s="10">
        <v>726170.11890606419</v>
      </c>
      <c r="G200" s="10">
        <v>245876.30808352929</v>
      </c>
      <c r="H200">
        <v>0.40260791948534402</v>
      </c>
      <c r="I200">
        <v>0.33859326028717429</v>
      </c>
    </row>
    <row r="201" spans="1:11" x14ac:dyDescent="0.3">
      <c r="A201" s="31">
        <v>45777</v>
      </c>
      <c r="B201" t="s">
        <v>191</v>
      </c>
      <c r="C201" t="s">
        <v>324</v>
      </c>
      <c r="D201" t="s">
        <v>552</v>
      </c>
      <c r="E201" s="10">
        <v>156834.19</v>
      </c>
      <c r="F201" s="10">
        <v>186485.36266349579</v>
      </c>
      <c r="G201" s="10">
        <v>158301.01585893371</v>
      </c>
      <c r="H201">
        <v>1.0093527174076879</v>
      </c>
      <c r="I201">
        <v>0.84886563533986581</v>
      </c>
      <c r="J201">
        <v>4.4400000000000004</v>
      </c>
      <c r="K201">
        <v>0.159</v>
      </c>
    </row>
    <row r="202" spans="1:11" x14ac:dyDescent="0.3">
      <c r="A202" s="31">
        <v>45777</v>
      </c>
      <c r="B202" t="s">
        <v>191</v>
      </c>
      <c r="C202" t="s">
        <v>323</v>
      </c>
      <c r="D202" t="s">
        <v>552</v>
      </c>
      <c r="E202" s="10">
        <v>592572.18999999994</v>
      </c>
      <c r="F202" s="10">
        <v>704604.26872770512</v>
      </c>
      <c r="G202" s="10">
        <v>593107.36526005808</v>
      </c>
      <c r="H202">
        <v>1.0009031393458709</v>
      </c>
      <c r="I202">
        <v>0.84175954018987764</v>
      </c>
      <c r="J202">
        <v>4.4400000000000004</v>
      </c>
      <c r="K202">
        <v>0.159</v>
      </c>
    </row>
    <row r="203" spans="1:11" x14ac:dyDescent="0.3">
      <c r="A203" s="31">
        <v>45777</v>
      </c>
      <c r="B203" t="s">
        <v>191</v>
      </c>
      <c r="C203" t="s">
        <v>322</v>
      </c>
      <c r="D203" t="s">
        <v>552</v>
      </c>
      <c r="E203" s="10">
        <v>258854.28</v>
      </c>
      <c r="F203" s="10">
        <v>307793.43638525571</v>
      </c>
      <c r="G203" s="10">
        <v>259952.20448581749</v>
      </c>
      <c r="H203">
        <v>1.0042414770418999</v>
      </c>
      <c r="I203">
        <v>0.84456708219223775</v>
      </c>
      <c r="J203">
        <v>4.4400000000000004</v>
      </c>
      <c r="K203">
        <v>0.159</v>
      </c>
    </row>
    <row r="204" spans="1:11" x14ac:dyDescent="0.3">
      <c r="A204" s="31">
        <v>45777</v>
      </c>
      <c r="B204" t="s">
        <v>191</v>
      </c>
      <c r="C204" t="s">
        <v>321</v>
      </c>
      <c r="D204" t="s">
        <v>552</v>
      </c>
      <c r="E204" s="10">
        <v>234350.8</v>
      </c>
      <c r="F204" s="10">
        <v>278657.31272294879</v>
      </c>
      <c r="G204" s="10">
        <v>229214.8070491415</v>
      </c>
      <c r="H204">
        <v>0.97808416719354707</v>
      </c>
      <c r="I204">
        <v>0.82256878460977312</v>
      </c>
      <c r="J204">
        <v>4.4400000000000004</v>
      </c>
      <c r="K204">
        <v>0.159</v>
      </c>
    </row>
    <row r="205" spans="1:11" x14ac:dyDescent="0.3">
      <c r="A205" s="31">
        <v>45777</v>
      </c>
      <c r="B205" t="s">
        <v>191</v>
      </c>
      <c r="C205" t="s">
        <v>320</v>
      </c>
      <c r="D205" t="s">
        <v>552</v>
      </c>
      <c r="E205" s="10">
        <v>76160.37</v>
      </c>
      <c r="F205" s="10">
        <v>90559.298454221163</v>
      </c>
      <c r="G205" s="10">
        <v>77347.707442259678</v>
      </c>
      <c r="H205">
        <v>1.0155899642065771</v>
      </c>
      <c r="I205">
        <v>0.85411115989773145</v>
      </c>
      <c r="J205">
        <v>4.4400000000000004</v>
      </c>
      <c r="K205">
        <v>0.159</v>
      </c>
    </row>
    <row r="206" spans="1:11" x14ac:dyDescent="0.3">
      <c r="A206" s="31">
        <v>45777</v>
      </c>
      <c r="B206" t="s">
        <v>191</v>
      </c>
      <c r="C206" t="s">
        <v>319</v>
      </c>
      <c r="D206" t="s">
        <v>552</v>
      </c>
      <c r="E206" s="10">
        <v>247543.64</v>
      </c>
      <c r="F206" s="10">
        <v>294344.39952437568</v>
      </c>
      <c r="G206" s="10">
        <v>244393.24186632279</v>
      </c>
      <c r="H206">
        <v>0.98727336265364274</v>
      </c>
      <c r="I206">
        <v>0.83029689799171358</v>
      </c>
      <c r="J206">
        <v>4.4400000000000004</v>
      </c>
      <c r="K206">
        <v>0.159</v>
      </c>
    </row>
    <row r="207" spans="1:11" x14ac:dyDescent="0.3">
      <c r="A207" s="31">
        <v>45777</v>
      </c>
      <c r="B207" t="s">
        <v>191</v>
      </c>
      <c r="C207" t="s">
        <v>268</v>
      </c>
      <c r="D207" t="s">
        <v>552</v>
      </c>
      <c r="E207" s="10">
        <v>144903.64000000001</v>
      </c>
      <c r="F207" s="10">
        <v>172299.21521997621</v>
      </c>
      <c r="G207" s="10">
        <v>141586.33466854121</v>
      </c>
      <c r="H207">
        <v>0.97710681849359493</v>
      </c>
      <c r="I207">
        <v>0.82174683435311335</v>
      </c>
      <c r="J207">
        <v>4.4400000000000004</v>
      </c>
      <c r="K207">
        <v>0.159</v>
      </c>
    </row>
    <row r="208" spans="1:11" x14ac:dyDescent="0.3">
      <c r="A208" s="31">
        <v>45777</v>
      </c>
      <c r="B208" t="s">
        <v>191</v>
      </c>
      <c r="C208" t="s">
        <v>318</v>
      </c>
      <c r="D208" t="s">
        <v>552</v>
      </c>
      <c r="E208" s="10">
        <v>357109.88</v>
      </c>
      <c r="F208" s="10">
        <v>424625.30321046372</v>
      </c>
      <c r="G208" s="10">
        <v>346779.42820553412</v>
      </c>
      <c r="H208">
        <v>0.97107206388558642</v>
      </c>
      <c r="I208">
        <v>0.8166716057277783</v>
      </c>
      <c r="J208">
        <v>4.4400000000000004</v>
      </c>
      <c r="K208">
        <v>0.159</v>
      </c>
    </row>
    <row r="209" spans="1:11" x14ac:dyDescent="0.3">
      <c r="A209" s="31">
        <v>45777</v>
      </c>
      <c r="B209" t="s">
        <v>191</v>
      </c>
      <c r="C209" t="s">
        <v>317</v>
      </c>
      <c r="D209" t="s">
        <v>552</v>
      </c>
      <c r="E209" s="10">
        <v>362591.97</v>
      </c>
      <c r="F209" s="10">
        <v>431143.84066587401</v>
      </c>
      <c r="G209" s="10">
        <v>362338.27218376118</v>
      </c>
      <c r="H209">
        <v>0.99930032147088432</v>
      </c>
      <c r="I209">
        <v>0.84041157035701375</v>
      </c>
      <c r="J209">
        <v>4.4400000000000004</v>
      </c>
      <c r="K209">
        <v>0.159</v>
      </c>
    </row>
    <row r="210" spans="1:11" x14ac:dyDescent="0.3">
      <c r="A210" s="31">
        <v>45777</v>
      </c>
      <c r="B210" t="s">
        <v>191</v>
      </c>
      <c r="C210" t="s">
        <v>316</v>
      </c>
      <c r="D210" t="s">
        <v>552</v>
      </c>
      <c r="E210" s="10">
        <v>259500.12</v>
      </c>
      <c r="F210" s="10">
        <v>308561.37931034481</v>
      </c>
      <c r="G210" s="10">
        <v>252753.78820852679</v>
      </c>
      <c r="H210">
        <v>0.97400258700661424</v>
      </c>
      <c r="I210">
        <v>0.81913617567256258</v>
      </c>
      <c r="J210">
        <v>4.4400000000000004</v>
      </c>
      <c r="K210">
        <v>0.159</v>
      </c>
    </row>
    <row r="211" spans="1:11" x14ac:dyDescent="0.3">
      <c r="A211" s="31">
        <v>45777</v>
      </c>
      <c r="B211" t="s">
        <v>193</v>
      </c>
      <c r="C211" t="s">
        <v>553</v>
      </c>
      <c r="D211" t="s">
        <v>24</v>
      </c>
      <c r="E211" s="10">
        <v>1859536.28</v>
      </c>
      <c r="F211" s="10">
        <v>2842458.3919290742</v>
      </c>
      <c r="G211" s="10">
        <v>861654.44449338573</v>
      </c>
      <c r="H211">
        <v>0.46337060145628661</v>
      </c>
      <c r="I211">
        <v>0.3031370474727027</v>
      </c>
    </row>
    <row r="212" spans="1:11" x14ac:dyDescent="0.3">
      <c r="A212" s="31">
        <v>45777</v>
      </c>
      <c r="B212" t="s">
        <v>193</v>
      </c>
      <c r="C212" t="s">
        <v>324</v>
      </c>
      <c r="D212" t="s">
        <v>552</v>
      </c>
      <c r="E212" s="10">
        <v>1164342.08</v>
      </c>
      <c r="F212" s="10">
        <v>1779795.291959645</v>
      </c>
      <c r="G212" s="10">
        <v>1452823.6061264819</v>
      </c>
      <c r="H212">
        <v>1.2477635491164949</v>
      </c>
      <c r="I212">
        <v>0.81628691383201113</v>
      </c>
      <c r="J212">
        <v>6.8</v>
      </c>
      <c r="K212">
        <v>0.3458</v>
      </c>
    </row>
    <row r="213" spans="1:11" x14ac:dyDescent="0.3">
      <c r="A213" s="31">
        <v>45777</v>
      </c>
      <c r="B213" t="s">
        <v>193</v>
      </c>
      <c r="C213" t="s">
        <v>323</v>
      </c>
      <c r="D213" t="s">
        <v>552</v>
      </c>
      <c r="E213" s="10">
        <v>1008478.89</v>
      </c>
      <c r="F213" s="10">
        <v>1541545.2308162639</v>
      </c>
      <c r="G213" s="10">
        <v>1212134.424332134</v>
      </c>
      <c r="H213">
        <v>1.2019432794791911</v>
      </c>
      <c r="I213">
        <v>0.7863112934352865</v>
      </c>
      <c r="J213">
        <v>6.8</v>
      </c>
      <c r="K213">
        <v>0.3458</v>
      </c>
    </row>
    <row r="214" spans="1:11" x14ac:dyDescent="0.3">
      <c r="A214" s="31">
        <v>45777</v>
      </c>
      <c r="B214" t="s">
        <v>193</v>
      </c>
      <c r="C214" t="s">
        <v>322</v>
      </c>
      <c r="D214" t="s">
        <v>552</v>
      </c>
      <c r="E214" s="10">
        <v>242470.43</v>
      </c>
      <c r="F214" s="10">
        <v>370636.54845612962</v>
      </c>
      <c r="G214" s="10">
        <v>307872.83800915838</v>
      </c>
      <c r="H214">
        <v>1.269733542391781</v>
      </c>
      <c r="I214">
        <v>0.83065968343270324</v>
      </c>
      <c r="J214">
        <v>6.8</v>
      </c>
      <c r="K214">
        <v>0.3458</v>
      </c>
    </row>
    <row r="215" spans="1:11" x14ac:dyDescent="0.3">
      <c r="A215" s="31">
        <v>45777</v>
      </c>
      <c r="B215" t="s">
        <v>193</v>
      </c>
      <c r="C215" t="s">
        <v>321</v>
      </c>
      <c r="D215" t="s">
        <v>552</v>
      </c>
      <c r="E215" s="10">
        <v>282475.06</v>
      </c>
      <c r="F215" s="10">
        <v>431787.00703148887</v>
      </c>
      <c r="G215" s="10">
        <v>356190.00400474278</v>
      </c>
      <c r="H215">
        <v>1.2609608933430889</v>
      </c>
      <c r="I215">
        <v>0.82492061642504899</v>
      </c>
      <c r="J215">
        <v>6.8</v>
      </c>
      <c r="K215">
        <v>0.3458</v>
      </c>
    </row>
    <row r="216" spans="1:11" x14ac:dyDescent="0.3">
      <c r="A216" s="31">
        <v>45777</v>
      </c>
      <c r="B216" t="s">
        <v>193</v>
      </c>
      <c r="C216" t="s">
        <v>320</v>
      </c>
      <c r="D216" t="s">
        <v>552</v>
      </c>
      <c r="E216" s="10">
        <v>575403.06000000006</v>
      </c>
      <c r="F216" s="10">
        <v>879552.21644756966</v>
      </c>
      <c r="G216" s="10">
        <v>683944.82240575843</v>
      </c>
      <c r="H216">
        <v>1.18863605349224</v>
      </c>
      <c r="I216">
        <v>0.7776057061946231</v>
      </c>
      <c r="J216">
        <v>6.8</v>
      </c>
      <c r="K216">
        <v>0.3458</v>
      </c>
    </row>
    <row r="217" spans="1:11" x14ac:dyDescent="0.3">
      <c r="A217" s="31">
        <v>45777</v>
      </c>
      <c r="B217" t="s">
        <v>193</v>
      </c>
      <c r="C217" t="s">
        <v>319</v>
      </c>
      <c r="D217" t="s">
        <v>552</v>
      </c>
      <c r="E217" s="10">
        <v>603705.31000000006</v>
      </c>
      <c r="F217" s="10">
        <v>922814.59798226855</v>
      </c>
      <c r="G217" s="10">
        <v>756577.81932483008</v>
      </c>
      <c r="H217">
        <v>1.253223728187566</v>
      </c>
      <c r="I217">
        <v>0.81985896298030536</v>
      </c>
      <c r="J217">
        <v>6.8</v>
      </c>
      <c r="K217">
        <v>0.3458</v>
      </c>
    </row>
    <row r="218" spans="1:11" x14ac:dyDescent="0.3">
      <c r="A218" s="31">
        <v>45777</v>
      </c>
      <c r="B218" t="s">
        <v>193</v>
      </c>
      <c r="C218" t="s">
        <v>268</v>
      </c>
      <c r="D218" t="s">
        <v>552</v>
      </c>
      <c r="E218" s="10">
        <v>203192.18</v>
      </c>
      <c r="F218" s="10">
        <v>310596.42311219813</v>
      </c>
      <c r="G218" s="10">
        <v>244629.86280100321</v>
      </c>
      <c r="H218">
        <v>1.2039334525620189</v>
      </c>
      <c r="I218">
        <v>0.78761326466607251</v>
      </c>
      <c r="J218">
        <v>6.8</v>
      </c>
      <c r="K218">
        <v>0.3458</v>
      </c>
    </row>
    <row r="219" spans="1:11" x14ac:dyDescent="0.3">
      <c r="A219" s="31">
        <v>45777</v>
      </c>
      <c r="B219" t="s">
        <v>193</v>
      </c>
      <c r="C219" t="s">
        <v>318</v>
      </c>
      <c r="D219" t="s">
        <v>552</v>
      </c>
      <c r="E219" s="10">
        <v>436024.9</v>
      </c>
      <c r="F219" s="10">
        <v>666500.91715071851</v>
      </c>
      <c r="G219" s="10">
        <v>543733.82821223151</v>
      </c>
      <c r="H219">
        <v>1.247024718570503</v>
      </c>
      <c r="I219">
        <v>0.8158035708888226</v>
      </c>
      <c r="J219">
        <v>6.8</v>
      </c>
      <c r="K219">
        <v>0.3458</v>
      </c>
    </row>
    <row r="220" spans="1:11" x14ac:dyDescent="0.3">
      <c r="A220" s="31">
        <v>45777</v>
      </c>
      <c r="B220" t="s">
        <v>193</v>
      </c>
      <c r="C220" t="s">
        <v>317</v>
      </c>
      <c r="D220" t="s">
        <v>552</v>
      </c>
      <c r="E220" s="10">
        <v>221560.13</v>
      </c>
      <c r="F220" s="10">
        <v>338673.38734332012</v>
      </c>
      <c r="G220" s="10">
        <v>279486.14384334208</v>
      </c>
      <c r="H220">
        <v>1.261446018484202</v>
      </c>
      <c r="I220">
        <v>0.82523798529236458</v>
      </c>
      <c r="J220">
        <v>6.8</v>
      </c>
      <c r="K220">
        <v>0.3458</v>
      </c>
    </row>
    <row r="221" spans="1:11" x14ac:dyDescent="0.3">
      <c r="A221" s="31">
        <v>45777</v>
      </c>
      <c r="B221" t="s">
        <v>193</v>
      </c>
      <c r="C221" t="s">
        <v>316</v>
      </c>
      <c r="D221" t="s">
        <v>552</v>
      </c>
      <c r="E221" s="10">
        <v>1154109.22</v>
      </c>
      <c r="F221" s="10">
        <v>1764153.5004585751</v>
      </c>
      <c r="G221" s="10">
        <v>1438604.1834878561</v>
      </c>
      <c r="H221">
        <v>1.2465061005992619</v>
      </c>
      <c r="I221">
        <v>0.8154642910120371</v>
      </c>
      <c r="J221">
        <v>6.8</v>
      </c>
      <c r="K221">
        <v>0.3458</v>
      </c>
    </row>
    <row r="222" spans="1:11" x14ac:dyDescent="0.3">
      <c r="A222" s="31">
        <v>45808</v>
      </c>
      <c r="B222" t="s">
        <v>186</v>
      </c>
      <c r="C222" t="s">
        <v>553</v>
      </c>
      <c r="D222" t="s">
        <v>24</v>
      </c>
      <c r="E222" s="10">
        <v>1986378.58</v>
      </c>
      <c r="F222" s="10">
        <v>2667504.9259494869</v>
      </c>
      <c r="G222" s="10">
        <v>824927.81969814189</v>
      </c>
      <c r="H222">
        <v>0.41529234558003641</v>
      </c>
      <c r="I222">
        <v>0.30925072027918088</v>
      </c>
    </row>
    <row r="223" spans="1:11" x14ac:dyDescent="0.3">
      <c r="A223" s="31">
        <v>45808</v>
      </c>
      <c r="B223" t="s">
        <v>186</v>
      </c>
      <c r="C223" t="s">
        <v>324</v>
      </c>
      <c r="D223" t="s">
        <v>552</v>
      </c>
      <c r="E223" s="10">
        <v>1830384.77</v>
      </c>
      <c r="F223" s="10">
        <v>2542554.2019724962</v>
      </c>
      <c r="G223" s="10">
        <v>2018648.9356816011</v>
      </c>
      <c r="H223">
        <v>1.102854967309197</v>
      </c>
      <c r="I223">
        <v>0.7939452909658905</v>
      </c>
      <c r="J223">
        <v>5.85</v>
      </c>
      <c r="K223">
        <v>0.28010000000000002</v>
      </c>
    </row>
    <row r="224" spans="1:11" x14ac:dyDescent="0.3">
      <c r="A224" s="31">
        <v>45808</v>
      </c>
      <c r="B224" t="s">
        <v>186</v>
      </c>
      <c r="C224" t="s">
        <v>323</v>
      </c>
      <c r="D224" t="s">
        <v>552</v>
      </c>
      <c r="E224" s="10">
        <v>2125103.0499999998</v>
      </c>
      <c r="F224" s="10">
        <v>2826686.6852886402</v>
      </c>
      <c r="G224" s="10">
        <v>2229734.8288891418</v>
      </c>
      <c r="H224">
        <v>1.049236096522068</v>
      </c>
      <c r="I224">
        <v>0.78881569736529111</v>
      </c>
      <c r="J224">
        <v>5.56</v>
      </c>
      <c r="K224">
        <v>0.2482</v>
      </c>
    </row>
    <row r="225" spans="1:11" x14ac:dyDescent="0.3">
      <c r="A225" s="31">
        <v>45808</v>
      </c>
      <c r="B225" t="s">
        <v>186</v>
      </c>
      <c r="C225" t="s">
        <v>322</v>
      </c>
      <c r="D225" t="s">
        <v>552</v>
      </c>
      <c r="E225" s="10">
        <v>1397668.67</v>
      </c>
      <c r="F225" s="10">
        <v>1766740.829225129</v>
      </c>
      <c r="G225" s="10">
        <v>1411220.477368111</v>
      </c>
      <c r="H225">
        <v>1.00969600854551</v>
      </c>
      <c r="I225">
        <v>0.79877051236035301</v>
      </c>
      <c r="J225">
        <v>5.07</v>
      </c>
      <c r="K225">
        <v>0.2089</v>
      </c>
    </row>
    <row r="226" spans="1:11" x14ac:dyDescent="0.3">
      <c r="A226" s="31">
        <v>45808</v>
      </c>
      <c r="B226" t="s">
        <v>186</v>
      </c>
      <c r="C226" t="s">
        <v>321</v>
      </c>
      <c r="D226" t="s">
        <v>552</v>
      </c>
      <c r="E226" s="10">
        <v>1291265.31</v>
      </c>
      <c r="F226" s="10">
        <v>1777622.948788546</v>
      </c>
      <c r="G226" s="10">
        <v>1438939.336171814</v>
      </c>
      <c r="H226">
        <v>1.114363814336353</v>
      </c>
      <c r="I226">
        <v>0.80947387473392707</v>
      </c>
      <c r="J226">
        <v>5.82</v>
      </c>
      <c r="K226">
        <v>0.27360000000000001</v>
      </c>
    </row>
    <row r="227" spans="1:11" x14ac:dyDescent="0.3">
      <c r="A227" s="31">
        <v>45808</v>
      </c>
      <c r="B227" t="s">
        <v>186</v>
      </c>
      <c r="C227" t="s">
        <v>320</v>
      </c>
      <c r="D227" t="s">
        <v>552</v>
      </c>
      <c r="E227" s="10">
        <v>1968091.33</v>
      </c>
      <c r="F227" s="10">
        <v>2696384.888340869</v>
      </c>
      <c r="G227" s="10">
        <v>2150093.8853372242</v>
      </c>
      <c r="H227">
        <v>1.0924766816269771</v>
      </c>
      <c r="I227">
        <v>0.79739872991953042</v>
      </c>
      <c r="J227">
        <v>5.8</v>
      </c>
      <c r="K227">
        <v>0.27010000000000001</v>
      </c>
    </row>
    <row r="228" spans="1:11" x14ac:dyDescent="0.3">
      <c r="A228" s="31">
        <v>45808</v>
      </c>
      <c r="B228" t="s">
        <v>186</v>
      </c>
      <c r="C228" t="s">
        <v>319</v>
      </c>
      <c r="D228" t="s">
        <v>552</v>
      </c>
      <c r="E228" s="10">
        <v>375697.19</v>
      </c>
      <c r="F228" s="10">
        <v>467808.72867637902</v>
      </c>
      <c r="G228" s="10">
        <v>374265.24688811909</v>
      </c>
      <c r="H228">
        <v>0.99618857114187909</v>
      </c>
      <c r="I228">
        <v>0.80003904148404326</v>
      </c>
      <c r="J228">
        <v>5.14</v>
      </c>
      <c r="K228">
        <v>0.19689999999999999</v>
      </c>
    </row>
    <row r="229" spans="1:11" x14ac:dyDescent="0.3">
      <c r="A229" s="31">
        <v>45808</v>
      </c>
      <c r="B229" t="s">
        <v>186</v>
      </c>
      <c r="C229" t="s">
        <v>268</v>
      </c>
      <c r="D229" t="s">
        <v>552</v>
      </c>
      <c r="E229" s="10">
        <v>393894.52</v>
      </c>
      <c r="F229" s="10">
        <v>502224.30192528368</v>
      </c>
      <c r="G229" s="10">
        <v>404254.46523578389</v>
      </c>
      <c r="H229">
        <v>1.02630131852503</v>
      </c>
      <c r="I229">
        <v>0.80492812411918113</v>
      </c>
      <c r="J229">
        <v>5.14</v>
      </c>
      <c r="K229">
        <v>0.2157</v>
      </c>
    </row>
    <row r="230" spans="1:11" x14ac:dyDescent="0.3">
      <c r="A230" s="31">
        <v>45808</v>
      </c>
      <c r="B230" t="s">
        <v>186</v>
      </c>
      <c r="C230" t="s">
        <v>318</v>
      </c>
      <c r="D230" t="s">
        <v>552</v>
      </c>
      <c r="E230" s="10">
        <v>1034939.16</v>
      </c>
      <c r="F230" s="10">
        <v>1324467.8269772211</v>
      </c>
      <c r="G230" s="10">
        <v>1108756.59381758</v>
      </c>
      <c r="H230">
        <v>1.0713253847864641</v>
      </c>
      <c r="I230">
        <v>0.83713365567214282</v>
      </c>
      <c r="J230">
        <v>5.04</v>
      </c>
      <c r="K230">
        <v>0.21859999999999999</v>
      </c>
    </row>
    <row r="231" spans="1:11" x14ac:dyDescent="0.3">
      <c r="A231" s="31">
        <v>45808</v>
      </c>
      <c r="B231" t="s">
        <v>186</v>
      </c>
      <c r="C231" t="s">
        <v>317</v>
      </c>
      <c r="D231" t="s">
        <v>552</v>
      </c>
      <c r="E231" s="10">
        <v>1094521.6599999999</v>
      </c>
      <c r="F231" s="10">
        <v>1419797.198080166</v>
      </c>
      <c r="G231" s="10">
        <v>1166399.6914759851</v>
      </c>
      <c r="H231">
        <v>1.065670725489329</v>
      </c>
      <c r="I231">
        <v>0.82152556227972395</v>
      </c>
      <c r="J231">
        <v>5.41</v>
      </c>
      <c r="K231">
        <v>0.2291</v>
      </c>
    </row>
    <row r="232" spans="1:11" x14ac:dyDescent="0.3">
      <c r="A232" s="31">
        <v>45808</v>
      </c>
      <c r="B232" t="s">
        <v>186</v>
      </c>
      <c r="C232" t="s">
        <v>316</v>
      </c>
      <c r="D232" t="s">
        <v>552</v>
      </c>
      <c r="E232" s="10">
        <v>2047984.32</v>
      </c>
      <c r="F232" s="10">
        <v>2846794.9958298579</v>
      </c>
      <c r="G232" s="10">
        <v>2372139.4107293179</v>
      </c>
      <c r="H232">
        <v>1.15828006472692</v>
      </c>
      <c r="I232">
        <v>0.83326667856454661</v>
      </c>
      <c r="J232">
        <v>5.91</v>
      </c>
      <c r="K232">
        <v>0.28060000000000002</v>
      </c>
    </row>
    <row r="233" spans="1:11" x14ac:dyDescent="0.3">
      <c r="A233" s="31">
        <v>45808</v>
      </c>
      <c r="B233" t="s">
        <v>192</v>
      </c>
      <c r="C233" t="s">
        <v>553</v>
      </c>
      <c r="D233" t="s">
        <v>24</v>
      </c>
      <c r="E233" s="10">
        <v>542433.78</v>
      </c>
      <c r="F233" s="10">
        <v>699012.60309278348</v>
      </c>
      <c r="G233" s="10">
        <v>230336.85486754109</v>
      </c>
      <c r="H233">
        <v>0.42463589724729373</v>
      </c>
      <c r="I233">
        <v>0.32951745626389989</v>
      </c>
    </row>
    <row r="234" spans="1:11" x14ac:dyDescent="0.3">
      <c r="A234" s="31">
        <v>45808</v>
      </c>
      <c r="B234" t="s">
        <v>192</v>
      </c>
      <c r="C234" t="s">
        <v>324</v>
      </c>
      <c r="D234" t="s">
        <v>552</v>
      </c>
      <c r="E234" s="10">
        <v>473214.91</v>
      </c>
      <c r="F234" s="10">
        <v>609813.02835051541</v>
      </c>
      <c r="G234" s="10">
        <v>516088.50878422608</v>
      </c>
      <c r="H234">
        <v>1.09060069300062</v>
      </c>
      <c r="I234">
        <v>0.84630613776848129</v>
      </c>
      <c r="J234">
        <v>4.9400000000000004</v>
      </c>
      <c r="K234">
        <v>0.224</v>
      </c>
    </row>
    <row r="235" spans="1:11" x14ac:dyDescent="0.3">
      <c r="A235" s="31">
        <v>45808</v>
      </c>
      <c r="B235" t="s">
        <v>192</v>
      </c>
      <c r="C235" t="s">
        <v>323</v>
      </c>
      <c r="D235" t="s">
        <v>552</v>
      </c>
      <c r="E235" s="10">
        <v>597854.27</v>
      </c>
      <c r="F235" s="10">
        <v>770430.76030927827</v>
      </c>
      <c r="G235" s="10">
        <v>634886.51669088274</v>
      </c>
      <c r="H235">
        <v>1.0619419289100049</v>
      </c>
      <c r="I235">
        <v>0.82406693683416377</v>
      </c>
      <c r="J235">
        <v>4.9400000000000004</v>
      </c>
      <c r="K235">
        <v>0.224</v>
      </c>
    </row>
    <row r="236" spans="1:11" x14ac:dyDescent="0.3">
      <c r="A236" s="31">
        <v>45808</v>
      </c>
      <c r="B236" t="s">
        <v>192</v>
      </c>
      <c r="C236" t="s">
        <v>322</v>
      </c>
      <c r="D236" t="s">
        <v>552</v>
      </c>
      <c r="E236" s="10">
        <v>742374.02</v>
      </c>
      <c r="F236" s="10">
        <v>956667.55154639168</v>
      </c>
      <c r="G236" s="10">
        <v>786007.67368248606</v>
      </c>
      <c r="H236">
        <v>1.058775836043516</v>
      </c>
      <c r="I236">
        <v>0.82161004876976862</v>
      </c>
      <c r="J236">
        <v>4.9400000000000004</v>
      </c>
      <c r="K236">
        <v>0.224</v>
      </c>
    </row>
    <row r="237" spans="1:11" x14ac:dyDescent="0.3">
      <c r="A237" s="31">
        <v>45808</v>
      </c>
      <c r="B237" t="s">
        <v>192</v>
      </c>
      <c r="C237" t="s">
        <v>321</v>
      </c>
      <c r="D237" t="s">
        <v>552</v>
      </c>
      <c r="E237" s="10">
        <v>283165.55</v>
      </c>
      <c r="F237" s="10">
        <v>364904.05927835038</v>
      </c>
      <c r="G237" s="10">
        <v>296949.90665240161</v>
      </c>
      <c r="H237">
        <v>1.0486794973908431</v>
      </c>
      <c r="I237">
        <v>0.81377528997529414</v>
      </c>
      <c r="J237">
        <v>4.9400000000000004</v>
      </c>
      <c r="K237">
        <v>0.224</v>
      </c>
    </row>
    <row r="238" spans="1:11" x14ac:dyDescent="0.3">
      <c r="A238" s="31">
        <v>45808</v>
      </c>
      <c r="B238" t="s">
        <v>192</v>
      </c>
      <c r="C238" t="s">
        <v>320</v>
      </c>
      <c r="D238" t="s">
        <v>552</v>
      </c>
      <c r="E238" s="10">
        <v>391959.27</v>
      </c>
      <c r="F238" s="10">
        <v>505102.15206185571</v>
      </c>
      <c r="G238" s="10">
        <v>418869.10155533679</v>
      </c>
      <c r="H238">
        <v>1.068654662907544</v>
      </c>
      <c r="I238">
        <v>0.82927601841625387</v>
      </c>
      <c r="J238">
        <v>4.9400000000000004</v>
      </c>
      <c r="K238">
        <v>0.224</v>
      </c>
    </row>
    <row r="239" spans="1:11" x14ac:dyDescent="0.3">
      <c r="A239" s="31">
        <v>45808</v>
      </c>
      <c r="B239" t="s">
        <v>192</v>
      </c>
      <c r="C239" t="s">
        <v>319</v>
      </c>
      <c r="D239" t="s">
        <v>552</v>
      </c>
      <c r="E239" s="10">
        <v>82768.81</v>
      </c>
      <c r="F239" s="10">
        <v>106660.83762886599</v>
      </c>
      <c r="G239" s="10">
        <v>90053.482082234099</v>
      </c>
      <c r="H239">
        <v>1.088012284847808</v>
      </c>
      <c r="I239">
        <v>0.84429753304189914</v>
      </c>
      <c r="J239">
        <v>4.9400000000000004</v>
      </c>
      <c r="K239">
        <v>0.224</v>
      </c>
    </row>
    <row r="240" spans="1:11" x14ac:dyDescent="0.3">
      <c r="A240" s="31">
        <v>45808</v>
      </c>
      <c r="B240" t="s">
        <v>192</v>
      </c>
      <c r="C240" t="s">
        <v>268</v>
      </c>
      <c r="D240" t="s">
        <v>552</v>
      </c>
      <c r="E240" s="10">
        <v>198948.06</v>
      </c>
      <c r="F240" s="10">
        <v>256376.3659793814</v>
      </c>
      <c r="G240" s="10">
        <v>214479.71718929129</v>
      </c>
      <c r="H240">
        <v>1.078068904965906</v>
      </c>
      <c r="I240">
        <v>0.83658147025354301</v>
      </c>
      <c r="J240">
        <v>4.9400000000000004</v>
      </c>
      <c r="K240">
        <v>0.224</v>
      </c>
    </row>
    <row r="241" spans="1:11" x14ac:dyDescent="0.3">
      <c r="A241" s="31">
        <v>45808</v>
      </c>
      <c r="B241" t="s">
        <v>192</v>
      </c>
      <c r="C241" t="s">
        <v>318</v>
      </c>
      <c r="D241" t="s">
        <v>552</v>
      </c>
      <c r="E241" s="10">
        <v>752911.59</v>
      </c>
      <c r="F241" s="10">
        <v>970246.89432989678</v>
      </c>
      <c r="G241" s="10">
        <v>807889.40247594321</v>
      </c>
      <c r="H241">
        <v>1.073020276492149</v>
      </c>
      <c r="I241">
        <v>0.83266373455790743</v>
      </c>
      <c r="J241">
        <v>4.9400000000000004</v>
      </c>
      <c r="K241">
        <v>0.224</v>
      </c>
    </row>
    <row r="242" spans="1:11" x14ac:dyDescent="0.3">
      <c r="A242" s="31">
        <v>45808</v>
      </c>
      <c r="B242" t="s">
        <v>192</v>
      </c>
      <c r="C242" t="s">
        <v>317</v>
      </c>
      <c r="D242" t="s">
        <v>552</v>
      </c>
      <c r="E242" s="10">
        <v>273754.01</v>
      </c>
      <c r="F242" s="10">
        <v>352775.78608247422</v>
      </c>
      <c r="G242" s="10">
        <v>288814.60389153671</v>
      </c>
      <c r="H242">
        <v>1.0550150622142001</v>
      </c>
      <c r="I242">
        <v>0.81869168827821892</v>
      </c>
      <c r="J242">
        <v>4.9400000000000004</v>
      </c>
      <c r="K242">
        <v>0.224</v>
      </c>
    </row>
    <row r="243" spans="1:11" x14ac:dyDescent="0.3">
      <c r="A243" s="31">
        <v>45808</v>
      </c>
      <c r="B243" t="s">
        <v>192</v>
      </c>
      <c r="C243" t="s">
        <v>316</v>
      </c>
      <c r="D243" t="s">
        <v>552</v>
      </c>
      <c r="E243" s="10">
        <v>369242.22</v>
      </c>
      <c r="F243" s="10">
        <v>475827.60309278342</v>
      </c>
      <c r="G243" s="10">
        <v>391322.31080388778</v>
      </c>
      <c r="H243">
        <v>1.0597983914295821</v>
      </c>
      <c r="I243">
        <v>0.82240355174935575</v>
      </c>
      <c r="J243">
        <v>4.9400000000000004</v>
      </c>
      <c r="K243">
        <v>0.224</v>
      </c>
    </row>
    <row r="244" spans="1:11" x14ac:dyDescent="0.3">
      <c r="A244" s="31">
        <v>45808</v>
      </c>
      <c r="B244" t="s">
        <v>191</v>
      </c>
      <c r="C244" t="s">
        <v>553</v>
      </c>
      <c r="D244" t="s">
        <v>24</v>
      </c>
      <c r="E244" s="10">
        <v>382798.76</v>
      </c>
      <c r="F244" s="10">
        <v>453821.88500296389</v>
      </c>
      <c r="G244" s="10">
        <v>151277.79257772709</v>
      </c>
      <c r="H244">
        <v>0.39518882604982081</v>
      </c>
      <c r="I244">
        <v>0.33334177477302379</v>
      </c>
    </row>
    <row r="245" spans="1:11" x14ac:dyDescent="0.3">
      <c r="A245" s="31">
        <v>45808</v>
      </c>
      <c r="B245" t="s">
        <v>191</v>
      </c>
      <c r="C245" t="s">
        <v>324</v>
      </c>
      <c r="D245" t="s">
        <v>552</v>
      </c>
      <c r="E245" s="10">
        <v>182391.54</v>
      </c>
      <c r="F245" s="10">
        <v>216231.8197984588</v>
      </c>
      <c r="G245" s="10">
        <v>182841.09565983331</v>
      </c>
      <c r="H245">
        <v>1.002464783508233</v>
      </c>
      <c r="I245">
        <v>0.84557904488919489</v>
      </c>
      <c r="J245">
        <v>4.9000000000000004</v>
      </c>
      <c r="K245">
        <v>0.1565</v>
      </c>
    </row>
    <row r="246" spans="1:11" x14ac:dyDescent="0.3">
      <c r="A246" s="31">
        <v>45808</v>
      </c>
      <c r="B246" t="s">
        <v>191</v>
      </c>
      <c r="C246" t="s">
        <v>323</v>
      </c>
      <c r="D246" t="s">
        <v>552</v>
      </c>
      <c r="E246" s="10">
        <v>552208.31000000006</v>
      </c>
      <c r="F246" s="10">
        <v>654663.08239478373</v>
      </c>
      <c r="G246" s="10">
        <v>529965.37086401554</v>
      </c>
      <c r="H246">
        <v>0.95972002098993314</v>
      </c>
      <c r="I246">
        <v>0.80952383770500858</v>
      </c>
      <c r="J246">
        <v>4.9000000000000004</v>
      </c>
      <c r="K246">
        <v>0.1565</v>
      </c>
    </row>
    <row r="247" spans="1:11" x14ac:dyDescent="0.3">
      <c r="A247" s="31">
        <v>45808</v>
      </c>
      <c r="B247" t="s">
        <v>191</v>
      </c>
      <c r="C247" t="s">
        <v>322</v>
      </c>
      <c r="D247" t="s">
        <v>552</v>
      </c>
      <c r="E247" s="10">
        <v>500504.93</v>
      </c>
      <c r="F247" s="10">
        <v>593366.84054534673</v>
      </c>
      <c r="G247" s="10">
        <v>501248.45161019929</v>
      </c>
      <c r="H247">
        <v>1.0014855430299141</v>
      </c>
      <c r="I247">
        <v>0.84475305554573288</v>
      </c>
      <c r="J247">
        <v>4.9000000000000004</v>
      </c>
      <c r="K247">
        <v>0.1565</v>
      </c>
    </row>
    <row r="248" spans="1:11" x14ac:dyDescent="0.3">
      <c r="A248" s="31">
        <v>45808</v>
      </c>
      <c r="B248" t="s">
        <v>191</v>
      </c>
      <c r="C248" t="s">
        <v>321</v>
      </c>
      <c r="D248" t="s">
        <v>552</v>
      </c>
      <c r="E248" s="10">
        <v>202219.01</v>
      </c>
      <c r="F248" s="10">
        <v>239738.00829875519</v>
      </c>
      <c r="G248" s="10">
        <v>199350.0467379344</v>
      </c>
      <c r="H248">
        <v>0.98581259367224883</v>
      </c>
      <c r="I248">
        <v>0.83153292276254198</v>
      </c>
      <c r="J248">
        <v>4.9000000000000004</v>
      </c>
      <c r="K248">
        <v>0.1565</v>
      </c>
    </row>
    <row r="249" spans="1:11" x14ac:dyDescent="0.3">
      <c r="A249" s="31">
        <v>45808</v>
      </c>
      <c r="B249" t="s">
        <v>191</v>
      </c>
      <c r="C249" t="s">
        <v>320</v>
      </c>
      <c r="D249" t="s">
        <v>552</v>
      </c>
      <c r="E249" s="10">
        <v>368022.5</v>
      </c>
      <c r="F249" s="10">
        <v>436304.09010077058</v>
      </c>
      <c r="G249" s="10">
        <v>354249.48244946328</v>
      </c>
      <c r="H249">
        <v>0.96257561004955772</v>
      </c>
      <c r="I249">
        <v>0.81193252707680186</v>
      </c>
      <c r="J249">
        <v>4.9000000000000004</v>
      </c>
      <c r="K249">
        <v>0.1565</v>
      </c>
    </row>
    <row r="250" spans="1:11" x14ac:dyDescent="0.3">
      <c r="A250" s="31">
        <v>45808</v>
      </c>
      <c r="B250" t="s">
        <v>191</v>
      </c>
      <c r="C250" t="s">
        <v>319</v>
      </c>
      <c r="D250" t="s">
        <v>552</v>
      </c>
      <c r="E250" s="10">
        <v>227648.18</v>
      </c>
      <c r="F250" s="10">
        <v>269885.21636040311</v>
      </c>
      <c r="G250" s="10">
        <v>227689.75475420829</v>
      </c>
      <c r="H250">
        <v>1.00018262721981</v>
      </c>
      <c r="I250">
        <v>0.84365404605991012</v>
      </c>
      <c r="J250">
        <v>4.9000000000000004</v>
      </c>
      <c r="K250">
        <v>0.1565</v>
      </c>
    </row>
    <row r="251" spans="1:11" x14ac:dyDescent="0.3">
      <c r="A251" s="31">
        <v>45808</v>
      </c>
      <c r="B251" t="s">
        <v>191</v>
      </c>
      <c r="C251" t="s">
        <v>268</v>
      </c>
      <c r="D251" t="s">
        <v>552</v>
      </c>
      <c r="E251" s="10">
        <v>129666.26</v>
      </c>
      <c r="F251" s="10">
        <v>153724.07824540601</v>
      </c>
      <c r="G251" s="10">
        <v>129092.3590753286</v>
      </c>
      <c r="H251">
        <v>0.99557401497759401</v>
      </c>
      <c r="I251">
        <v>0.83976668163360058</v>
      </c>
      <c r="J251">
        <v>4.9000000000000004</v>
      </c>
      <c r="K251">
        <v>0.1565</v>
      </c>
    </row>
    <row r="252" spans="1:11" x14ac:dyDescent="0.3">
      <c r="A252" s="31">
        <v>45808</v>
      </c>
      <c r="B252" t="s">
        <v>191</v>
      </c>
      <c r="C252" t="s">
        <v>318</v>
      </c>
      <c r="D252" t="s">
        <v>552</v>
      </c>
      <c r="E252" s="10">
        <v>193537</v>
      </c>
      <c r="F252" s="10">
        <v>229445.1689389449</v>
      </c>
      <c r="G252" s="10">
        <v>187137.68800103691</v>
      </c>
      <c r="H252">
        <v>0.96693494267781821</v>
      </c>
      <c r="I252">
        <v>0.81560962414873972</v>
      </c>
      <c r="J252">
        <v>4.9000000000000004</v>
      </c>
      <c r="K252">
        <v>0.1565</v>
      </c>
    </row>
    <row r="253" spans="1:11" x14ac:dyDescent="0.3">
      <c r="A253" s="31">
        <v>45808</v>
      </c>
      <c r="B253" t="s">
        <v>191</v>
      </c>
      <c r="C253" t="s">
        <v>317</v>
      </c>
      <c r="D253" t="s">
        <v>552</v>
      </c>
      <c r="E253" s="10">
        <v>425726.2</v>
      </c>
      <c r="F253" s="10">
        <v>504713.93005334918</v>
      </c>
      <c r="G253" s="10">
        <v>411704.34343843377</v>
      </c>
      <c r="H253">
        <v>0.96706367481830757</v>
      </c>
      <c r="I253">
        <v>0.81571820970924236</v>
      </c>
      <c r="J253">
        <v>4.9000000000000004</v>
      </c>
      <c r="K253">
        <v>0.1565</v>
      </c>
    </row>
    <row r="254" spans="1:11" x14ac:dyDescent="0.3">
      <c r="A254" s="31">
        <v>45808</v>
      </c>
      <c r="B254" t="s">
        <v>191</v>
      </c>
      <c r="C254" t="s">
        <v>316</v>
      </c>
      <c r="D254" t="s">
        <v>552</v>
      </c>
      <c r="E254" s="10">
        <v>293260.64</v>
      </c>
      <c r="F254" s="10">
        <v>347671.17960877297</v>
      </c>
      <c r="G254" s="10">
        <v>284945.65470946417</v>
      </c>
      <c r="H254">
        <v>0.97164643270731532</v>
      </c>
      <c r="I254">
        <v>0.81958376598862048</v>
      </c>
      <c r="J254">
        <v>4.9000000000000004</v>
      </c>
      <c r="K254">
        <v>0.1565</v>
      </c>
    </row>
    <row r="255" spans="1:11" x14ac:dyDescent="0.3">
      <c r="A255" s="31">
        <v>45808</v>
      </c>
      <c r="B255" t="s">
        <v>193</v>
      </c>
      <c r="C255" t="s">
        <v>553</v>
      </c>
      <c r="D255" t="s">
        <v>24</v>
      </c>
      <c r="E255" s="10">
        <v>1061146.04</v>
      </c>
      <c r="F255" s="10">
        <v>1591878.247824782</v>
      </c>
      <c r="G255" s="10">
        <v>466794.89625954081</v>
      </c>
      <c r="H255">
        <v>0.43989694034907839</v>
      </c>
      <c r="I255">
        <v>0.29323530043669571</v>
      </c>
    </row>
    <row r="256" spans="1:11" x14ac:dyDescent="0.3">
      <c r="A256" s="31">
        <v>45808</v>
      </c>
      <c r="B256" t="s">
        <v>193</v>
      </c>
      <c r="C256" t="s">
        <v>324</v>
      </c>
      <c r="D256" t="s">
        <v>552</v>
      </c>
      <c r="E256" s="10">
        <v>1174778.32</v>
      </c>
      <c r="F256" s="10">
        <v>1762343.714371437</v>
      </c>
      <c r="G256" s="10">
        <v>1388819.6333156291</v>
      </c>
      <c r="H256">
        <v>1.182197193863459</v>
      </c>
      <c r="I256">
        <v>0.78805264942938213</v>
      </c>
      <c r="J256">
        <v>6.5</v>
      </c>
      <c r="K256">
        <v>0.33339999999999997</v>
      </c>
    </row>
    <row r="257" spans="1:11" x14ac:dyDescent="0.3">
      <c r="A257" s="31">
        <v>45808</v>
      </c>
      <c r="B257" t="s">
        <v>193</v>
      </c>
      <c r="C257" t="s">
        <v>323</v>
      </c>
      <c r="D257" t="s">
        <v>552</v>
      </c>
      <c r="E257" s="10">
        <v>975040.47</v>
      </c>
      <c r="F257" s="10">
        <v>1462706.97569757</v>
      </c>
      <c r="G257" s="10">
        <v>1140004.1671638461</v>
      </c>
      <c r="H257">
        <v>1.169186513010938</v>
      </c>
      <c r="I257">
        <v>0.77937972957309143</v>
      </c>
      <c r="J257">
        <v>6.5</v>
      </c>
      <c r="K257">
        <v>0.33339999999999997</v>
      </c>
    </row>
    <row r="258" spans="1:11" x14ac:dyDescent="0.3">
      <c r="A258" s="31">
        <v>45808</v>
      </c>
      <c r="B258" t="s">
        <v>193</v>
      </c>
      <c r="C258" t="s">
        <v>322</v>
      </c>
      <c r="D258" t="s">
        <v>552</v>
      </c>
      <c r="E258" s="10">
        <v>154789.72</v>
      </c>
      <c r="F258" s="10">
        <v>232207.80078007799</v>
      </c>
      <c r="G258" s="10">
        <v>181362.58427188781</v>
      </c>
      <c r="H258">
        <v>1.171670730277746</v>
      </c>
      <c r="I258">
        <v>0.78103570880314555</v>
      </c>
      <c r="J258">
        <v>6.5</v>
      </c>
      <c r="K258">
        <v>0.33339999999999997</v>
      </c>
    </row>
    <row r="259" spans="1:11" x14ac:dyDescent="0.3">
      <c r="A259" s="31">
        <v>45808</v>
      </c>
      <c r="B259" t="s">
        <v>193</v>
      </c>
      <c r="C259" t="s">
        <v>321</v>
      </c>
      <c r="D259" t="s">
        <v>552</v>
      </c>
      <c r="E259" s="10">
        <v>805880.75</v>
      </c>
      <c r="F259" s="10">
        <v>1208942.0192019199</v>
      </c>
      <c r="G259" s="10">
        <v>978255.41524470889</v>
      </c>
      <c r="H259">
        <v>1.213895995461747</v>
      </c>
      <c r="I259">
        <v>0.80918307057480043</v>
      </c>
      <c r="J259">
        <v>6.5</v>
      </c>
      <c r="K259">
        <v>0.33339999999999997</v>
      </c>
    </row>
    <row r="260" spans="1:11" x14ac:dyDescent="0.3">
      <c r="A260" s="31">
        <v>45808</v>
      </c>
      <c r="B260" t="s">
        <v>193</v>
      </c>
      <c r="C260" t="s">
        <v>320</v>
      </c>
      <c r="D260" t="s">
        <v>552</v>
      </c>
      <c r="E260" s="10">
        <v>1208109.56</v>
      </c>
      <c r="F260" s="10">
        <v>1812345.574557455</v>
      </c>
      <c r="G260" s="10">
        <v>1434606.4806105329</v>
      </c>
      <c r="H260">
        <v>1.187480447229085</v>
      </c>
      <c r="I260">
        <v>0.79157446612290805</v>
      </c>
      <c r="J260">
        <v>6.5</v>
      </c>
      <c r="K260">
        <v>0.33339999999999997</v>
      </c>
    </row>
    <row r="261" spans="1:11" x14ac:dyDescent="0.3">
      <c r="A261" s="31">
        <v>45808</v>
      </c>
      <c r="B261" t="s">
        <v>193</v>
      </c>
      <c r="C261" t="s">
        <v>319</v>
      </c>
      <c r="D261" t="s">
        <v>552</v>
      </c>
      <c r="E261" s="10">
        <v>65280.2</v>
      </c>
      <c r="F261" s="10">
        <v>97930.093009300908</v>
      </c>
      <c r="G261" s="10">
        <v>80466.809140257625</v>
      </c>
      <c r="H261">
        <v>1.2326372949264499</v>
      </c>
      <c r="I261">
        <v>0.82167602079797164</v>
      </c>
      <c r="J261">
        <v>6.5</v>
      </c>
      <c r="K261">
        <v>0.33339999999999997</v>
      </c>
    </row>
    <row r="262" spans="1:11" x14ac:dyDescent="0.3">
      <c r="A262" s="31">
        <v>45808</v>
      </c>
      <c r="B262" t="s">
        <v>193</v>
      </c>
      <c r="C262" t="s">
        <v>268</v>
      </c>
      <c r="D262" t="s">
        <v>552</v>
      </c>
      <c r="E262" s="10">
        <v>65280.2</v>
      </c>
      <c r="F262" s="10">
        <v>97930.093009300908</v>
      </c>
      <c r="G262" s="10">
        <v>79905.608670921036</v>
      </c>
      <c r="H262">
        <v>1.224040500349586</v>
      </c>
      <c r="I262">
        <v>0.81594539753303419</v>
      </c>
      <c r="J262">
        <v>6.5</v>
      </c>
      <c r="K262">
        <v>0.33339999999999997</v>
      </c>
    </row>
    <row r="263" spans="1:11" x14ac:dyDescent="0.3">
      <c r="A263" s="31">
        <v>45808</v>
      </c>
      <c r="B263" t="s">
        <v>193</v>
      </c>
      <c r="C263" t="s">
        <v>318</v>
      </c>
      <c r="D263" t="s">
        <v>552</v>
      </c>
      <c r="E263" s="10">
        <v>88490.57</v>
      </c>
      <c r="F263" s="10">
        <v>132749.12991299131</v>
      </c>
      <c r="G263" s="10">
        <v>103111.3164761434</v>
      </c>
      <c r="H263">
        <v>1.1652237800721981</v>
      </c>
      <c r="I263">
        <v>0.77673817179612725</v>
      </c>
      <c r="J263">
        <v>6.5</v>
      </c>
      <c r="K263">
        <v>0.33339999999999997</v>
      </c>
    </row>
    <row r="264" spans="1:11" x14ac:dyDescent="0.3">
      <c r="A264" s="31">
        <v>45808</v>
      </c>
      <c r="B264" t="s">
        <v>193</v>
      </c>
      <c r="C264" t="s">
        <v>317</v>
      </c>
      <c r="D264" t="s">
        <v>552</v>
      </c>
      <c r="E264" s="10">
        <v>395041.45</v>
      </c>
      <c r="F264" s="10">
        <v>592621.43714371428</v>
      </c>
      <c r="G264" s="10">
        <v>494338.0608062247</v>
      </c>
      <c r="H264">
        <v>1.2513574482025229</v>
      </c>
      <c r="I264">
        <v>0.83415487497180218</v>
      </c>
      <c r="J264">
        <v>6.5</v>
      </c>
      <c r="K264">
        <v>0.33339999999999997</v>
      </c>
    </row>
    <row r="265" spans="1:11" x14ac:dyDescent="0.3">
      <c r="A265" s="31">
        <v>45808</v>
      </c>
      <c r="B265" t="s">
        <v>193</v>
      </c>
      <c r="C265" t="s">
        <v>316</v>
      </c>
      <c r="D265" t="s">
        <v>552</v>
      </c>
      <c r="E265" s="10">
        <v>1385481.46</v>
      </c>
      <c r="F265" s="10">
        <v>2078430.0330033</v>
      </c>
      <c r="G265" s="10">
        <v>1723937.0501483709</v>
      </c>
      <c r="H265">
        <v>1.2442873469763871</v>
      </c>
      <c r="I265">
        <v>0.8294419454944596</v>
      </c>
      <c r="J265">
        <v>6.5</v>
      </c>
      <c r="K265">
        <v>0.33339999999999997</v>
      </c>
    </row>
    <row r="266" spans="1:11" x14ac:dyDescent="0.3">
      <c r="A266" s="31">
        <v>45838</v>
      </c>
      <c r="B266" t="s">
        <v>186</v>
      </c>
      <c r="C266" t="s">
        <v>553</v>
      </c>
      <c r="D266" t="s">
        <v>24</v>
      </c>
      <c r="E266" s="10">
        <v>2023138.95</v>
      </c>
      <c r="F266" s="10">
        <v>2687684.849360066</v>
      </c>
      <c r="G266" s="10">
        <v>846861.11242592125</v>
      </c>
      <c r="H266">
        <v>0.4185877160962776</v>
      </c>
      <c r="I266">
        <v>0.3150894393840698</v>
      </c>
    </row>
    <row r="267" spans="1:11" x14ac:dyDescent="0.3">
      <c r="A267" s="31">
        <v>45838</v>
      </c>
      <c r="B267" t="s">
        <v>186</v>
      </c>
      <c r="C267" t="s">
        <v>324</v>
      </c>
      <c r="D267" t="s">
        <v>552</v>
      </c>
      <c r="E267" s="10">
        <v>1503118.63</v>
      </c>
      <c r="F267" s="10">
        <v>2109936.313868613</v>
      </c>
      <c r="G267" s="10">
        <v>1634251.0116572501</v>
      </c>
      <c r="H267">
        <v>1.087240207818627</v>
      </c>
      <c r="I267">
        <v>0.77454992404999001</v>
      </c>
      <c r="J267">
        <v>6.42</v>
      </c>
      <c r="K267">
        <v>0.28760000000000002</v>
      </c>
    </row>
    <row r="268" spans="1:11" x14ac:dyDescent="0.3">
      <c r="A268" s="31">
        <v>45838</v>
      </c>
      <c r="B268" t="s">
        <v>186</v>
      </c>
      <c r="C268" t="s">
        <v>323</v>
      </c>
      <c r="D268" t="s">
        <v>552</v>
      </c>
      <c r="E268" s="10">
        <v>2085440.01</v>
      </c>
      <c r="F268" s="10">
        <v>2738235.307247899</v>
      </c>
      <c r="G268" s="10">
        <v>2218998.6840969152</v>
      </c>
      <c r="H268">
        <v>1.064043402570432</v>
      </c>
      <c r="I268">
        <v>0.81037545539764089</v>
      </c>
      <c r="J268">
        <v>5.58</v>
      </c>
      <c r="K268">
        <v>0.2384</v>
      </c>
    </row>
    <row r="269" spans="1:11" x14ac:dyDescent="0.3">
      <c r="A269" s="31">
        <v>45838</v>
      </c>
      <c r="B269" t="s">
        <v>186</v>
      </c>
      <c r="C269" t="s">
        <v>322</v>
      </c>
      <c r="D269" t="s">
        <v>552</v>
      </c>
      <c r="E269" s="10">
        <v>1520466.15</v>
      </c>
      <c r="F269" s="10">
        <v>1941351.059754852</v>
      </c>
      <c r="G269" s="10">
        <v>1626046.4215431309</v>
      </c>
      <c r="H269">
        <v>1.0694394094489581</v>
      </c>
      <c r="I269">
        <v>0.83758494548042406</v>
      </c>
      <c r="J269">
        <v>5.08</v>
      </c>
      <c r="K269">
        <v>0.21679999999999999</v>
      </c>
    </row>
    <row r="270" spans="1:11" x14ac:dyDescent="0.3">
      <c r="A270" s="31">
        <v>45838</v>
      </c>
      <c r="B270" t="s">
        <v>186</v>
      </c>
      <c r="C270" t="s">
        <v>321</v>
      </c>
      <c r="D270" t="s">
        <v>552</v>
      </c>
      <c r="E270" s="10">
        <v>1280047.3500000001</v>
      </c>
      <c r="F270" s="10">
        <v>1686714.125708262</v>
      </c>
      <c r="G270" s="10">
        <v>1359858.600154364</v>
      </c>
      <c r="H270">
        <v>1.062350232711597</v>
      </c>
      <c r="I270">
        <v>0.80621759160483142</v>
      </c>
      <c r="J270">
        <v>5.61</v>
      </c>
      <c r="K270">
        <v>0.24110000000000001</v>
      </c>
    </row>
    <row r="271" spans="1:11" x14ac:dyDescent="0.3">
      <c r="A271" s="31">
        <v>45838</v>
      </c>
      <c r="B271" t="s">
        <v>186</v>
      </c>
      <c r="C271" t="s">
        <v>320</v>
      </c>
      <c r="D271" t="s">
        <v>552</v>
      </c>
      <c r="E271" s="10">
        <v>1630865.87</v>
      </c>
      <c r="F271" s="10">
        <v>2187613.5077129439</v>
      </c>
      <c r="G271" s="10">
        <v>1760355.628295043</v>
      </c>
      <c r="H271">
        <v>1.079399391867244</v>
      </c>
      <c r="I271">
        <v>0.80469224663702998</v>
      </c>
      <c r="J271">
        <v>5.89</v>
      </c>
      <c r="K271">
        <v>0.2545</v>
      </c>
    </row>
    <row r="272" spans="1:11" x14ac:dyDescent="0.3">
      <c r="A272" s="31">
        <v>45838</v>
      </c>
      <c r="B272" t="s">
        <v>186</v>
      </c>
      <c r="C272" t="s">
        <v>319</v>
      </c>
      <c r="D272" t="s">
        <v>552</v>
      </c>
      <c r="E272" s="10">
        <v>434398.55</v>
      </c>
      <c r="F272" s="10">
        <v>572254.70952443685</v>
      </c>
      <c r="G272" s="10">
        <v>470805.70440655889</v>
      </c>
      <c r="H272">
        <v>1.08381048787239</v>
      </c>
      <c r="I272">
        <v>0.82272054134393136</v>
      </c>
      <c r="J272">
        <v>5.69</v>
      </c>
      <c r="K272">
        <v>0.2409</v>
      </c>
    </row>
    <row r="273" spans="1:11" x14ac:dyDescent="0.3">
      <c r="A273" s="31">
        <v>45838</v>
      </c>
      <c r="B273" t="s">
        <v>186</v>
      </c>
      <c r="C273" t="s">
        <v>268</v>
      </c>
      <c r="D273" t="s">
        <v>552</v>
      </c>
      <c r="E273" s="10">
        <v>1101172.81</v>
      </c>
      <c r="F273" s="10">
        <v>1430837.8508316011</v>
      </c>
      <c r="G273" s="10">
        <v>1202670.7589516339</v>
      </c>
      <c r="H273">
        <v>1.09217258910673</v>
      </c>
      <c r="I273">
        <v>0.84053602457653986</v>
      </c>
      <c r="J273">
        <v>5.34</v>
      </c>
      <c r="K273">
        <v>0.23039999999999999</v>
      </c>
    </row>
    <row r="274" spans="1:11" x14ac:dyDescent="0.3">
      <c r="A274" s="31">
        <v>45838</v>
      </c>
      <c r="B274" t="s">
        <v>186</v>
      </c>
      <c r="C274" t="s">
        <v>318</v>
      </c>
      <c r="D274" t="s">
        <v>552</v>
      </c>
      <c r="E274" s="10">
        <v>1009188.53</v>
      </c>
      <c r="F274" s="10">
        <v>1326832.145674468</v>
      </c>
      <c r="G274" s="10">
        <v>1071055.6448453229</v>
      </c>
      <c r="H274">
        <v>1.061303822830133</v>
      </c>
      <c r="I274">
        <v>0.80722768764459962</v>
      </c>
      <c r="J274">
        <v>5.55</v>
      </c>
      <c r="K274">
        <v>0.2394</v>
      </c>
    </row>
    <row r="275" spans="1:11" x14ac:dyDescent="0.3">
      <c r="A275" s="31">
        <v>45838</v>
      </c>
      <c r="B275" t="s">
        <v>186</v>
      </c>
      <c r="C275" t="s">
        <v>317</v>
      </c>
      <c r="D275" t="s">
        <v>552</v>
      </c>
      <c r="E275" s="10">
        <v>1191574.02</v>
      </c>
      <c r="F275" s="10">
        <v>1578452.801695589</v>
      </c>
      <c r="G275" s="10">
        <v>1283342.739589978</v>
      </c>
      <c r="H275">
        <v>1.0770147032829549</v>
      </c>
      <c r="I275">
        <v>0.81303839950830303</v>
      </c>
      <c r="J275">
        <v>5.72</v>
      </c>
      <c r="K275">
        <v>0.24510000000000001</v>
      </c>
    </row>
    <row r="276" spans="1:11" x14ac:dyDescent="0.3">
      <c r="A276" s="31">
        <v>45838</v>
      </c>
      <c r="B276" t="s">
        <v>186</v>
      </c>
      <c r="C276" t="s">
        <v>316</v>
      </c>
      <c r="D276" t="s">
        <v>552</v>
      </c>
      <c r="E276" s="10">
        <v>1992425.62</v>
      </c>
      <c r="F276" s="10">
        <v>2727108.70517383</v>
      </c>
      <c r="G276" s="10">
        <v>2159566.2348754881</v>
      </c>
      <c r="H276">
        <v>1.083888007259959</v>
      </c>
      <c r="I276">
        <v>0.79188857810412605</v>
      </c>
      <c r="J276">
        <v>6.1</v>
      </c>
      <c r="K276">
        <v>0.26939999999999997</v>
      </c>
    </row>
    <row r="277" spans="1:11" x14ac:dyDescent="0.3">
      <c r="A277" s="31">
        <v>45838</v>
      </c>
      <c r="B277" t="s">
        <v>192</v>
      </c>
      <c r="C277" t="s">
        <v>553</v>
      </c>
      <c r="D277" t="s">
        <v>24</v>
      </c>
      <c r="E277" s="10">
        <v>791477.75</v>
      </c>
      <c r="F277" s="10">
        <v>1028694.762152327</v>
      </c>
      <c r="G277" s="10">
        <v>326861.85579930508</v>
      </c>
      <c r="H277">
        <v>0.41297668291914102</v>
      </c>
      <c r="I277">
        <v>0.31774425983798699</v>
      </c>
    </row>
    <row r="278" spans="1:11" x14ac:dyDescent="0.3">
      <c r="A278" s="31">
        <v>45838</v>
      </c>
      <c r="B278" t="s">
        <v>192</v>
      </c>
      <c r="C278" t="s">
        <v>324</v>
      </c>
      <c r="D278" t="s">
        <v>552</v>
      </c>
      <c r="E278" s="10">
        <v>202384.87</v>
      </c>
      <c r="F278" s="10">
        <v>263042.46165843518</v>
      </c>
      <c r="G278" s="10">
        <v>218367.59790969529</v>
      </c>
      <c r="H278">
        <v>1.078971950372057</v>
      </c>
      <c r="I278">
        <v>0.8301610186162609</v>
      </c>
      <c r="J278">
        <v>5.15</v>
      </c>
      <c r="K278">
        <v>0.2306</v>
      </c>
    </row>
    <row r="279" spans="1:11" x14ac:dyDescent="0.3">
      <c r="A279" s="31">
        <v>45838</v>
      </c>
      <c r="B279" t="s">
        <v>192</v>
      </c>
      <c r="C279" t="s">
        <v>323</v>
      </c>
      <c r="D279" t="s">
        <v>552</v>
      </c>
      <c r="E279" s="10">
        <v>532412.06000000006</v>
      </c>
      <c r="F279" s="10">
        <v>691983.44164283876</v>
      </c>
      <c r="G279" s="10">
        <v>551991.361053664</v>
      </c>
      <c r="H279">
        <v>1.0367747136563059</v>
      </c>
      <c r="I279">
        <v>0.79769446468716154</v>
      </c>
      <c r="J279">
        <v>5.15</v>
      </c>
      <c r="K279">
        <v>0.2306</v>
      </c>
    </row>
    <row r="280" spans="1:11" x14ac:dyDescent="0.3">
      <c r="A280" s="31">
        <v>45838</v>
      </c>
      <c r="B280" t="s">
        <v>192</v>
      </c>
      <c r="C280" t="s">
        <v>322</v>
      </c>
      <c r="D280" t="s">
        <v>552</v>
      </c>
      <c r="E280" s="10">
        <v>981288.26</v>
      </c>
      <c r="F280" s="10">
        <v>1275394.151286717</v>
      </c>
      <c r="G280" s="10">
        <v>1042382.951794146</v>
      </c>
      <c r="H280">
        <v>1.0622596787147389</v>
      </c>
      <c r="I280">
        <v>0.81730259680312034</v>
      </c>
      <c r="J280">
        <v>5.15</v>
      </c>
      <c r="K280">
        <v>0.2306</v>
      </c>
    </row>
    <row r="281" spans="1:11" x14ac:dyDescent="0.3">
      <c r="A281" s="31">
        <v>45838</v>
      </c>
      <c r="B281" t="s">
        <v>192</v>
      </c>
      <c r="C281" t="s">
        <v>321</v>
      </c>
      <c r="D281" t="s">
        <v>552</v>
      </c>
      <c r="E281" s="10">
        <v>371021.64</v>
      </c>
      <c r="F281" s="10">
        <v>482222.04315050697</v>
      </c>
      <c r="G281" s="10">
        <v>403274.01022085518</v>
      </c>
      <c r="H281">
        <v>1.086928542014032</v>
      </c>
      <c r="I281">
        <v>0.8362828202255963</v>
      </c>
      <c r="J281">
        <v>5.15</v>
      </c>
      <c r="K281">
        <v>0.2306</v>
      </c>
    </row>
    <row r="282" spans="1:11" x14ac:dyDescent="0.3">
      <c r="A282" s="31">
        <v>45838</v>
      </c>
      <c r="B282" t="s">
        <v>192</v>
      </c>
      <c r="C282" t="s">
        <v>320</v>
      </c>
      <c r="D282" t="s">
        <v>552</v>
      </c>
      <c r="E282" s="10">
        <v>229906.62</v>
      </c>
      <c r="F282" s="10">
        <v>298812.86716922279</v>
      </c>
      <c r="G282" s="10">
        <v>251976.40130081479</v>
      </c>
      <c r="H282">
        <v>1.0959945446582391</v>
      </c>
      <c r="I282">
        <v>0.84325820266004925</v>
      </c>
      <c r="J282">
        <v>5.15</v>
      </c>
      <c r="K282">
        <v>0.2306</v>
      </c>
    </row>
    <row r="283" spans="1:11" x14ac:dyDescent="0.3">
      <c r="A283" s="31">
        <v>45838</v>
      </c>
      <c r="B283" t="s">
        <v>192</v>
      </c>
      <c r="C283" t="s">
        <v>319</v>
      </c>
      <c r="D283" t="s">
        <v>552</v>
      </c>
      <c r="E283" s="10">
        <v>48751.28</v>
      </c>
      <c r="F283" s="10">
        <v>63362.724200675853</v>
      </c>
      <c r="G283" s="10">
        <v>53264.464553172453</v>
      </c>
      <c r="H283">
        <v>1.092575713974534</v>
      </c>
      <c r="I283">
        <v>0.84062775433200687</v>
      </c>
      <c r="J283">
        <v>5.15</v>
      </c>
      <c r="K283">
        <v>0.2306</v>
      </c>
    </row>
    <row r="284" spans="1:11" x14ac:dyDescent="0.3">
      <c r="A284" s="31">
        <v>45838</v>
      </c>
      <c r="B284" t="s">
        <v>192</v>
      </c>
      <c r="C284" t="s">
        <v>268</v>
      </c>
      <c r="D284" t="s">
        <v>552</v>
      </c>
      <c r="E284" s="10">
        <v>566040.16</v>
      </c>
      <c r="F284" s="10">
        <v>735690.35612165334</v>
      </c>
      <c r="G284" s="10">
        <v>614914.40763674013</v>
      </c>
      <c r="H284">
        <v>1.086344134375095</v>
      </c>
      <c r="I284">
        <v>0.83583317698819781</v>
      </c>
      <c r="J284">
        <v>5.15</v>
      </c>
      <c r="K284">
        <v>0.2306</v>
      </c>
    </row>
    <row r="285" spans="1:11" x14ac:dyDescent="0.3">
      <c r="A285" s="31">
        <v>45838</v>
      </c>
      <c r="B285" t="s">
        <v>192</v>
      </c>
      <c r="C285" t="s">
        <v>318</v>
      </c>
      <c r="D285" t="s">
        <v>552</v>
      </c>
      <c r="E285" s="10">
        <v>352839.97</v>
      </c>
      <c r="F285" s="10">
        <v>458591.07096438791</v>
      </c>
      <c r="G285" s="10">
        <v>385319.64099635603</v>
      </c>
      <c r="H285">
        <v>1.0920521305915429</v>
      </c>
      <c r="I285">
        <v>0.84022490927713289</v>
      </c>
      <c r="J285">
        <v>5.15</v>
      </c>
      <c r="K285">
        <v>0.2306</v>
      </c>
    </row>
    <row r="286" spans="1:11" x14ac:dyDescent="0.3">
      <c r="A286" s="31">
        <v>45838</v>
      </c>
      <c r="B286" t="s">
        <v>192</v>
      </c>
      <c r="C286" t="s">
        <v>317</v>
      </c>
      <c r="D286" t="s">
        <v>552</v>
      </c>
      <c r="E286" s="10">
        <v>212355.67</v>
      </c>
      <c r="F286" s="10">
        <v>276001.65063685988</v>
      </c>
      <c r="G286" s="10">
        <v>231535.52102585841</v>
      </c>
      <c r="H286">
        <v>1.090319467456925</v>
      </c>
      <c r="I286">
        <v>0.83889179826135774</v>
      </c>
      <c r="J286">
        <v>5.15</v>
      </c>
      <c r="K286">
        <v>0.2306</v>
      </c>
    </row>
    <row r="287" spans="1:11" x14ac:dyDescent="0.3">
      <c r="A287" s="31">
        <v>45838</v>
      </c>
      <c r="B287" t="s">
        <v>192</v>
      </c>
      <c r="C287" t="s">
        <v>316</v>
      </c>
      <c r="D287" t="s">
        <v>552</v>
      </c>
      <c r="E287" s="10">
        <v>383763.53</v>
      </c>
      <c r="F287" s="10">
        <v>498782.85677151033</v>
      </c>
      <c r="G287" s="10">
        <v>415893.9239619436</v>
      </c>
      <c r="H287">
        <v>1.0837244590749511</v>
      </c>
      <c r="I287">
        <v>0.83381759881226691</v>
      </c>
      <c r="J287">
        <v>5.15</v>
      </c>
      <c r="K287">
        <v>0.2306</v>
      </c>
    </row>
    <row r="288" spans="1:11" x14ac:dyDescent="0.3">
      <c r="A288" s="31">
        <v>45838</v>
      </c>
      <c r="B288" t="s">
        <v>191</v>
      </c>
      <c r="C288" t="s">
        <v>553</v>
      </c>
      <c r="D288" t="s">
        <v>24</v>
      </c>
      <c r="E288" s="10">
        <v>337827.26</v>
      </c>
      <c r="F288" s="10">
        <v>398005.72573044302</v>
      </c>
      <c r="G288" s="10">
        <v>132342.1984163303</v>
      </c>
      <c r="H288">
        <v>0.39174517301040263</v>
      </c>
      <c r="I288">
        <v>0.33251330285122982</v>
      </c>
    </row>
    <row r="289" spans="1:11" x14ac:dyDescent="0.3">
      <c r="A289" s="31">
        <v>45838</v>
      </c>
      <c r="B289" t="s">
        <v>191</v>
      </c>
      <c r="C289" t="s">
        <v>324</v>
      </c>
      <c r="D289" t="s">
        <v>552</v>
      </c>
      <c r="E289" s="10">
        <v>78369.2</v>
      </c>
      <c r="F289" s="10">
        <v>92329.406220546662</v>
      </c>
      <c r="G289" s="10">
        <v>76355.571549115179</v>
      </c>
      <c r="H289">
        <v>0.97430586951398235</v>
      </c>
      <c r="I289">
        <v>0.82699082204346808</v>
      </c>
      <c r="J289">
        <v>4.3099999999999996</v>
      </c>
      <c r="K289">
        <v>0.1512</v>
      </c>
    </row>
    <row r="290" spans="1:11" x14ac:dyDescent="0.3">
      <c r="A290" s="31">
        <v>45838</v>
      </c>
      <c r="B290" t="s">
        <v>191</v>
      </c>
      <c r="C290" t="s">
        <v>323</v>
      </c>
      <c r="D290" t="s">
        <v>552</v>
      </c>
      <c r="E290" s="10">
        <v>520601.7</v>
      </c>
      <c r="F290" s="10">
        <v>613338.47785108397</v>
      </c>
      <c r="G290" s="10">
        <v>511222.88158125448</v>
      </c>
      <c r="H290">
        <v>0.98198465656423028</v>
      </c>
      <c r="I290">
        <v>0.83350857649171861</v>
      </c>
      <c r="J290">
        <v>4.3099999999999996</v>
      </c>
      <c r="K290">
        <v>0.1512</v>
      </c>
    </row>
    <row r="291" spans="1:11" x14ac:dyDescent="0.3">
      <c r="A291" s="31">
        <v>45838</v>
      </c>
      <c r="B291" t="s">
        <v>191</v>
      </c>
      <c r="C291" t="s">
        <v>322</v>
      </c>
      <c r="D291" t="s">
        <v>552</v>
      </c>
      <c r="E291" s="10">
        <v>355357.61</v>
      </c>
      <c r="F291" s="10">
        <v>418658.82422243169</v>
      </c>
      <c r="G291" s="10">
        <v>354205.23507488862</v>
      </c>
      <c r="H291">
        <v>0.99675714015210937</v>
      </c>
      <c r="I291">
        <v>0.84604746056111035</v>
      </c>
      <c r="J291">
        <v>4.3099999999999996</v>
      </c>
      <c r="K291">
        <v>0.1512</v>
      </c>
    </row>
    <row r="292" spans="1:11" x14ac:dyDescent="0.3">
      <c r="A292" s="31">
        <v>45838</v>
      </c>
      <c r="B292" t="s">
        <v>191</v>
      </c>
      <c r="C292" t="s">
        <v>321</v>
      </c>
      <c r="D292" t="s">
        <v>552</v>
      </c>
      <c r="E292" s="10">
        <v>281942.88</v>
      </c>
      <c r="F292" s="10">
        <v>332166.44674835057</v>
      </c>
      <c r="G292" s="10">
        <v>279684.31513553439</v>
      </c>
      <c r="H292">
        <v>0.9919892821394688</v>
      </c>
      <c r="I292">
        <v>0.84200050267998106</v>
      </c>
      <c r="J292">
        <v>4.3099999999999996</v>
      </c>
      <c r="K292">
        <v>0.1512</v>
      </c>
    </row>
    <row r="293" spans="1:11" x14ac:dyDescent="0.3">
      <c r="A293" s="31">
        <v>45838</v>
      </c>
      <c r="B293" t="s">
        <v>191</v>
      </c>
      <c r="C293" t="s">
        <v>320</v>
      </c>
      <c r="D293" t="s">
        <v>552</v>
      </c>
      <c r="E293" s="10">
        <v>339588.38</v>
      </c>
      <c r="F293" s="10">
        <v>400080.56079170603</v>
      </c>
      <c r="G293" s="10">
        <v>339697.6573665897</v>
      </c>
      <c r="H293">
        <v>1.0003217935978539</v>
      </c>
      <c r="I293">
        <v>0.84907313840585863</v>
      </c>
      <c r="J293">
        <v>4.3099999999999996</v>
      </c>
      <c r="K293">
        <v>0.1512</v>
      </c>
    </row>
    <row r="294" spans="1:11" x14ac:dyDescent="0.3">
      <c r="A294" s="31">
        <v>45838</v>
      </c>
      <c r="B294" t="s">
        <v>191</v>
      </c>
      <c r="C294" t="s">
        <v>319</v>
      </c>
      <c r="D294" t="s">
        <v>552</v>
      </c>
      <c r="E294" s="10">
        <v>127515.75</v>
      </c>
      <c r="F294" s="10">
        <v>150230.61969839779</v>
      </c>
      <c r="G294" s="10">
        <v>122850.4554063137</v>
      </c>
      <c r="H294">
        <v>0.96341397361748438</v>
      </c>
      <c r="I294">
        <v>0.81774578080652061</v>
      </c>
      <c r="J294">
        <v>4.3099999999999996</v>
      </c>
      <c r="K294">
        <v>0.1512</v>
      </c>
    </row>
    <row r="295" spans="1:11" x14ac:dyDescent="0.3">
      <c r="A295" s="31">
        <v>45838</v>
      </c>
      <c r="B295" t="s">
        <v>191</v>
      </c>
      <c r="C295" t="s">
        <v>268</v>
      </c>
      <c r="D295" t="s">
        <v>552</v>
      </c>
      <c r="E295" s="10">
        <v>214443</v>
      </c>
      <c r="F295" s="10">
        <v>252642.55419415649</v>
      </c>
      <c r="G295" s="10">
        <v>210136.91322525821</v>
      </c>
      <c r="H295">
        <v>0.97991966734870439</v>
      </c>
      <c r="I295">
        <v>0.83175581364558027</v>
      </c>
      <c r="J295">
        <v>4.3099999999999996</v>
      </c>
      <c r="K295">
        <v>0.1512</v>
      </c>
    </row>
    <row r="296" spans="1:11" x14ac:dyDescent="0.3">
      <c r="A296" s="31">
        <v>45838</v>
      </c>
      <c r="B296" t="s">
        <v>191</v>
      </c>
      <c r="C296" t="s">
        <v>318</v>
      </c>
      <c r="D296" t="s">
        <v>552</v>
      </c>
      <c r="E296" s="10">
        <v>207304.41</v>
      </c>
      <c r="F296" s="10">
        <v>244232.3397737983</v>
      </c>
      <c r="G296" s="10">
        <v>205063.1640492595</v>
      </c>
      <c r="H296">
        <v>0.98918862386603112</v>
      </c>
      <c r="I296">
        <v>0.83962330393748719</v>
      </c>
      <c r="J296">
        <v>4.3099999999999996</v>
      </c>
      <c r="K296">
        <v>0.1512</v>
      </c>
    </row>
    <row r="297" spans="1:11" x14ac:dyDescent="0.3">
      <c r="A297" s="31">
        <v>45838</v>
      </c>
      <c r="B297" t="s">
        <v>191</v>
      </c>
      <c r="C297" t="s">
        <v>317</v>
      </c>
      <c r="D297" t="s">
        <v>552</v>
      </c>
      <c r="E297" s="10">
        <v>289773.65999999997</v>
      </c>
      <c r="F297" s="10">
        <v>341392.15362865222</v>
      </c>
      <c r="G297" s="10">
        <v>285740.98220807727</v>
      </c>
      <c r="H297">
        <v>0.98608335280741977</v>
      </c>
      <c r="I297">
        <v>0.83698754986293789</v>
      </c>
      <c r="J297">
        <v>4.3099999999999996</v>
      </c>
      <c r="K297">
        <v>0.1512</v>
      </c>
    </row>
    <row r="298" spans="1:11" x14ac:dyDescent="0.3">
      <c r="A298" s="31">
        <v>45838</v>
      </c>
      <c r="B298" t="s">
        <v>191</v>
      </c>
      <c r="C298" t="s">
        <v>316</v>
      </c>
      <c r="D298" t="s">
        <v>552</v>
      </c>
      <c r="E298" s="10">
        <v>221107.75</v>
      </c>
      <c r="F298" s="10">
        <v>260494.52167766259</v>
      </c>
      <c r="G298" s="10">
        <v>212582.3082343924</v>
      </c>
      <c r="H298">
        <v>0.9614421395649515</v>
      </c>
      <c r="I298">
        <v>0.81607208806273079</v>
      </c>
      <c r="J298">
        <v>4.3099999999999996</v>
      </c>
      <c r="K298">
        <v>0.1512</v>
      </c>
    </row>
    <row r="299" spans="1:11" x14ac:dyDescent="0.3">
      <c r="A299" s="31">
        <v>45838</v>
      </c>
      <c r="B299" t="s">
        <v>193</v>
      </c>
      <c r="C299" t="s">
        <v>553</v>
      </c>
      <c r="D299" t="s">
        <v>24</v>
      </c>
      <c r="E299" s="10">
        <v>893833.94</v>
      </c>
      <c r="F299" s="10">
        <v>1305629.4770669001</v>
      </c>
      <c r="G299" s="10">
        <v>390831.35925203201</v>
      </c>
      <c r="H299">
        <v>0.43725276224354609</v>
      </c>
      <c r="I299">
        <v>0.29934324103193172</v>
      </c>
    </row>
    <row r="300" spans="1:11" x14ac:dyDescent="0.3">
      <c r="A300" s="31">
        <v>45838</v>
      </c>
      <c r="B300" t="s">
        <v>193</v>
      </c>
      <c r="C300" t="s">
        <v>324</v>
      </c>
      <c r="D300" t="s">
        <v>552</v>
      </c>
      <c r="E300" s="10">
        <v>1222364.56</v>
      </c>
      <c r="F300" s="10">
        <v>1785516.4475606191</v>
      </c>
      <c r="G300" s="10">
        <v>1457289.76899557</v>
      </c>
      <c r="H300">
        <v>1.192189152633458</v>
      </c>
      <c r="I300">
        <v>0.81617269389286573</v>
      </c>
      <c r="J300">
        <v>6.94</v>
      </c>
      <c r="K300">
        <v>0.31540000000000001</v>
      </c>
    </row>
    <row r="301" spans="1:11" x14ac:dyDescent="0.3">
      <c r="A301" s="31">
        <v>45838</v>
      </c>
      <c r="B301" t="s">
        <v>193</v>
      </c>
      <c r="C301" t="s">
        <v>323</v>
      </c>
      <c r="D301" t="s">
        <v>552</v>
      </c>
      <c r="E301" s="10">
        <v>1032426.25</v>
      </c>
      <c r="F301" s="10">
        <v>1508072.2319602689</v>
      </c>
      <c r="G301" s="10">
        <v>1249827.929760111</v>
      </c>
      <c r="H301">
        <v>1.210573568581883</v>
      </c>
      <c r="I301">
        <v>0.82875866505115692</v>
      </c>
      <c r="J301">
        <v>6.94</v>
      </c>
      <c r="K301">
        <v>0.31540000000000001</v>
      </c>
    </row>
    <row r="302" spans="1:11" x14ac:dyDescent="0.3">
      <c r="A302" s="31">
        <v>45838</v>
      </c>
      <c r="B302" t="s">
        <v>193</v>
      </c>
      <c r="C302" t="s">
        <v>322</v>
      </c>
      <c r="D302" t="s">
        <v>552</v>
      </c>
      <c r="E302" s="10">
        <v>183820.28</v>
      </c>
      <c r="F302" s="10">
        <v>268507.56646216771</v>
      </c>
      <c r="G302" s="10">
        <v>219641.4396755464</v>
      </c>
      <c r="H302">
        <v>1.194870553322769</v>
      </c>
      <c r="I302">
        <v>0.81800838080476812</v>
      </c>
      <c r="J302">
        <v>6.94</v>
      </c>
      <c r="K302">
        <v>0.31540000000000001</v>
      </c>
    </row>
    <row r="303" spans="1:11" x14ac:dyDescent="0.3">
      <c r="A303" s="31">
        <v>45838</v>
      </c>
      <c r="B303" t="s">
        <v>193</v>
      </c>
      <c r="C303" t="s">
        <v>321</v>
      </c>
      <c r="D303" t="s">
        <v>552</v>
      </c>
      <c r="E303" s="10">
        <v>627082.82999999996</v>
      </c>
      <c r="F303" s="10">
        <v>915984.2681858018</v>
      </c>
      <c r="G303" s="10">
        <v>723752.98446538381</v>
      </c>
      <c r="H303">
        <v>1.1541585095949509</v>
      </c>
      <c r="I303">
        <v>0.79013691566870337</v>
      </c>
      <c r="J303">
        <v>6.94</v>
      </c>
      <c r="K303">
        <v>0.31540000000000001</v>
      </c>
    </row>
    <row r="304" spans="1:11" x14ac:dyDescent="0.3">
      <c r="A304" s="31">
        <v>45838</v>
      </c>
      <c r="B304" t="s">
        <v>193</v>
      </c>
      <c r="C304" t="s">
        <v>320</v>
      </c>
      <c r="D304" t="s">
        <v>552</v>
      </c>
      <c r="E304" s="10">
        <v>1061370.8700000001</v>
      </c>
      <c r="F304" s="10">
        <v>1550351.840490798</v>
      </c>
      <c r="G304" s="10">
        <v>1242379.3095735039</v>
      </c>
      <c r="H304">
        <v>1.1705421212224369</v>
      </c>
      <c r="I304">
        <v>0.8013531361888806</v>
      </c>
      <c r="J304">
        <v>6.94</v>
      </c>
      <c r="K304">
        <v>0.31540000000000001</v>
      </c>
    </row>
    <row r="305" spans="1:11" x14ac:dyDescent="0.3">
      <c r="A305" s="31">
        <v>45838</v>
      </c>
      <c r="B305" t="s">
        <v>193</v>
      </c>
      <c r="C305" t="s">
        <v>319</v>
      </c>
      <c r="D305" t="s">
        <v>552</v>
      </c>
      <c r="E305" s="10">
        <v>258131.52</v>
      </c>
      <c r="F305" s="10">
        <v>377054.51358457492</v>
      </c>
      <c r="G305" s="10">
        <v>289822.4176752757</v>
      </c>
      <c r="H305">
        <v>1.1227703523973971</v>
      </c>
      <c r="I305">
        <v>0.76864858325125796</v>
      </c>
      <c r="J305">
        <v>6.94</v>
      </c>
      <c r="K305">
        <v>0.31540000000000001</v>
      </c>
    </row>
    <row r="306" spans="1:11" x14ac:dyDescent="0.3">
      <c r="A306" s="31">
        <v>45838</v>
      </c>
      <c r="B306" t="s">
        <v>193</v>
      </c>
      <c r="C306" t="s">
        <v>268</v>
      </c>
      <c r="D306" t="s">
        <v>552</v>
      </c>
      <c r="E306" s="10">
        <v>320689.65000000002</v>
      </c>
      <c r="F306" s="10">
        <v>468433.61086766003</v>
      </c>
      <c r="G306" s="10">
        <v>362506.4452588656</v>
      </c>
      <c r="H306">
        <v>1.130396460437266</v>
      </c>
      <c r="I306">
        <v>0.77386941681535215</v>
      </c>
      <c r="J306">
        <v>6.94</v>
      </c>
      <c r="K306">
        <v>0.31540000000000001</v>
      </c>
    </row>
    <row r="307" spans="1:11" x14ac:dyDescent="0.3">
      <c r="A307" s="31">
        <v>45838</v>
      </c>
      <c r="B307" t="s">
        <v>193</v>
      </c>
      <c r="C307" t="s">
        <v>318</v>
      </c>
      <c r="D307" t="s">
        <v>552</v>
      </c>
      <c r="E307" s="10">
        <v>449044.15</v>
      </c>
      <c r="F307" s="10">
        <v>655921.92521180247</v>
      </c>
      <c r="G307" s="10">
        <v>529248.88970040809</v>
      </c>
      <c r="H307">
        <v>1.1786121469356809</v>
      </c>
      <c r="I307">
        <v>0.80687787579216741</v>
      </c>
      <c r="J307">
        <v>6.94</v>
      </c>
      <c r="K307">
        <v>0.31540000000000001</v>
      </c>
    </row>
    <row r="308" spans="1:11" x14ac:dyDescent="0.3">
      <c r="A308" s="31">
        <v>45838</v>
      </c>
      <c r="B308" t="s">
        <v>193</v>
      </c>
      <c r="C308" t="s">
        <v>317</v>
      </c>
      <c r="D308" t="s">
        <v>552</v>
      </c>
      <c r="E308" s="10">
        <v>689444.69</v>
      </c>
      <c r="F308" s="10">
        <v>1007076.672509494</v>
      </c>
      <c r="G308" s="10">
        <v>818346.48959148454</v>
      </c>
      <c r="H308">
        <v>1.186964670931739</v>
      </c>
      <c r="I308">
        <v>0.81259601371986834</v>
      </c>
      <c r="J308">
        <v>6.94</v>
      </c>
      <c r="K308">
        <v>0.31540000000000001</v>
      </c>
    </row>
    <row r="309" spans="1:11" x14ac:dyDescent="0.3">
      <c r="A309" s="31">
        <v>45838</v>
      </c>
      <c r="B309" t="s">
        <v>193</v>
      </c>
      <c r="C309" t="s">
        <v>316</v>
      </c>
      <c r="D309" t="s">
        <v>552</v>
      </c>
      <c r="E309" s="10">
        <v>1387554.34</v>
      </c>
      <c r="F309" s="10">
        <v>2026810.3125912941</v>
      </c>
      <c r="G309" s="10">
        <v>1630060.8701373979</v>
      </c>
      <c r="H309">
        <v>1.174772636390873</v>
      </c>
      <c r="I309">
        <v>0.80424934687319172</v>
      </c>
      <c r="J309">
        <v>6.94</v>
      </c>
      <c r="K309">
        <v>0.31540000000000001</v>
      </c>
    </row>
    <row r="310" spans="1:11" x14ac:dyDescent="0.3">
      <c r="A310" s="31">
        <v>45869</v>
      </c>
      <c r="B310" t="s">
        <v>186</v>
      </c>
      <c r="C310" t="s">
        <v>553</v>
      </c>
      <c r="D310" t="s">
        <v>24</v>
      </c>
      <c r="E310" s="10">
        <v>2924810.16</v>
      </c>
      <c r="F310" s="10">
        <v>3835604.2706960528</v>
      </c>
      <c r="G310" s="10">
        <v>1227464.6857601181</v>
      </c>
      <c r="H310">
        <v>0.41967328428595091</v>
      </c>
      <c r="I310">
        <v>0.32001859397694532</v>
      </c>
    </row>
    <row r="311" spans="1:11" x14ac:dyDescent="0.3">
      <c r="A311" s="31">
        <v>45869</v>
      </c>
      <c r="B311" t="s">
        <v>186</v>
      </c>
      <c r="C311" t="s">
        <v>324</v>
      </c>
      <c r="D311" t="s">
        <v>552</v>
      </c>
      <c r="E311" s="10">
        <v>1455381.73</v>
      </c>
      <c r="F311" s="10">
        <v>1916993.8487881981</v>
      </c>
      <c r="G311" s="10">
        <v>1553651.3775512001</v>
      </c>
      <c r="H311">
        <v>1.067521561886859</v>
      </c>
      <c r="I311">
        <v>0.81046236978450359</v>
      </c>
      <c r="J311">
        <v>5.89</v>
      </c>
      <c r="K311">
        <v>0.24079999999999999</v>
      </c>
    </row>
    <row r="312" spans="1:11" x14ac:dyDescent="0.3">
      <c r="A312" s="31">
        <v>45869</v>
      </c>
      <c r="B312" t="s">
        <v>186</v>
      </c>
      <c r="C312" t="s">
        <v>323</v>
      </c>
      <c r="D312" t="s">
        <v>552</v>
      </c>
      <c r="E312" s="10">
        <v>1673035.25</v>
      </c>
      <c r="F312" s="10">
        <v>2217703.1415694589</v>
      </c>
      <c r="G312" s="10">
        <v>1753995.8510969321</v>
      </c>
      <c r="H312">
        <v>1.048391449670252</v>
      </c>
      <c r="I312">
        <v>0.79090650963123799</v>
      </c>
      <c r="J312">
        <v>5.89</v>
      </c>
      <c r="K312">
        <v>0.24560000000000001</v>
      </c>
    </row>
    <row r="313" spans="1:11" x14ac:dyDescent="0.3">
      <c r="A313" s="31">
        <v>45869</v>
      </c>
      <c r="B313" t="s">
        <v>186</v>
      </c>
      <c r="C313" t="s">
        <v>322</v>
      </c>
      <c r="D313" t="s">
        <v>552</v>
      </c>
      <c r="E313" s="10">
        <v>1829516.94</v>
      </c>
      <c r="F313" s="10">
        <v>2361581.1798115401</v>
      </c>
      <c r="G313" s="10">
        <v>1930081.014522061</v>
      </c>
      <c r="H313">
        <v>1.05496755581944</v>
      </c>
      <c r="I313">
        <v>0.81728336549331992</v>
      </c>
      <c r="J313">
        <v>5.33</v>
      </c>
      <c r="K313">
        <v>0.2253</v>
      </c>
    </row>
    <row r="314" spans="1:11" x14ac:dyDescent="0.3">
      <c r="A314" s="31">
        <v>45869</v>
      </c>
      <c r="B314" t="s">
        <v>186</v>
      </c>
      <c r="C314" t="s">
        <v>321</v>
      </c>
      <c r="D314" t="s">
        <v>552</v>
      </c>
      <c r="E314" s="10">
        <v>1039107.86</v>
      </c>
      <c r="F314" s="10">
        <v>1362764.406557377</v>
      </c>
      <c r="G314" s="10">
        <v>1104387.219236478</v>
      </c>
      <c r="H314">
        <v>1.062822505487041</v>
      </c>
      <c r="I314">
        <v>0.81040216043386881</v>
      </c>
      <c r="J314">
        <v>5.74</v>
      </c>
      <c r="K314">
        <v>0.23749999999999999</v>
      </c>
    </row>
    <row r="315" spans="1:11" x14ac:dyDescent="0.3">
      <c r="A315" s="31">
        <v>45869</v>
      </c>
      <c r="B315" t="s">
        <v>186</v>
      </c>
      <c r="C315" t="s">
        <v>320</v>
      </c>
      <c r="D315" t="s">
        <v>552</v>
      </c>
      <c r="E315" s="10">
        <v>1119994.1100000001</v>
      </c>
      <c r="F315" s="10">
        <v>1470387.435998424</v>
      </c>
      <c r="G315" s="10">
        <v>1166890.265655312</v>
      </c>
      <c r="H315">
        <v>1.0418717877501269</v>
      </c>
      <c r="I315">
        <v>0.79359374072927191</v>
      </c>
      <c r="J315">
        <v>5.67</v>
      </c>
      <c r="K315">
        <v>0.23830000000000001</v>
      </c>
    </row>
    <row r="316" spans="1:11" x14ac:dyDescent="0.3">
      <c r="A316" s="31">
        <v>45869</v>
      </c>
      <c r="B316" t="s">
        <v>186</v>
      </c>
      <c r="C316" t="s">
        <v>319</v>
      </c>
      <c r="D316" t="s">
        <v>552</v>
      </c>
      <c r="E316" s="10">
        <v>949385.05</v>
      </c>
      <c r="F316" s="10">
        <v>1231687.921639855</v>
      </c>
      <c r="G316" s="10">
        <v>1014307.546723314</v>
      </c>
      <c r="H316">
        <v>1.0683837361071931</v>
      </c>
      <c r="I316">
        <v>0.82351018379142438</v>
      </c>
      <c r="J316">
        <v>5.45</v>
      </c>
      <c r="K316">
        <v>0.22919999999999999</v>
      </c>
    </row>
    <row r="317" spans="1:11" x14ac:dyDescent="0.3">
      <c r="A317" s="31">
        <v>45869</v>
      </c>
      <c r="B317" t="s">
        <v>186</v>
      </c>
      <c r="C317" t="s">
        <v>268</v>
      </c>
      <c r="D317" t="s">
        <v>552</v>
      </c>
      <c r="E317" s="10">
        <v>674932.2</v>
      </c>
      <c r="F317" s="10">
        <v>898232.89858929976</v>
      </c>
      <c r="G317" s="10">
        <v>749533.96311716258</v>
      </c>
      <c r="H317">
        <v>1.110532232892671</v>
      </c>
      <c r="I317">
        <v>0.83445391979555295</v>
      </c>
      <c r="J317">
        <v>5.78</v>
      </c>
      <c r="K317">
        <v>0.24859999999999999</v>
      </c>
    </row>
    <row r="318" spans="1:11" x14ac:dyDescent="0.3">
      <c r="A318" s="31">
        <v>45869</v>
      </c>
      <c r="B318" t="s">
        <v>186</v>
      </c>
      <c r="C318" t="s">
        <v>318</v>
      </c>
      <c r="D318" t="s">
        <v>552</v>
      </c>
      <c r="E318" s="10">
        <v>868456.83</v>
      </c>
      <c r="F318" s="10">
        <v>1088019.0804309701</v>
      </c>
      <c r="G318" s="10">
        <v>925041.34960589826</v>
      </c>
      <c r="H318">
        <v>1.0651552473896699</v>
      </c>
      <c r="I318">
        <v>0.85020691846643437</v>
      </c>
      <c r="J318">
        <v>4.84</v>
      </c>
      <c r="K318">
        <v>0.20180000000000001</v>
      </c>
    </row>
    <row r="319" spans="1:11" x14ac:dyDescent="0.3">
      <c r="A319" s="31">
        <v>45869</v>
      </c>
      <c r="B319" t="s">
        <v>186</v>
      </c>
      <c r="C319" t="s">
        <v>317</v>
      </c>
      <c r="D319" t="s">
        <v>552</v>
      </c>
      <c r="E319" s="10">
        <v>803628.99</v>
      </c>
      <c r="F319" s="10">
        <v>1031086.720554273</v>
      </c>
      <c r="G319" s="10">
        <v>829530.4382899577</v>
      </c>
      <c r="H319">
        <v>1.032230604684828</v>
      </c>
      <c r="I319">
        <v>0.80452053329135509</v>
      </c>
      <c r="J319">
        <v>5.44</v>
      </c>
      <c r="K319">
        <v>0.22059999999999999</v>
      </c>
    </row>
    <row r="320" spans="1:11" x14ac:dyDescent="0.3">
      <c r="A320" s="31">
        <v>45869</v>
      </c>
      <c r="B320" t="s">
        <v>186</v>
      </c>
      <c r="C320" t="s">
        <v>316</v>
      </c>
      <c r="D320" t="s">
        <v>552</v>
      </c>
      <c r="E320" s="10">
        <v>1666349.35</v>
      </c>
      <c r="F320" s="10">
        <v>2253650.7303218818</v>
      </c>
      <c r="G320" s="10">
        <v>1798964.4360138639</v>
      </c>
      <c r="H320">
        <v>1.07958420364485</v>
      </c>
      <c r="I320">
        <v>0.79824456017500245</v>
      </c>
      <c r="J320">
        <v>6.28</v>
      </c>
      <c r="K320">
        <v>0.2606</v>
      </c>
    </row>
    <row r="321" spans="1:11" x14ac:dyDescent="0.3">
      <c r="A321" s="31">
        <v>45869</v>
      </c>
      <c r="B321" t="s">
        <v>192</v>
      </c>
      <c r="C321" t="s">
        <v>553</v>
      </c>
      <c r="D321" t="s">
        <v>24</v>
      </c>
      <c r="E321" s="10">
        <v>625625.43000000005</v>
      </c>
      <c r="F321" s="10">
        <v>811762.59244842362</v>
      </c>
      <c r="G321" s="10">
        <v>254316.18075166599</v>
      </c>
      <c r="H321">
        <v>0.40649911042085679</v>
      </c>
      <c r="I321">
        <v>0.31328886440135428</v>
      </c>
    </row>
    <row r="322" spans="1:11" x14ac:dyDescent="0.3">
      <c r="A322" s="31">
        <v>45869</v>
      </c>
      <c r="B322" t="s">
        <v>192</v>
      </c>
      <c r="C322" t="s">
        <v>324</v>
      </c>
      <c r="D322" t="s">
        <v>552</v>
      </c>
      <c r="E322" s="10">
        <v>188767.92</v>
      </c>
      <c r="F322" s="10">
        <v>244930.47878551969</v>
      </c>
      <c r="G322" s="10">
        <v>205751.54863033729</v>
      </c>
      <c r="H322">
        <v>1.0899709475547401</v>
      </c>
      <c r="I322">
        <v>0.840040609280438</v>
      </c>
      <c r="J322">
        <v>5.1100000000000003</v>
      </c>
      <c r="K322">
        <v>0.2293</v>
      </c>
    </row>
    <row r="323" spans="1:11" x14ac:dyDescent="0.3">
      <c r="A323" s="31">
        <v>45869</v>
      </c>
      <c r="B323" t="s">
        <v>192</v>
      </c>
      <c r="C323" t="s">
        <v>323</v>
      </c>
      <c r="D323" t="s">
        <v>552</v>
      </c>
      <c r="E323" s="10">
        <v>490921.98</v>
      </c>
      <c r="F323" s="10">
        <v>636981.93849746988</v>
      </c>
      <c r="G323" s="10">
        <v>511544.45294628822</v>
      </c>
      <c r="H323">
        <v>1.042007638253003</v>
      </c>
      <c r="I323">
        <v>0.80307528680158968</v>
      </c>
      <c r="J323">
        <v>5.1100000000000003</v>
      </c>
      <c r="K323">
        <v>0.2293</v>
      </c>
    </row>
    <row r="324" spans="1:11" x14ac:dyDescent="0.3">
      <c r="A324" s="31">
        <v>45869</v>
      </c>
      <c r="B324" t="s">
        <v>192</v>
      </c>
      <c r="C324" t="s">
        <v>322</v>
      </c>
      <c r="D324" t="s">
        <v>552</v>
      </c>
      <c r="E324" s="10">
        <v>908649.48</v>
      </c>
      <c r="F324" s="10">
        <v>1178992.4484235111</v>
      </c>
      <c r="G324" s="10">
        <v>996012.88597626006</v>
      </c>
      <c r="H324">
        <v>1.096146432589451</v>
      </c>
      <c r="I324">
        <v>0.84480005559669014</v>
      </c>
      <c r="J324">
        <v>5.1100000000000003</v>
      </c>
      <c r="K324">
        <v>0.2293</v>
      </c>
    </row>
    <row r="325" spans="1:11" x14ac:dyDescent="0.3">
      <c r="A325" s="31">
        <v>45869</v>
      </c>
      <c r="B325" t="s">
        <v>192</v>
      </c>
      <c r="C325" t="s">
        <v>321</v>
      </c>
      <c r="D325" t="s">
        <v>552</v>
      </c>
      <c r="E325" s="10">
        <v>266346.77</v>
      </c>
      <c r="F325" s="10">
        <v>345590.7227196056</v>
      </c>
      <c r="G325" s="10">
        <v>284109.25810964493</v>
      </c>
      <c r="H325">
        <v>1.0666893317671731</v>
      </c>
      <c r="I325">
        <v>0.82209746799296002</v>
      </c>
      <c r="J325">
        <v>5.1100000000000003</v>
      </c>
      <c r="K325">
        <v>0.2293</v>
      </c>
    </row>
    <row r="326" spans="1:11" x14ac:dyDescent="0.3">
      <c r="A326" s="31">
        <v>45869</v>
      </c>
      <c r="B326" t="s">
        <v>192</v>
      </c>
      <c r="C326" t="s">
        <v>320</v>
      </c>
      <c r="D326" t="s">
        <v>552</v>
      </c>
      <c r="E326" s="10">
        <v>437736.36</v>
      </c>
      <c r="F326" s="10">
        <v>567972.44063838071</v>
      </c>
      <c r="G326" s="10">
        <v>470240.69698894199</v>
      </c>
      <c r="H326">
        <v>1.07425551075753</v>
      </c>
      <c r="I326">
        <v>0.82792872214082835</v>
      </c>
      <c r="J326">
        <v>5.1100000000000003</v>
      </c>
      <c r="K326">
        <v>0.2293</v>
      </c>
    </row>
    <row r="327" spans="1:11" x14ac:dyDescent="0.3">
      <c r="A327" s="31">
        <v>45869</v>
      </c>
      <c r="B327" t="s">
        <v>192</v>
      </c>
      <c r="C327" t="s">
        <v>319</v>
      </c>
      <c r="D327" t="s">
        <v>552</v>
      </c>
      <c r="E327" s="10">
        <v>407731.04</v>
      </c>
      <c r="F327" s="10">
        <v>529039.8858180875</v>
      </c>
      <c r="G327" s="10">
        <v>422544.39628655009</v>
      </c>
      <c r="H327">
        <v>1.0363311958946031</v>
      </c>
      <c r="I327">
        <v>0.79870045267597023</v>
      </c>
      <c r="J327">
        <v>5.1100000000000003</v>
      </c>
      <c r="K327">
        <v>0.2293</v>
      </c>
    </row>
    <row r="328" spans="1:11" x14ac:dyDescent="0.3">
      <c r="A328" s="31">
        <v>45869</v>
      </c>
      <c r="B328" t="s">
        <v>192</v>
      </c>
      <c r="C328" t="s">
        <v>268</v>
      </c>
      <c r="D328" t="s">
        <v>552</v>
      </c>
      <c r="E328" s="10">
        <v>374199.18</v>
      </c>
      <c r="F328" s="10">
        <v>485531.56870377582</v>
      </c>
      <c r="G328" s="10">
        <v>409387.98921004211</v>
      </c>
      <c r="H328">
        <v>1.0940376438292621</v>
      </c>
      <c r="I328">
        <v>0.84317481209921252</v>
      </c>
      <c r="J328">
        <v>5.1100000000000003</v>
      </c>
      <c r="K328">
        <v>0.2293</v>
      </c>
    </row>
    <row r="329" spans="1:11" x14ac:dyDescent="0.3">
      <c r="A329" s="31">
        <v>45869</v>
      </c>
      <c r="B329" t="s">
        <v>192</v>
      </c>
      <c r="C329" t="s">
        <v>318</v>
      </c>
      <c r="D329" t="s">
        <v>552</v>
      </c>
      <c r="E329" s="10">
        <v>433595.6</v>
      </c>
      <c r="F329" s="10">
        <v>562599.71454521862</v>
      </c>
      <c r="G329" s="10">
        <v>466153.00856366992</v>
      </c>
      <c r="H329">
        <v>1.0750870363160281</v>
      </c>
      <c r="I329">
        <v>0.82856957888876259</v>
      </c>
      <c r="J329">
        <v>5.1100000000000003</v>
      </c>
      <c r="K329">
        <v>0.2293</v>
      </c>
    </row>
    <row r="330" spans="1:11" x14ac:dyDescent="0.3">
      <c r="A330" s="31">
        <v>45869</v>
      </c>
      <c r="B330" t="s">
        <v>192</v>
      </c>
      <c r="C330" t="s">
        <v>317</v>
      </c>
      <c r="D330" t="s">
        <v>552</v>
      </c>
      <c r="E330" s="10">
        <v>118907.77</v>
      </c>
      <c r="F330" s="10">
        <v>154285.4158557156</v>
      </c>
      <c r="G330" s="10">
        <v>123329.59940817791</v>
      </c>
      <c r="H330">
        <v>1.0371870518484869</v>
      </c>
      <c r="I330">
        <v>0.79936006085962863</v>
      </c>
      <c r="J330">
        <v>5.1100000000000003</v>
      </c>
      <c r="K330">
        <v>0.2293</v>
      </c>
    </row>
    <row r="331" spans="1:11" x14ac:dyDescent="0.3">
      <c r="A331" s="31">
        <v>45869</v>
      </c>
      <c r="B331" t="s">
        <v>192</v>
      </c>
      <c r="C331" t="s">
        <v>316</v>
      </c>
      <c r="D331" t="s">
        <v>552</v>
      </c>
      <c r="E331" s="10">
        <v>310796.65000000002</v>
      </c>
      <c r="F331" s="10">
        <v>403265.40807058528</v>
      </c>
      <c r="G331" s="10">
        <v>324496.6187027953</v>
      </c>
      <c r="H331">
        <v>1.0440801685050189</v>
      </c>
      <c r="I331">
        <v>0.80467258586681767</v>
      </c>
      <c r="J331">
        <v>5.1100000000000003</v>
      </c>
      <c r="K331">
        <v>0.2293</v>
      </c>
    </row>
    <row r="332" spans="1:11" x14ac:dyDescent="0.3">
      <c r="A332" s="31">
        <v>45869</v>
      </c>
      <c r="B332" t="s">
        <v>191</v>
      </c>
      <c r="C332" t="s">
        <v>553</v>
      </c>
      <c r="D332" t="s">
        <v>24</v>
      </c>
      <c r="E332" s="10">
        <v>678293.79</v>
      </c>
      <c r="F332" s="10">
        <v>804905.41117835522</v>
      </c>
      <c r="G332" s="10">
        <v>277243.08943464531</v>
      </c>
      <c r="H332">
        <v>0.40873599835647217</v>
      </c>
      <c r="I332">
        <v>0.34444182581499921</v>
      </c>
    </row>
    <row r="333" spans="1:11" x14ac:dyDescent="0.3">
      <c r="A333" s="31">
        <v>45869</v>
      </c>
      <c r="B333" t="s">
        <v>191</v>
      </c>
      <c r="C333" t="s">
        <v>324</v>
      </c>
      <c r="D333" t="s">
        <v>552</v>
      </c>
      <c r="E333" s="10">
        <v>335146.23999999999</v>
      </c>
      <c r="F333" s="10">
        <v>397705.28064554412</v>
      </c>
      <c r="G333" s="10">
        <v>339036.56211047008</v>
      </c>
      <c r="H333">
        <v>1.0116078345693811</v>
      </c>
      <c r="I333">
        <v>0.85248192219161756</v>
      </c>
      <c r="J333">
        <v>4.12</v>
      </c>
      <c r="K333">
        <v>0.1573</v>
      </c>
    </row>
    <row r="334" spans="1:11" x14ac:dyDescent="0.3">
      <c r="A334" s="31">
        <v>45869</v>
      </c>
      <c r="B334" t="s">
        <v>191</v>
      </c>
      <c r="C334" t="s">
        <v>323</v>
      </c>
      <c r="D334" t="s">
        <v>552</v>
      </c>
      <c r="E334" s="10">
        <v>243088.25</v>
      </c>
      <c r="F334" s="10">
        <v>288463.56947905541</v>
      </c>
      <c r="G334" s="10">
        <v>240765.3483336115</v>
      </c>
      <c r="H334">
        <v>0.990444204249327</v>
      </c>
      <c r="I334">
        <v>0.83464733092090793</v>
      </c>
      <c r="J334">
        <v>4.12</v>
      </c>
      <c r="K334">
        <v>0.1573</v>
      </c>
    </row>
    <row r="335" spans="1:11" x14ac:dyDescent="0.3">
      <c r="A335" s="31">
        <v>45869</v>
      </c>
      <c r="B335" t="s">
        <v>191</v>
      </c>
      <c r="C335" t="s">
        <v>322</v>
      </c>
      <c r="D335" t="s">
        <v>552</v>
      </c>
      <c r="E335" s="10">
        <v>368430.4</v>
      </c>
      <c r="F335" s="10">
        <v>437202.32585736318</v>
      </c>
      <c r="G335" s="10">
        <v>366356.91831653583</v>
      </c>
      <c r="H335">
        <v>0.99437212107506823</v>
      </c>
      <c r="I335">
        <v>0.83795738642995998</v>
      </c>
      <c r="J335">
        <v>4.12</v>
      </c>
      <c r="K335">
        <v>0.1573</v>
      </c>
    </row>
    <row r="336" spans="1:11" x14ac:dyDescent="0.3">
      <c r="A336" s="31">
        <v>45869</v>
      </c>
      <c r="B336" t="s">
        <v>191</v>
      </c>
      <c r="C336" t="s">
        <v>321</v>
      </c>
      <c r="D336" t="s">
        <v>552</v>
      </c>
      <c r="E336" s="10">
        <v>214017.81</v>
      </c>
      <c r="F336" s="10">
        <v>253966.78533285859</v>
      </c>
      <c r="G336" s="10">
        <v>211708.76570193729</v>
      </c>
      <c r="H336">
        <v>0.98921097128289126</v>
      </c>
      <c r="I336">
        <v>0.83360808550009258</v>
      </c>
      <c r="J336">
        <v>4.12</v>
      </c>
      <c r="K336">
        <v>0.1573</v>
      </c>
    </row>
    <row r="337" spans="1:11" x14ac:dyDescent="0.3">
      <c r="A337" s="31">
        <v>45869</v>
      </c>
      <c r="B337" t="s">
        <v>191</v>
      </c>
      <c r="C337" t="s">
        <v>320</v>
      </c>
      <c r="D337" t="s">
        <v>552</v>
      </c>
      <c r="E337" s="10">
        <v>172661.09</v>
      </c>
      <c r="F337" s="10">
        <v>204890.340571971</v>
      </c>
      <c r="G337" s="10">
        <v>175806.94769189681</v>
      </c>
      <c r="H337">
        <v>1.0182198414935111</v>
      </c>
      <c r="I337">
        <v>0.85805386042658138</v>
      </c>
      <c r="J337">
        <v>4.12</v>
      </c>
      <c r="K337">
        <v>0.1573</v>
      </c>
    </row>
    <row r="338" spans="1:11" x14ac:dyDescent="0.3">
      <c r="A338" s="31">
        <v>45869</v>
      </c>
      <c r="B338" t="s">
        <v>191</v>
      </c>
      <c r="C338" t="s">
        <v>319</v>
      </c>
      <c r="D338" t="s">
        <v>552</v>
      </c>
      <c r="E338" s="10">
        <v>188295.94</v>
      </c>
      <c r="F338" s="10">
        <v>223443.62169217991</v>
      </c>
      <c r="G338" s="10">
        <v>183864.7166883566</v>
      </c>
      <c r="H338">
        <v>0.97646670814228176</v>
      </c>
      <c r="I338">
        <v>0.82286849495150094</v>
      </c>
      <c r="J338">
        <v>4.12</v>
      </c>
      <c r="K338">
        <v>0.1573</v>
      </c>
    </row>
    <row r="339" spans="1:11" x14ac:dyDescent="0.3">
      <c r="A339" s="31">
        <v>45869</v>
      </c>
      <c r="B339" t="s">
        <v>191</v>
      </c>
      <c r="C339" t="s">
        <v>268</v>
      </c>
      <c r="D339" t="s">
        <v>552</v>
      </c>
      <c r="E339" s="10">
        <v>25112.12</v>
      </c>
      <c r="F339" s="10">
        <v>29799.596534947192</v>
      </c>
      <c r="G339" s="10">
        <v>24447.491456089239</v>
      </c>
      <c r="H339">
        <v>0.97353355495630145</v>
      </c>
      <c r="I339">
        <v>0.82039672676167519</v>
      </c>
      <c r="J339">
        <v>4.12</v>
      </c>
      <c r="K339">
        <v>0.1573</v>
      </c>
    </row>
    <row r="340" spans="1:11" x14ac:dyDescent="0.3">
      <c r="A340" s="31">
        <v>45869</v>
      </c>
      <c r="B340" t="s">
        <v>191</v>
      </c>
      <c r="C340" t="s">
        <v>318</v>
      </c>
      <c r="D340" t="s">
        <v>552</v>
      </c>
      <c r="E340" s="10">
        <v>326077.59999999998</v>
      </c>
      <c r="F340" s="10">
        <v>386943.87089118297</v>
      </c>
      <c r="G340" s="10">
        <v>323297.99367031292</v>
      </c>
      <c r="H340">
        <v>0.99147562932968369</v>
      </c>
      <c r="I340">
        <v>0.8355165128361246</v>
      </c>
      <c r="J340">
        <v>4.12</v>
      </c>
      <c r="K340">
        <v>0.1573</v>
      </c>
    </row>
    <row r="341" spans="1:11" x14ac:dyDescent="0.3">
      <c r="A341" s="31">
        <v>45869</v>
      </c>
      <c r="B341" t="s">
        <v>191</v>
      </c>
      <c r="C341" t="s">
        <v>317</v>
      </c>
      <c r="D341" t="s">
        <v>552</v>
      </c>
      <c r="E341" s="10">
        <v>284412.49</v>
      </c>
      <c r="F341" s="10">
        <v>337501.47146078083</v>
      </c>
      <c r="G341" s="10">
        <v>280159.29175062251</v>
      </c>
      <c r="H341">
        <v>0.9850456699374297</v>
      </c>
      <c r="I341">
        <v>0.83009798605627205</v>
      </c>
      <c r="J341">
        <v>4.12</v>
      </c>
      <c r="K341">
        <v>0.1573</v>
      </c>
    </row>
    <row r="342" spans="1:11" x14ac:dyDescent="0.3">
      <c r="A342" s="31">
        <v>45869</v>
      </c>
      <c r="B342" t="s">
        <v>191</v>
      </c>
      <c r="C342" t="s">
        <v>316</v>
      </c>
      <c r="D342" t="s">
        <v>552</v>
      </c>
      <c r="E342" s="10">
        <v>167092.78</v>
      </c>
      <c r="F342" s="10">
        <v>198282.63913611011</v>
      </c>
      <c r="G342" s="10">
        <v>162749.0072797593</v>
      </c>
      <c r="H342">
        <v>0.97400382757267745</v>
      </c>
      <c r="I342">
        <v>0.82079302549549538</v>
      </c>
      <c r="J342">
        <v>4.12</v>
      </c>
      <c r="K342">
        <v>0.1573</v>
      </c>
    </row>
    <row r="343" spans="1:11" x14ac:dyDescent="0.3">
      <c r="A343" s="31">
        <v>45869</v>
      </c>
      <c r="B343" t="s">
        <v>193</v>
      </c>
      <c r="C343" t="s">
        <v>553</v>
      </c>
      <c r="D343" t="s">
        <v>24</v>
      </c>
      <c r="E343" s="10">
        <v>1620890.94</v>
      </c>
      <c r="F343" s="10">
        <v>2305021.2457337878</v>
      </c>
      <c r="G343" s="10">
        <v>697949.89070526906</v>
      </c>
      <c r="H343">
        <v>0.43059645376589561</v>
      </c>
      <c r="I343">
        <v>0.30279542628817779</v>
      </c>
    </row>
    <row r="344" spans="1:11" x14ac:dyDescent="0.3">
      <c r="A344" s="31">
        <v>45869</v>
      </c>
      <c r="B344" t="s">
        <v>193</v>
      </c>
      <c r="C344" t="s">
        <v>324</v>
      </c>
      <c r="D344" t="s">
        <v>552</v>
      </c>
      <c r="E344" s="10">
        <v>931467.57</v>
      </c>
      <c r="F344" s="10">
        <v>1324612.585324232</v>
      </c>
      <c r="G344" s="10">
        <v>1040270.896265539</v>
      </c>
      <c r="H344">
        <v>1.116808496366158</v>
      </c>
      <c r="I344">
        <v>0.78533973464468243</v>
      </c>
      <c r="J344">
        <v>7.21</v>
      </c>
      <c r="K344">
        <v>0.29680000000000001</v>
      </c>
    </row>
    <row r="345" spans="1:11" x14ac:dyDescent="0.3">
      <c r="A345" s="31">
        <v>45869</v>
      </c>
      <c r="B345" t="s">
        <v>193</v>
      </c>
      <c r="C345" t="s">
        <v>323</v>
      </c>
      <c r="D345" t="s">
        <v>552</v>
      </c>
      <c r="E345" s="10">
        <v>939025.02</v>
      </c>
      <c r="F345" s="10">
        <v>1335359.8122866889</v>
      </c>
      <c r="G345" s="10">
        <v>1079735.370708352</v>
      </c>
      <c r="H345">
        <v>1.1498472859736499</v>
      </c>
      <c r="I345">
        <v>0.8085726114966707</v>
      </c>
      <c r="J345">
        <v>7.21</v>
      </c>
      <c r="K345">
        <v>0.29680000000000001</v>
      </c>
    </row>
    <row r="346" spans="1:11" x14ac:dyDescent="0.3">
      <c r="A346" s="31">
        <v>45869</v>
      </c>
      <c r="B346" t="s">
        <v>193</v>
      </c>
      <c r="C346" t="s">
        <v>322</v>
      </c>
      <c r="D346" t="s">
        <v>552</v>
      </c>
      <c r="E346" s="10">
        <v>552437.06000000006</v>
      </c>
      <c r="F346" s="10">
        <v>785604.46530147898</v>
      </c>
      <c r="G346" s="10">
        <v>615048.84323680145</v>
      </c>
      <c r="H346">
        <v>1.113337405779405</v>
      </c>
      <c r="I346">
        <v>0.78289886374407747</v>
      </c>
      <c r="J346">
        <v>7.21</v>
      </c>
      <c r="K346">
        <v>0.29680000000000001</v>
      </c>
    </row>
    <row r="347" spans="1:11" x14ac:dyDescent="0.3">
      <c r="A347" s="31">
        <v>45869</v>
      </c>
      <c r="B347" t="s">
        <v>193</v>
      </c>
      <c r="C347" t="s">
        <v>321</v>
      </c>
      <c r="D347" t="s">
        <v>552</v>
      </c>
      <c r="E347" s="10">
        <v>558743.28</v>
      </c>
      <c r="F347" s="10">
        <v>794572.35494880541</v>
      </c>
      <c r="G347" s="10">
        <v>634371.80493904813</v>
      </c>
      <c r="H347">
        <v>1.1353546926578659</v>
      </c>
      <c r="I347">
        <v>0.79838141987701161</v>
      </c>
      <c r="J347">
        <v>7.21</v>
      </c>
      <c r="K347">
        <v>0.29680000000000001</v>
      </c>
    </row>
    <row r="348" spans="1:11" x14ac:dyDescent="0.3">
      <c r="A348" s="31">
        <v>45869</v>
      </c>
      <c r="B348" t="s">
        <v>193</v>
      </c>
      <c r="C348" t="s">
        <v>320</v>
      </c>
      <c r="D348" t="s">
        <v>552</v>
      </c>
      <c r="E348" s="10">
        <v>509596.66</v>
      </c>
      <c r="F348" s="10">
        <v>724682.39476678031</v>
      </c>
      <c r="G348" s="10">
        <v>571120.30988094048</v>
      </c>
      <c r="H348">
        <v>1.1207300885389251</v>
      </c>
      <c r="I348">
        <v>0.78809739826057223</v>
      </c>
      <c r="J348">
        <v>7.21</v>
      </c>
      <c r="K348">
        <v>0.29680000000000001</v>
      </c>
    </row>
    <row r="349" spans="1:11" x14ac:dyDescent="0.3">
      <c r="A349" s="31">
        <v>45869</v>
      </c>
      <c r="B349" t="s">
        <v>193</v>
      </c>
      <c r="C349" t="s">
        <v>319</v>
      </c>
      <c r="D349" t="s">
        <v>552</v>
      </c>
      <c r="E349" s="10">
        <v>353358.07</v>
      </c>
      <c r="F349" s="10">
        <v>502500.09954493737</v>
      </c>
      <c r="G349" s="10">
        <v>400218.85610088601</v>
      </c>
      <c r="H349">
        <v>1.132615581981433</v>
      </c>
      <c r="I349">
        <v>0.79645527724934373</v>
      </c>
      <c r="J349">
        <v>7.21</v>
      </c>
      <c r="K349">
        <v>0.29680000000000001</v>
      </c>
    </row>
    <row r="350" spans="1:11" x14ac:dyDescent="0.3">
      <c r="A350" s="31">
        <v>45869</v>
      </c>
      <c r="B350" t="s">
        <v>193</v>
      </c>
      <c r="C350" t="s">
        <v>268</v>
      </c>
      <c r="D350" t="s">
        <v>552</v>
      </c>
      <c r="E350" s="10">
        <v>275620.90000000002</v>
      </c>
      <c r="F350" s="10">
        <v>391952.36063708761</v>
      </c>
      <c r="G350" s="10">
        <v>316175.8261467811</v>
      </c>
      <c r="H350">
        <v>1.1471402428000961</v>
      </c>
      <c r="I350">
        <v>0.80666901873702779</v>
      </c>
      <c r="J350">
        <v>7.21</v>
      </c>
      <c r="K350">
        <v>0.29680000000000001</v>
      </c>
    </row>
    <row r="351" spans="1:11" x14ac:dyDescent="0.3">
      <c r="A351" s="31">
        <v>45869</v>
      </c>
      <c r="B351" t="s">
        <v>193</v>
      </c>
      <c r="C351" t="s">
        <v>318</v>
      </c>
      <c r="D351" t="s">
        <v>552</v>
      </c>
      <c r="E351" s="10">
        <v>108783.63</v>
      </c>
      <c r="F351" s="10">
        <v>154697.99488054609</v>
      </c>
      <c r="G351" s="10">
        <v>117495.6821917311</v>
      </c>
      <c r="H351">
        <v>1.0800860588282539</v>
      </c>
      <c r="I351">
        <v>0.75951651656802854</v>
      </c>
      <c r="J351">
        <v>7.21</v>
      </c>
      <c r="K351">
        <v>0.29680000000000001</v>
      </c>
    </row>
    <row r="352" spans="1:11" x14ac:dyDescent="0.3">
      <c r="A352" s="31">
        <v>45869</v>
      </c>
      <c r="B352" t="s">
        <v>193</v>
      </c>
      <c r="C352" t="s">
        <v>317</v>
      </c>
      <c r="D352" t="s">
        <v>552</v>
      </c>
      <c r="E352" s="10">
        <v>400308.73</v>
      </c>
      <c r="F352" s="10">
        <v>569267.24971558584</v>
      </c>
      <c r="G352" s="10">
        <v>439954.79100031138</v>
      </c>
      <c r="H352">
        <v>1.09903871194693</v>
      </c>
      <c r="I352">
        <v>0.77284402224108129</v>
      </c>
      <c r="J352">
        <v>7.21</v>
      </c>
      <c r="K352">
        <v>0.29680000000000001</v>
      </c>
    </row>
    <row r="353" spans="1:11" x14ac:dyDescent="0.3">
      <c r="A353" s="31">
        <v>45869</v>
      </c>
      <c r="B353" t="s">
        <v>193</v>
      </c>
      <c r="C353" t="s">
        <v>316</v>
      </c>
      <c r="D353" t="s">
        <v>552</v>
      </c>
      <c r="E353" s="10">
        <v>1188459.92</v>
      </c>
      <c r="F353" s="10">
        <v>1690073.8339021611</v>
      </c>
      <c r="G353" s="10">
        <v>1382138.730851742</v>
      </c>
      <c r="H353">
        <v>1.162966211642831</v>
      </c>
      <c r="I353">
        <v>0.81779784002723876</v>
      </c>
      <c r="J353">
        <v>7.21</v>
      </c>
      <c r="K353">
        <v>0.29680000000000001</v>
      </c>
    </row>
    <row r="354" spans="1:11" x14ac:dyDescent="0.3">
      <c r="A354" s="31">
        <v>45900</v>
      </c>
      <c r="B354" t="s">
        <v>186</v>
      </c>
      <c r="C354" t="s">
        <v>553</v>
      </c>
      <c r="D354" t="s">
        <v>24</v>
      </c>
      <c r="E354" s="10">
        <v>1844338.42</v>
      </c>
      <c r="F354" s="10">
        <v>2433680.4284516978</v>
      </c>
      <c r="G354" s="10">
        <v>765614.95440621255</v>
      </c>
      <c r="H354">
        <v>0.41511630734570532</v>
      </c>
      <c r="I354">
        <v>0.31459140873861358</v>
      </c>
    </row>
    <row r="355" spans="1:11" x14ac:dyDescent="0.3">
      <c r="A355" s="31">
        <v>45900</v>
      </c>
      <c r="B355" t="s">
        <v>186</v>
      </c>
      <c r="C355" t="s">
        <v>324</v>
      </c>
      <c r="D355" t="s">
        <v>552</v>
      </c>
      <c r="E355" s="10">
        <v>1578147.54</v>
      </c>
      <c r="F355" s="10">
        <v>2157118.0153089119</v>
      </c>
      <c r="G355" s="10">
        <v>1724160.4547911659</v>
      </c>
      <c r="H355">
        <v>1.0925217136486269</v>
      </c>
      <c r="I355">
        <v>0.79928888570533585</v>
      </c>
      <c r="J355">
        <v>5.91</v>
      </c>
      <c r="K355">
        <v>0.26840000000000003</v>
      </c>
    </row>
    <row r="356" spans="1:11" x14ac:dyDescent="0.3">
      <c r="A356" s="31">
        <v>45900</v>
      </c>
      <c r="B356" t="s">
        <v>186</v>
      </c>
      <c r="C356" t="s">
        <v>323</v>
      </c>
      <c r="D356" t="s">
        <v>552</v>
      </c>
      <c r="E356" s="10">
        <v>1955473.82</v>
      </c>
      <c r="F356" s="10">
        <v>2571638.3745397162</v>
      </c>
      <c r="G356" s="10">
        <v>2139793.4467437929</v>
      </c>
      <c r="H356">
        <v>1.094258294260259</v>
      </c>
      <c r="I356">
        <v>0.83207400695550104</v>
      </c>
      <c r="J356">
        <v>5.6</v>
      </c>
      <c r="K356">
        <v>0.23960000000000001</v>
      </c>
    </row>
    <row r="357" spans="1:11" x14ac:dyDescent="0.3">
      <c r="A357" s="31">
        <v>45900</v>
      </c>
      <c r="B357" t="s">
        <v>186</v>
      </c>
      <c r="C357" t="s">
        <v>322</v>
      </c>
      <c r="D357" t="s">
        <v>552</v>
      </c>
      <c r="E357" s="10">
        <v>1478983.4</v>
      </c>
      <c r="F357" s="10">
        <v>1886939.7805562641</v>
      </c>
      <c r="G357" s="10">
        <v>1586315.19336783</v>
      </c>
      <c r="H357">
        <v>1.0725713306639071</v>
      </c>
      <c r="I357">
        <v>0.8406814089743706</v>
      </c>
      <c r="J357">
        <v>5.22</v>
      </c>
      <c r="K357">
        <v>0.2162</v>
      </c>
    </row>
    <row r="358" spans="1:11" x14ac:dyDescent="0.3">
      <c r="A358" s="31">
        <v>45900</v>
      </c>
      <c r="B358" t="s">
        <v>186</v>
      </c>
      <c r="C358" t="s">
        <v>321</v>
      </c>
      <c r="D358" t="s">
        <v>552</v>
      </c>
      <c r="E358" s="10">
        <v>1231225.01</v>
      </c>
      <c r="F358" s="10">
        <v>1645582.7452552789</v>
      </c>
      <c r="G358" s="10">
        <v>1384526.3767943711</v>
      </c>
      <c r="H358">
        <v>1.124511251435975</v>
      </c>
      <c r="I358">
        <v>0.84135931832439648</v>
      </c>
      <c r="J358">
        <v>5.78</v>
      </c>
      <c r="K358">
        <v>0.25180000000000002</v>
      </c>
    </row>
    <row r="359" spans="1:11" x14ac:dyDescent="0.3">
      <c r="A359" s="31">
        <v>45900</v>
      </c>
      <c r="B359" t="s">
        <v>186</v>
      </c>
      <c r="C359" t="s">
        <v>320</v>
      </c>
      <c r="D359" t="s">
        <v>552</v>
      </c>
      <c r="E359" s="10">
        <v>1502818.22</v>
      </c>
      <c r="F359" s="10">
        <v>1950951.862910554</v>
      </c>
      <c r="G359" s="10">
        <v>1611462.4406190091</v>
      </c>
      <c r="H359">
        <v>1.072293654131375</v>
      </c>
      <c r="I359">
        <v>0.8259878017773985</v>
      </c>
      <c r="J359">
        <v>5.48</v>
      </c>
      <c r="K359">
        <v>0.22969999999999999</v>
      </c>
    </row>
    <row r="360" spans="1:11" x14ac:dyDescent="0.3">
      <c r="A360" s="31">
        <v>45900</v>
      </c>
      <c r="B360" t="s">
        <v>186</v>
      </c>
      <c r="C360" t="s">
        <v>319</v>
      </c>
      <c r="D360" t="s">
        <v>552</v>
      </c>
      <c r="E360" s="10">
        <v>717160.83</v>
      </c>
      <c r="F360" s="10">
        <v>980799.82221006544</v>
      </c>
      <c r="G360" s="10">
        <v>792119.2237840509</v>
      </c>
      <c r="H360">
        <v>1.1045210371905709</v>
      </c>
      <c r="I360">
        <v>0.80762578239374583</v>
      </c>
      <c r="J360">
        <v>5.81</v>
      </c>
      <c r="K360">
        <v>0.26879999999999998</v>
      </c>
    </row>
    <row r="361" spans="1:11" x14ac:dyDescent="0.3">
      <c r="A361" s="31">
        <v>45900</v>
      </c>
      <c r="B361" t="s">
        <v>186</v>
      </c>
      <c r="C361" t="s">
        <v>268</v>
      </c>
      <c r="D361" t="s">
        <v>552</v>
      </c>
      <c r="E361" s="10">
        <v>647683.56000000006</v>
      </c>
      <c r="F361" s="10">
        <v>805075.89807333762</v>
      </c>
      <c r="G361" s="10">
        <v>668301.02959371847</v>
      </c>
      <c r="H361">
        <v>1.03183262763952</v>
      </c>
      <c r="I361">
        <v>0.83010934893599342</v>
      </c>
      <c r="J361">
        <v>5.0199999999999996</v>
      </c>
      <c r="K361">
        <v>0.19550000000000001</v>
      </c>
    </row>
    <row r="362" spans="1:11" x14ac:dyDescent="0.3">
      <c r="A362" s="31">
        <v>45900</v>
      </c>
      <c r="B362" t="s">
        <v>186</v>
      </c>
      <c r="C362" t="s">
        <v>318</v>
      </c>
      <c r="D362" t="s">
        <v>552</v>
      </c>
      <c r="E362" s="10">
        <v>1177121.8600000001</v>
      </c>
      <c r="F362" s="10">
        <v>1506041.2743091099</v>
      </c>
      <c r="G362" s="10">
        <v>1239398.6910825309</v>
      </c>
      <c r="H362">
        <v>1.0529060186534389</v>
      </c>
      <c r="I362">
        <v>0.8229513441795282</v>
      </c>
      <c r="J362">
        <v>5.36</v>
      </c>
      <c r="K362">
        <v>0.21840000000000001</v>
      </c>
    </row>
    <row r="363" spans="1:11" x14ac:dyDescent="0.3">
      <c r="A363" s="31">
        <v>45900</v>
      </c>
      <c r="B363" t="s">
        <v>186</v>
      </c>
      <c r="C363" t="s">
        <v>317</v>
      </c>
      <c r="D363" t="s">
        <v>552</v>
      </c>
      <c r="E363" s="10">
        <v>1159501.6599999999</v>
      </c>
      <c r="F363" s="10">
        <v>1527267.7291886201</v>
      </c>
      <c r="G363" s="10">
        <v>1213428.8853251331</v>
      </c>
      <c r="H363">
        <v>1.0465089677621791</v>
      </c>
      <c r="I363">
        <v>0.79450960832504636</v>
      </c>
      <c r="J363">
        <v>5.54</v>
      </c>
      <c r="K363">
        <v>0.24079999999999999</v>
      </c>
    </row>
    <row r="364" spans="1:11" x14ac:dyDescent="0.3">
      <c r="A364" s="31">
        <v>45900</v>
      </c>
      <c r="B364" t="s">
        <v>186</v>
      </c>
      <c r="C364" t="s">
        <v>316</v>
      </c>
      <c r="D364" t="s">
        <v>552</v>
      </c>
      <c r="E364" s="10">
        <v>1784914.35</v>
      </c>
      <c r="F364" s="10">
        <v>2438740.7432709392</v>
      </c>
      <c r="G364" s="10">
        <v>2001529.591205515</v>
      </c>
      <c r="H364">
        <v>1.1213588994931409</v>
      </c>
      <c r="I364">
        <v>0.82072257853902997</v>
      </c>
      <c r="J364">
        <v>5.88</v>
      </c>
      <c r="K364">
        <v>0.2681</v>
      </c>
    </row>
    <row r="365" spans="1:11" x14ac:dyDescent="0.3">
      <c r="A365" s="31">
        <v>45900</v>
      </c>
      <c r="B365" t="s">
        <v>192</v>
      </c>
      <c r="C365" t="s">
        <v>553</v>
      </c>
      <c r="D365" t="s">
        <v>24</v>
      </c>
      <c r="E365" s="10">
        <v>443307.97</v>
      </c>
      <c r="F365" s="10">
        <v>574084.39523439528</v>
      </c>
      <c r="G365" s="10">
        <v>192330.3515140159</v>
      </c>
      <c r="H365">
        <v>0.43385268149818268</v>
      </c>
      <c r="I365">
        <v>0.33502104065289662</v>
      </c>
    </row>
    <row r="366" spans="1:11" x14ac:dyDescent="0.3">
      <c r="A366" s="31">
        <v>45900</v>
      </c>
      <c r="B366" t="s">
        <v>192</v>
      </c>
      <c r="C366" t="s">
        <v>324</v>
      </c>
      <c r="D366" t="s">
        <v>552</v>
      </c>
      <c r="E366" s="10">
        <v>304476.27</v>
      </c>
      <c r="F366" s="10">
        <v>394297.16394716402</v>
      </c>
      <c r="G366" s="10">
        <v>318327.66297503962</v>
      </c>
      <c r="H366">
        <v>1.045492520566675</v>
      </c>
      <c r="I366">
        <v>0.80732932438158678</v>
      </c>
      <c r="J366">
        <v>5.0999999999999996</v>
      </c>
      <c r="K366">
        <v>0.2278</v>
      </c>
    </row>
    <row r="367" spans="1:11" x14ac:dyDescent="0.3">
      <c r="A367" s="31">
        <v>45900</v>
      </c>
      <c r="B367" t="s">
        <v>192</v>
      </c>
      <c r="C367" t="s">
        <v>323</v>
      </c>
      <c r="D367" t="s">
        <v>552</v>
      </c>
      <c r="E367" s="10">
        <v>461517.03</v>
      </c>
      <c r="F367" s="10">
        <v>597665.15151515161</v>
      </c>
      <c r="G367" s="10">
        <v>499556.59749406169</v>
      </c>
      <c r="H367">
        <v>1.0824228902107069</v>
      </c>
      <c r="I367">
        <v>0.83584695582070812</v>
      </c>
      <c r="J367">
        <v>5.0999999999999996</v>
      </c>
      <c r="K367">
        <v>0.2278</v>
      </c>
    </row>
    <row r="368" spans="1:11" x14ac:dyDescent="0.3">
      <c r="A368" s="31">
        <v>45900</v>
      </c>
      <c r="B368" t="s">
        <v>192</v>
      </c>
      <c r="C368" t="s">
        <v>322</v>
      </c>
      <c r="D368" t="s">
        <v>552</v>
      </c>
      <c r="E368" s="10">
        <v>764925.83</v>
      </c>
      <c r="F368" s="10">
        <v>990579.94042994035</v>
      </c>
      <c r="G368" s="10">
        <v>832369.20080202899</v>
      </c>
      <c r="H368">
        <v>1.0881698174606409</v>
      </c>
      <c r="I368">
        <v>0.84028473304310669</v>
      </c>
      <c r="J368">
        <v>5.0999999999999996</v>
      </c>
      <c r="K368">
        <v>0.2278</v>
      </c>
    </row>
    <row r="369" spans="1:11" x14ac:dyDescent="0.3">
      <c r="A369" s="31">
        <v>45900</v>
      </c>
      <c r="B369" t="s">
        <v>192</v>
      </c>
      <c r="C369" t="s">
        <v>321</v>
      </c>
      <c r="D369" t="s">
        <v>552</v>
      </c>
      <c r="E369" s="10">
        <v>158412.81</v>
      </c>
      <c r="F369" s="10">
        <v>205144.79409479411</v>
      </c>
      <c r="G369" s="10">
        <v>167172.32772709199</v>
      </c>
      <c r="H369">
        <v>1.055295513835605</v>
      </c>
      <c r="I369">
        <v>0.81489919578385406</v>
      </c>
      <c r="J369">
        <v>5.0999999999999996</v>
      </c>
      <c r="K369">
        <v>0.2278</v>
      </c>
    </row>
    <row r="370" spans="1:11" x14ac:dyDescent="0.3">
      <c r="A370" s="31">
        <v>45900</v>
      </c>
      <c r="B370" t="s">
        <v>192</v>
      </c>
      <c r="C370" t="s">
        <v>320</v>
      </c>
      <c r="D370" t="s">
        <v>552</v>
      </c>
      <c r="E370" s="10">
        <v>407820</v>
      </c>
      <c r="F370" s="10">
        <v>528127.42812742817</v>
      </c>
      <c r="G370" s="10">
        <v>423347.90998421842</v>
      </c>
      <c r="H370">
        <v>1.0380754008734701</v>
      </c>
      <c r="I370">
        <v>0.80160182455449314</v>
      </c>
      <c r="J370">
        <v>5.0999999999999996</v>
      </c>
      <c r="K370">
        <v>0.2278</v>
      </c>
    </row>
    <row r="371" spans="1:11" x14ac:dyDescent="0.3">
      <c r="A371" s="31">
        <v>45900</v>
      </c>
      <c r="B371" t="s">
        <v>192</v>
      </c>
      <c r="C371" t="s">
        <v>319</v>
      </c>
      <c r="D371" t="s">
        <v>552</v>
      </c>
      <c r="E371" s="10">
        <v>283696.69</v>
      </c>
      <c r="F371" s="10">
        <v>367387.58093758102</v>
      </c>
      <c r="G371" s="10">
        <v>301480.11982257618</v>
      </c>
      <c r="H371">
        <v>1.062684657415552</v>
      </c>
      <c r="I371">
        <v>0.82060509245628954</v>
      </c>
      <c r="J371">
        <v>5.0999999999999996</v>
      </c>
      <c r="K371">
        <v>0.2278</v>
      </c>
    </row>
    <row r="372" spans="1:11" x14ac:dyDescent="0.3">
      <c r="A372" s="31">
        <v>45900</v>
      </c>
      <c r="B372" t="s">
        <v>192</v>
      </c>
      <c r="C372" t="s">
        <v>268</v>
      </c>
      <c r="D372" t="s">
        <v>552</v>
      </c>
      <c r="E372" s="10">
        <v>329651.95</v>
      </c>
      <c r="F372" s="10">
        <v>426899.70214970218</v>
      </c>
      <c r="G372" s="10">
        <v>349992.76149423298</v>
      </c>
      <c r="H372">
        <v>1.061703901627862</v>
      </c>
      <c r="I372">
        <v>0.81984775283703515</v>
      </c>
      <c r="J372">
        <v>5.0999999999999996</v>
      </c>
      <c r="K372">
        <v>0.2278</v>
      </c>
    </row>
    <row r="373" spans="1:11" x14ac:dyDescent="0.3">
      <c r="A373" s="31">
        <v>45900</v>
      </c>
      <c r="B373" t="s">
        <v>192</v>
      </c>
      <c r="C373" t="s">
        <v>318</v>
      </c>
      <c r="D373" t="s">
        <v>552</v>
      </c>
      <c r="E373" s="10">
        <v>315908.06</v>
      </c>
      <c r="F373" s="10">
        <v>409101.34680134681</v>
      </c>
      <c r="G373" s="10">
        <v>341485.51239541871</v>
      </c>
      <c r="H373">
        <v>1.0809648617240679</v>
      </c>
      <c r="I373">
        <v>0.83472106622332554</v>
      </c>
      <c r="J373">
        <v>5.0999999999999996</v>
      </c>
      <c r="K373">
        <v>0.2278</v>
      </c>
    </row>
    <row r="374" spans="1:11" x14ac:dyDescent="0.3">
      <c r="A374" s="31">
        <v>45900</v>
      </c>
      <c r="B374" t="s">
        <v>192</v>
      </c>
      <c r="C374" t="s">
        <v>317</v>
      </c>
      <c r="D374" t="s">
        <v>552</v>
      </c>
      <c r="E374" s="10">
        <v>419996.36</v>
      </c>
      <c r="F374" s="10">
        <v>543895.83009583014</v>
      </c>
      <c r="G374" s="10">
        <v>440422.83587114332</v>
      </c>
      <c r="H374">
        <v>1.048634887862226</v>
      </c>
      <c r="I374">
        <v>0.80975586040721126</v>
      </c>
      <c r="J374">
        <v>5.0999999999999996</v>
      </c>
      <c r="K374">
        <v>0.2278</v>
      </c>
    </row>
    <row r="375" spans="1:11" x14ac:dyDescent="0.3">
      <c r="A375" s="31">
        <v>45900</v>
      </c>
      <c r="B375" t="s">
        <v>192</v>
      </c>
      <c r="C375" t="s">
        <v>316</v>
      </c>
      <c r="D375" t="s">
        <v>552</v>
      </c>
      <c r="E375" s="10">
        <v>447938.25</v>
      </c>
      <c r="F375" s="10">
        <v>580080.61383061379</v>
      </c>
      <c r="G375" s="10">
        <v>486954.91806589329</v>
      </c>
      <c r="H375">
        <v>1.0871027827293009</v>
      </c>
      <c r="I375">
        <v>0.83946076882356635</v>
      </c>
      <c r="J375">
        <v>5.0999999999999996</v>
      </c>
      <c r="K375">
        <v>0.2278</v>
      </c>
    </row>
    <row r="376" spans="1:11" x14ac:dyDescent="0.3">
      <c r="A376" s="31">
        <v>45900</v>
      </c>
      <c r="B376" t="s">
        <v>191</v>
      </c>
      <c r="C376" t="s">
        <v>553</v>
      </c>
      <c r="D376" t="s">
        <v>24</v>
      </c>
      <c r="E376" s="10">
        <v>532152.51</v>
      </c>
      <c r="F376" s="10">
        <v>615276.34408602165</v>
      </c>
      <c r="G376" s="10">
        <v>200359.2107802594</v>
      </c>
      <c r="H376">
        <v>0.37650712345650578</v>
      </c>
      <c r="I376">
        <v>0.32564101107753179</v>
      </c>
    </row>
    <row r="377" spans="1:11" x14ac:dyDescent="0.3">
      <c r="A377" s="31">
        <v>45900</v>
      </c>
      <c r="B377" t="s">
        <v>191</v>
      </c>
      <c r="C377" t="s">
        <v>324</v>
      </c>
      <c r="D377" t="s">
        <v>552</v>
      </c>
      <c r="E377" s="10">
        <v>208976.88</v>
      </c>
      <c r="F377" s="10">
        <v>241619.70169961851</v>
      </c>
      <c r="G377" s="10">
        <v>198358.86626335891</v>
      </c>
      <c r="H377">
        <v>0.94919048587269017</v>
      </c>
      <c r="I377">
        <v>0.82095485123128964</v>
      </c>
      <c r="J377">
        <v>4.63</v>
      </c>
      <c r="K377">
        <v>0.1351</v>
      </c>
    </row>
    <row r="378" spans="1:11" x14ac:dyDescent="0.3">
      <c r="A378" s="31">
        <v>45900</v>
      </c>
      <c r="B378" t="s">
        <v>191</v>
      </c>
      <c r="C378" t="s">
        <v>323</v>
      </c>
      <c r="D378" t="s">
        <v>552</v>
      </c>
      <c r="E378" s="10">
        <v>489378.04</v>
      </c>
      <c r="F378" s="10">
        <v>565820.37229737546</v>
      </c>
      <c r="G378" s="10">
        <v>479044.71281047881</v>
      </c>
      <c r="H378">
        <v>0.97888477548048303</v>
      </c>
      <c r="I378">
        <v>0.8466374423130697</v>
      </c>
      <c r="J378">
        <v>4.63</v>
      </c>
      <c r="K378">
        <v>0.1351</v>
      </c>
    </row>
    <row r="379" spans="1:11" x14ac:dyDescent="0.3">
      <c r="A379" s="31">
        <v>45900</v>
      </c>
      <c r="B379" t="s">
        <v>191</v>
      </c>
      <c r="C379" t="s">
        <v>322</v>
      </c>
      <c r="D379" t="s">
        <v>552</v>
      </c>
      <c r="E379" s="10">
        <v>384272.94</v>
      </c>
      <c r="F379" s="10">
        <v>444297.53728754772</v>
      </c>
      <c r="G379" s="10">
        <v>367441.99356990127</v>
      </c>
      <c r="H379">
        <v>0.95620054217166905</v>
      </c>
      <c r="I379">
        <v>0.82701784892427654</v>
      </c>
      <c r="J379">
        <v>4.63</v>
      </c>
      <c r="K379">
        <v>0.1351</v>
      </c>
    </row>
    <row r="380" spans="1:11" x14ac:dyDescent="0.3">
      <c r="A380" s="31">
        <v>45900</v>
      </c>
      <c r="B380" t="s">
        <v>191</v>
      </c>
      <c r="C380" t="s">
        <v>321</v>
      </c>
      <c r="D380" t="s">
        <v>552</v>
      </c>
      <c r="E380" s="10">
        <v>289783.03000000003</v>
      </c>
      <c r="F380" s="10">
        <v>335048.01711180492</v>
      </c>
      <c r="G380" s="10">
        <v>276618.6896372214</v>
      </c>
      <c r="H380">
        <v>0.95457173471207535</v>
      </c>
      <c r="I380">
        <v>0.82560909335247379</v>
      </c>
      <c r="J380">
        <v>4.63</v>
      </c>
      <c r="K380">
        <v>0.1351</v>
      </c>
    </row>
    <row r="381" spans="1:11" x14ac:dyDescent="0.3">
      <c r="A381" s="31">
        <v>45900</v>
      </c>
      <c r="B381" t="s">
        <v>191</v>
      </c>
      <c r="C381" t="s">
        <v>320</v>
      </c>
      <c r="D381" t="s">
        <v>552</v>
      </c>
      <c r="E381" s="10">
        <v>430271.31</v>
      </c>
      <c r="F381" s="10">
        <v>497480.99202219909</v>
      </c>
      <c r="G381" s="10">
        <v>414930.36423831811</v>
      </c>
      <c r="H381">
        <v>0.96434587804220095</v>
      </c>
      <c r="I381">
        <v>0.83406274991869955</v>
      </c>
      <c r="J381">
        <v>4.63</v>
      </c>
      <c r="K381">
        <v>0.1351</v>
      </c>
    </row>
    <row r="382" spans="1:11" x14ac:dyDescent="0.3">
      <c r="A382" s="31">
        <v>45900</v>
      </c>
      <c r="B382" t="s">
        <v>191</v>
      </c>
      <c r="C382" t="s">
        <v>319</v>
      </c>
      <c r="D382" t="s">
        <v>552</v>
      </c>
      <c r="E382" s="10">
        <v>32702.18</v>
      </c>
      <c r="F382" s="10">
        <v>37810.359579142103</v>
      </c>
      <c r="G382" s="10">
        <v>30989.470223793891</v>
      </c>
      <c r="H382">
        <v>0.94762704577474333</v>
      </c>
      <c r="I382">
        <v>0.81960263189057536</v>
      </c>
      <c r="J382">
        <v>4.63</v>
      </c>
      <c r="K382">
        <v>0.1351</v>
      </c>
    </row>
    <row r="383" spans="1:11" x14ac:dyDescent="0.3">
      <c r="A383" s="31">
        <v>45900</v>
      </c>
      <c r="B383" t="s">
        <v>191</v>
      </c>
      <c r="C383" t="s">
        <v>268</v>
      </c>
      <c r="D383" t="s">
        <v>552</v>
      </c>
      <c r="E383" s="10">
        <v>248797.12</v>
      </c>
      <c r="F383" s="10">
        <v>287659.9838131576</v>
      </c>
      <c r="G383" s="10">
        <v>233130.8141653653</v>
      </c>
      <c r="H383">
        <v>0.93703180392669061</v>
      </c>
      <c r="I383">
        <v>0.81043880721619466</v>
      </c>
      <c r="J383">
        <v>4.63</v>
      </c>
      <c r="K383">
        <v>0.1351</v>
      </c>
    </row>
    <row r="384" spans="1:11" x14ac:dyDescent="0.3">
      <c r="A384" s="31">
        <v>45900</v>
      </c>
      <c r="B384" t="s">
        <v>191</v>
      </c>
      <c r="C384" t="s">
        <v>318</v>
      </c>
      <c r="D384" t="s">
        <v>552</v>
      </c>
      <c r="E384" s="10">
        <v>409746.04</v>
      </c>
      <c r="F384" s="10">
        <v>473749.61267198517</v>
      </c>
      <c r="G384" s="10">
        <v>384138.06269414187</v>
      </c>
      <c r="H384">
        <v>0.93750280709031841</v>
      </c>
      <c r="I384">
        <v>0.81084617785241631</v>
      </c>
      <c r="J384">
        <v>4.63</v>
      </c>
      <c r="K384">
        <v>0.1351</v>
      </c>
    </row>
    <row r="385" spans="1:11" x14ac:dyDescent="0.3">
      <c r="A385" s="31">
        <v>45900</v>
      </c>
      <c r="B385" t="s">
        <v>191</v>
      </c>
      <c r="C385" t="s">
        <v>317</v>
      </c>
      <c r="D385" t="s">
        <v>552</v>
      </c>
      <c r="E385" s="10">
        <v>223402.07</v>
      </c>
      <c r="F385" s="10">
        <v>258298.15007515319</v>
      </c>
      <c r="G385" s="10">
        <v>215117.45054819621</v>
      </c>
      <c r="H385">
        <v>0.96291610255982041</v>
      </c>
      <c r="I385">
        <v>0.83282613710398867</v>
      </c>
      <c r="J385">
        <v>4.63</v>
      </c>
      <c r="K385">
        <v>0.1351</v>
      </c>
    </row>
    <row r="386" spans="1:11" x14ac:dyDescent="0.3">
      <c r="A386" s="31">
        <v>45900</v>
      </c>
      <c r="B386" t="s">
        <v>191</v>
      </c>
      <c r="C386" t="s">
        <v>316</v>
      </c>
      <c r="D386" t="s">
        <v>552</v>
      </c>
      <c r="E386" s="10">
        <v>194870.67</v>
      </c>
      <c r="F386" s="10">
        <v>225310.0589663545</v>
      </c>
      <c r="G386" s="10">
        <v>191165.9143822029</v>
      </c>
      <c r="H386">
        <v>0.98098864432601818</v>
      </c>
      <c r="I386">
        <v>0.84845707847757301</v>
      </c>
      <c r="J386">
        <v>4.63</v>
      </c>
      <c r="K386">
        <v>0.1351</v>
      </c>
    </row>
    <row r="387" spans="1:11" x14ac:dyDescent="0.3">
      <c r="A387" s="31">
        <v>45900</v>
      </c>
      <c r="B387" t="s">
        <v>193</v>
      </c>
      <c r="C387" t="s">
        <v>553</v>
      </c>
      <c r="D387" t="s">
        <v>24</v>
      </c>
      <c r="E387" s="10">
        <v>868877.94</v>
      </c>
      <c r="F387" s="10">
        <v>1280964.0866873071</v>
      </c>
      <c r="G387" s="10">
        <v>387459.46790249349</v>
      </c>
      <c r="H387">
        <v>0.44593083799836553</v>
      </c>
      <c r="I387">
        <v>0.30247488741429118</v>
      </c>
    </row>
    <row r="388" spans="1:11" x14ac:dyDescent="0.3">
      <c r="A388" s="31">
        <v>45900</v>
      </c>
      <c r="B388" t="s">
        <v>193</v>
      </c>
      <c r="C388" t="s">
        <v>324</v>
      </c>
      <c r="D388" t="s">
        <v>552</v>
      </c>
      <c r="E388" s="10">
        <v>1064694.3899999999</v>
      </c>
      <c r="F388" s="10">
        <v>1569651.1720477659</v>
      </c>
      <c r="G388" s="10">
        <v>1219998.2731395571</v>
      </c>
      <c r="H388">
        <v>1.145867100078884</v>
      </c>
      <c r="I388">
        <v>0.7772416539835072</v>
      </c>
      <c r="J388">
        <v>6.57</v>
      </c>
      <c r="K388">
        <v>0.32169999999999999</v>
      </c>
    </row>
    <row r="389" spans="1:11" x14ac:dyDescent="0.3">
      <c r="A389" s="31">
        <v>45900</v>
      </c>
      <c r="B389" t="s">
        <v>193</v>
      </c>
      <c r="C389" t="s">
        <v>323</v>
      </c>
      <c r="D389" t="s">
        <v>552</v>
      </c>
      <c r="E389" s="10">
        <v>1004578.75</v>
      </c>
      <c r="F389" s="10">
        <v>1481024.251805986</v>
      </c>
      <c r="G389" s="10">
        <v>1188189.8724136129</v>
      </c>
      <c r="H389">
        <v>1.182774244840052</v>
      </c>
      <c r="I389">
        <v>0.80227577027500696</v>
      </c>
      <c r="J389">
        <v>6.57</v>
      </c>
      <c r="K389">
        <v>0.32169999999999999</v>
      </c>
    </row>
    <row r="390" spans="1:11" x14ac:dyDescent="0.3">
      <c r="A390" s="31">
        <v>45900</v>
      </c>
      <c r="B390" t="s">
        <v>193</v>
      </c>
      <c r="C390" t="s">
        <v>322</v>
      </c>
      <c r="D390" t="s">
        <v>552</v>
      </c>
      <c r="E390" s="10">
        <v>329784.63</v>
      </c>
      <c r="F390" s="10">
        <v>486192.87925696588</v>
      </c>
      <c r="G390" s="10">
        <v>377056.15173354011</v>
      </c>
      <c r="H390">
        <v>1.14334058483423</v>
      </c>
      <c r="I390">
        <v>0.77552791869305815</v>
      </c>
      <c r="J390">
        <v>6.57</v>
      </c>
      <c r="K390">
        <v>0.32169999999999999</v>
      </c>
    </row>
    <row r="391" spans="1:11" x14ac:dyDescent="0.3">
      <c r="A391" s="31">
        <v>45900</v>
      </c>
      <c r="B391" t="s">
        <v>193</v>
      </c>
      <c r="C391" t="s">
        <v>321</v>
      </c>
      <c r="D391" t="s">
        <v>552</v>
      </c>
      <c r="E391" s="10">
        <v>783029.17</v>
      </c>
      <c r="F391" s="10">
        <v>1154399.484004128</v>
      </c>
      <c r="G391" s="10">
        <v>902451.2305999914</v>
      </c>
      <c r="H391">
        <v>1.1525129141740551</v>
      </c>
      <c r="I391">
        <v>0.78174950968426138</v>
      </c>
      <c r="J391">
        <v>6.57</v>
      </c>
      <c r="K391">
        <v>0.32169999999999999</v>
      </c>
    </row>
    <row r="392" spans="1:11" x14ac:dyDescent="0.3">
      <c r="A392" s="31">
        <v>45900</v>
      </c>
      <c r="B392" t="s">
        <v>193</v>
      </c>
      <c r="C392" t="s">
        <v>320</v>
      </c>
      <c r="D392" t="s">
        <v>552</v>
      </c>
      <c r="E392" s="10">
        <v>664726.91</v>
      </c>
      <c r="F392" s="10">
        <v>979989.54739790654</v>
      </c>
      <c r="G392" s="10">
        <v>790227.77470472048</v>
      </c>
      <c r="H392">
        <v>1.188800638001432</v>
      </c>
      <c r="I392">
        <v>0.80636347275637132</v>
      </c>
      <c r="J392">
        <v>6.57</v>
      </c>
      <c r="K392">
        <v>0.32169999999999999</v>
      </c>
    </row>
    <row r="393" spans="1:11" x14ac:dyDescent="0.3">
      <c r="A393" s="31">
        <v>45900</v>
      </c>
      <c r="B393" t="s">
        <v>193</v>
      </c>
      <c r="C393" t="s">
        <v>319</v>
      </c>
      <c r="D393" t="s">
        <v>552</v>
      </c>
      <c r="E393" s="10">
        <v>400761.96</v>
      </c>
      <c r="F393" s="10">
        <v>590832.90579389653</v>
      </c>
      <c r="G393" s="10">
        <v>492059.68594195269</v>
      </c>
      <c r="H393">
        <v>1.2278103589022089</v>
      </c>
      <c r="I393">
        <v>0.83282376644336831</v>
      </c>
      <c r="J393">
        <v>6.57</v>
      </c>
      <c r="K393">
        <v>0.32169999999999999</v>
      </c>
    </row>
    <row r="394" spans="1:11" x14ac:dyDescent="0.3">
      <c r="A394" s="31">
        <v>45900</v>
      </c>
      <c r="B394" t="s">
        <v>193</v>
      </c>
      <c r="C394" t="s">
        <v>268</v>
      </c>
      <c r="D394" t="s">
        <v>552</v>
      </c>
      <c r="E394" s="10">
        <v>69234.490000000005</v>
      </c>
      <c r="F394" s="10">
        <v>102070.6029780333</v>
      </c>
      <c r="G394" s="10">
        <v>83355.743317385059</v>
      </c>
      <c r="H394">
        <v>1.203962697167049</v>
      </c>
      <c r="I394">
        <v>0.81664789748840905</v>
      </c>
      <c r="J394">
        <v>6.57</v>
      </c>
      <c r="K394">
        <v>0.32169999999999999</v>
      </c>
    </row>
    <row r="395" spans="1:11" x14ac:dyDescent="0.3">
      <c r="A395" s="31">
        <v>45900</v>
      </c>
      <c r="B395" t="s">
        <v>193</v>
      </c>
      <c r="C395" t="s">
        <v>318</v>
      </c>
      <c r="D395" t="s">
        <v>552</v>
      </c>
      <c r="E395" s="10">
        <v>451467.76</v>
      </c>
      <c r="F395" s="10">
        <v>665587.14433141681</v>
      </c>
      <c r="G395" s="10">
        <v>531614.19111301471</v>
      </c>
      <c r="H395">
        <v>1.177524151698041</v>
      </c>
      <c r="I395">
        <v>0.79871463209678106</v>
      </c>
      <c r="J395">
        <v>6.57</v>
      </c>
      <c r="K395">
        <v>0.32169999999999999</v>
      </c>
    </row>
    <row r="396" spans="1:11" x14ac:dyDescent="0.3">
      <c r="A396" s="31">
        <v>45900</v>
      </c>
      <c r="B396" t="s">
        <v>193</v>
      </c>
      <c r="C396" t="s">
        <v>317</v>
      </c>
      <c r="D396" t="s">
        <v>552</v>
      </c>
      <c r="E396" s="10">
        <v>516103.23</v>
      </c>
      <c r="F396" s="10">
        <v>760877.53206545778</v>
      </c>
      <c r="G396" s="10">
        <v>603132.76806734351</v>
      </c>
      <c r="H396">
        <v>1.168628160043377</v>
      </c>
      <c r="I396">
        <v>0.79268048095742216</v>
      </c>
      <c r="J396">
        <v>6.57</v>
      </c>
      <c r="K396">
        <v>0.32169999999999999</v>
      </c>
    </row>
    <row r="397" spans="1:11" x14ac:dyDescent="0.3">
      <c r="A397" s="31">
        <v>45900</v>
      </c>
      <c r="B397" t="s">
        <v>193</v>
      </c>
      <c r="C397" t="s">
        <v>316</v>
      </c>
      <c r="D397" t="s">
        <v>552</v>
      </c>
      <c r="E397" s="10">
        <v>1142105.43</v>
      </c>
      <c r="F397" s="10">
        <v>1683776.2494471469</v>
      </c>
      <c r="G397" s="10">
        <v>1376245.9319176991</v>
      </c>
      <c r="H397">
        <v>1.205007782790857</v>
      </c>
      <c r="I397">
        <v>0.81735677906703863</v>
      </c>
      <c r="J397">
        <v>6.57</v>
      </c>
      <c r="K397">
        <v>0.32169999999999999</v>
      </c>
    </row>
    <row r="398" spans="1:11" x14ac:dyDescent="0.3">
      <c r="A398" s="31">
        <v>45930</v>
      </c>
      <c r="B398" t="s">
        <v>186</v>
      </c>
      <c r="C398" t="s">
        <v>553</v>
      </c>
      <c r="D398" t="s">
        <v>24</v>
      </c>
      <c r="E398" s="10">
        <v>2008055.66</v>
      </c>
      <c r="F398" s="10">
        <v>2653587.0317479181</v>
      </c>
      <c r="G398" s="10">
        <v>860957.9926168191</v>
      </c>
      <c r="H398">
        <v>0.42875205591503329</v>
      </c>
      <c r="I398">
        <v>0.32445063316792971</v>
      </c>
    </row>
    <row r="399" spans="1:11" x14ac:dyDescent="0.3">
      <c r="A399" s="31">
        <v>45930</v>
      </c>
      <c r="B399" t="s">
        <v>186</v>
      </c>
      <c r="C399" t="s">
        <v>324</v>
      </c>
      <c r="D399" t="s">
        <v>552</v>
      </c>
      <c r="E399" s="10">
        <v>1312377.44</v>
      </c>
      <c r="F399" s="10">
        <v>1782152.9603476371</v>
      </c>
      <c r="G399" s="10">
        <v>1451761.3923705411</v>
      </c>
      <c r="H399">
        <v>1.106207214572769</v>
      </c>
      <c r="I399">
        <v>0.81461099281138671</v>
      </c>
      <c r="J399">
        <v>5.64</v>
      </c>
      <c r="K399">
        <v>0.2636</v>
      </c>
    </row>
    <row r="400" spans="1:11" x14ac:dyDescent="0.3">
      <c r="A400" s="31">
        <v>45930</v>
      </c>
      <c r="B400" t="s">
        <v>186</v>
      </c>
      <c r="C400" t="s">
        <v>323</v>
      </c>
      <c r="D400" t="s">
        <v>552</v>
      </c>
      <c r="E400" s="10">
        <v>2197248.13</v>
      </c>
      <c r="F400" s="10">
        <v>2904875.8989952412</v>
      </c>
      <c r="G400" s="10">
        <v>2342370.5500294119</v>
      </c>
      <c r="H400">
        <v>1.066047351706888</v>
      </c>
      <c r="I400">
        <v>0.80635821683108999</v>
      </c>
      <c r="J400">
        <v>5.25</v>
      </c>
      <c r="K400">
        <v>0.24360000000000001</v>
      </c>
    </row>
    <row r="401" spans="1:11" x14ac:dyDescent="0.3">
      <c r="A401" s="31">
        <v>45930</v>
      </c>
      <c r="B401" t="s">
        <v>186</v>
      </c>
      <c r="C401" t="s">
        <v>322</v>
      </c>
      <c r="D401" t="s">
        <v>552</v>
      </c>
      <c r="E401" s="10">
        <v>1728554.34</v>
      </c>
      <c r="F401" s="10">
        <v>2228954.6615087041</v>
      </c>
      <c r="G401" s="10">
        <v>1860378.725868152</v>
      </c>
      <c r="H401">
        <v>1.07626279534154</v>
      </c>
      <c r="I401">
        <v>0.83464179778736458</v>
      </c>
      <c r="J401">
        <v>4.68</v>
      </c>
      <c r="K401">
        <v>0.22450000000000001</v>
      </c>
    </row>
    <row r="402" spans="1:11" x14ac:dyDescent="0.3">
      <c r="A402" s="31">
        <v>45930</v>
      </c>
      <c r="B402" t="s">
        <v>186</v>
      </c>
      <c r="C402" t="s">
        <v>321</v>
      </c>
      <c r="D402" t="s">
        <v>552</v>
      </c>
      <c r="E402" s="10">
        <v>1322654.32</v>
      </c>
      <c r="F402" s="10">
        <v>1765657.8827926849</v>
      </c>
      <c r="G402" s="10">
        <v>1432142.145261504</v>
      </c>
      <c r="H402">
        <v>1.082778866409708</v>
      </c>
      <c r="I402">
        <v>0.81110964882751257</v>
      </c>
      <c r="J402">
        <v>5.48</v>
      </c>
      <c r="K402">
        <v>0.25090000000000001</v>
      </c>
    </row>
    <row r="403" spans="1:11" x14ac:dyDescent="0.3">
      <c r="A403" s="31">
        <v>45930</v>
      </c>
      <c r="B403" t="s">
        <v>186</v>
      </c>
      <c r="C403" t="s">
        <v>320</v>
      </c>
      <c r="D403" t="s">
        <v>552</v>
      </c>
      <c r="E403" s="10">
        <v>928881.38</v>
      </c>
      <c r="F403" s="10">
        <v>1206809.640119527</v>
      </c>
      <c r="G403" s="10">
        <v>974651.75964220776</v>
      </c>
      <c r="H403">
        <v>1.049274730474421</v>
      </c>
      <c r="I403">
        <v>0.80762676004616152</v>
      </c>
      <c r="J403">
        <v>4.96</v>
      </c>
      <c r="K403">
        <v>0.2303</v>
      </c>
    </row>
    <row r="404" spans="1:11" x14ac:dyDescent="0.3">
      <c r="A404" s="31">
        <v>45930</v>
      </c>
      <c r="B404" t="s">
        <v>186</v>
      </c>
      <c r="C404" t="s">
        <v>319</v>
      </c>
      <c r="D404" t="s">
        <v>552</v>
      </c>
      <c r="E404" s="10">
        <v>529395.91</v>
      </c>
      <c r="F404" s="10">
        <v>704827.4663826389</v>
      </c>
      <c r="G404" s="10">
        <v>567427.23403909244</v>
      </c>
      <c r="H404">
        <v>1.0718390968284821</v>
      </c>
      <c r="I404">
        <v>0.80505834562787282</v>
      </c>
      <c r="J404">
        <v>4.87</v>
      </c>
      <c r="K404">
        <v>0.24890000000000001</v>
      </c>
    </row>
    <row r="405" spans="1:11" x14ac:dyDescent="0.3">
      <c r="A405" s="31">
        <v>45930</v>
      </c>
      <c r="B405" t="s">
        <v>186</v>
      </c>
      <c r="C405" t="s">
        <v>268</v>
      </c>
      <c r="D405" t="s">
        <v>552</v>
      </c>
      <c r="E405" s="10">
        <v>1022505.08</v>
      </c>
      <c r="F405" s="10">
        <v>1328964.2318689891</v>
      </c>
      <c r="G405" s="10">
        <v>1122285.8987120511</v>
      </c>
      <c r="H405">
        <v>1.097584667952995</v>
      </c>
      <c r="I405">
        <v>0.84448164352303456</v>
      </c>
      <c r="J405">
        <v>4.84</v>
      </c>
      <c r="K405">
        <v>0.2306</v>
      </c>
    </row>
    <row r="406" spans="1:11" x14ac:dyDescent="0.3">
      <c r="A406" s="31">
        <v>45930</v>
      </c>
      <c r="B406" t="s">
        <v>186</v>
      </c>
      <c r="C406" t="s">
        <v>318</v>
      </c>
      <c r="D406" t="s">
        <v>552</v>
      </c>
      <c r="E406" s="10">
        <v>1322207.1299999999</v>
      </c>
      <c r="F406" s="10">
        <v>1731770.962671906</v>
      </c>
      <c r="G406" s="10">
        <v>1387769.7508822731</v>
      </c>
      <c r="H406">
        <v>1.049585741443001</v>
      </c>
      <c r="I406">
        <v>0.8013587135917315</v>
      </c>
      <c r="J406">
        <v>5.12</v>
      </c>
      <c r="K406">
        <v>0.23649999999999999</v>
      </c>
    </row>
    <row r="407" spans="1:11" x14ac:dyDescent="0.3">
      <c r="A407" s="31">
        <v>45930</v>
      </c>
      <c r="B407" t="s">
        <v>186</v>
      </c>
      <c r="C407" t="s">
        <v>317</v>
      </c>
      <c r="D407" t="s">
        <v>552</v>
      </c>
      <c r="E407" s="10">
        <v>1068157.3500000001</v>
      </c>
      <c r="F407" s="10">
        <v>1398477.8083267871</v>
      </c>
      <c r="G407" s="10">
        <v>1153460.7747190541</v>
      </c>
      <c r="H407">
        <v>1.079860354580769</v>
      </c>
      <c r="I407">
        <v>0.82479733882879125</v>
      </c>
      <c r="J407">
        <v>5.04</v>
      </c>
      <c r="K407">
        <v>0.23619999999999999</v>
      </c>
    </row>
    <row r="408" spans="1:11" x14ac:dyDescent="0.3">
      <c r="A408" s="31">
        <v>45930</v>
      </c>
      <c r="B408" t="s">
        <v>186</v>
      </c>
      <c r="C408" t="s">
        <v>316</v>
      </c>
      <c r="D408" t="s">
        <v>552</v>
      </c>
      <c r="E408" s="10">
        <v>1559441.31</v>
      </c>
      <c r="F408" s="10">
        <v>2146512.4707501722</v>
      </c>
      <c r="G408" s="10">
        <v>1776563.080607885</v>
      </c>
      <c r="H408">
        <v>1.139230485440895</v>
      </c>
      <c r="I408">
        <v>0.82765094767280989</v>
      </c>
      <c r="J408">
        <v>5.75</v>
      </c>
      <c r="K408">
        <v>0.27350000000000002</v>
      </c>
    </row>
    <row r="409" spans="1:11" x14ac:dyDescent="0.3">
      <c r="A409" s="31">
        <v>45930</v>
      </c>
      <c r="B409" t="s">
        <v>192</v>
      </c>
      <c r="C409" t="s">
        <v>553</v>
      </c>
      <c r="D409" t="s">
        <v>24</v>
      </c>
      <c r="E409" s="10">
        <v>838539.14</v>
      </c>
      <c r="F409" s="10">
        <v>1108738.780907047</v>
      </c>
      <c r="G409" s="10">
        <v>364869.75338672643</v>
      </c>
      <c r="H409">
        <v>0.43512548905794241</v>
      </c>
      <c r="I409">
        <v>0.32908540737452191</v>
      </c>
    </row>
    <row r="410" spans="1:11" x14ac:dyDescent="0.3">
      <c r="A410" s="31">
        <v>45930</v>
      </c>
      <c r="B410" t="s">
        <v>192</v>
      </c>
      <c r="C410" t="s">
        <v>324</v>
      </c>
      <c r="D410" t="s">
        <v>552</v>
      </c>
      <c r="E410" s="10">
        <v>166313.10999999999</v>
      </c>
      <c r="F410" s="10">
        <v>219903.62290096519</v>
      </c>
      <c r="G410" s="10">
        <v>184872.7932988141</v>
      </c>
      <c r="H410">
        <v>1.111594830370342</v>
      </c>
      <c r="I410">
        <v>0.84069917020908991</v>
      </c>
      <c r="J410">
        <v>4.4800000000000004</v>
      </c>
      <c r="K410">
        <v>0.2437</v>
      </c>
    </row>
    <row r="411" spans="1:11" x14ac:dyDescent="0.3">
      <c r="A411" s="31">
        <v>45930</v>
      </c>
      <c r="B411" t="s">
        <v>192</v>
      </c>
      <c r="C411" t="s">
        <v>323</v>
      </c>
      <c r="D411" t="s">
        <v>552</v>
      </c>
      <c r="E411" s="10">
        <v>500313.15</v>
      </c>
      <c r="F411" s="10">
        <v>661527.37009123364</v>
      </c>
      <c r="G411" s="10">
        <v>553129.79129464831</v>
      </c>
      <c r="H411">
        <v>1.1055671658733099</v>
      </c>
      <c r="I411">
        <v>0.83614044754998451</v>
      </c>
      <c r="J411">
        <v>4.4800000000000004</v>
      </c>
      <c r="K411">
        <v>0.2437</v>
      </c>
    </row>
    <row r="412" spans="1:11" x14ac:dyDescent="0.3">
      <c r="A412" s="31">
        <v>45930</v>
      </c>
      <c r="B412" t="s">
        <v>192</v>
      </c>
      <c r="C412" t="s">
        <v>322</v>
      </c>
      <c r="D412" t="s">
        <v>552</v>
      </c>
      <c r="E412" s="10">
        <v>911194.25</v>
      </c>
      <c r="F412" s="10">
        <v>1204805.3021287851</v>
      </c>
      <c r="G412" s="10">
        <v>1002951.083311209</v>
      </c>
      <c r="H412">
        <v>1.1006995306557401</v>
      </c>
      <c r="I412">
        <v>0.83245905503493645</v>
      </c>
      <c r="J412">
        <v>4.4800000000000004</v>
      </c>
      <c r="K412">
        <v>0.2437</v>
      </c>
    </row>
    <row r="413" spans="1:11" x14ac:dyDescent="0.3">
      <c r="A413" s="31">
        <v>45930</v>
      </c>
      <c r="B413" t="s">
        <v>192</v>
      </c>
      <c r="C413" t="s">
        <v>321</v>
      </c>
      <c r="D413" t="s">
        <v>552</v>
      </c>
      <c r="E413" s="10">
        <v>165507.01999999999</v>
      </c>
      <c r="F413" s="10">
        <v>218837.78923707519</v>
      </c>
      <c r="G413" s="10">
        <v>184773.50859062589</v>
      </c>
      <c r="H413">
        <v>1.1164088906357319</v>
      </c>
      <c r="I413">
        <v>0.84434004398780438</v>
      </c>
      <c r="J413">
        <v>4.4800000000000004</v>
      </c>
      <c r="K413">
        <v>0.2437</v>
      </c>
    </row>
    <row r="414" spans="1:11" x14ac:dyDescent="0.3">
      <c r="A414" s="31">
        <v>45930</v>
      </c>
      <c r="B414" t="s">
        <v>192</v>
      </c>
      <c r="C414" t="s">
        <v>320</v>
      </c>
      <c r="D414" t="s">
        <v>552</v>
      </c>
      <c r="E414" s="10">
        <v>302231.96000000002</v>
      </c>
      <c r="F414" s="10">
        <v>399619.14584159729</v>
      </c>
      <c r="G414" s="10">
        <v>339698.37700089178</v>
      </c>
      <c r="H414">
        <v>1.123965767885341</v>
      </c>
      <c r="I414">
        <v>0.85005531025168368</v>
      </c>
      <c r="J414">
        <v>4.4800000000000004</v>
      </c>
      <c r="K414">
        <v>0.2437</v>
      </c>
    </row>
    <row r="415" spans="1:11" x14ac:dyDescent="0.3">
      <c r="A415" s="31">
        <v>45930</v>
      </c>
      <c r="B415" t="s">
        <v>192</v>
      </c>
      <c r="C415" t="s">
        <v>319</v>
      </c>
      <c r="D415" t="s">
        <v>552</v>
      </c>
      <c r="E415" s="10">
        <v>328541.51</v>
      </c>
      <c r="F415" s="10">
        <v>434406.33346555597</v>
      </c>
      <c r="G415" s="10">
        <v>359620.77320250467</v>
      </c>
      <c r="H415">
        <v>1.0945976756559761</v>
      </c>
      <c r="I415">
        <v>0.82784422209861486</v>
      </c>
      <c r="J415">
        <v>4.4800000000000004</v>
      </c>
      <c r="K415">
        <v>0.2437</v>
      </c>
    </row>
    <row r="416" spans="1:11" x14ac:dyDescent="0.3">
      <c r="A416" s="31">
        <v>45930</v>
      </c>
      <c r="B416" t="s">
        <v>192</v>
      </c>
      <c r="C416" t="s">
        <v>268</v>
      </c>
      <c r="D416" t="s">
        <v>552</v>
      </c>
      <c r="E416" s="10">
        <v>448016.16</v>
      </c>
      <c r="F416" s="10">
        <v>592378.89726299082</v>
      </c>
      <c r="G416" s="10">
        <v>498942.58947105962</v>
      </c>
      <c r="H416">
        <v>1.1136709655095021</v>
      </c>
      <c r="I416">
        <v>0.84226935121483659</v>
      </c>
      <c r="J416">
        <v>4.4800000000000004</v>
      </c>
      <c r="K416">
        <v>0.2437</v>
      </c>
    </row>
    <row r="417" spans="1:11" x14ac:dyDescent="0.3">
      <c r="A417" s="31">
        <v>45930</v>
      </c>
      <c r="B417" t="s">
        <v>192</v>
      </c>
      <c r="C417" t="s">
        <v>318</v>
      </c>
      <c r="D417" t="s">
        <v>552</v>
      </c>
      <c r="E417" s="10">
        <v>338089.14</v>
      </c>
      <c r="F417" s="10">
        <v>447030.46410154703</v>
      </c>
      <c r="G417" s="10">
        <v>370660.01550359337</v>
      </c>
      <c r="H417">
        <v>1.096338129948786</v>
      </c>
      <c r="I417">
        <v>0.82916052768026693</v>
      </c>
      <c r="J417">
        <v>4.4800000000000004</v>
      </c>
      <c r="K417">
        <v>0.2437</v>
      </c>
    </row>
    <row r="418" spans="1:11" x14ac:dyDescent="0.3">
      <c r="A418" s="31">
        <v>45930</v>
      </c>
      <c r="B418" t="s">
        <v>192</v>
      </c>
      <c r="C418" t="s">
        <v>317</v>
      </c>
      <c r="D418" t="s">
        <v>552</v>
      </c>
      <c r="E418" s="10">
        <v>346790.72</v>
      </c>
      <c r="F418" s="10">
        <v>458535.92489752738</v>
      </c>
      <c r="G418" s="10">
        <v>388968.94087364117</v>
      </c>
      <c r="H418">
        <v>1.1216244219961859</v>
      </c>
      <c r="I418">
        <v>0.84828455035571571</v>
      </c>
      <c r="J418">
        <v>4.4800000000000004</v>
      </c>
      <c r="K418">
        <v>0.2437</v>
      </c>
    </row>
    <row r="419" spans="1:11" x14ac:dyDescent="0.3">
      <c r="A419" s="31">
        <v>45930</v>
      </c>
      <c r="B419" t="s">
        <v>192</v>
      </c>
      <c r="C419" t="s">
        <v>316</v>
      </c>
      <c r="D419" t="s">
        <v>552</v>
      </c>
      <c r="E419" s="10">
        <v>221670.5</v>
      </c>
      <c r="F419" s="10">
        <v>293098.63810657151</v>
      </c>
      <c r="G419" s="10">
        <v>244340.19172381371</v>
      </c>
      <c r="H419">
        <v>1.1022675174360761</v>
      </c>
      <c r="I419">
        <v>0.83364492343690422</v>
      </c>
      <c r="J419">
        <v>4.4800000000000004</v>
      </c>
      <c r="K419">
        <v>0.2437</v>
      </c>
    </row>
    <row r="420" spans="1:11" x14ac:dyDescent="0.3">
      <c r="A420" s="31">
        <v>45930</v>
      </c>
      <c r="B420" t="s">
        <v>191</v>
      </c>
      <c r="C420" t="s">
        <v>553</v>
      </c>
      <c r="D420" t="s">
        <v>24</v>
      </c>
      <c r="E420" s="10">
        <v>411814.42</v>
      </c>
      <c r="F420" s="10">
        <v>483975.10870842641</v>
      </c>
      <c r="G420" s="10">
        <v>164660.30134046351</v>
      </c>
      <c r="H420">
        <v>0.39984102873440769</v>
      </c>
      <c r="I420">
        <v>0.3402247313501075</v>
      </c>
    </row>
    <row r="421" spans="1:11" x14ac:dyDescent="0.3">
      <c r="A421" s="31">
        <v>45930</v>
      </c>
      <c r="B421" t="s">
        <v>191</v>
      </c>
      <c r="C421" t="s">
        <v>324</v>
      </c>
      <c r="D421" t="s">
        <v>552</v>
      </c>
      <c r="E421" s="10">
        <v>194651.33</v>
      </c>
      <c r="F421" s="10">
        <v>228759.34892466801</v>
      </c>
      <c r="G421" s="10">
        <v>186495.43716939949</v>
      </c>
      <c r="H421">
        <v>0.95809998919298189</v>
      </c>
      <c r="I421">
        <v>0.81524728080430831</v>
      </c>
      <c r="J421">
        <v>4.2699999999999996</v>
      </c>
      <c r="K421">
        <v>0.14910000000000001</v>
      </c>
    </row>
    <row r="422" spans="1:11" x14ac:dyDescent="0.3">
      <c r="A422" s="31">
        <v>45930</v>
      </c>
      <c r="B422" t="s">
        <v>191</v>
      </c>
      <c r="C422" t="s">
        <v>323</v>
      </c>
      <c r="D422" t="s">
        <v>552</v>
      </c>
      <c r="E422" s="10">
        <v>504751.9</v>
      </c>
      <c r="F422" s="10">
        <v>593197.67305206251</v>
      </c>
      <c r="G422" s="10">
        <v>487299.46193465061</v>
      </c>
      <c r="H422">
        <v>0.96542372982578295</v>
      </c>
      <c r="I422">
        <v>0.82147905170875868</v>
      </c>
      <c r="J422">
        <v>4.2699999999999996</v>
      </c>
      <c r="K422">
        <v>0.14910000000000001</v>
      </c>
    </row>
    <row r="423" spans="1:11" x14ac:dyDescent="0.3">
      <c r="A423" s="31">
        <v>45930</v>
      </c>
      <c r="B423" t="s">
        <v>191</v>
      </c>
      <c r="C423" t="s">
        <v>322</v>
      </c>
      <c r="D423" t="s">
        <v>552</v>
      </c>
      <c r="E423" s="10">
        <v>474029.88</v>
      </c>
      <c r="F423" s="10">
        <v>557092.3492772358</v>
      </c>
      <c r="G423" s="10">
        <v>474629.81470779062</v>
      </c>
      <c r="H423">
        <v>1.0012656052563409</v>
      </c>
      <c r="I423">
        <v>0.85197690351262056</v>
      </c>
      <c r="J423">
        <v>4.2699999999999996</v>
      </c>
      <c r="K423">
        <v>0.14910000000000001</v>
      </c>
    </row>
    <row r="424" spans="1:11" x14ac:dyDescent="0.3">
      <c r="A424" s="31">
        <v>45930</v>
      </c>
      <c r="B424" t="s">
        <v>191</v>
      </c>
      <c r="C424" t="s">
        <v>321</v>
      </c>
      <c r="D424" t="s">
        <v>552</v>
      </c>
      <c r="E424" s="10">
        <v>288954.14</v>
      </c>
      <c r="F424" s="10">
        <v>339586.48489834293</v>
      </c>
      <c r="G424" s="10">
        <v>277774.97044396511</v>
      </c>
      <c r="H424">
        <v>0.96131161312990743</v>
      </c>
      <c r="I424">
        <v>0.81798005161223819</v>
      </c>
      <c r="J424">
        <v>4.2699999999999996</v>
      </c>
      <c r="K424">
        <v>0.14910000000000001</v>
      </c>
    </row>
    <row r="425" spans="1:11" x14ac:dyDescent="0.3">
      <c r="A425" s="31">
        <v>45930</v>
      </c>
      <c r="B425" t="s">
        <v>191</v>
      </c>
      <c r="C425" t="s">
        <v>320</v>
      </c>
      <c r="D425" t="s">
        <v>552</v>
      </c>
      <c r="E425" s="10">
        <v>266455.43</v>
      </c>
      <c r="F425" s="10">
        <v>313145.41074156773</v>
      </c>
      <c r="G425" s="10">
        <v>256827.9075400029</v>
      </c>
      <c r="H425">
        <v>0.96386816939704678</v>
      </c>
      <c r="I425">
        <v>0.82015542533994712</v>
      </c>
      <c r="J425">
        <v>4.2699999999999996</v>
      </c>
      <c r="K425">
        <v>0.14910000000000001</v>
      </c>
    </row>
    <row r="426" spans="1:11" x14ac:dyDescent="0.3">
      <c r="A426" s="31">
        <v>45930</v>
      </c>
      <c r="B426" t="s">
        <v>191</v>
      </c>
      <c r="C426" t="s">
        <v>319</v>
      </c>
      <c r="D426" t="s">
        <v>552</v>
      </c>
      <c r="E426" s="10">
        <v>41091.74</v>
      </c>
      <c r="F426" s="10">
        <v>48292.090727465031</v>
      </c>
      <c r="G426" s="10">
        <v>40330.927808327513</v>
      </c>
      <c r="H426">
        <v>0.98148503344778071</v>
      </c>
      <c r="I426">
        <v>0.83514561496071671</v>
      </c>
      <c r="J426">
        <v>4.2699999999999996</v>
      </c>
      <c r="K426">
        <v>0.14910000000000001</v>
      </c>
    </row>
    <row r="427" spans="1:11" x14ac:dyDescent="0.3">
      <c r="A427" s="31">
        <v>45930</v>
      </c>
      <c r="B427" t="s">
        <v>191</v>
      </c>
      <c r="C427" t="s">
        <v>268</v>
      </c>
      <c r="D427" t="s">
        <v>552</v>
      </c>
      <c r="E427" s="10">
        <v>260121.67</v>
      </c>
      <c r="F427" s="10">
        <v>305701.80984839582</v>
      </c>
      <c r="G427" s="10">
        <v>254359.9670287543</v>
      </c>
      <c r="H427">
        <v>0.97784996931918156</v>
      </c>
      <c r="I427">
        <v>0.83205253889369157</v>
      </c>
      <c r="J427">
        <v>4.2699999999999996</v>
      </c>
      <c r="K427">
        <v>0.14910000000000001</v>
      </c>
    </row>
    <row r="428" spans="1:11" x14ac:dyDescent="0.3">
      <c r="A428" s="31">
        <v>45930</v>
      </c>
      <c r="B428" t="s">
        <v>191</v>
      </c>
      <c r="C428" t="s">
        <v>318</v>
      </c>
      <c r="D428" t="s">
        <v>552</v>
      </c>
      <c r="E428" s="10">
        <v>351532.44</v>
      </c>
      <c r="F428" s="10">
        <v>413130.14455282642</v>
      </c>
      <c r="G428" s="10">
        <v>347137.80301530223</v>
      </c>
      <c r="H428">
        <v>0.98749863032641372</v>
      </c>
      <c r="I428">
        <v>0.84026258454474545</v>
      </c>
      <c r="J428">
        <v>4.2699999999999996</v>
      </c>
      <c r="K428">
        <v>0.14910000000000001</v>
      </c>
    </row>
    <row r="429" spans="1:11" x14ac:dyDescent="0.3">
      <c r="A429" s="31">
        <v>45930</v>
      </c>
      <c r="B429" t="s">
        <v>191</v>
      </c>
      <c r="C429" t="s">
        <v>317</v>
      </c>
      <c r="D429" t="s">
        <v>552</v>
      </c>
      <c r="E429" s="10">
        <v>265416.26</v>
      </c>
      <c r="F429" s="10">
        <v>311924.15089904808</v>
      </c>
      <c r="G429" s="10">
        <v>266683.19546833099</v>
      </c>
      <c r="H429">
        <v>1.0047733905538829</v>
      </c>
      <c r="I429">
        <v>0.85496167802229928</v>
      </c>
      <c r="J429">
        <v>4.2699999999999996</v>
      </c>
      <c r="K429">
        <v>0.14910000000000001</v>
      </c>
    </row>
    <row r="430" spans="1:11" x14ac:dyDescent="0.3">
      <c r="A430" s="31">
        <v>45930</v>
      </c>
      <c r="B430" t="s">
        <v>191</v>
      </c>
      <c r="C430" t="s">
        <v>316</v>
      </c>
      <c r="D430" t="s">
        <v>552</v>
      </c>
      <c r="E430" s="10">
        <v>143470.32</v>
      </c>
      <c r="F430" s="10">
        <v>168610.08344106239</v>
      </c>
      <c r="G430" s="10">
        <v>142136.1215245132</v>
      </c>
      <c r="H430">
        <v>0.99070052624482308</v>
      </c>
      <c r="I430">
        <v>0.84298707778172011</v>
      </c>
      <c r="J430">
        <v>4.2699999999999996</v>
      </c>
      <c r="K430">
        <v>0.14910000000000001</v>
      </c>
    </row>
    <row r="431" spans="1:11" x14ac:dyDescent="0.3">
      <c r="A431" s="31">
        <v>45930</v>
      </c>
      <c r="B431" t="s">
        <v>193</v>
      </c>
      <c r="C431" t="s">
        <v>553</v>
      </c>
      <c r="D431" t="s">
        <v>24</v>
      </c>
      <c r="E431" s="10">
        <v>757702.1</v>
      </c>
      <c r="F431" s="10">
        <v>1090375.737516189</v>
      </c>
      <c r="G431" s="10">
        <v>334997.84478624602</v>
      </c>
      <c r="H431">
        <v>0.44212342131062587</v>
      </c>
      <c r="I431">
        <v>0.30723156546875402</v>
      </c>
    </row>
    <row r="432" spans="1:11" x14ac:dyDescent="0.3">
      <c r="A432" s="31">
        <v>45930</v>
      </c>
      <c r="B432" t="s">
        <v>193</v>
      </c>
      <c r="C432" t="s">
        <v>324</v>
      </c>
      <c r="D432" t="s">
        <v>552</v>
      </c>
      <c r="E432" s="10">
        <v>951413</v>
      </c>
      <c r="F432" s="10">
        <v>1369136.5664124331</v>
      </c>
      <c r="G432" s="10">
        <v>1132543.123134166</v>
      </c>
      <c r="H432">
        <v>1.190380122127999</v>
      </c>
      <c r="I432">
        <v>0.82719514686674656</v>
      </c>
      <c r="J432">
        <v>6.39</v>
      </c>
      <c r="K432">
        <v>0.30509999999999998</v>
      </c>
    </row>
    <row r="433" spans="1:11" x14ac:dyDescent="0.3">
      <c r="A433" s="31">
        <v>45930</v>
      </c>
      <c r="B433" t="s">
        <v>193</v>
      </c>
      <c r="C433" t="s">
        <v>323</v>
      </c>
      <c r="D433" t="s">
        <v>552</v>
      </c>
      <c r="E433" s="10">
        <v>1192183.08</v>
      </c>
      <c r="F433" s="10">
        <v>1715618.1896675781</v>
      </c>
      <c r="G433" s="10">
        <v>1342896.6344443921</v>
      </c>
      <c r="H433">
        <v>1.1264181290380271</v>
      </c>
      <c r="I433">
        <v>0.7827479578685248</v>
      </c>
      <c r="J433">
        <v>6.39</v>
      </c>
      <c r="K433">
        <v>0.30509999999999998</v>
      </c>
    </row>
    <row r="434" spans="1:11" x14ac:dyDescent="0.3">
      <c r="A434" s="31">
        <v>45930</v>
      </c>
      <c r="B434" t="s">
        <v>193</v>
      </c>
      <c r="C434" t="s">
        <v>322</v>
      </c>
      <c r="D434" t="s">
        <v>552</v>
      </c>
      <c r="E434" s="10">
        <v>343330.21</v>
      </c>
      <c r="F434" s="10">
        <v>494071.39156713191</v>
      </c>
      <c r="G434" s="10">
        <v>382014.36984676408</v>
      </c>
      <c r="H434">
        <v>1.1126733352324689</v>
      </c>
      <c r="I434">
        <v>0.77319670065304302</v>
      </c>
      <c r="J434">
        <v>6.39</v>
      </c>
      <c r="K434">
        <v>0.30509999999999998</v>
      </c>
    </row>
    <row r="435" spans="1:11" x14ac:dyDescent="0.3">
      <c r="A435" s="31">
        <v>45930</v>
      </c>
      <c r="B435" t="s">
        <v>193</v>
      </c>
      <c r="C435" t="s">
        <v>321</v>
      </c>
      <c r="D435" t="s">
        <v>552</v>
      </c>
      <c r="E435" s="10">
        <v>868193.16</v>
      </c>
      <c r="F435" s="10">
        <v>1249378.558065908</v>
      </c>
      <c r="G435" s="10">
        <v>1002636.784317999</v>
      </c>
      <c r="H435">
        <v>1.1548545076282319</v>
      </c>
      <c r="I435">
        <v>0.80250839735085844</v>
      </c>
      <c r="J435">
        <v>6.39</v>
      </c>
      <c r="K435">
        <v>0.30509999999999998</v>
      </c>
    </row>
    <row r="436" spans="1:11" x14ac:dyDescent="0.3">
      <c r="A436" s="31">
        <v>45930</v>
      </c>
      <c r="B436" t="s">
        <v>193</v>
      </c>
      <c r="C436" t="s">
        <v>320</v>
      </c>
      <c r="D436" t="s">
        <v>552</v>
      </c>
      <c r="E436" s="10">
        <v>360193.99</v>
      </c>
      <c r="F436" s="10">
        <v>518339.31500935368</v>
      </c>
      <c r="G436" s="10">
        <v>427697.16019227757</v>
      </c>
      <c r="H436">
        <v>1.187407819303919</v>
      </c>
      <c r="I436">
        <v>0.82512969363429345</v>
      </c>
      <c r="J436">
        <v>6.39</v>
      </c>
      <c r="K436">
        <v>0.30509999999999998</v>
      </c>
    </row>
    <row r="437" spans="1:11" x14ac:dyDescent="0.3">
      <c r="A437" s="31">
        <v>45930</v>
      </c>
      <c r="B437" t="s">
        <v>193</v>
      </c>
      <c r="C437" t="s">
        <v>319</v>
      </c>
      <c r="D437" t="s">
        <v>552</v>
      </c>
      <c r="E437" s="10">
        <v>159762.66</v>
      </c>
      <c r="F437" s="10">
        <v>229907.41113829319</v>
      </c>
      <c r="G437" s="10">
        <v>188225.09676163469</v>
      </c>
      <c r="H437">
        <v>1.1781544996911959</v>
      </c>
      <c r="I437">
        <v>0.81869956183541237</v>
      </c>
      <c r="J437">
        <v>6.39</v>
      </c>
      <c r="K437">
        <v>0.30509999999999998</v>
      </c>
    </row>
    <row r="438" spans="1:11" x14ac:dyDescent="0.3">
      <c r="A438" s="31">
        <v>45930</v>
      </c>
      <c r="B438" t="s">
        <v>193</v>
      </c>
      <c r="C438" t="s">
        <v>268</v>
      </c>
      <c r="D438" t="s">
        <v>552</v>
      </c>
      <c r="E438" s="10">
        <v>314367.25</v>
      </c>
      <c r="F438" s="10">
        <v>452392.07080155407</v>
      </c>
      <c r="G438" s="10">
        <v>377713.37541701208</v>
      </c>
      <c r="H438">
        <v>1.201503577160191</v>
      </c>
      <c r="I438">
        <v>0.83492483576861687</v>
      </c>
      <c r="J438">
        <v>6.39</v>
      </c>
      <c r="K438">
        <v>0.30509999999999998</v>
      </c>
    </row>
    <row r="439" spans="1:11" x14ac:dyDescent="0.3">
      <c r="A439" s="31">
        <v>45930</v>
      </c>
      <c r="B439" t="s">
        <v>193</v>
      </c>
      <c r="C439" t="s">
        <v>318</v>
      </c>
      <c r="D439" t="s">
        <v>552</v>
      </c>
      <c r="E439" s="10">
        <v>632585.55000000005</v>
      </c>
      <c r="F439" s="10">
        <v>910326.01813210524</v>
      </c>
      <c r="G439" s="10">
        <v>707938.97527406318</v>
      </c>
      <c r="H439">
        <v>1.119119738467095</v>
      </c>
      <c r="I439">
        <v>0.7776763062607841</v>
      </c>
      <c r="J439">
        <v>6.39</v>
      </c>
      <c r="K439">
        <v>0.30509999999999998</v>
      </c>
    </row>
    <row r="440" spans="1:11" x14ac:dyDescent="0.3">
      <c r="A440" s="31">
        <v>45930</v>
      </c>
      <c r="B440" t="s">
        <v>193</v>
      </c>
      <c r="C440" t="s">
        <v>317</v>
      </c>
      <c r="D440" t="s">
        <v>552</v>
      </c>
      <c r="E440" s="10">
        <v>455950.37</v>
      </c>
      <c r="F440" s="10">
        <v>656138.10620233114</v>
      </c>
      <c r="G440" s="10">
        <v>543660.09445105027</v>
      </c>
      <c r="H440">
        <v>1.1923668237204199</v>
      </c>
      <c r="I440">
        <v>0.82857570580331996</v>
      </c>
      <c r="J440">
        <v>6.39</v>
      </c>
      <c r="K440">
        <v>0.30509999999999998</v>
      </c>
    </row>
    <row r="441" spans="1:11" x14ac:dyDescent="0.3">
      <c r="A441" s="31">
        <v>45930</v>
      </c>
      <c r="B441" t="s">
        <v>193</v>
      </c>
      <c r="C441" t="s">
        <v>316</v>
      </c>
      <c r="D441" t="s">
        <v>552</v>
      </c>
      <c r="E441" s="10">
        <v>1194300.49</v>
      </c>
      <c r="F441" s="10">
        <v>1718665.26118866</v>
      </c>
      <c r="G441" s="10">
        <v>1373661.423069702</v>
      </c>
      <c r="H441">
        <v>1.150180741422707</v>
      </c>
      <c r="I441">
        <v>0.79926059721463916</v>
      </c>
      <c r="J441">
        <v>6.39</v>
      </c>
      <c r="K441">
        <v>0.30509999999999998</v>
      </c>
    </row>
    <row r="442" spans="1:11" x14ac:dyDescent="0.3">
      <c r="A442" s="31">
        <v>45961</v>
      </c>
      <c r="B442" t="s">
        <v>186</v>
      </c>
      <c r="C442" t="s">
        <v>553</v>
      </c>
      <c r="D442" t="s">
        <v>24</v>
      </c>
      <c r="E442" s="10">
        <v>2604556</v>
      </c>
      <c r="F442" s="10">
        <v>3455201.329266056</v>
      </c>
      <c r="G442" s="10">
        <v>1123191.149241318</v>
      </c>
      <c r="H442">
        <v>0.43124092906480738</v>
      </c>
      <c r="I442">
        <v>0.32507256226365933</v>
      </c>
    </row>
    <row r="443" spans="1:11" x14ac:dyDescent="0.3">
      <c r="A443" s="31">
        <v>45961</v>
      </c>
      <c r="B443" t="s">
        <v>186</v>
      </c>
      <c r="C443" t="s">
        <v>324</v>
      </c>
      <c r="D443" t="s">
        <v>552</v>
      </c>
      <c r="E443" s="10">
        <v>1335886.17</v>
      </c>
      <c r="F443" s="10">
        <v>1756127.474694361</v>
      </c>
      <c r="G443" s="10">
        <v>1446499.7223840479</v>
      </c>
      <c r="H443">
        <v>1.0828016300101739</v>
      </c>
      <c r="I443">
        <v>0.82368719994873896</v>
      </c>
      <c r="J443">
        <v>5.23</v>
      </c>
      <c r="K443">
        <v>0.23930000000000001</v>
      </c>
    </row>
    <row r="444" spans="1:11" x14ac:dyDescent="0.3">
      <c r="A444" s="31">
        <v>45961</v>
      </c>
      <c r="B444" t="s">
        <v>186</v>
      </c>
      <c r="C444" t="s">
        <v>323</v>
      </c>
      <c r="D444" t="s">
        <v>552</v>
      </c>
      <c r="E444" s="10">
        <v>1689272.1</v>
      </c>
      <c r="F444" s="10">
        <v>2216601.6270830599</v>
      </c>
      <c r="G444" s="10">
        <v>1766716.4061158809</v>
      </c>
      <c r="H444">
        <v>1.0458447790121439</v>
      </c>
      <c r="I444">
        <v>0.79703830608515525</v>
      </c>
      <c r="J444">
        <v>5.2</v>
      </c>
      <c r="K444">
        <v>0.2379</v>
      </c>
    </row>
    <row r="445" spans="1:11" x14ac:dyDescent="0.3">
      <c r="A445" s="31">
        <v>45961</v>
      </c>
      <c r="B445" t="s">
        <v>186</v>
      </c>
      <c r="C445" t="s">
        <v>322</v>
      </c>
      <c r="D445" t="s">
        <v>552</v>
      </c>
      <c r="E445" s="10">
        <v>882451.94</v>
      </c>
      <c r="F445" s="10">
        <v>1109304.7642991829</v>
      </c>
      <c r="G445" s="10">
        <v>924858.17255448643</v>
      </c>
      <c r="H445">
        <v>1.0480550051875761</v>
      </c>
      <c r="I445">
        <v>0.83372775662671661</v>
      </c>
      <c r="J445">
        <v>4.4400000000000004</v>
      </c>
      <c r="K445">
        <v>0.20449999999999999</v>
      </c>
    </row>
    <row r="446" spans="1:11" x14ac:dyDescent="0.3">
      <c r="A446" s="31">
        <v>45961</v>
      </c>
      <c r="B446" t="s">
        <v>186</v>
      </c>
      <c r="C446" t="s">
        <v>321</v>
      </c>
      <c r="D446" t="s">
        <v>552</v>
      </c>
      <c r="E446" s="10">
        <v>1048809.22</v>
      </c>
      <c r="F446" s="10">
        <v>1424431.9163384491</v>
      </c>
      <c r="G446" s="10">
        <v>1175428.8024993711</v>
      </c>
      <c r="H446">
        <v>1.120726992178207</v>
      </c>
      <c r="I446">
        <v>0.82519128434081335</v>
      </c>
      <c r="J446">
        <v>5.63</v>
      </c>
      <c r="K446">
        <v>0.26369999999999999</v>
      </c>
    </row>
    <row r="447" spans="1:11" x14ac:dyDescent="0.3">
      <c r="A447" s="31">
        <v>45961</v>
      </c>
      <c r="B447" t="s">
        <v>186</v>
      </c>
      <c r="C447" t="s">
        <v>320</v>
      </c>
      <c r="D447" t="s">
        <v>552</v>
      </c>
      <c r="E447" s="10">
        <v>1525830.2</v>
      </c>
      <c r="F447" s="10">
        <v>2035797.4649766509</v>
      </c>
      <c r="G447" s="10">
        <v>1653650.54127507</v>
      </c>
      <c r="H447">
        <v>1.083771012839482</v>
      </c>
      <c r="I447">
        <v>0.81228637412319182</v>
      </c>
      <c r="J447">
        <v>5.37</v>
      </c>
      <c r="K447">
        <v>0.2505</v>
      </c>
    </row>
    <row r="448" spans="1:11" x14ac:dyDescent="0.3">
      <c r="A448" s="31">
        <v>45961</v>
      </c>
      <c r="B448" t="s">
        <v>186</v>
      </c>
      <c r="C448" t="s">
        <v>319</v>
      </c>
      <c r="D448" t="s">
        <v>552</v>
      </c>
      <c r="E448" s="10">
        <v>501618.73</v>
      </c>
      <c r="F448" s="10">
        <v>635362.54591513611</v>
      </c>
      <c r="G448" s="10">
        <v>533611.10055748047</v>
      </c>
      <c r="H448">
        <v>1.0637782615443421</v>
      </c>
      <c r="I448">
        <v>0.83985293748925771</v>
      </c>
      <c r="J448">
        <v>4.8499999999999996</v>
      </c>
      <c r="K448">
        <v>0.21049999999999999</v>
      </c>
    </row>
    <row r="449" spans="1:11" x14ac:dyDescent="0.3">
      <c r="A449" s="31">
        <v>45961</v>
      </c>
      <c r="B449" t="s">
        <v>186</v>
      </c>
      <c r="C449" t="s">
        <v>268</v>
      </c>
      <c r="D449" t="s">
        <v>552</v>
      </c>
      <c r="E449" s="10">
        <v>817374.52</v>
      </c>
      <c r="F449" s="10">
        <v>1091579.22008547</v>
      </c>
      <c r="G449" s="10">
        <v>920765.82031461375</v>
      </c>
      <c r="H449">
        <v>1.1264919541590479</v>
      </c>
      <c r="I449">
        <v>0.84351717527429515</v>
      </c>
      <c r="J449">
        <v>5.25</v>
      </c>
      <c r="K449">
        <v>0.25119999999999998</v>
      </c>
    </row>
    <row r="450" spans="1:11" x14ac:dyDescent="0.3">
      <c r="A450" s="31">
        <v>45961</v>
      </c>
      <c r="B450" t="s">
        <v>186</v>
      </c>
      <c r="C450" t="s">
        <v>318</v>
      </c>
      <c r="D450" t="s">
        <v>552</v>
      </c>
      <c r="E450" s="10">
        <v>1245633.22</v>
      </c>
      <c r="F450" s="10">
        <v>1634474.7670909329</v>
      </c>
      <c r="G450" s="10">
        <v>1377110.406476171</v>
      </c>
      <c r="H450">
        <v>1.105550481767154</v>
      </c>
      <c r="I450">
        <v>0.84254002215474799</v>
      </c>
      <c r="J450">
        <v>5.09</v>
      </c>
      <c r="K450">
        <v>0.2379</v>
      </c>
    </row>
    <row r="451" spans="1:11" x14ac:dyDescent="0.3">
      <c r="A451" s="31">
        <v>45961</v>
      </c>
      <c r="B451" t="s">
        <v>186</v>
      </c>
      <c r="C451" t="s">
        <v>317</v>
      </c>
      <c r="D451" t="s">
        <v>552</v>
      </c>
      <c r="E451" s="10">
        <v>1265302.05</v>
      </c>
      <c r="F451" s="10">
        <v>1712876.7429267629</v>
      </c>
      <c r="G451" s="10">
        <v>1432999.232917245</v>
      </c>
      <c r="H451">
        <v>1.1325352969413469</v>
      </c>
      <c r="I451">
        <v>0.83660382385057319</v>
      </c>
      <c r="J451">
        <v>5.62</v>
      </c>
      <c r="K451">
        <v>0.26129999999999998</v>
      </c>
    </row>
    <row r="452" spans="1:11" x14ac:dyDescent="0.3">
      <c r="A452" s="31">
        <v>45961</v>
      </c>
      <c r="B452" t="s">
        <v>186</v>
      </c>
      <c r="C452" t="s">
        <v>316</v>
      </c>
      <c r="D452" t="s">
        <v>552</v>
      </c>
      <c r="E452" s="10">
        <v>1995235.59</v>
      </c>
      <c r="F452" s="10">
        <v>2706505.1410743352</v>
      </c>
      <c r="G452" s="10">
        <v>2262826.1307754358</v>
      </c>
      <c r="H452">
        <v>1.1341147592377481</v>
      </c>
      <c r="I452">
        <v>0.83606940051006773</v>
      </c>
      <c r="J452">
        <v>5.55</v>
      </c>
      <c r="K452">
        <v>0.26279999999999998</v>
      </c>
    </row>
    <row r="453" spans="1:11" x14ac:dyDescent="0.3">
      <c r="A453" s="31">
        <v>45961</v>
      </c>
      <c r="B453" t="s">
        <v>192</v>
      </c>
      <c r="C453" t="s">
        <v>553</v>
      </c>
      <c r="D453" t="s">
        <v>24</v>
      </c>
      <c r="E453" s="10">
        <v>754814.72</v>
      </c>
      <c r="F453" s="10">
        <v>958008.27516182233</v>
      </c>
      <c r="G453" s="10">
        <v>321813.48581519182</v>
      </c>
      <c r="H453">
        <v>0.42634765497841892</v>
      </c>
      <c r="I453">
        <v>0.33591931735749631</v>
      </c>
    </row>
    <row r="454" spans="1:11" x14ac:dyDescent="0.3">
      <c r="A454" s="31">
        <v>45961</v>
      </c>
      <c r="B454" t="s">
        <v>192</v>
      </c>
      <c r="C454" t="s">
        <v>324</v>
      </c>
      <c r="D454" t="s">
        <v>552</v>
      </c>
      <c r="E454" s="10">
        <v>343501.99</v>
      </c>
      <c r="F454" s="10">
        <v>435971.55730422639</v>
      </c>
      <c r="G454" s="10">
        <v>363509.6562239271</v>
      </c>
      <c r="H454">
        <v>1.0582461435636139</v>
      </c>
      <c r="I454">
        <v>0.83379213651377149</v>
      </c>
      <c r="J454">
        <v>4.32</v>
      </c>
      <c r="K454">
        <v>0.21210000000000001</v>
      </c>
    </row>
    <row r="455" spans="1:11" x14ac:dyDescent="0.3">
      <c r="A455" s="31">
        <v>45961</v>
      </c>
      <c r="B455" t="s">
        <v>192</v>
      </c>
      <c r="C455" t="s">
        <v>323</v>
      </c>
      <c r="D455" t="s">
        <v>552</v>
      </c>
      <c r="E455" s="10">
        <v>451059.99</v>
      </c>
      <c r="F455" s="10">
        <v>572483.80505140242</v>
      </c>
      <c r="G455" s="10">
        <v>489222.46071222442</v>
      </c>
      <c r="H455">
        <v>1.0846061977525969</v>
      </c>
      <c r="I455">
        <v>0.85456122320927119</v>
      </c>
      <c r="J455">
        <v>4.32</v>
      </c>
      <c r="K455">
        <v>0.21210000000000001</v>
      </c>
    </row>
    <row r="456" spans="1:11" x14ac:dyDescent="0.3">
      <c r="A456" s="31">
        <v>45961</v>
      </c>
      <c r="B456" t="s">
        <v>192</v>
      </c>
      <c r="C456" t="s">
        <v>322</v>
      </c>
      <c r="D456" t="s">
        <v>552</v>
      </c>
      <c r="E456" s="10">
        <v>595468.82999999996</v>
      </c>
      <c r="F456" s="10">
        <v>755767.01358040341</v>
      </c>
      <c r="G456" s="10">
        <v>636551.33871984459</v>
      </c>
      <c r="H456">
        <v>1.0689918710268089</v>
      </c>
      <c r="I456">
        <v>0.84225869518202268</v>
      </c>
      <c r="J456">
        <v>4.32</v>
      </c>
      <c r="K456">
        <v>0.21210000000000001</v>
      </c>
    </row>
    <row r="457" spans="1:11" x14ac:dyDescent="0.3">
      <c r="A457" s="31">
        <v>45961</v>
      </c>
      <c r="B457" t="s">
        <v>192</v>
      </c>
      <c r="C457" t="s">
        <v>321</v>
      </c>
      <c r="D457" t="s">
        <v>552</v>
      </c>
      <c r="E457" s="10">
        <v>192016.01</v>
      </c>
      <c r="F457" s="10">
        <v>243706.06675974111</v>
      </c>
      <c r="G457" s="10">
        <v>207392.226559342</v>
      </c>
      <c r="H457">
        <v>1.080077783927194</v>
      </c>
      <c r="I457">
        <v>0.85099328595623636</v>
      </c>
      <c r="J457">
        <v>4.32</v>
      </c>
      <c r="K457">
        <v>0.21210000000000001</v>
      </c>
    </row>
    <row r="458" spans="1:11" x14ac:dyDescent="0.3">
      <c r="A458" s="31">
        <v>45961</v>
      </c>
      <c r="B458" t="s">
        <v>192</v>
      </c>
      <c r="C458" t="s">
        <v>320</v>
      </c>
      <c r="D458" t="s">
        <v>552</v>
      </c>
      <c r="E458" s="10">
        <v>410632.76</v>
      </c>
      <c r="F458" s="10">
        <v>521173.70224647789</v>
      </c>
      <c r="G458" s="10">
        <v>445114.7593875688</v>
      </c>
      <c r="H458">
        <v>1.0839728408117479</v>
      </c>
      <c r="I458">
        <v>0.85406220127557642</v>
      </c>
      <c r="J458">
        <v>4.32</v>
      </c>
      <c r="K458">
        <v>0.21210000000000001</v>
      </c>
    </row>
    <row r="459" spans="1:11" x14ac:dyDescent="0.3">
      <c r="A459" s="31">
        <v>45961</v>
      </c>
      <c r="B459" t="s">
        <v>192</v>
      </c>
      <c r="C459" t="s">
        <v>319</v>
      </c>
      <c r="D459" t="s">
        <v>552</v>
      </c>
      <c r="E459" s="10">
        <v>123765.17</v>
      </c>
      <c r="F459" s="10">
        <v>157082.3327833481</v>
      </c>
      <c r="G459" s="10">
        <v>127870.3153815774</v>
      </c>
      <c r="H459">
        <v>1.033168825943336</v>
      </c>
      <c r="I459">
        <v>0.81403371796075441</v>
      </c>
      <c r="J459">
        <v>4.32</v>
      </c>
      <c r="K459">
        <v>0.21210000000000001</v>
      </c>
    </row>
    <row r="460" spans="1:11" x14ac:dyDescent="0.3">
      <c r="A460" s="31">
        <v>45961</v>
      </c>
      <c r="B460" t="s">
        <v>192</v>
      </c>
      <c r="C460" t="s">
        <v>268</v>
      </c>
      <c r="D460" t="s">
        <v>552</v>
      </c>
      <c r="E460" s="10">
        <v>339028.64</v>
      </c>
      <c r="F460" s="10">
        <v>430293.99670008878</v>
      </c>
      <c r="G460" s="10">
        <v>362683.75724262488</v>
      </c>
      <c r="H460">
        <v>1.06977321220598</v>
      </c>
      <c r="I460">
        <v>0.842874313897092</v>
      </c>
      <c r="J460">
        <v>4.32</v>
      </c>
      <c r="K460">
        <v>0.21210000000000001</v>
      </c>
    </row>
    <row r="461" spans="1:11" x14ac:dyDescent="0.3">
      <c r="A461" s="31">
        <v>45961</v>
      </c>
      <c r="B461" t="s">
        <v>192</v>
      </c>
      <c r="C461" t="s">
        <v>318</v>
      </c>
      <c r="D461" t="s">
        <v>552</v>
      </c>
      <c r="E461" s="10">
        <v>484295.27</v>
      </c>
      <c r="F461" s="10">
        <v>614665.90937936283</v>
      </c>
      <c r="G461" s="10">
        <v>505140.69556568231</v>
      </c>
      <c r="H461">
        <v>1.0430428023087699</v>
      </c>
      <c r="I461">
        <v>0.82181342393907975</v>
      </c>
      <c r="J461">
        <v>4.32</v>
      </c>
      <c r="K461">
        <v>0.21210000000000001</v>
      </c>
    </row>
    <row r="462" spans="1:11" x14ac:dyDescent="0.3">
      <c r="A462" s="31">
        <v>45961</v>
      </c>
      <c r="B462" t="s">
        <v>192</v>
      </c>
      <c r="C462" t="s">
        <v>317</v>
      </c>
      <c r="D462" t="s">
        <v>552</v>
      </c>
      <c r="E462" s="10">
        <v>190335.06</v>
      </c>
      <c r="F462" s="10">
        <v>241572.61073740321</v>
      </c>
      <c r="G462" s="10">
        <v>204321.9991040928</v>
      </c>
      <c r="H462">
        <v>1.0734858785559149</v>
      </c>
      <c r="I462">
        <v>0.84579952371420541</v>
      </c>
      <c r="J462">
        <v>4.32</v>
      </c>
      <c r="K462">
        <v>0.21210000000000001</v>
      </c>
    </row>
    <row r="463" spans="1:11" x14ac:dyDescent="0.3">
      <c r="A463" s="31">
        <v>45961</v>
      </c>
      <c r="B463" t="s">
        <v>192</v>
      </c>
      <c r="C463" t="s">
        <v>316</v>
      </c>
      <c r="D463" t="s">
        <v>552</v>
      </c>
      <c r="E463" s="10">
        <v>508648.09</v>
      </c>
      <c r="F463" s="10">
        <v>645574.42568853917</v>
      </c>
      <c r="G463" s="10">
        <v>534121.86445852916</v>
      </c>
      <c r="H463">
        <v>1.050081333164014</v>
      </c>
      <c r="I463">
        <v>0.82735908239992628</v>
      </c>
      <c r="J463">
        <v>4.32</v>
      </c>
      <c r="K463">
        <v>0.21210000000000001</v>
      </c>
    </row>
    <row r="464" spans="1:11" x14ac:dyDescent="0.3">
      <c r="A464" s="31">
        <v>45961</v>
      </c>
      <c r="B464" t="s">
        <v>191</v>
      </c>
      <c r="C464" t="s">
        <v>553</v>
      </c>
      <c r="D464" t="s">
        <v>24</v>
      </c>
      <c r="E464" s="10">
        <v>510448.88</v>
      </c>
      <c r="F464" s="10">
        <v>609200.23869196803</v>
      </c>
      <c r="G464" s="10">
        <v>205835.55595659101</v>
      </c>
      <c r="H464">
        <v>0.40324421116682818</v>
      </c>
      <c r="I464">
        <v>0.33787832453668543</v>
      </c>
    </row>
    <row r="465" spans="1:11" x14ac:dyDescent="0.3">
      <c r="A465" s="31">
        <v>45961</v>
      </c>
      <c r="B465" t="s">
        <v>191</v>
      </c>
      <c r="C465" t="s">
        <v>324</v>
      </c>
      <c r="D465" t="s">
        <v>552</v>
      </c>
      <c r="E465" s="10">
        <v>355875.83</v>
      </c>
      <c r="F465" s="10">
        <v>424723.51115884952</v>
      </c>
      <c r="G465" s="10">
        <v>348789.44745809352</v>
      </c>
      <c r="H465">
        <v>0.98008748573369964</v>
      </c>
      <c r="I465">
        <v>0.82121530429626688</v>
      </c>
      <c r="J465">
        <v>4.37</v>
      </c>
      <c r="K465">
        <v>0.16209999999999999</v>
      </c>
    </row>
    <row r="466" spans="1:11" x14ac:dyDescent="0.3">
      <c r="A466" s="31">
        <v>45961</v>
      </c>
      <c r="B466" t="s">
        <v>191</v>
      </c>
      <c r="C466" t="s">
        <v>323</v>
      </c>
      <c r="D466" t="s">
        <v>552</v>
      </c>
      <c r="E466" s="10">
        <v>454748.59</v>
      </c>
      <c r="F466" s="10">
        <v>542724.17949636001</v>
      </c>
      <c r="G466" s="10">
        <v>464624.85699707689</v>
      </c>
      <c r="H466">
        <v>1.021718081626326</v>
      </c>
      <c r="I466">
        <v>0.85609758059469887</v>
      </c>
      <c r="J466">
        <v>4.37</v>
      </c>
      <c r="K466">
        <v>0.16209999999999999</v>
      </c>
    </row>
    <row r="467" spans="1:11" x14ac:dyDescent="0.3">
      <c r="A467" s="31">
        <v>45961</v>
      </c>
      <c r="B467" t="s">
        <v>191</v>
      </c>
      <c r="C467" t="s">
        <v>322</v>
      </c>
      <c r="D467" t="s">
        <v>552</v>
      </c>
      <c r="E467" s="10">
        <v>225621.55</v>
      </c>
      <c r="F467" s="10">
        <v>269270.25898078532</v>
      </c>
      <c r="G467" s="10">
        <v>226651.80122117509</v>
      </c>
      <c r="H467">
        <v>1.0045662802209061</v>
      </c>
      <c r="I467">
        <v>0.84172608619709699</v>
      </c>
      <c r="J467">
        <v>4.37</v>
      </c>
      <c r="K467">
        <v>0.16209999999999999</v>
      </c>
    </row>
    <row r="468" spans="1:11" x14ac:dyDescent="0.3">
      <c r="A468" s="31">
        <v>45961</v>
      </c>
      <c r="B468" t="s">
        <v>191</v>
      </c>
      <c r="C468" t="s">
        <v>321</v>
      </c>
      <c r="D468" t="s">
        <v>552</v>
      </c>
      <c r="E468" s="10">
        <v>179846.87</v>
      </c>
      <c r="F468" s="10">
        <v>214640.01670843779</v>
      </c>
      <c r="G468" s="10">
        <v>180061.51604596281</v>
      </c>
      <c r="H468">
        <v>1.001193493364454</v>
      </c>
      <c r="I468">
        <v>0.8389000280900758</v>
      </c>
      <c r="J468">
        <v>4.37</v>
      </c>
      <c r="K468">
        <v>0.16209999999999999</v>
      </c>
    </row>
    <row r="469" spans="1:11" x14ac:dyDescent="0.3">
      <c r="A469" s="31">
        <v>45961</v>
      </c>
      <c r="B469" t="s">
        <v>191</v>
      </c>
      <c r="C469" t="s">
        <v>320</v>
      </c>
      <c r="D469" t="s">
        <v>552</v>
      </c>
      <c r="E469" s="10">
        <v>291329.62</v>
      </c>
      <c r="F469" s="10">
        <v>347690.20169471297</v>
      </c>
      <c r="G469" s="10">
        <v>289561.89770154038</v>
      </c>
      <c r="H469">
        <v>0.99393222598354547</v>
      </c>
      <c r="I469">
        <v>0.83281581215161282</v>
      </c>
      <c r="J469">
        <v>4.37</v>
      </c>
      <c r="K469">
        <v>0.16209999999999999</v>
      </c>
    </row>
    <row r="470" spans="1:11" x14ac:dyDescent="0.3">
      <c r="A470" s="31">
        <v>45961</v>
      </c>
      <c r="B470" t="s">
        <v>191</v>
      </c>
      <c r="C470" t="s">
        <v>319</v>
      </c>
      <c r="D470" t="s">
        <v>552</v>
      </c>
      <c r="E470" s="10">
        <v>234099.14</v>
      </c>
      <c r="F470" s="10">
        <v>279387.92218641838</v>
      </c>
      <c r="G470" s="10">
        <v>228009.1285602774</v>
      </c>
      <c r="H470">
        <v>0.97398533185673986</v>
      </c>
      <c r="I470">
        <v>0.81610230956276242</v>
      </c>
      <c r="J470">
        <v>4.37</v>
      </c>
      <c r="K470">
        <v>0.16209999999999999</v>
      </c>
    </row>
    <row r="471" spans="1:11" x14ac:dyDescent="0.3">
      <c r="A471" s="31">
        <v>45961</v>
      </c>
      <c r="B471" t="s">
        <v>191</v>
      </c>
      <c r="C471" t="s">
        <v>268</v>
      </c>
      <c r="D471" t="s">
        <v>552</v>
      </c>
      <c r="E471" s="10">
        <v>75287.039999999994</v>
      </c>
      <c r="F471" s="10">
        <v>89852.058718224114</v>
      </c>
      <c r="G471" s="10">
        <v>75580.378223208041</v>
      </c>
      <c r="H471">
        <v>1.0038962645258469</v>
      </c>
      <c r="I471">
        <v>0.84116468004620748</v>
      </c>
      <c r="J471">
        <v>4.37</v>
      </c>
      <c r="K471">
        <v>0.16209999999999999</v>
      </c>
    </row>
    <row r="472" spans="1:11" x14ac:dyDescent="0.3">
      <c r="A472" s="31">
        <v>45961</v>
      </c>
      <c r="B472" t="s">
        <v>191</v>
      </c>
      <c r="C472" t="s">
        <v>318</v>
      </c>
      <c r="D472" t="s">
        <v>552</v>
      </c>
      <c r="E472" s="10">
        <v>239440.03</v>
      </c>
      <c r="F472" s="10">
        <v>285762.05991168402</v>
      </c>
      <c r="G472" s="10">
        <v>240365.3690075349</v>
      </c>
      <c r="H472">
        <v>1.003864596105901</v>
      </c>
      <c r="I472">
        <v>0.84113814507713491</v>
      </c>
      <c r="J472">
        <v>4.37</v>
      </c>
      <c r="K472">
        <v>0.16209999999999999</v>
      </c>
    </row>
    <row r="473" spans="1:11" x14ac:dyDescent="0.3">
      <c r="A473" s="31">
        <v>45961</v>
      </c>
      <c r="B473" t="s">
        <v>191</v>
      </c>
      <c r="C473" t="s">
        <v>317</v>
      </c>
      <c r="D473" t="s">
        <v>552</v>
      </c>
      <c r="E473" s="10">
        <v>261171.59</v>
      </c>
      <c r="F473" s="10">
        <v>311697.80403389432</v>
      </c>
      <c r="G473" s="10">
        <v>256861.18199172121</v>
      </c>
      <c r="H473">
        <v>0.98349587714238462</v>
      </c>
      <c r="I473">
        <v>0.82407119545760399</v>
      </c>
      <c r="J473">
        <v>4.37</v>
      </c>
      <c r="K473">
        <v>0.16209999999999999</v>
      </c>
    </row>
    <row r="474" spans="1:11" x14ac:dyDescent="0.3">
      <c r="A474" s="31">
        <v>45961</v>
      </c>
      <c r="B474" t="s">
        <v>191</v>
      </c>
      <c r="C474" t="s">
        <v>316</v>
      </c>
      <c r="D474" t="s">
        <v>552</v>
      </c>
      <c r="E474" s="10">
        <v>258278.9</v>
      </c>
      <c r="F474" s="10">
        <v>308245.49468910368</v>
      </c>
      <c r="G474" s="10">
        <v>257859.0930576864</v>
      </c>
      <c r="H474">
        <v>0.99837459838061271</v>
      </c>
      <c r="I474">
        <v>0.83653807598311547</v>
      </c>
      <c r="J474">
        <v>4.37</v>
      </c>
      <c r="K474">
        <v>0.16209999999999999</v>
      </c>
    </row>
    <row r="475" spans="1:11" x14ac:dyDescent="0.3">
      <c r="A475" s="31">
        <v>45961</v>
      </c>
      <c r="B475" t="s">
        <v>193</v>
      </c>
      <c r="C475" t="s">
        <v>553</v>
      </c>
      <c r="D475" t="s">
        <v>24</v>
      </c>
      <c r="E475" s="10">
        <v>1339292.3999999999</v>
      </c>
      <c r="F475" s="10">
        <v>1989442.0677361861</v>
      </c>
      <c r="G475" s="10">
        <v>579259.62589026359</v>
      </c>
      <c r="H475">
        <v>0.43251169489968261</v>
      </c>
      <c r="I475">
        <v>0.29116687300646632</v>
      </c>
    </row>
    <row r="476" spans="1:11" x14ac:dyDescent="0.3">
      <c r="A476" s="31">
        <v>45961</v>
      </c>
      <c r="B476" t="s">
        <v>193</v>
      </c>
      <c r="C476" t="s">
        <v>324</v>
      </c>
      <c r="D476" t="s">
        <v>552</v>
      </c>
      <c r="E476" s="10">
        <v>636508.35</v>
      </c>
      <c r="F476" s="10">
        <v>945496.65775401064</v>
      </c>
      <c r="G476" s="10">
        <v>770237.79013070487</v>
      </c>
      <c r="H476">
        <v>1.2100984851663059</v>
      </c>
      <c r="I476">
        <v>0.81463830021395722</v>
      </c>
      <c r="J476">
        <v>6.7</v>
      </c>
      <c r="K476">
        <v>0.32679999999999998</v>
      </c>
    </row>
    <row r="477" spans="1:11" x14ac:dyDescent="0.3">
      <c r="A477" s="31">
        <v>45961</v>
      </c>
      <c r="B477" t="s">
        <v>193</v>
      </c>
      <c r="C477" t="s">
        <v>323</v>
      </c>
      <c r="D477" t="s">
        <v>552</v>
      </c>
      <c r="E477" s="10">
        <v>783463.52</v>
      </c>
      <c r="F477" s="10">
        <v>1163790.1366607251</v>
      </c>
      <c r="G477" s="10">
        <v>926225.74198847485</v>
      </c>
      <c r="H477">
        <v>1.1822193610092719</v>
      </c>
      <c r="I477">
        <v>0.79587007383144182</v>
      </c>
      <c r="J477">
        <v>6.7</v>
      </c>
      <c r="K477">
        <v>0.32679999999999998</v>
      </c>
    </row>
    <row r="478" spans="1:11" x14ac:dyDescent="0.3">
      <c r="A478" s="31">
        <v>45961</v>
      </c>
      <c r="B478" t="s">
        <v>193</v>
      </c>
      <c r="C478" t="s">
        <v>322</v>
      </c>
      <c r="D478" t="s">
        <v>552</v>
      </c>
      <c r="E478" s="10">
        <v>61361.56</v>
      </c>
      <c r="F478" s="10">
        <v>91149.07902554961</v>
      </c>
      <c r="G478" s="10">
        <v>71948.966141681361</v>
      </c>
      <c r="H478">
        <v>1.172541345781974</v>
      </c>
      <c r="I478">
        <v>0.78935483398042516</v>
      </c>
      <c r="J478">
        <v>6.7</v>
      </c>
      <c r="K478">
        <v>0.32679999999999998</v>
      </c>
    </row>
    <row r="479" spans="1:11" x14ac:dyDescent="0.3">
      <c r="A479" s="31">
        <v>45961</v>
      </c>
      <c r="B479" t="s">
        <v>193</v>
      </c>
      <c r="C479" t="s">
        <v>321</v>
      </c>
      <c r="D479" t="s">
        <v>552</v>
      </c>
      <c r="E479" s="10">
        <v>676946.34</v>
      </c>
      <c r="F479" s="10">
        <v>1005564.973262032</v>
      </c>
      <c r="G479" s="10">
        <v>781733.54998510482</v>
      </c>
      <c r="H479">
        <v>1.1547939678425689</v>
      </c>
      <c r="I479">
        <v>0.77740729915161755</v>
      </c>
      <c r="J479">
        <v>6.7</v>
      </c>
      <c r="K479">
        <v>0.32679999999999998</v>
      </c>
    </row>
    <row r="480" spans="1:11" x14ac:dyDescent="0.3">
      <c r="A480" s="31">
        <v>45961</v>
      </c>
      <c r="B480" t="s">
        <v>193</v>
      </c>
      <c r="C480" t="s">
        <v>320</v>
      </c>
      <c r="D480" t="s">
        <v>552</v>
      </c>
      <c r="E480" s="10">
        <v>823867.82</v>
      </c>
      <c r="F480" s="10">
        <v>1223808.407605466</v>
      </c>
      <c r="G480" s="10">
        <v>1002506.857646775</v>
      </c>
      <c r="H480">
        <v>1.216829730825965</v>
      </c>
      <c r="I480">
        <v>0.81916977479203956</v>
      </c>
      <c r="J480">
        <v>6.7</v>
      </c>
      <c r="K480">
        <v>0.32679999999999998</v>
      </c>
    </row>
    <row r="481" spans="1:11" x14ac:dyDescent="0.3">
      <c r="A481" s="31">
        <v>45961</v>
      </c>
      <c r="B481" t="s">
        <v>193</v>
      </c>
      <c r="C481" t="s">
        <v>319</v>
      </c>
      <c r="D481" t="s">
        <v>552</v>
      </c>
      <c r="E481" s="10">
        <v>143754.42000000001</v>
      </c>
      <c r="F481" s="10">
        <v>213538.94830659541</v>
      </c>
      <c r="G481" s="10">
        <v>177720.62541433211</v>
      </c>
      <c r="H481">
        <v>1.2362793812832471</v>
      </c>
      <c r="I481">
        <v>0.83226327947988188</v>
      </c>
      <c r="J481">
        <v>6.7</v>
      </c>
      <c r="K481">
        <v>0.32679999999999998</v>
      </c>
    </row>
    <row r="482" spans="1:11" x14ac:dyDescent="0.3">
      <c r="A482" s="31">
        <v>45961</v>
      </c>
      <c r="B482" t="s">
        <v>193</v>
      </c>
      <c r="C482" t="s">
        <v>268</v>
      </c>
      <c r="D482" t="s">
        <v>552</v>
      </c>
      <c r="E482" s="10">
        <v>403058.84</v>
      </c>
      <c r="F482" s="10">
        <v>598720.79619726678</v>
      </c>
      <c r="G482" s="10">
        <v>493243.35291299818</v>
      </c>
      <c r="H482">
        <v>1.223750241808363</v>
      </c>
      <c r="I482">
        <v>0.82382866278538991</v>
      </c>
      <c r="J482">
        <v>6.7</v>
      </c>
      <c r="K482">
        <v>0.32679999999999998</v>
      </c>
    </row>
    <row r="483" spans="1:11" x14ac:dyDescent="0.3">
      <c r="A483" s="31">
        <v>45961</v>
      </c>
      <c r="B483" t="s">
        <v>193</v>
      </c>
      <c r="C483" t="s">
        <v>318</v>
      </c>
      <c r="D483" t="s">
        <v>552</v>
      </c>
      <c r="E483" s="10">
        <v>521897.92</v>
      </c>
      <c r="F483" s="10">
        <v>775249.43553178839</v>
      </c>
      <c r="G483" s="10">
        <v>599034.27054590418</v>
      </c>
      <c r="H483">
        <v>1.147799689536805</v>
      </c>
      <c r="I483">
        <v>0.77269875099617702</v>
      </c>
      <c r="J483">
        <v>6.7</v>
      </c>
      <c r="K483">
        <v>0.32679999999999998</v>
      </c>
    </row>
    <row r="484" spans="1:11" x14ac:dyDescent="0.3">
      <c r="A484" s="31">
        <v>45961</v>
      </c>
      <c r="B484" t="s">
        <v>193</v>
      </c>
      <c r="C484" t="s">
        <v>317</v>
      </c>
      <c r="D484" t="s">
        <v>552</v>
      </c>
      <c r="E484" s="10">
        <v>813795.4</v>
      </c>
      <c r="F484" s="10">
        <v>1208846.405228758</v>
      </c>
      <c r="G484" s="10">
        <v>936190.33067417832</v>
      </c>
      <c r="H484">
        <v>1.150400125970457</v>
      </c>
      <c r="I484">
        <v>0.7744493648033115</v>
      </c>
      <c r="J484">
        <v>6.7</v>
      </c>
      <c r="K484">
        <v>0.32679999999999998</v>
      </c>
    </row>
    <row r="485" spans="1:11" x14ac:dyDescent="0.3">
      <c r="A485" s="31">
        <v>45961</v>
      </c>
      <c r="B485" t="s">
        <v>193</v>
      </c>
      <c r="C485" t="s">
        <v>316</v>
      </c>
      <c r="D485" t="s">
        <v>552</v>
      </c>
      <c r="E485" s="10">
        <v>1228308.6000000001</v>
      </c>
      <c r="F485" s="10">
        <v>1824581.9964349379</v>
      </c>
      <c r="G485" s="10">
        <v>1446844.847256466</v>
      </c>
      <c r="H485">
        <v>1.177916402487506</v>
      </c>
      <c r="I485">
        <v>0.79297332215458938</v>
      </c>
      <c r="J485">
        <v>6.7</v>
      </c>
      <c r="K485">
        <v>0.32679999999999998</v>
      </c>
    </row>
    <row r="486" spans="1:11" x14ac:dyDescent="0.3">
      <c r="A486" s="31">
        <v>45991</v>
      </c>
      <c r="B486" t="s">
        <v>186</v>
      </c>
      <c r="C486" t="s">
        <v>553</v>
      </c>
      <c r="D486" t="s">
        <v>24</v>
      </c>
      <c r="E486" s="10">
        <v>2177642.08</v>
      </c>
      <c r="F486" s="10">
        <v>2857319.569148229</v>
      </c>
      <c r="G486" s="10">
        <v>875542.65607603523</v>
      </c>
      <c r="H486">
        <v>0.40205994553339791</v>
      </c>
      <c r="I486">
        <v>0.30642097773370008</v>
      </c>
    </row>
    <row r="487" spans="1:11" x14ac:dyDescent="0.3">
      <c r="A487" s="31">
        <v>45991</v>
      </c>
      <c r="B487" t="s">
        <v>186</v>
      </c>
      <c r="C487" t="s">
        <v>324</v>
      </c>
      <c r="D487" t="s">
        <v>552</v>
      </c>
      <c r="E487" s="10">
        <v>1596516.21</v>
      </c>
      <c r="F487" s="10">
        <v>2100955.6652191081</v>
      </c>
      <c r="G487" s="10">
        <v>1739167.6483319199</v>
      </c>
      <c r="H487">
        <v>1.089351700558004</v>
      </c>
      <c r="I487">
        <v>0.82779835725402739</v>
      </c>
      <c r="J487">
        <v>6.34</v>
      </c>
      <c r="K487">
        <v>0.24010000000000001</v>
      </c>
    </row>
    <row r="488" spans="1:11" x14ac:dyDescent="0.3">
      <c r="A488" s="31">
        <v>45991</v>
      </c>
      <c r="B488" t="s">
        <v>186</v>
      </c>
      <c r="C488" t="s">
        <v>323</v>
      </c>
      <c r="D488" t="s">
        <v>552</v>
      </c>
      <c r="E488" s="10">
        <v>1827988.4</v>
      </c>
      <c r="F488" s="10">
        <v>2343875.3686370039</v>
      </c>
      <c r="G488" s="10">
        <v>1902957.3150849219</v>
      </c>
      <c r="H488">
        <v>1.041011701761851</v>
      </c>
      <c r="I488">
        <v>0.81188502620406733</v>
      </c>
      <c r="J488">
        <v>5.37</v>
      </c>
      <c r="K488">
        <v>0.22009999999999999</v>
      </c>
    </row>
    <row r="489" spans="1:11" x14ac:dyDescent="0.3">
      <c r="A489" s="31">
        <v>45991</v>
      </c>
      <c r="B489" t="s">
        <v>186</v>
      </c>
      <c r="C489" t="s">
        <v>322</v>
      </c>
      <c r="D489" t="s">
        <v>552</v>
      </c>
      <c r="E489" s="10">
        <v>1890120.1</v>
      </c>
      <c r="F489" s="10">
        <v>2431648.1410009009</v>
      </c>
      <c r="G489" s="10">
        <v>2037027.9268177419</v>
      </c>
      <c r="H489">
        <v>1.0777240699243089</v>
      </c>
      <c r="I489">
        <v>0.83771491955216515</v>
      </c>
      <c r="J489">
        <v>5.27</v>
      </c>
      <c r="K489">
        <v>0.22270000000000001</v>
      </c>
    </row>
    <row r="490" spans="1:11" x14ac:dyDescent="0.3">
      <c r="A490" s="31">
        <v>45991</v>
      </c>
      <c r="B490" t="s">
        <v>186</v>
      </c>
      <c r="C490" t="s">
        <v>321</v>
      </c>
      <c r="D490" t="s">
        <v>552</v>
      </c>
      <c r="E490" s="10">
        <v>942989.91</v>
      </c>
      <c r="F490" s="10">
        <v>1284202.5194062369</v>
      </c>
      <c r="G490" s="10">
        <v>1037406.77935201</v>
      </c>
      <c r="H490">
        <v>1.1001250048921629</v>
      </c>
      <c r="I490">
        <v>0.80782179109231544</v>
      </c>
      <c r="J490">
        <v>6.85</v>
      </c>
      <c r="K490">
        <v>0.26569999999999999</v>
      </c>
    </row>
    <row r="491" spans="1:11" x14ac:dyDescent="0.3">
      <c r="A491" s="31">
        <v>45991</v>
      </c>
      <c r="B491" t="s">
        <v>186</v>
      </c>
      <c r="C491" t="s">
        <v>320</v>
      </c>
      <c r="D491" t="s">
        <v>552</v>
      </c>
      <c r="E491" s="10">
        <v>1498937.47</v>
      </c>
      <c r="F491" s="10">
        <v>2010647.1763916831</v>
      </c>
      <c r="G491" s="10">
        <v>1565501.0340747549</v>
      </c>
      <c r="H491">
        <v>1.044407165346767</v>
      </c>
      <c r="I491">
        <v>0.77860554176601526</v>
      </c>
      <c r="J491">
        <v>6.4</v>
      </c>
      <c r="K491">
        <v>0.2545</v>
      </c>
    </row>
    <row r="492" spans="1:11" x14ac:dyDescent="0.3">
      <c r="A492" s="31">
        <v>45991</v>
      </c>
      <c r="B492" t="s">
        <v>186</v>
      </c>
      <c r="C492" t="s">
        <v>319</v>
      </c>
      <c r="D492" t="s">
        <v>552</v>
      </c>
      <c r="E492" s="10">
        <v>731403.84</v>
      </c>
      <c r="F492" s="10">
        <v>960099.55368863209</v>
      </c>
      <c r="G492" s="10">
        <v>773520.00388965395</v>
      </c>
      <c r="H492">
        <v>1.0575826398308961</v>
      </c>
      <c r="I492">
        <v>0.80566645502317624</v>
      </c>
      <c r="J492">
        <v>6.4</v>
      </c>
      <c r="K492">
        <v>0.2382</v>
      </c>
    </row>
    <row r="493" spans="1:11" x14ac:dyDescent="0.3">
      <c r="A493" s="31">
        <v>45991</v>
      </c>
      <c r="B493" t="s">
        <v>186</v>
      </c>
      <c r="C493" t="s">
        <v>268</v>
      </c>
      <c r="D493" t="s">
        <v>552</v>
      </c>
      <c r="E493" s="10">
        <v>588180.66</v>
      </c>
      <c r="F493" s="10">
        <v>756502.4565916399</v>
      </c>
      <c r="G493" s="10">
        <v>616262.82081665867</v>
      </c>
      <c r="H493">
        <v>1.0477441077655609</v>
      </c>
      <c r="I493">
        <v>0.81462104378772349</v>
      </c>
      <c r="J493">
        <v>5.12</v>
      </c>
      <c r="K493">
        <v>0.2225</v>
      </c>
    </row>
    <row r="494" spans="1:11" x14ac:dyDescent="0.3">
      <c r="A494" s="31">
        <v>45991</v>
      </c>
      <c r="B494" t="s">
        <v>186</v>
      </c>
      <c r="C494" t="s">
        <v>318</v>
      </c>
      <c r="D494" t="s">
        <v>552</v>
      </c>
      <c r="E494" s="10">
        <v>1485063.32</v>
      </c>
      <c r="F494" s="10">
        <v>1942274.8103583581</v>
      </c>
      <c r="G494" s="10">
        <v>1615300.1324958529</v>
      </c>
      <c r="H494">
        <v>1.087697817824935</v>
      </c>
      <c r="I494">
        <v>0.83165375150894505</v>
      </c>
      <c r="J494">
        <v>5.83</v>
      </c>
      <c r="K494">
        <v>0.2354</v>
      </c>
    </row>
    <row r="495" spans="1:11" x14ac:dyDescent="0.3">
      <c r="A495" s="31">
        <v>45991</v>
      </c>
      <c r="B495" t="s">
        <v>186</v>
      </c>
      <c r="C495" t="s">
        <v>317</v>
      </c>
      <c r="D495" t="s">
        <v>552</v>
      </c>
      <c r="E495" s="10">
        <v>1007253.12</v>
      </c>
      <c r="F495" s="10">
        <v>1308460.7950116911</v>
      </c>
      <c r="G495" s="10">
        <v>1089003.1122642651</v>
      </c>
      <c r="H495">
        <v>1.081161319474756</v>
      </c>
      <c r="I495">
        <v>0.8322779837316675</v>
      </c>
      <c r="J495">
        <v>5.68</v>
      </c>
      <c r="K495">
        <v>0.23019999999999999</v>
      </c>
    </row>
    <row r="496" spans="1:11" x14ac:dyDescent="0.3">
      <c r="A496" s="31">
        <v>45991</v>
      </c>
      <c r="B496" t="s">
        <v>186</v>
      </c>
      <c r="C496" t="s">
        <v>316</v>
      </c>
      <c r="D496" t="s">
        <v>552</v>
      </c>
      <c r="E496" s="10">
        <v>2118929.2200000002</v>
      </c>
      <c r="F496" s="10">
        <v>2836205.6217373852</v>
      </c>
      <c r="G496" s="10">
        <v>2358040.5215233709</v>
      </c>
      <c r="H496">
        <v>1.1128453462562431</v>
      </c>
      <c r="I496">
        <v>0.83140675818803911</v>
      </c>
      <c r="J496">
        <v>6.59</v>
      </c>
      <c r="K496">
        <v>0.25290000000000001</v>
      </c>
    </row>
    <row r="497" spans="1:11" x14ac:dyDescent="0.3">
      <c r="A497" s="31">
        <v>45991</v>
      </c>
      <c r="B497" t="s">
        <v>192</v>
      </c>
      <c r="C497" t="s">
        <v>553</v>
      </c>
      <c r="D497" t="s">
        <v>24</v>
      </c>
      <c r="E497" s="10">
        <v>729892.92</v>
      </c>
      <c r="F497" s="10">
        <v>935520.27685208921</v>
      </c>
      <c r="G497" s="10">
        <v>314347.35028518288</v>
      </c>
      <c r="H497">
        <v>0.43067598228680293</v>
      </c>
      <c r="I497">
        <v>0.33601340138016372</v>
      </c>
    </row>
    <row r="498" spans="1:11" x14ac:dyDescent="0.3">
      <c r="A498" s="31">
        <v>45991</v>
      </c>
      <c r="B498" t="s">
        <v>192</v>
      </c>
      <c r="C498" t="s">
        <v>324</v>
      </c>
      <c r="D498" t="s">
        <v>552</v>
      </c>
      <c r="E498" s="10">
        <v>157830.15</v>
      </c>
      <c r="F498" s="10">
        <v>202294.4757754422</v>
      </c>
      <c r="G498" s="10">
        <v>165970.01457618861</v>
      </c>
      <c r="H498">
        <v>1.0515735718187471</v>
      </c>
      <c r="I498">
        <v>0.82043770073298616</v>
      </c>
      <c r="J498">
        <v>4.5199999999999996</v>
      </c>
      <c r="K498">
        <v>0.2198</v>
      </c>
    </row>
    <row r="499" spans="1:11" x14ac:dyDescent="0.3">
      <c r="A499" s="31">
        <v>45991</v>
      </c>
      <c r="B499" t="s">
        <v>192</v>
      </c>
      <c r="C499" t="s">
        <v>323</v>
      </c>
      <c r="D499" t="s">
        <v>552</v>
      </c>
      <c r="E499" s="10">
        <v>681060.24</v>
      </c>
      <c r="F499" s="10">
        <v>872930.32555754925</v>
      </c>
      <c r="G499" s="10">
        <v>722679.05167373514</v>
      </c>
      <c r="H499">
        <v>1.061108855324949</v>
      </c>
      <c r="I499">
        <v>0.82787712892452547</v>
      </c>
      <c r="J499">
        <v>4.5199999999999996</v>
      </c>
      <c r="K499">
        <v>0.2198</v>
      </c>
    </row>
    <row r="500" spans="1:11" x14ac:dyDescent="0.3">
      <c r="A500" s="31">
        <v>45991</v>
      </c>
      <c r="B500" t="s">
        <v>192</v>
      </c>
      <c r="C500" t="s">
        <v>322</v>
      </c>
      <c r="D500" t="s">
        <v>552</v>
      </c>
      <c r="E500" s="10">
        <v>892098.59</v>
      </c>
      <c r="F500" s="10">
        <v>1143422.9556523969</v>
      </c>
      <c r="G500" s="10">
        <v>953025.603514074</v>
      </c>
      <c r="H500">
        <v>1.0682962782331871</v>
      </c>
      <c r="I500">
        <v>0.83348475627753282</v>
      </c>
      <c r="J500">
        <v>4.5199999999999996</v>
      </c>
      <c r="K500">
        <v>0.2198</v>
      </c>
    </row>
    <row r="501" spans="1:11" x14ac:dyDescent="0.3">
      <c r="A501" s="31">
        <v>45991</v>
      </c>
      <c r="B501" t="s">
        <v>192</v>
      </c>
      <c r="C501" t="s">
        <v>321</v>
      </c>
      <c r="D501" t="s">
        <v>552</v>
      </c>
      <c r="E501" s="10">
        <v>133932.99</v>
      </c>
      <c r="F501" s="10">
        <v>171664.9448859267</v>
      </c>
      <c r="G501" s="10">
        <v>143543.61600662561</v>
      </c>
      <c r="H501">
        <v>1.071756973443404</v>
      </c>
      <c r="I501">
        <v>0.83618479068054352</v>
      </c>
      <c r="J501">
        <v>4.5199999999999996</v>
      </c>
      <c r="K501">
        <v>0.2198</v>
      </c>
    </row>
    <row r="502" spans="1:11" x14ac:dyDescent="0.3">
      <c r="A502" s="31">
        <v>45991</v>
      </c>
      <c r="B502" t="s">
        <v>192</v>
      </c>
      <c r="C502" t="s">
        <v>320</v>
      </c>
      <c r="D502" t="s">
        <v>552</v>
      </c>
      <c r="E502" s="10">
        <v>340138.57</v>
      </c>
      <c r="F502" s="10">
        <v>435963.3042809536</v>
      </c>
      <c r="G502" s="10">
        <v>365786.7944460726</v>
      </c>
      <c r="H502">
        <v>1.075405222189511</v>
      </c>
      <c r="I502">
        <v>0.83903115435225661</v>
      </c>
      <c r="J502">
        <v>4.5199999999999996</v>
      </c>
      <c r="K502">
        <v>0.2198</v>
      </c>
    </row>
    <row r="503" spans="1:11" x14ac:dyDescent="0.3">
      <c r="A503" s="31">
        <v>45991</v>
      </c>
      <c r="B503" t="s">
        <v>192</v>
      </c>
      <c r="C503" t="s">
        <v>319</v>
      </c>
      <c r="D503" t="s">
        <v>552</v>
      </c>
      <c r="E503" s="10">
        <v>39469.57</v>
      </c>
      <c r="F503" s="10">
        <v>50589.04127146885</v>
      </c>
      <c r="G503" s="10">
        <v>41118.028210340912</v>
      </c>
      <c r="H503">
        <v>1.0417652943860529</v>
      </c>
      <c r="I503">
        <v>0.81278528267999828</v>
      </c>
      <c r="J503">
        <v>4.5199999999999996</v>
      </c>
      <c r="K503">
        <v>0.2198</v>
      </c>
    </row>
    <row r="504" spans="1:11" x14ac:dyDescent="0.3">
      <c r="A504" s="31">
        <v>45991</v>
      </c>
      <c r="B504" t="s">
        <v>192</v>
      </c>
      <c r="C504" t="s">
        <v>268</v>
      </c>
      <c r="D504" t="s">
        <v>552</v>
      </c>
      <c r="E504" s="10">
        <v>335390.2</v>
      </c>
      <c r="F504" s="10">
        <v>429877.21097154572</v>
      </c>
      <c r="G504" s="10">
        <v>351319.73111965938</v>
      </c>
      <c r="H504">
        <v>1.0474955175185781</v>
      </c>
      <c r="I504">
        <v>0.8172560027679947</v>
      </c>
      <c r="J504">
        <v>4.5199999999999996</v>
      </c>
      <c r="K504">
        <v>0.2198</v>
      </c>
    </row>
    <row r="505" spans="1:11" x14ac:dyDescent="0.3">
      <c r="A505" s="31">
        <v>45991</v>
      </c>
      <c r="B505" t="s">
        <v>192</v>
      </c>
      <c r="C505" t="s">
        <v>318</v>
      </c>
      <c r="D505" t="s">
        <v>552</v>
      </c>
      <c r="E505" s="10">
        <v>450502.38</v>
      </c>
      <c r="F505" s="10">
        <v>577419.09766726475</v>
      </c>
      <c r="G505" s="10">
        <v>468391.27613320568</v>
      </c>
      <c r="H505">
        <v>1.03970877164557</v>
      </c>
      <c r="I505">
        <v>0.81118078363787371</v>
      </c>
      <c r="J505">
        <v>4.5199999999999996</v>
      </c>
      <c r="K505">
        <v>0.2198</v>
      </c>
    </row>
    <row r="506" spans="1:11" x14ac:dyDescent="0.3">
      <c r="A506" s="31">
        <v>45991</v>
      </c>
      <c r="B506" t="s">
        <v>192</v>
      </c>
      <c r="C506" t="s">
        <v>317</v>
      </c>
      <c r="D506" t="s">
        <v>552</v>
      </c>
      <c r="E506" s="10">
        <v>325226.05</v>
      </c>
      <c r="F506" s="10">
        <v>416849.58984875667</v>
      </c>
      <c r="G506" s="10">
        <v>353981.07065507327</v>
      </c>
      <c r="H506">
        <v>1.088415490256925</v>
      </c>
      <c r="I506">
        <v>0.84918176549845337</v>
      </c>
      <c r="J506">
        <v>4.5199999999999996</v>
      </c>
      <c r="K506">
        <v>0.2198</v>
      </c>
    </row>
    <row r="507" spans="1:11" x14ac:dyDescent="0.3">
      <c r="A507" s="31">
        <v>45991</v>
      </c>
      <c r="B507" t="s">
        <v>192</v>
      </c>
      <c r="C507" t="s">
        <v>316</v>
      </c>
      <c r="D507" t="s">
        <v>552</v>
      </c>
      <c r="E507" s="10">
        <v>266831.09999999998</v>
      </c>
      <c r="F507" s="10">
        <v>342003.46065111499</v>
      </c>
      <c r="G507" s="10">
        <v>281046.40206254931</v>
      </c>
      <c r="H507">
        <v>1.0532745323260639</v>
      </c>
      <c r="I507">
        <v>0.82176479012079529</v>
      </c>
      <c r="J507">
        <v>4.5199999999999996</v>
      </c>
      <c r="K507">
        <v>0.2198</v>
      </c>
    </row>
    <row r="508" spans="1:11" x14ac:dyDescent="0.3">
      <c r="A508" s="31">
        <v>45991</v>
      </c>
      <c r="B508" t="s">
        <v>191</v>
      </c>
      <c r="C508" t="s">
        <v>553</v>
      </c>
      <c r="D508" t="s">
        <v>24</v>
      </c>
      <c r="E508" s="10">
        <v>406523.8</v>
      </c>
      <c r="F508" s="10">
        <v>475744.64599180798</v>
      </c>
      <c r="G508" s="10">
        <v>158239.88378562359</v>
      </c>
      <c r="H508">
        <v>0.38925121674456359</v>
      </c>
      <c r="I508">
        <v>0.3326151647082296</v>
      </c>
    </row>
    <row r="509" spans="1:11" x14ac:dyDescent="0.3">
      <c r="A509" s="31">
        <v>45991</v>
      </c>
      <c r="B509" t="s">
        <v>191</v>
      </c>
      <c r="C509" t="s">
        <v>324</v>
      </c>
      <c r="D509" t="s">
        <v>552</v>
      </c>
      <c r="E509" s="10">
        <v>396921.79</v>
      </c>
      <c r="F509" s="10">
        <v>464507.65359859559</v>
      </c>
      <c r="G509" s="10">
        <v>393938.14377222653</v>
      </c>
      <c r="H509">
        <v>0.99248303745739574</v>
      </c>
      <c r="I509">
        <v>0.84807675550734474</v>
      </c>
      <c r="J509">
        <v>4.24</v>
      </c>
      <c r="K509">
        <v>0.14549999999999999</v>
      </c>
    </row>
    <row r="510" spans="1:11" x14ac:dyDescent="0.3">
      <c r="A510" s="31">
        <v>45991</v>
      </c>
      <c r="B510" t="s">
        <v>191</v>
      </c>
      <c r="C510" t="s">
        <v>323</v>
      </c>
      <c r="D510" t="s">
        <v>552</v>
      </c>
      <c r="E510" s="10">
        <v>452277.37</v>
      </c>
      <c r="F510" s="10">
        <v>529288.90579286125</v>
      </c>
      <c r="G510" s="10">
        <v>443764.58603126957</v>
      </c>
      <c r="H510">
        <v>0.98117795730365553</v>
      </c>
      <c r="I510">
        <v>0.83841656451597379</v>
      </c>
      <c r="J510">
        <v>4.24</v>
      </c>
      <c r="K510">
        <v>0.14549999999999999</v>
      </c>
    </row>
    <row r="511" spans="1:11" x14ac:dyDescent="0.3">
      <c r="A511" s="31">
        <v>45991</v>
      </c>
      <c r="B511" t="s">
        <v>191</v>
      </c>
      <c r="C511" t="s">
        <v>322</v>
      </c>
      <c r="D511" t="s">
        <v>552</v>
      </c>
      <c r="E511" s="10">
        <v>360771.15</v>
      </c>
      <c r="F511" s="10">
        <v>422201.46284376818</v>
      </c>
      <c r="G511" s="10">
        <v>359558.44483643421</v>
      </c>
      <c r="H511">
        <v>0.99663857499812325</v>
      </c>
      <c r="I511">
        <v>0.85162766233589648</v>
      </c>
      <c r="J511">
        <v>4.24</v>
      </c>
      <c r="K511">
        <v>0.14549999999999999</v>
      </c>
    </row>
    <row r="512" spans="1:11" x14ac:dyDescent="0.3">
      <c r="A512" s="31">
        <v>45991</v>
      </c>
      <c r="B512" t="s">
        <v>191</v>
      </c>
      <c r="C512" t="s">
        <v>321</v>
      </c>
      <c r="D512" t="s">
        <v>552</v>
      </c>
      <c r="E512" s="10">
        <v>104924.87</v>
      </c>
      <c r="F512" s="10">
        <v>122790.9537741369</v>
      </c>
      <c r="G512" s="10">
        <v>104387.1919613065</v>
      </c>
      <c r="H512">
        <v>0.99487559013708138</v>
      </c>
      <c r="I512">
        <v>0.85012119177213619</v>
      </c>
      <c r="J512">
        <v>4.24</v>
      </c>
      <c r="K512">
        <v>0.14549999999999999</v>
      </c>
    </row>
    <row r="513" spans="1:11" x14ac:dyDescent="0.3">
      <c r="A513" s="31">
        <v>45991</v>
      </c>
      <c r="B513" t="s">
        <v>191</v>
      </c>
      <c r="C513" t="s">
        <v>320</v>
      </c>
      <c r="D513" t="s">
        <v>552</v>
      </c>
      <c r="E513" s="10">
        <v>181284.57</v>
      </c>
      <c r="F513" s="10">
        <v>212152.80280866</v>
      </c>
      <c r="G513" s="10">
        <v>177459.28660850041</v>
      </c>
      <c r="H513">
        <v>0.97889901279794744</v>
      </c>
      <c r="I513">
        <v>0.8364692064358461</v>
      </c>
      <c r="J513">
        <v>4.24</v>
      </c>
      <c r="K513">
        <v>0.14549999999999999</v>
      </c>
    </row>
    <row r="514" spans="1:11" x14ac:dyDescent="0.3">
      <c r="A514" s="31">
        <v>45991</v>
      </c>
      <c r="B514" t="s">
        <v>191</v>
      </c>
      <c r="C514" t="s">
        <v>319</v>
      </c>
      <c r="D514" t="s">
        <v>552</v>
      </c>
      <c r="E514" s="10">
        <v>203304.93</v>
      </c>
      <c r="F514" s="10">
        <v>237922.67992978351</v>
      </c>
      <c r="G514" s="10">
        <v>199816.40320477719</v>
      </c>
      <c r="H514">
        <v>0.98284091391574846</v>
      </c>
      <c r="I514">
        <v>0.83983756094100714</v>
      </c>
      <c r="J514">
        <v>4.24</v>
      </c>
      <c r="K514">
        <v>0.14549999999999999</v>
      </c>
    </row>
    <row r="515" spans="1:11" x14ac:dyDescent="0.3">
      <c r="A515" s="31">
        <v>45991</v>
      </c>
      <c r="B515" t="s">
        <v>191</v>
      </c>
      <c r="C515" t="s">
        <v>268</v>
      </c>
      <c r="D515" t="s">
        <v>552</v>
      </c>
      <c r="E515" s="10">
        <v>89423.29</v>
      </c>
      <c r="F515" s="10">
        <v>104649.84201287301</v>
      </c>
      <c r="G515" s="10">
        <v>85688.393000092881</v>
      </c>
      <c r="H515">
        <v>0.95823350941452601</v>
      </c>
      <c r="I515">
        <v>0.81881053379471258</v>
      </c>
      <c r="J515">
        <v>4.24</v>
      </c>
      <c r="K515">
        <v>0.14549999999999999</v>
      </c>
    </row>
    <row r="516" spans="1:11" x14ac:dyDescent="0.3">
      <c r="A516" s="31">
        <v>45991</v>
      </c>
      <c r="B516" t="s">
        <v>191</v>
      </c>
      <c r="C516" t="s">
        <v>318</v>
      </c>
      <c r="D516" t="s">
        <v>552</v>
      </c>
      <c r="E516" s="10">
        <v>273287.58</v>
      </c>
      <c r="F516" s="10">
        <v>319821.62668227032</v>
      </c>
      <c r="G516" s="10">
        <v>269364.80741494999</v>
      </c>
      <c r="H516">
        <v>0.98564599026033317</v>
      </c>
      <c r="I516">
        <v>0.84223449867745481</v>
      </c>
      <c r="J516">
        <v>4.24</v>
      </c>
      <c r="K516">
        <v>0.14549999999999999</v>
      </c>
    </row>
    <row r="517" spans="1:11" x14ac:dyDescent="0.3">
      <c r="A517" s="31">
        <v>45991</v>
      </c>
      <c r="B517" t="s">
        <v>191</v>
      </c>
      <c r="C517" t="s">
        <v>317</v>
      </c>
      <c r="D517" t="s">
        <v>552</v>
      </c>
      <c r="E517" s="10">
        <v>206971.1</v>
      </c>
      <c r="F517" s="10">
        <v>242213.10708016381</v>
      </c>
      <c r="G517" s="10">
        <v>201759.41364191991</v>
      </c>
      <c r="H517">
        <v>0.97481925564448313</v>
      </c>
      <c r="I517">
        <v>0.83298305394821093</v>
      </c>
      <c r="J517">
        <v>4.24</v>
      </c>
      <c r="K517">
        <v>0.14549999999999999</v>
      </c>
    </row>
    <row r="518" spans="1:11" x14ac:dyDescent="0.3">
      <c r="A518" s="31">
        <v>45991</v>
      </c>
      <c r="B518" t="s">
        <v>191</v>
      </c>
      <c r="C518" t="s">
        <v>316</v>
      </c>
      <c r="D518" t="s">
        <v>552</v>
      </c>
      <c r="E518" s="10">
        <v>371714.33</v>
      </c>
      <c r="F518" s="10">
        <v>435007.99297834991</v>
      </c>
      <c r="G518" s="10">
        <v>361401.15797603503</v>
      </c>
      <c r="H518">
        <v>0.97225511315647961</v>
      </c>
      <c r="I518">
        <v>0.83079199419221195</v>
      </c>
      <c r="J518">
        <v>4.24</v>
      </c>
      <c r="K518">
        <v>0.14549999999999999</v>
      </c>
    </row>
    <row r="519" spans="1:11" x14ac:dyDescent="0.3">
      <c r="A519" s="31">
        <v>45991</v>
      </c>
      <c r="B519" t="s">
        <v>193</v>
      </c>
      <c r="C519" t="s">
        <v>553</v>
      </c>
      <c r="D519" t="s">
        <v>24</v>
      </c>
      <c r="E519" s="10">
        <v>1041225.36</v>
      </c>
      <c r="F519" s="10">
        <v>1530313.5802469139</v>
      </c>
      <c r="G519" s="10">
        <v>411065.56865352998</v>
      </c>
      <c r="H519">
        <v>0.39479020051291303</v>
      </c>
      <c r="I519">
        <v>0.26861525242898587</v>
      </c>
    </row>
    <row r="520" spans="1:11" x14ac:dyDescent="0.3">
      <c r="A520" s="31">
        <v>45991</v>
      </c>
      <c r="B520" t="s">
        <v>193</v>
      </c>
      <c r="C520" t="s">
        <v>324</v>
      </c>
      <c r="D520" t="s">
        <v>552</v>
      </c>
      <c r="E520" s="10">
        <v>1041764.27</v>
      </c>
      <c r="F520" s="10">
        <v>1531105.62904174</v>
      </c>
      <c r="G520" s="10">
        <v>1168962.2662024249</v>
      </c>
      <c r="H520">
        <v>1.1220986358098319</v>
      </c>
      <c r="I520">
        <v>0.7634759118050094</v>
      </c>
      <c r="J520">
        <v>8.5299999999999994</v>
      </c>
      <c r="K520">
        <v>0.3196</v>
      </c>
    </row>
    <row r="521" spans="1:11" x14ac:dyDescent="0.3">
      <c r="A521" s="31">
        <v>45991</v>
      </c>
      <c r="B521" t="s">
        <v>193</v>
      </c>
      <c r="C521" t="s">
        <v>323</v>
      </c>
      <c r="D521" t="s">
        <v>552</v>
      </c>
      <c r="E521" s="10">
        <v>694650.79</v>
      </c>
      <c r="F521" s="10">
        <v>1020944.723691946</v>
      </c>
      <c r="G521" s="10">
        <v>773847.89355177735</v>
      </c>
      <c r="H521">
        <v>1.114009952470906</v>
      </c>
      <c r="I521">
        <v>0.75797237166120446</v>
      </c>
      <c r="J521">
        <v>8.5299999999999994</v>
      </c>
      <c r="K521">
        <v>0.3196</v>
      </c>
    </row>
    <row r="522" spans="1:11" x14ac:dyDescent="0.3">
      <c r="A522" s="31">
        <v>45991</v>
      </c>
      <c r="B522" t="s">
        <v>193</v>
      </c>
      <c r="C522" t="s">
        <v>322</v>
      </c>
      <c r="D522" t="s">
        <v>552</v>
      </c>
      <c r="E522" s="10">
        <v>637250.36</v>
      </c>
      <c r="F522" s="10">
        <v>936581.95179306297</v>
      </c>
      <c r="G522" s="10">
        <v>749022.82742764638</v>
      </c>
      <c r="H522">
        <v>1.1753980451696351</v>
      </c>
      <c r="I522">
        <v>0.79974082993341977</v>
      </c>
      <c r="J522">
        <v>8.5299999999999994</v>
      </c>
      <c r="K522">
        <v>0.3196</v>
      </c>
    </row>
    <row r="523" spans="1:11" x14ac:dyDescent="0.3">
      <c r="A523" s="31">
        <v>45991</v>
      </c>
      <c r="B523" t="s">
        <v>193</v>
      </c>
      <c r="C523" t="s">
        <v>321</v>
      </c>
      <c r="D523" t="s">
        <v>552</v>
      </c>
      <c r="E523" s="10">
        <v>704132.05</v>
      </c>
      <c r="F523" s="10">
        <v>1034879.556143445</v>
      </c>
      <c r="G523" s="10">
        <v>762396.45307930326</v>
      </c>
      <c r="H523">
        <v>1.082746415362436</v>
      </c>
      <c r="I523">
        <v>0.73670066101260101</v>
      </c>
      <c r="J523">
        <v>8.5299999999999994</v>
      </c>
      <c r="K523">
        <v>0.3196</v>
      </c>
    </row>
    <row r="524" spans="1:11" x14ac:dyDescent="0.3">
      <c r="A524" s="31">
        <v>45991</v>
      </c>
      <c r="B524" t="s">
        <v>193</v>
      </c>
      <c r="C524" t="s">
        <v>320</v>
      </c>
      <c r="D524" t="s">
        <v>552</v>
      </c>
      <c r="E524" s="10">
        <v>977514.33</v>
      </c>
      <c r="F524" s="10">
        <v>1436675.9700176369</v>
      </c>
      <c r="G524" s="10">
        <v>1119140.2297529001</v>
      </c>
      <c r="H524">
        <v>1.144883706976346</v>
      </c>
      <c r="I524">
        <v>0.7789788742267062</v>
      </c>
      <c r="J524">
        <v>8.5299999999999994</v>
      </c>
      <c r="K524">
        <v>0.3196</v>
      </c>
    </row>
    <row r="525" spans="1:11" x14ac:dyDescent="0.3">
      <c r="A525" s="31">
        <v>45991</v>
      </c>
      <c r="B525" t="s">
        <v>193</v>
      </c>
      <c r="C525" t="s">
        <v>319</v>
      </c>
      <c r="D525" t="s">
        <v>552</v>
      </c>
      <c r="E525" s="10">
        <v>488629.34</v>
      </c>
      <c r="F525" s="10">
        <v>718150.11757789541</v>
      </c>
      <c r="G525" s="10">
        <v>561606.52227254328</v>
      </c>
      <c r="H525">
        <v>1.149350798854083</v>
      </c>
      <c r="I525">
        <v>0.78201828354031788</v>
      </c>
      <c r="J525">
        <v>8.5299999999999994</v>
      </c>
      <c r="K525">
        <v>0.3196</v>
      </c>
    </row>
    <row r="526" spans="1:11" x14ac:dyDescent="0.3">
      <c r="A526" s="31">
        <v>45991</v>
      </c>
      <c r="B526" t="s">
        <v>193</v>
      </c>
      <c r="C526" t="s">
        <v>268</v>
      </c>
      <c r="D526" t="s">
        <v>552</v>
      </c>
      <c r="E526" s="10">
        <v>163367.17000000001</v>
      </c>
      <c r="F526" s="10">
        <v>240104.60023515581</v>
      </c>
      <c r="G526" s="10">
        <v>184985.30455766711</v>
      </c>
      <c r="H526">
        <v>1.132328512256576</v>
      </c>
      <c r="I526">
        <v>0.77043631973937399</v>
      </c>
      <c r="J526">
        <v>8.5299999999999994</v>
      </c>
      <c r="K526">
        <v>0.3196</v>
      </c>
    </row>
    <row r="527" spans="1:11" x14ac:dyDescent="0.3">
      <c r="A527" s="31">
        <v>45991</v>
      </c>
      <c r="B527" t="s">
        <v>193</v>
      </c>
      <c r="C527" t="s">
        <v>318</v>
      </c>
      <c r="D527" t="s">
        <v>552</v>
      </c>
      <c r="E527" s="10">
        <v>761273.36</v>
      </c>
      <c r="F527" s="10">
        <v>1118861.493239271</v>
      </c>
      <c r="G527" s="10">
        <v>907054.07902254292</v>
      </c>
      <c r="H527">
        <v>1.191495889232933</v>
      </c>
      <c r="I527">
        <v>0.81069380303408778</v>
      </c>
      <c r="J527">
        <v>8.5299999999999994</v>
      </c>
      <c r="K527">
        <v>0.3196</v>
      </c>
    </row>
    <row r="528" spans="1:11" x14ac:dyDescent="0.3">
      <c r="A528" s="31">
        <v>45991</v>
      </c>
      <c r="B528" t="s">
        <v>193</v>
      </c>
      <c r="C528" t="s">
        <v>317</v>
      </c>
      <c r="D528" t="s">
        <v>552</v>
      </c>
      <c r="E528" s="10">
        <v>475055.97</v>
      </c>
      <c r="F528" s="10">
        <v>698201.01410934748</v>
      </c>
      <c r="G528" s="10">
        <v>558921.10301080078</v>
      </c>
      <c r="H528">
        <v>1.1765373730821671</v>
      </c>
      <c r="I528">
        <v>0.80051602864510651</v>
      </c>
      <c r="J528">
        <v>8.5299999999999994</v>
      </c>
      <c r="K528">
        <v>0.3196</v>
      </c>
    </row>
    <row r="529" spans="1:11" x14ac:dyDescent="0.3">
      <c r="A529" s="31">
        <v>45991</v>
      </c>
      <c r="B529" t="s">
        <v>193</v>
      </c>
      <c r="C529" t="s">
        <v>316</v>
      </c>
      <c r="D529" t="s">
        <v>552</v>
      </c>
      <c r="E529" s="10">
        <v>1480383.79</v>
      </c>
      <c r="F529" s="10">
        <v>2175755.1293356852</v>
      </c>
      <c r="G529" s="10">
        <v>1635614.6334840581</v>
      </c>
      <c r="H529">
        <v>1.104858513402162</v>
      </c>
      <c r="I529">
        <v>0.75174573251883059</v>
      </c>
      <c r="J529">
        <v>8.5299999999999994</v>
      </c>
      <c r="K529">
        <v>0.3196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D63A-4D3D-41A5-9016-3AF89B553EC0}">
  <sheetPr>
    <tabColor theme="4" tint="0.79998168889431442"/>
  </sheetPr>
  <dimension ref="A1:O481"/>
  <sheetViews>
    <sheetView topLeftCell="A445" workbookViewId="0">
      <selection activeCell="N5" sqref="N5"/>
    </sheetView>
  </sheetViews>
  <sheetFormatPr defaultRowHeight="14.4" x14ac:dyDescent="0.3"/>
  <cols>
    <col min="1" max="7" width="21" customWidth="1"/>
    <col min="8" max="8" width="21" style="6" customWidth="1"/>
    <col min="9" max="10" width="21" customWidth="1"/>
    <col min="14" max="14" width="13.33203125" bestFit="1" customWidth="1"/>
    <col min="15" max="15" width="11.5546875" bestFit="1" customWidth="1"/>
  </cols>
  <sheetData>
    <row r="1" spans="1:10" x14ac:dyDescent="0.3">
      <c r="A1" s="13" t="s">
        <v>267</v>
      </c>
      <c r="B1" s="13" t="s">
        <v>290</v>
      </c>
      <c r="C1" s="13" t="s">
        <v>22</v>
      </c>
      <c r="D1" s="13" t="s">
        <v>333</v>
      </c>
      <c r="E1" s="13" t="s">
        <v>289</v>
      </c>
      <c r="F1" s="13" t="s">
        <v>288</v>
      </c>
      <c r="G1" s="13" t="s">
        <v>287</v>
      </c>
      <c r="H1" s="22" t="s">
        <v>379</v>
      </c>
      <c r="I1" s="13" t="s">
        <v>559</v>
      </c>
      <c r="J1" s="13" t="s">
        <v>556</v>
      </c>
    </row>
    <row r="2" spans="1:10" x14ac:dyDescent="0.3">
      <c r="A2" s="31">
        <v>45657</v>
      </c>
      <c r="B2" t="s">
        <v>462</v>
      </c>
      <c r="C2" t="s">
        <v>192</v>
      </c>
      <c r="D2" t="s">
        <v>472</v>
      </c>
      <c r="E2">
        <v>156682.19</v>
      </c>
      <c r="F2">
        <v>32164.66</v>
      </c>
      <c r="G2">
        <v>124517.52</v>
      </c>
      <c r="H2" s="6">
        <v>0.79469999999999996</v>
      </c>
      <c r="I2" s="6">
        <v>0.2</v>
      </c>
      <c r="J2">
        <v>24903.504000000001</v>
      </c>
    </row>
    <row r="3" spans="1:10" x14ac:dyDescent="0.3">
      <c r="A3" s="31">
        <v>45657</v>
      </c>
      <c r="B3" t="s">
        <v>462</v>
      </c>
      <c r="C3" t="s">
        <v>192</v>
      </c>
      <c r="D3" t="s">
        <v>471</v>
      </c>
      <c r="E3">
        <v>144212.93</v>
      </c>
      <c r="F3">
        <v>29604.9</v>
      </c>
      <c r="G3">
        <v>114608.03</v>
      </c>
      <c r="H3" s="6">
        <v>0.79469999999999996</v>
      </c>
      <c r="I3" s="6">
        <v>0.2</v>
      </c>
      <c r="J3">
        <v>22921.606</v>
      </c>
    </row>
    <row r="4" spans="1:10" x14ac:dyDescent="0.3">
      <c r="A4" s="31">
        <v>45657</v>
      </c>
      <c r="B4" t="s">
        <v>462</v>
      </c>
      <c r="C4" t="s">
        <v>192</v>
      </c>
      <c r="D4" t="s">
        <v>470</v>
      </c>
      <c r="E4">
        <v>103963.52</v>
      </c>
      <c r="F4">
        <v>21342.26</v>
      </c>
      <c r="G4">
        <v>82621.259999999995</v>
      </c>
      <c r="H4" s="6">
        <v>0.79469999999999996</v>
      </c>
      <c r="I4" s="6">
        <v>0.2</v>
      </c>
      <c r="J4">
        <v>16524.252</v>
      </c>
    </row>
    <row r="5" spans="1:10" x14ac:dyDescent="0.3">
      <c r="A5" s="31">
        <v>45657</v>
      </c>
      <c r="B5" t="s">
        <v>462</v>
      </c>
      <c r="C5" t="s">
        <v>192</v>
      </c>
      <c r="D5" t="s">
        <v>469</v>
      </c>
      <c r="E5">
        <v>109888.74</v>
      </c>
      <c r="F5">
        <v>22558.62</v>
      </c>
      <c r="G5">
        <v>87330.12</v>
      </c>
      <c r="H5" s="6">
        <v>0.79469999999999996</v>
      </c>
      <c r="I5" s="6">
        <v>0.15</v>
      </c>
      <c r="J5">
        <v>13099.518</v>
      </c>
    </row>
    <row r="6" spans="1:10" x14ac:dyDescent="0.3">
      <c r="A6" s="31">
        <v>45657</v>
      </c>
      <c r="B6" t="s">
        <v>462</v>
      </c>
      <c r="C6" t="s">
        <v>192</v>
      </c>
      <c r="D6" t="s">
        <v>468</v>
      </c>
      <c r="E6">
        <v>56804.44</v>
      </c>
      <c r="F6">
        <v>11661.16</v>
      </c>
      <c r="G6">
        <v>45143.28</v>
      </c>
      <c r="H6" s="6">
        <v>0.79469999999999996</v>
      </c>
      <c r="I6" s="6">
        <v>0.1</v>
      </c>
      <c r="J6">
        <v>4514.3280000000004</v>
      </c>
    </row>
    <row r="7" spans="1:10" x14ac:dyDescent="0.3">
      <c r="A7" s="31">
        <v>45657</v>
      </c>
      <c r="B7" t="s">
        <v>462</v>
      </c>
      <c r="C7" t="s">
        <v>192</v>
      </c>
      <c r="D7" t="s">
        <v>467</v>
      </c>
      <c r="E7">
        <v>118198.04</v>
      </c>
      <c r="F7">
        <v>24264.41</v>
      </c>
      <c r="G7">
        <v>93933.64</v>
      </c>
      <c r="H7" s="6">
        <v>0.79469999999999996</v>
      </c>
      <c r="I7" s="6">
        <v>0.1</v>
      </c>
      <c r="J7">
        <v>9393.3639999999996</v>
      </c>
    </row>
    <row r="8" spans="1:10" x14ac:dyDescent="0.3">
      <c r="A8" s="31">
        <v>45657</v>
      </c>
      <c r="B8" t="s">
        <v>462</v>
      </c>
      <c r="C8" t="s">
        <v>192</v>
      </c>
      <c r="D8" t="s">
        <v>466</v>
      </c>
      <c r="E8">
        <v>76260.160000000003</v>
      </c>
      <c r="F8">
        <v>15655.15</v>
      </c>
      <c r="G8">
        <v>60605.02</v>
      </c>
      <c r="H8" s="6">
        <v>0.79469999999999996</v>
      </c>
      <c r="I8" s="6">
        <v>0.2</v>
      </c>
      <c r="J8">
        <v>12121.004000000001</v>
      </c>
    </row>
    <row r="9" spans="1:10" x14ac:dyDescent="0.3">
      <c r="A9" s="31">
        <v>45657</v>
      </c>
      <c r="B9" t="s">
        <v>462</v>
      </c>
      <c r="C9" t="s">
        <v>192</v>
      </c>
      <c r="D9" t="s">
        <v>465</v>
      </c>
      <c r="E9">
        <v>48444.12</v>
      </c>
      <c r="F9">
        <v>9944.9</v>
      </c>
      <c r="G9">
        <v>38499.22</v>
      </c>
      <c r="H9" s="6">
        <v>0.79469999999999996</v>
      </c>
      <c r="I9" s="6">
        <v>0.1</v>
      </c>
      <c r="J9">
        <v>3849.922</v>
      </c>
    </row>
    <row r="10" spans="1:10" x14ac:dyDescent="0.3">
      <c r="A10" s="31">
        <v>45657</v>
      </c>
      <c r="B10" t="s">
        <v>462</v>
      </c>
      <c r="C10" t="s">
        <v>192</v>
      </c>
      <c r="D10" t="s">
        <v>464</v>
      </c>
      <c r="E10">
        <v>34093.39</v>
      </c>
      <c r="F10">
        <v>6998.9</v>
      </c>
      <c r="G10">
        <v>27094.5</v>
      </c>
      <c r="H10" s="6">
        <v>0.79469999999999996</v>
      </c>
      <c r="I10" s="6">
        <v>0.1</v>
      </c>
      <c r="J10">
        <v>2709.45</v>
      </c>
    </row>
    <row r="11" spans="1:10" x14ac:dyDescent="0.3">
      <c r="A11" s="31">
        <v>45657</v>
      </c>
      <c r="B11" t="s">
        <v>462</v>
      </c>
      <c r="C11" t="s">
        <v>192</v>
      </c>
      <c r="D11" t="s">
        <v>463</v>
      </c>
      <c r="E11">
        <v>99270.15</v>
      </c>
      <c r="F11">
        <v>20378.759999999998</v>
      </c>
      <c r="G11">
        <v>78891.37</v>
      </c>
      <c r="H11" s="6">
        <v>0.79469999999999996</v>
      </c>
      <c r="I11" s="6">
        <v>0.1</v>
      </c>
      <c r="J11">
        <v>7889.1369999999997</v>
      </c>
    </row>
    <row r="12" spans="1:10" x14ac:dyDescent="0.3">
      <c r="A12" s="31">
        <v>45688</v>
      </c>
      <c r="B12" t="s">
        <v>462</v>
      </c>
      <c r="C12" t="s">
        <v>192</v>
      </c>
      <c r="D12" t="s">
        <v>472</v>
      </c>
      <c r="E12">
        <v>193492.81</v>
      </c>
      <c r="F12">
        <v>27461.49</v>
      </c>
      <c r="G12">
        <v>166031.32</v>
      </c>
      <c r="H12" s="6">
        <v>0.85809999999999997</v>
      </c>
      <c r="I12" s="6">
        <v>0.2</v>
      </c>
      <c r="J12">
        <v>33206.264000000003</v>
      </c>
    </row>
    <row r="13" spans="1:10" x14ac:dyDescent="0.3">
      <c r="A13" s="31">
        <v>45688</v>
      </c>
      <c r="B13" t="s">
        <v>462</v>
      </c>
      <c r="C13" t="s">
        <v>192</v>
      </c>
      <c r="D13" t="s">
        <v>471</v>
      </c>
      <c r="E13">
        <v>118546.89</v>
      </c>
      <c r="F13">
        <v>16824.78</v>
      </c>
      <c r="G13">
        <v>101722.1</v>
      </c>
      <c r="H13" s="6">
        <v>0.85809999999999997</v>
      </c>
      <c r="I13" s="6">
        <v>0.2</v>
      </c>
      <c r="J13">
        <v>20344.419999999998</v>
      </c>
    </row>
    <row r="14" spans="1:10" x14ac:dyDescent="0.3">
      <c r="A14" s="31">
        <v>45688</v>
      </c>
      <c r="B14" t="s">
        <v>462</v>
      </c>
      <c r="C14" t="s">
        <v>192</v>
      </c>
      <c r="D14" t="s">
        <v>470</v>
      </c>
      <c r="E14">
        <v>163934.34</v>
      </c>
      <c r="F14">
        <v>23266.400000000001</v>
      </c>
      <c r="G14">
        <v>140667.94</v>
      </c>
      <c r="H14" s="6">
        <v>0.85809999999999997</v>
      </c>
      <c r="I14" s="6">
        <v>0.2</v>
      </c>
      <c r="J14">
        <v>28133.588</v>
      </c>
    </row>
    <row r="15" spans="1:10" x14ac:dyDescent="0.3">
      <c r="A15" s="31">
        <v>45688</v>
      </c>
      <c r="B15" t="s">
        <v>462</v>
      </c>
      <c r="C15" t="s">
        <v>192</v>
      </c>
      <c r="D15" t="s">
        <v>469</v>
      </c>
      <c r="E15">
        <v>70389.5</v>
      </c>
      <c r="F15">
        <v>9990.0400000000009</v>
      </c>
      <c r="G15">
        <v>60399.46</v>
      </c>
      <c r="H15" s="6">
        <v>0.85809999999999997</v>
      </c>
      <c r="I15" s="6">
        <v>0.15</v>
      </c>
      <c r="J15">
        <v>9059.9189999999999</v>
      </c>
    </row>
    <row r="16" spans="1:10" x14ac:dyDescent="0.3">
      <c r="A16" s="31">
        <v>45688</v>
      </c>
      <c r="B16" t="s">
        <v>462</v>
      </c>
      <c r="C16" t="s">
        <v>192</v>
      </c>
      <c r="D16" t="s">
        <v>468</v>
      </c>
      <c r="E16">
        <v>63977.59</v>
      </c>
      <c r="F16">
        <v>9080.0300000000007</v>
      </c>
      <c r="G16">
        <v>54897.56</v>
      </c>
      <c r="H16" s="6">
        <v>0.85809999999999997</v>
      </c>
      <c r="I16" s="6">
        <v>0.1</v>
      </c>
      <c r="J16">
        <v>5489.7560000000003</v>
      </c>
    </row>
    <row r="17" spans="1:10" x14ac:dyDescent="0.3">
      <c r="A17" s="31">
        <v>45688</v>
      </c>
      <c r="B17" t="s">
        <v>462</v>
      </c>
      <c r="C17" t="s">
        <v>192</v>
      </c>
      <c r="D17" t="s">
        <v>467</v>
      </c>
      <c r="E17">
        <v>106164.24</v>
      </c>
      <c r="F17">
        <v>15067.37</v>
      </c>
      <c r="G17">
        <v>91096.87</v>
      </c>
      <c r="H17" s="6">
        <v>0.85809999999999997</v>
      </c>
      <c r="I17" s="6">
        <v>0.1</v>
      </c>
      <c r="J17">
        <v>9109.6869999999999</v>
      </c>
    </row>
    <row r="18" spans="1:10" x14ac:dyDescent="0.3">
      <c r="A18" s="31">
        <v>45688</v>
      </c>
      <c r="B18" t="s">
        <v>462</v>
      </c>
      <c r="C18" t="s">
        <v>192</v>
      </c>
      <c r="D18" t="s">
        <v>466</v>
      </c>
      <c r="E18">
        <v>64612.35</v>
      </c>
      <c r="F18">
        <v>9170.1200000000008</v>
      </c>
      <c r="G18">
        <v>55442.23</v>
      </c>
      <c r="H18" s="6">
        <v>0.85809999999999997</v>
      </c>
      <c r="I18" s="6">
        <v>0.2</v>
      </c>
      <c r="J18">
        <v>11088.446</v>
      </c>
    </row>
    <row r="19" spans="1:10" x14ac:dyDescent="0.3">
      <c r="A19" s="31">
        <v>45688</v>
      </c>
      <c r="B19" t="s">
        <v>462</v>
      </c>
      <c r="C19" t="s">
        <v>192</v>
      </c>
      <c r="D19" t="s">
        <v>465</v>
      </c>
      <c r="E19">
        <v>55383.95</v>
      </c>
      <c r="F19">
        <v>7860.37</v>
      </c>
      <c r="G19">
        <v>47523.57</v>
      </c>
      <c r="H19" s="6">
        <v>0.85809999999999997</v>
      </c>
      <c r="I19" s="6">
        <v>0.1</v>
      </c>
      <c r="J19">
        <v>4752.357</v>
      </c>
    </row>
    <row r="20" spans="1:10" x14ac:dyDescent="0.3">
      <c r="A20" s="31">
        <v>45688</v>
      </c>
      <c r="B20" t="s">
        <v>462</v>
      </c>
      <c r="C20" t="s">
        <v>192</v>
      </c>
      <c r="D20" t="s">
        <v>464</v>
      </c>
      <c r="E20">
        <v>54436.15</v>
      </c>
      <c r="F20">
        <v>7725.86</v>
      </c>
      <c r="G20">
        <v>46710.29</v>
      </c>
      <c r="H20" s="6">
        <v>0.85809999999999997</v>
      </c>
      <c r="I20" s="6">
        <v>0.1</v>
      </c>
      <c r="J20">
        <v>4671.0290000000005</v>
      </c>
    </row>
    <row r="21" spans="1:10" x14ac:dyDescent="0.3">
      <c r="A21" s="31">
        <v>45688</v>
      </c>
      <c r="B21" t="s">
        <v>462</v>
      </c>
      <c r="C21" t="s">
        <v>192</v>
      </c>
      <c r="D21" t="s">
        <v>463</v>
      </c>
      <c r="E21">
        <v>81380.78</v>
      </c>
      <c r="F21">
        <v>11549.98</v>
      </c>
      <c r="G21">
        <v>69830.820000000007</v>
      </c>
      <c r="H21" s="6">
        <v>0.85809999999999997</v>
      </c>
      <c r="I21" s="6">
        <v>0.1</v>
      </c>
      <c r="J21">
        <v>6983.0820000000012</v>
      </c>
    </row>
    <row r="22" spans="1:10" x14ac:dyDescent="0.3">
      <c r="A22" s="31">
        <v>45716</v>
      </c>
      <c r="B22" t="s">
        <v>462</v>
      </c>
      <c r="C22" t="s">
        <v>192</v>
      </c>
      <c r="D22" t="s">
        <v>472</v>
      </c>
      <c r="E22">
        <v>124507.02</v>
      </c>
      <c r="F22">
        <v>22405.34</v>
      </c>
      <c r="G22">
        <v>102101.67</v>
      </c>
      <c r="H22" s="6">
        <v>0.82</v>
      </c>
      <c r="I22" s="6">
        <v>0.2</v>
      </c>
      <c r="J22">
        <v>20420.333999999999</v>
      </c>
    </row>
    <row r="23" spans="1:10" x14ac:dyDescent="0.3">
      <c r="A23" s="31">
        <v>45716</v>
      </c>
      <c r="B23" t="s">
        <v>462</v>
      </c>
      <c r="C23" t="s">
        <v>192</v>
      </c>
      <c r="D23" t="s">
        <v>471</v>
      </c>
      <c r="E23">
        <v>123233.54</v>
      </c>
      <c r="F23">
        <v>22176.18</v>
      </c>
      <c r="G23">
        <v>101057.36</v>
      </c>
      <c r="H23" s="6">
        <v>0.82</v>
      </c>
      <c r="I23" s="6">
        <v>0.2</v>
      </c>
      <c r="J23">
        <v>20211.472000000002</v>
      </c>
    </row>
    <row r="24" spans="1:10" x14ac:dyDescent="0.3">
      <c r="A24" s="31">
        <v>45716</v>
      </c>
      <c r="B24" t="s">
        <v>462</v>
      </c>
      <c r="C24" t="s">
        <v>192</v>
      </c>
      <c r="D24" t="s">
        <v>470</v>
      </c>
      <c r="E24">
        <v>116957.83</v>
      </c>
      <c r="F24">
        <v>21046.85</v>
      </c>
      <c r="G24">
        <v>95910.98</v>
      </c>
      <c r="H24" s="6">
        <v>0.82</v>
      </c>
      <c r="I24" s="6">
        <v>0.2</v>
      </c>
      <c r="J24">
        <v>19182.196</v>
      </c>
    </row>
    <row r="25" spans="1:10" x14ac:dyDescent="0.3">
      <c r="A25" s="31">
        <v>45716</v>
      </c>
      <c r="B25" t="s">
        <v>462</v>
      </c>
      <c r="C25" t="s">
        <v>192</v>
      </c>
      <c r="D25" t="s">
        <v>469</v>
      </c>
      <c r="E25">
        <v>69059.490000000005</v>
      </c>
      <c r="F25">
        <v>12427.43</v>
      </c>
      <c r="G25">
        <v>56632.06</v>
      </c>
      <c r="H25" s="6">
        <v>0.82</v>
      </c>
      <c r="I25" s="6">
        <v>0.15</v>
      </c>
      <c r="J25">
        <v>8494.8089999999993</v>
      </c>
    </row>
    <row r="26" spans="1:10" x14ac:dyDescent="0.3">
      <c r="A26" s="31">
        <v>45716</v>
      </c>
      <c r="B26" t="s">
        <v>462</v>
      </c>
      <c r="C26" t="s">
        <v>192</v>
      </c>
      <c r="D26" t="s">
        <v>468</v>
      </c>
      <c r="E26">
        <v>72579.360000000001</v>
      </c>
      <c r="F26">
        <v>13060.83</v>
      </c>
      <c r="G26">
        <v>59518.52</v>
      </c>
      <c r="H26" s="6">
        <v>0.82</v>
      </c>
      <c r="I26" s="6">
        <v>0.1</v>
      </c>
      <c r="J26">
        <v>5951.8519999999999</v>
      </c>
    </row>
    <row r="27" spans="1:10" x14ac:dyDescent="0.3">
      <c r="A27" s="31">
        <v>45716</v>
      </c>
      <c r="B27" t="s">
        <v>462</v>
      </c>
      <c r="C27" t="s">
        <v>192</v>
      </c>
      <c r="D27" t="s">
        <v>467</v>
      </c>
      <c r="E27">
        <v>100465.71</v>
      </c>
      <c r="F27">
        <v>18079.05</v>
      </c>
      <c r="G27">
        <v>82386.66</v>
      </c>
      <c r="H27" s="6">
        <v>0.82</v>
      </c>
      <c r="I27" s="6">
        <v>0.1</v>
      </c>
      <c r="J27">
        <v>8238.6660000000011</v>
      </c>
    </row>
    <row r="28" spans="1:10" x14ac:dyDescent="0.3">
      <c r="A28" s="31">
        <v>45716</v>
      </c>
      <c r="B28" t="s">
        <v>462</v>
      </c>
      <c r="C28" t="s">
        <v>192</v>
      </c>
      <c r="D28" t="s">
        <v>466</v>
      </c>
      <c r="E28">
        <v>68471.63</v>
      </c>
      <c r="F28">
        <v>12321.64</v>
      </c>
      <c r="G28">
        <v>56149.99</v>
      </c>
      <c r="H28" s="6">
        <v>0.82</v>
      </c>
      <c r="I28" s="6">
        <v>0.2</v>
      </c>
      <c r="J28">
        <v>11229.998</v>
      </c>
    </row>
    <row r="29" spans="1:10" x14ac:dyDescent="0.3">
      <c r="A29" s="31">
        <v>45716</v>
      </c>
      <c r="B29" t="s">
        <v>462</v>
      </c>
      <c r="C29" t="s">
        <v>192</v>
      </c>
      <c r="D29" t="s">
        <v>465</v>
      </c>
      <c r="E29">
        <v>45834.49</v>
      </c>
      <c r="F29">
        <v>8248.0300000000007</v>
      </c>
      <c r="G29">
        <v>37586.46</v>
      </c>
      <c r="H29" s="6">
        <v>0.82</v>
      </c>
      <c r="I29" s="6">
        <v>0.1</v>
      </c>
      <c r="J29">
        <v>3758.6460000000002</v>
      </c>
    </row>
    <row r="30" spans="1:10" x14ac:dyDescent="0.3">
      <c r="A30" s="31">
        <v>45716</v>
      </c>
      <c r="B30" t="s">
        <v>462</v>
      </c>
      <c r="C30" t="s">
        <v>192</v>
      </c>
      <c r="D30" t="s">
        <v>464</v>
      </c>
      <c r="E30">
        <v>109356.07</v>
      </c>
      <c r="F30">
        <v>19678.900000000001</v>
      </c>
      <c r="G30">
        <v>89677.18</v>
      </c>
      <c r="H30" s="6">
        <v>0.82</v>
      </c>
      <c r="I30" s="6">
        <v>0.1</v>
      </c>
      <c r="J30">
        <v>8967.7179999999989</v>
      </c>
    </row>
    <row r="31" spans="1:10" x14ac:dyDescent="0.3">
      <c r="A31" s="31">
        <v>45716</v>
      </c>
      <c r="B31" t="s">
        <v>462</v>
      </c>
      <c r="C31" t="s">
        <v>192</v>
      </c>
      <c r="D31" t="s">
        <v>463</v>
      </c>
      <c r="E31">
        <v>67072.58</v>
      </c>
      <c r="F31">
        <v>12069.88</v>
      </c>
      <c r="G31">
        <v>55002.720000000001</v>
      </c>
      <c r="H31" s="6">
        <v>0.82</v>
      </c>
      <c r="I31" s="6">
        <v>0.1</v>
      </c>
      <c r="J31">
        <v>5500.2720000000008</v>
      </c>
    </row>
    <row r="32" spans="1:10" x14ac:dyDescent="0.3">
      <c r="A32" s="31">
        <v>45747</v>
      </c>
      <c r="B32" t="s">
        <v>462</v>
      </c>
      <c r="C32" t="s">
        <v>192</v>
      </c>
      <c r="D32" t="s">
        <v>472</v>
      </c>
      <c r="E32">
        <v>146193.85</v>
      </c>
      <c r="F32">
        <v>22790.51</v>
      </c>
      <c r="G32">
        <v>123403.35</v>
      </c>
      <c r="H32" s="6">
        <v>0.84409999999999996</v>
      </c>
      <c r="I32" s="6">
        <v>0.2</v>
      </c>
      <c r="J32">
        <v>24680.67</v>
      </c>
    </row>
    <row r="33" spans="1:10" x14ac:dyDescent="0.3">
      <c r="A33" s="31">
        <v>45747</v>
      </c>
      <c r="B33" t="s">
        <v>462</v>
      </c>
      <c r="C33" t="s">
        <v>192</v>
      </c>
      <c r="D33" t="s">
        <v>471</v>
      </c>
      <c r="E33">
        <v>100631.2</v>
      </c>
      <c r="F33">
        <v>15687.64</v>
      </c>
      <c r="G33">
        <v>84943.56</v>
      </c>
      <c r="H33" s="6">
        <v>0.84409999999999996</v>
      </c>
      <c r="I33" s="6">
        <v>0.2</v>
      </c>
      <c r="J33">
        <v>16988.712</v>
      </c>
    </row>
    <row r="34" spans="1:10" x14ac:dyDescent="0.3">
      <c r="A34" s="31">
        <v>45747</v>
      </c>
      <c r="B34" t="s">
        <v>462</v>
      </c>
      <c r="C34" t="s">
        <v>192</v>
      </c>
      <c r="D34" t="s">
        <v>470</v>
      </c>
      <c r="E34">
        <v>100177.41</v>
      </c>
      <c r="F34">
        <v>15616.89</v>
      </c>
      <c r="G34">
        <v>84560.52</v>
      </c>
      <c r="H34" s="6">
        <v>0.84409999999999996</v>
      </c>
      <c r="I34" s="6">
        <v>0.2</v>
      </c>
      <c r="J34">
        <v>16912.103999999999</v>
      </c>
    </row>
    <row r="35" spans="1:10" x14ac:dyDescent="0.3">
      <c r="A35" s="31">
        <v>45747</v>
      </c>
      <c r="B35" t="s">
        <v>462</v>
      </c>
      <c r="C35" t="s">
        <v>192</v>
      </c>
      <c r="D35" t="s">
        <v>469</v>
      </c>
      <c r="E35">
        <v>113710.95</v>
      </c>
      <c r="F35">
        <v>17726.669999999998</v>
      </c>
      <c r="G35">
        <v>95984.28</v>
      </c>
      <c r="H35" s="6">
        <v>0.84409999999999996</v>
      </c>
      <c r="I35" s="6">
        <v>0.15</v>
      </c>
      <c r="J35">
        <v>14397.642</v>
      </c>
    </row>
    <row r="36" spans="1:10" x14ac:dyDescent="0.3">
      <c r="A36" s="31">
        <v>45747</v>
      </c>
      <c r="B36" t="s">
        <v>462</v>
      </c>
      <c r="C36" t="s">
        <v>192</v>
      </c>
      <c r="D36" t="s">
        <v>468</v>
      </c>
      <c r="E36">
        <v>41276.58</v>
      </c>
      <c r="F36">
        <v>6434.7</v>
      </c>
      <c r="G36">
        <v>34841.879999999997</v>
      </c>
      <c r="H36" s="6">
        <v>0.84409999999999996</v>
      </c>
      <c r="I36" s="6">
        <v>0.1</v>
      </c>
      <c r="J36">
        <v>3484.1880000000001</v>
      </c>
    </row>
    <row r="37" spans="1:10" x14ac:dyDescent="0.3">
      <c r="A37" s="31">
        <v>45747</v>
      </c>
      <c r="B37" t="s">
        <v>462</v>
      </c>
      <c r="C37" t="s">
        <v>192</v>
      </c>
      <c r="D37" t="s">
        <v>467</v>
      </c>
      <c r="E37">
        <v>113766.7</v>
      </c>
      <c r="F37">
        <v>17735.36</v>
      </c>
      <c r="G37">
        <v>96031.34</v>
      </c>
      <c r="H37" s="6">
        <v>0.84409999999999996</v>
      </c>
      <c r="I37" s="6">
        <v>0.1</v>
      </c>
      <c r="J37">
        <v>9603.134</v>
      </c>
    </row>
    <row r="38" spans="1:10" x14ac:dyDescent="0.3">
      <c r="A38" s="31">
        <v>45747</v>
      </c>
      <c r="B38" t="s">
        <v>462</v>
      </c>
      <c r="C38" t="s">
        <v>192</v>
      </c>
      <c r="D38" t="s">
        <v>466</v>
      </c>
      <c r="E38">
        <v>113126.47</v>
      </c>
      <c r="F38">
        <v>17635.55</v>
      </c>
      <c r="G38">
        <v>95490.92</v>
      </c>
      <c r="H38" s="6">
        <v>0.84409999999999996</v>
      </c>
      <c r="I38" s="6">
        <v>0.2</v>
      </c>
      <c r="J38">
        <v>19098.184000000001</v>
      </c>
    </row>
    <row r="39" spans="1:10" x14ac:dyDescent="0.3">
      <c r="A39" s="31">
        <v>45747</v>
      </c>
      <c r="B39" t="s">
        <v>462</v>
      </c>
      <c r="C39" t="s">
        <v>192</v>
      </c>
      <c r="D39" t="s">
        <v>465</v>
      </c>
      <c r="E39">
        <v>20698.87</v>
      </c>
      <c r="F39">
        <v>3226.8</v>
      </c>
      <c r="G39">
        <v>17472.080000000002</v>
      </c>
      <c r="H39" s="6">
        <v>0.84409999999999996</v>
      </c>
      <c r="I39" s="6">
        <v>0.1</v>
      </c>
      <c r="J39">
        <v>1747.2080000000001</v>
      </c>
    </row>
    <row r="40" spans="1:10" x14ac:dyDescent="0.3">
      <c r="A40" s="31">
        <v>45747</v>
      </c>
      <c r="B40" t="s">
        <v>462</v>
      </c>
      <c r="C40" t="s">
        <v>192</v>
      </c>
      <c r="D40" t="s">
        <v>464</v>
      </c>
      <c r="E40">
        <v>79655.97</v>
      </c>
      <c r="F40">
        <v>12417.76</v>
      </c>
      <c r="G40">
        <v>67238.210000000006</v>
      </c>
      <c r="H40" s="6">
        <v>0.84409999999999996</v>
      </c>
      <c r="I40" s="6">
        <v>0.1</v>
      </c>
      <c r="J40">
        <v>6723.8210000000008</v>
      </c>
    </row>
    <row r="41" spans="1:10" x14ac:dyDescent="0.3">
      <c r="A41" s="31">
        <v>45747</v>
      </c>
      <c r="B41" t="s">
        <v>462</v>
      </c>
      <c r="C41" t="s">
        <v>192</v>
      </c>
      <c r="D41" t="s">
        <v>463</v>
      </c>
      <c r="E41">
        <v>137576.89000000001</v>
      </c>
      <c r="F41">
        <v>21447.18</v>
      </c>
      <c r="G41">
        <v>116129.7</v>
      </c>
      <c r="H41" s="6">
        <v>0.84409999999999996</v>
      </c>
      <c r="I41" s="6">
        <v>0.1</v>
      </c>
      <c r="J41">
        <v>11612.97</v>
      </c>
    </row>
    <row r="42" spans="1:10" x14ac:dyDescent="0.3">
      <c r="A42" s="31">
        <v>45777</v>
      </c>
      <c r="B42" t="s">
        <v>462</v>
      </c>
      <c r="C42" t="s">
        <v>192</v>
      </c>
      <c r="D42" t="s">
        <v>472</v>
      </c>
      <c r="E42">
        <v>143135.10999999999</v>
      </c>
      <c r="F42">
        <v>28018.71</v>
      </c>
      <c r="G42">
        <v>115116.4</v>
      </c>
      <c r="H42" s="6">
        <v>0.80420000000000003</v>
      </c>
      <c r="I42" s="6">
        <v>0.2</v>
      </c>
      <c r="J42">
        <v>23023.279999999999</v>
      </c>
    </row>
    <row r="43" spans="1:10" x14ac:dyDescent="0.3">
      <c r="A43" s="31">
        <v>45777</v>
      </c>
      <c r="B43" t="s">
        <v>462</v>
      </c>
      <c r="C43" t="s">
        <v>192</v>
      </c>
      <c r="D43" t="s">
        <v>471</v>
      </c>
      <c r="E43">
        <v>206249.52</v>
      </c>
      <c r="F43">
        <v>40373.360000000001</v>
      </c>
      <c r="G43">
        <v>165876.15</v>
      </c>
      <c r="H43" s="6">
        <v>0.80420000000000003</v>
      </c>
      <c r="I43" s="6">
        <v>0.2</v>
      </c>
      <c r="J43">
        <v>33175.230000000003</v>
      </c>
    </row>
    <row r="44" spans="1:10" x14ac:dyDescent="0.3">
      <c r="A44" s="31">
        <v>45777</v>
      </c>
      <c r="B44" t="s">
        <v>462</v>
      </c>
      <c r="C44" t="s">
        <v>192</v>
      </c>
      <c r="D44" t="s">
        <v>470</v>
      </c>
      <c r="E44">
        <v>82378.539999999994</v>
      </c>
      <c r="F44">
        <v>16125.61</v>
      </c>
      <c r="G44">
        <v>66252.929999999993</v>
      </c>
      <c r="H44" s="6">
        <v>0.80420000000000003</v>
      </c>
      <c r="I44" s="6">
        <v>0.2</v>
      </c>
      <c r="J44">
        <v>13250.585999999999</v>
      </c>
    </row>
    <row r="45" spans="1:10" x14ac:dyDescent="0.3">
      <c r="A45" s="31">
        <v>45777</v>
      </c>
      <c r="B45" t="s">
        <v>462</v>
      </c>
      <c r="C45" t="s">
        <v>192</v>
      </c>
      <c r="D45" t="s">
        <v>469</v>
      </c>
      <c r="E45">
        <v>75882.09</v>
      </c>
      <c r="F45">
        <v>14853.93</v>
      </c>
      <c r="G45">
        <v>61028.160000000003</v>
      </c>
      <c r="H45" s="6">
        <v>0.80420000000000003</v>
      </c>
      <c r="I45" s="6">
        <v>0.15</v>
      </c>
      <c r="J45">
        <v>9154.2240000000002</v>
      </c>
    </row>
    <row r="46" spans="1:10" x14ac:dyDescent="0.3">
      <c r="A46" s="31">
        <v>45777</v>
      </c>
      <c r="B46" t="s">
        <v>462</v>
      </c>
      <c r="C46" t="s">
        <v>192</v>
      </c>
      <c r="D46" t="s">
        <v>468</v>
      </c>
      <c r="E46">
        <v>53349.03</v>
      </c>
      <c r="F46">
        <v>10443.08</v>
      </c>
      <c r="G46">
        <v>42905.95</v>
      </c>
      <c r="H46" s="6">
        <v>0.80420000000000003</v>
      </c>
      <c r="I46" s="6">
        <v>0.1</v>
      </c>
      <c r="J46">
        <v>4290.5950000000003</v>
      </c>
    </row>
    <row r="47" spans="1:10" x14ac:dyDescent="0.3">
      <c r="A47" s="31">
        <v>45777</v>
      </c>
      <c r="B47" t="s">
        <v>462</v>
      </c>
      <c r="C47" t="s">
        <v>192</v>
      </c>
      <c r="D47" t="s">
        <v>467</v>
      </c>
      <c r="E47">
        <v>57993.31</v>
      </c>
      <c r="F47">
        <v>11352.2</v>
      </c>
      <c r="G47">
        <v>46641.11</v>
      </c>
      <c r="H47" s="6">
        <v>0.80420000000000003</v>
      </c>
      <c r="I47" s="6">
        <v>0.1</v>
      </c>
      <c r="J47">
        <v>4664.1109999999999</v>
      </c>
    </row>
    <row r="48" spans="1:10" x14ac:dyDescent="0.3">
      <c r="A48" s="31">
        <v>45777</v>
      </c>
      <c r="B48" t="s">
        <v>462</v>
      </c>
      <c r="C48" t="s">
        <v>192</v>
      </c>
      <c r="D48" t="s">
        <v>466</v>
      </c>
      <c r="E48">
        <v>117018.95</v>
      </c>
      <c r="F48">
        <v>22906.47</v>
      </c>
      <c r="G48">
        <v>94112.48</v>
      </c>
      <c r="H48" s="6">
        <v>0.80420000000000003</v>
      </c>
      <c r="I48" s="6">
        <v>0.2</v>
      </c>
      <c r="J48">
        <v>18822.495999999999</v>
      </c>
    </row>
    <row r="49" spans="1:10" x14ac:dyDescent="0.3">
      <c r="A49" s="31">
        <v>45777</v>
      </c>
      <c r="B49" t="s">
        <v>462</v>
      </c>
      <c r="C49" t="s">
        <v>192</v>
      </c>
      <c r="D49" t="s">
        <v>465</v>
      </c>
      <c r="E49">
        <v>32749.38</v>
      </c>
      <c r="F49">
        <v>6410.69</v>
      </c>
      <c r="G49">
        <v>26338.68</v>
      </c>
      <c r="H49" s="6">
        <v>0.80420000000000003</v>
      </c>
      <c r="I49" s="6">
        <v>0.1</v>
      </c>
      <c r="J49">
        <v>2633.8679999999999</v>
      </c>
    </row>
    <row r="50" spans="1:10" x14ac:dyDescent="0.3">
      <c r="A50" s="31">
        <v>45777</v>
      </c>
      <c r="B50" t="s">
        <v>462</v>
      </c>
      <c r="C50" t="s">
        <v>192</v>
      </c>
      <c r="D50" t="s">
        <v>464</v>
      </c>
      <c r="E50">
        <v>84800.91</v>
      </c>
      <c r="F50">
        <v>16599.79</v>
      </c>
      <c r="G50">
        <v>68201.13</v>
      </c>
      <c r="H50" s="6">
        <v>0.80420000000000003</v>
      </c>
      <c r="I50" s="6">
        <v>0.1</v>
      </c>
      <c r="J50">
        <v>6820.1130000000012</v>
      </c>
    </row>
    <row r="51" spans="1:10" x14ac:dyDescent="0.3">
      <c r="A51" s="31">
        <v>45777</v>
      </c>
      <c r="B51" t="s">
        <v>462</v>
      </c>
      <c r="C51" t="s">
        <v>192</v>
      </c>
      <c r="D51" t="s">
        <v>463</v>
      </c>
      <c r="E51">
        <v>69489.149999999994</v>
      </c>
      <c r="F51">
        <v>13602.5</v>
      </c>
      <c r="G51">
        <v>55886.65</v>
      </c>
      <c r="H51" s="6">
        <v>0.80430000000000001</v>
      </c>
      <c r="I51" s="6">
        <v>0.1</v>
      </c>
      <c r="J51">
        <v>5588.6650000000009</v>
      </c>
    </row>
    <row r="52" spans="1:10" x14ac:dyDescent="0.3">
      <c r="A52" s="31">
        <v>45808</v>
      </c>
      <c r="B52" t="s">
        <v>462</v>
      </c>
      <c r="C52" t="s">
        <v>192</v>
      </c>
      <c r="D52" t="s">
        <v>472</v>
      </c>
      <c r="E52">
        <v>163571.65</v>
      </c>
      <c r="F52">
        <v>26333.17</v>
      </c>
      <c r="G52">
        <v>137238.48000000001</v>
      </c>
      <c r="H52" s="6">
        <v>0.83899999999999997</v>
      </c>
      <c r="I52" s="6">
        <v>0.2</v>
      </c>
      <c r="J52">
        <v>27447.696</v>
      </c>
    </row>
    <row r="53" spans="1:10" x14ac:dyDescent="0.3">
      <c r="A53" s="31">
        <v>45808</v>
      </c>
      <c r="B53" t="s">
        <v>462</v>
      </c>
      <c r="C53" t="s">
        <v>192</v>
      </c>
      <c r="D53" t="s">
        <v>471</v>
      </c>
      <c r="E53">
        <v>91894.89</v>
      </c>
      <c r="F53">
        <v>14794.03</v>
      </c>
      <c r="G53">
        <v>77100.86</v>
      </c>
      <c r="H53" s="6">
        <v>0.83899999999999997</v>
      </c>
      <c r="I53" s="6">
        <v>0.2</v>
      </c>
      <c r="J53">
        <v>15420.172</v>
      </c>
    </row>
    <row r="54" spans="1:10" x14ac:dyDescent="0.3">
      <c r="A54" s="31">
        <v>45808</v>
      </c>
      <c r="B54" t="s">
        <v>462</v>
      </c>
      <c r="C54" t="s">
        <v>192</v>
      </c>
      <c r="D54" t="s">
        <v>470</v>
      </c>
      <c r="E54">
        <v>113747.86</v>
      </c>
      <c r="F54">
        <v>18312.11</v>
      </c>
      <c r="G54">
        <v>95435.75</v>
      </c>
      <c r="H54" s="6">
        <v>0.83899999999999997</v>
      </c>
      <c r="I54" s="6">
        <v>0.2</v>
      </c>
      <c r="J54">
        <v>19087.150000000001</v>
      </c>
    </row>
    <row r="55" spans="1:10" x14ac:dyDescent="0.3">
      <c r="A55" s="31">
        <v>45808</v>
      </c>
      <c r="B55" t="s">
        <v>462</v>
      </c>
      <c r="C55" t="s">
        <v>192</v>
      </c>
      <c r="D55" t="s">
        <v>469</v>
      </c>
      <c r="E55">
        <v>89729.37</v>
      </c>
      <c r="F55">
        <v>14445.4</v>
      </c>
      <c r="G55">
        <v>75283.960000000006</v>
      </c>
      <c r="H55" s="6">
        <v>0.83899999999999997</v>
      </c>
      <c r="I55" s="6">
        <v>0.15</v>
      </c>
      <c r="J55">
        <v>11292.593999999999</v>
      </c>
    </row>
    <row r="56" spans="1:10" x14ac:dyDescent="0.3">
      <c r="A56" s="31">
        <v>45808</v>
      </c>
      <c r="B56" t="s">
        <v>462</v>
      </c>
      <c r="C56" t="s">
        <v>192</v>
      </c>
      <c r="D56" t="s">
        <v>468</v>
      </c>
      <c r="E56">
        <v>87973.75</v>
      </c>
      <c r="F56">
        <v>14162.77</v>
      </c>
      <c r="G56">
        <v>73810.98</v>
      </c>
      <c r="H56" s="6">
        <v>0.83899999999999997</v>
      </c>
      <c r="I56" s="6">
        <v>0.1</v>
      </c>
      <c r="J56">
        <v>7381.098</v>
      </c>
    </row>
    <row r="57" spans="1:10" x14ac:dyDescent="0.3">
      <c r="A57" s="31">
        <v>45808</v>
      </c>
      <c r="B57" t="s">
        <v>462</v>
      </c>
      <c r="C57" t="s">
        <v>192</v>
      </c>
      <c r="D57" t="s">
        <v>467</v>
      </c>
      <c r="E57">
        <v>86865.06</v>
      </c>
      <c r="F57">
        <v>13984.28</v>
      </c>
      <c r="G57">
        <v>72880.78</v>
      </c>
      <c r="H57" s="6">
        <v>0.83899999999999997</v>
      </c>
      <c r="I57" s="6">
        <v>0.1</v>
      </c>
      <c r="J57">
        <v>7288.0780000000004</v>
      </c>
    </row>
    <row r="58" spans="1:10" x14ac:dyDescent="0.3">
      <c r="A58" s="31">
        <v>45808</v>
      </c>
      <c r="B58" t="s">
        <v>462</v>
      </c>
      <c r="C58" t="s">
        <v>192</v>
      </c>
      <c r="D58" t="s">
        <v>466</v>
      </c>
      <c r="E58">
        <v>99687.62</v>
      </c>
      <c r="F58">
        <v>16048.57</v>
      </c>
      <c r="G58">
        <v>83639.05</v>
      </c>
      <c r="H58" s="6">
        <v>0.83899999999999997</v>
      </c>
      <c r="I58" s="6">
        <v>0.2</v>
      </c>
      <c r="J58">
        <v>16727.810000000001</v>
      </c>
    </row>
    <row r="59" spans="1:10" x14ac:dyDescent="0.3">
      <c r="A59" s="31">
        <v>45808</v>
      </c>
      <c r="B59" t="s">
        <v>462</v>
      </c>
      <c r="C59" t="s">
        <v>192</v>
      </c>
      <c r="D59" t="s">
        <v>465</v>
      </c>
      <c r="E59">
        <v>68527.48</v>
      </c>
      <c r="F59">
        <v>11032.14</v>
      </c>
      <c r="G59">
        <v>57495.34</v>
      </c>
      <c r="H59" s="6">
        <v>0.83899999999999997</v>
      </c>
      <c r="I59" s="6">
        <v>0.1</v>
      </c>
      <c r="J59">
        <v>5749.5339999999997</v>
      </c>
    </row>
    <row r="60" spans="1:10" x14ac:dyDescent="0.3">
      <c r="A60" s="31">
        <v>45808</v>
      </c>
      <c r="B60" t="s">
        <v>462</v>
      </c>
      <c r="C60" t="s">
        <v>192</v>
      </c>
      <c r="D60" t="s">
        <v>464</v>
      </c>
      <c r="E60">
        <v>58375.35</v>
      </c>
      <c r="F60">
        <v>9397.77</v>
      </c>
      <c r="G60">
        <v>48977.59</v>
      </c>
      <c r="H60" s="6">
        <v>0.83899999999999997</v>
      </c>
      <c r="I60" s="6">
        <v>0.1</v>
      </c>
      <c r="J60">
        <v>4897.759</v>
      </c>
    </row>
    <row r="61" spans="1:10" x14ac:dyDescent="0.3">
      <c r="A61" s="31">
        <v>45808</v>
      </c>
      <c r="B61" t="s">
        <v>462</v>
      </c>
      <c r="C61" t="s">
        <v>192</v>
      </c>
      <c r="D61" t="s">
        <v>463</v>
      </c>
      <c r="E61">
        <v>86742.32</v>
      </c>
      <c r="F61">
        <v>13964.52</v>
      </c>
      <c r="G61">
        <v>72777.8</v>
      </c>
      <c r="H61" s="6">
        <v>0.83899999999999997</v>
      </c>
      <c r="I61" s="6">
        <v>0.1</v>
      </c>
      <c r="J61">
        <v>7277.7800000000007</v>
      </c>
    </row>
    <row r="62" spans="1:10" x14ac:dyDescent="0.3">
      <c r="A62" s="31">
        <v>45838</v>
      </c>
      <c r="B62" t="s">
        <v>462</v>
      </c>
      <c r="C62" t="s">
        <v>192</v>
      </c>
      <c r="D62" t="s">
        <v>472</v>
      </c>
      <c r="E62">
        <v>206386.7</v>
      </c>
      <c r="F62">
        <v>32952.04</v>
      </c>
      <c r="G62">
        <v>173434.66</v>
      </c>
      <c r="H62" s="6">
        <v>0.84030000000000005</v>
      </c>
      <c r="I62" s="6">
        <v>0.2</v>
      </c>
      <c r="J62">
        <v>34686.932000000001</v>
      </c>
    </row>
    <row r="63" spans="1:10" x14ac:dyDescent="0.3">
      <c r="A63" s="31">
        <v>45838</v>
      </c>
      <c r="B63" t="s">
        <v>462</v>
      </c>
      <c r="C63" t="s">
        <v>192</v>
      </c>
      <c r="D63" t="s">
        <v>471</v>
      </c>
      <c r="E63">
        <v>182941.94</v>
      </c>
      <c r="F63">
        <v>29208.81</v>
      </c>
      <c r="G63">
        <v>153733.14000000001</v>
      </c>
      <c r="H63" s="6">
        <v>0.84030000000000005</v>
      </c>
      <c r="I63" s="6">
        <v>0.2</v>
      </c>
      <c r="J63">
        <v>30746.628000000001</v>
      </c>
    </row>
    <row r="64" spans="1:10" x14ac:dyDescent="0.3">
      <c r="A64" s="31">
        <v>45838</v>
      </c>
      <c r="B64" t="s">
        <v>462</v>
      </c>
      <c r="C64" t="s">
        <v>192</v>
      </c>
      <c r="D64" t="s">
        <v>470</v>
      </c>
      <c r="E64">
        <v>125763.08</v>
      </c>
      <c r="F64">
        <v>20079.54</v>
      </c>
      <c r="G64">
        <v>105683.54</v>
      </c>
      <c r="H64" s="6">
        <v>0.84030000000000005</v>
      </c>
      <c r="I64" s="6">
        <v>0.2</v>
      </c>
      <c r="J64">
        <v>21136.707999999999</v>
      </c>
    </row>
    <row r="65" spans="1:10" x14ac:dyDescent="0.3">
      <c r="A65" s="31">
        <v>45838</v>
      </c>
      <c r="B65" t="s">
        <v>462</v>
      </c>
      <c r="C65" t="s">
        <v>192</v>
      </c>
      <c r="D65" t="s">
        <v>469</v>
      </c>
      <c r="E65">
        <v>37979.839999999997</v>
      </c>
      <c r="F65">
        <v>6063.92</v>
      </c>
      <c r="G65">
        <v>31915.919999999998</v>
      </c>
      <c r="H65" s="6">
        <v>0.84030000000000005</v>
      </c>
      <c r="I65" s="6">
        <v>0.15</v>
      </c>
      <c r="J65">
        <v>4787.3879999999999</v>
      </c>
    </row>
    <row r="66" spans="1:10" x14ac:dyDescent="0.3">
      <c r="A66" s="31">
        <v>45838</v>
      </c>
      <c r="B66" t="s">
        <v>462</v>
      </c>
      <c r="C66" t="s">
        <v>192</v>
      </c>
      <c r="D66" t="s">
        <v>468</v>
      </c>
      <c r="E66">
        <v>64770.66</v>
      </c>
      <c r="F66">
        <v>10341.39</v>
      </c>
      <c r="G66">
        <v>54429.27</v>
      </c>
      <c r="H66" s="6">
        <v>0.84030000000000005</v>
      </c>
      <c r="I66" s="6">
        <v>0.1</v>
      </c>
      <c r="J66">
        <v>5442.9269999999997</v>
      </c>
    </row>
    <row r="67" spans="1:10" x14ac:dyDescent="0.3">
      <c r="A67" s="31">
        <v>45838</v>
      </c>
      <c r="B67" t="s">
        <v>462</v>
      </c>
      <c r="C67" t="s">
        <v>192</v>
      </c>
      <c r="D67" t="s">
        <v>467</v>
      </c>
      <c r="E67">
        <v>90748.15</v>
      </c>
      <c r="F67">
        <v>14489</v>
      </c>
      <c r="G67">
        <v>76259.149999999994</v>
      </c>
      <c r="H67" s="6">
        <v>0.84030000000000005</v>
      </c>
      <c r="I67" s="6">
        <v>0.1</v>
      </c>
      <c r="J67">
        <v>7625.915</v>
      </c>
    </row>
    <row r="68" spans="1:10" x14ac:dyDescent="0.3">
      <c r="A68" s="31">
        <v>45838</v>
      </c>
      <c r="B68" t="s">
        <v>462</v>
      </c>
      <c r="C68" t="s">
        <v>192</v>
      </c>
      <c r="D68" t="s">
        <v>466</v>
      </c>
      <c r="E68">
        <v>83502.34</v>
      </c>
      <c r="F68">
        <v>13332.12</v>
      </c>
      <c r="G68">
        <v>70170.22</v>
      </c>
      <c r="H68" s="6">
        <v>0.84030000000000005</v>
      </c>
      <c r="I68" s="6">
        <v>0.2</v>
      </c>
      <c r="J68">
        <v>14034.044</v>
      </c>
    </row>
    <row r="69" spans="1:10" x14ac:dyDescent="0.3">
      <c r="A69" s="31">
        <v>45838</v>
      </c>
      <c r="B69" t="s">
        <v>462</v>
      </c>
      <c r="C69" t="s">
        <v>192</v>
      </c>
      <c r="D69" t="s">
        <v>465</v>
      </c>
      <c r="E69">
        <v>43729.21</v>
      </c>
      <c r="F69">
        <v>6981.88</v>
      </c>
      <c r="G69">
        <v>36747.33</v>
      </c>
      <c r="H69" s="6">
        <v>0.84030000000000005</v>
      </c>
      <c r="I69" s="6">
        <v>0.1</v>
      </c>
      <c r="J69">
        <v>3674.7330000000002</v>
      </c>
    </row>
    <row r="70" spans="1:10" x14ac:dyDescent="0.3">
      <c r="A70" s="31">
        <v>45838</v>
      </c>
      <c r="B70" t="s">
        <v>462</v>
      </c>
      <c r="C70" t="s">
        <v>192</v>
      </c>
      <c r="D70" t="s">
        <v>464</v>
      </c>
      <c r="E70">
        <v>87930.73</v>
      </c>
      <c r="F70">
        <v>14039.16</v>
      </c>
      <c r="G70">
        <v>73891.570000000007</v>
      </c>
      <c r="H70" s="6">
        <v>0.84030000000000005</v>
      </c>
      <c r="I70" s="6">
        <v>0.1</v>
      </c>
      <c r="J70">
        <v>7389.1570000000011</v>
      </c>
    </row>
    <row r="71" spans="1:10" x14ac:dyDescent="0.3">
      <c r="A71" s="31">
        <v>45838</v>
      </c>
      <c r="B71" t="s">
        <v>462</v>
      </c>
      <c r="C71" t="s">
        <v>192</v>
      </c>
      <c r="D71" t="s">
        <v>463</v>
      </c>
      <c r="E71">
        <v>52769.75</v>
      </c>
      <c r="F71">
        <v>8425.2900000000009</v>
      </c>
      <c r="G71">
        <v>44344.45</v>
      </c>
      <c r="H71" s="6">
        <v>0.84030000000000005</v>
      </c>
      <c r="I71" s="6">
        <v>0.1</v>
      </c>
      <c r="J71">
        <v>4434.4449999999997</v>
      </c>
    </row>
    <row r="72" spans="1:10" x14ac:dyDescent="0.3">
      <c r="A72" s="31">
        <v>45869</v>
      </c>
      <c r="B72" t="s">
        <v>462</v>
      </c>
      <c r="C72" t="s">
        <v>192</v>
      </c>
      <c r="D72" t="s">
        <v>472</v>
      </c>
      <c r="E72">
        <v>202550.18</v>
      </c>
      <c r="F72">
        <v>50576.01</v>
      </c>
      <c r="G72">
        <v>151974.17000000001</v>
      </c>
      <c r="H72" s="6">
        <v>0.75029999999999997</v>
      </c>
      <c r="I72" s="6">
        <v>0.2</v>
      </c>
      <c r="J72">
        <v>30394.833999999999</v>
      </c>
    </row>
    <row r="73" spans="1:10" x14ac:dyDescent="0.3">
      <c r="A73" s="31">
        <v>45869</v>
      </c>
      <c r="B73" t="s">
        <v>462</v>
      </c>
      <c r="C73" t="s">
        <v>192</v>
      </c>
      <c r="D73" t="s">
        <v>471</v>
      </c>
      <c r="E73">
        <v>86542.77</v>
      </c>
      <c r="F73">
        <v>21609.4</v>
      </c>
      <c r="G73">
        <v>64933.37</v>
      </c>
      <c r="H73" s="6">
        <v>0.75029999999999997</v>
      </c>
      <c r="I73" s="6">
        <v>0.2</v>
      </c>
      <c r="J73">
        <v>12986.674000000001</v>
      </c>
    </row>
    <row r="74" spans="1:10" x14ac:dyDescent="0.3">
      <c r="A74" s="31">
        <v>45869</v>
      </c>
      <c r="B74" t="s">
        <v>462</v>
      </c>
      <c r="C74" t="s">
        <v>192</v>
      </c>
      <c r="D74" t="s">
        <v>470</v>
      </c>
      <c r="E74">
        <v>145665.85</v>
      </c>
      <c r="F74">
        <v>36372.21</v>
      </c>
      <c r="G74">
        <v>109293.64</v>
      </c>
      <c r="H74" s="6">
        <v>0.75029999999999997</v>
      </c>
      <c r="I74" s="6">
        <v>0.2</v>
      </c>
      <c r="J74">
        <v>21858.727999999999</v>
      </c>
    </row>
    <row r="75" spans="1:10" x14ac:dyDescent="0.3">
      <c r="A75" s="31">
        <v>45869</v>
      </c>
      <c r="B75" t="s">
        <v>462</v>
      </c>
      <c r="C75" t="s">
        <v>192</v>
      </c>
      <c r="D75" t="s">
        <v>469</v>
      </c>
      <c r="E75">
        <v>92439.95</v>
      </c>
      <c r="F75">
        <v>23081.9</v>
      </c>
      <c r="G75">
        <v>69358.039999999994</v>
      </c>
      <c r="H75" s="6">
        <v>0.75029999999999997</v>
      </c>
      <c r="I75" s="6">
        <v>0.15</v>
      </c>
      <c r="J75">
        <v>10403.706</v>
      </c>
    </row>
    <row r="76" spans="1:10" x14ac:dyDescent="0.3">
      <c r="A76" s="31">
        <v>45869</v>
      </c>
      <c r="B76" t="s">
        <v>462</v>
      </c>
      <c r="C76" t="s">
        <v>192</v>
      </c>
      <c r="D76" t="s">
        <v>468</v>
      </c>
      <c r="E76">
        <v>68408.759999999995</v>
      </c>
      <c r="F76">
        <v>17081.41</v>
      </c>
      <c r="G76">
        <v>51327.35</v>
      </c>
      <c r="H76" s="6">
        <v>0.75029999999999997</v>
      </c>
      <c r="I76" s="6">
        <v>0.1</v>
      </c>
      <c r="J76">
        <v>5132.7350000000006</v>
      </c>
    </row>
    <row r="77" spans="1:10" x14ac:dyDescent="0.3">
      <c r="A77" s="31">
        <v>45869</v>
      </c>
      <c r="B77" t="s">
        <v>462</v>
      </c>
      <c r="C77" t="s">
        <v>192</v>
      </c>
      <c r="D77" t="s">
        <v>467</v>
      </c>
      <c r="E77">
        <v>143485.54</v>
      </c>
      <c r="F77">
        <v>35827.79</v>
      </c>
      <c r="G77">
        <v>107657.75</v>
      </c>
      <c r="H77" s="6">
        <v>0.75029999999999997</v>
      </c>
      <c r="I77" s="6">
        <v>0.1</v>
      </c>
      <c r="J77">
        <v>10765.775</v>
      </c>
    </row>
    <row r="78" spans="1:10" x14ac:dyDescent="0.3">
      <c r="A78" s="31">
        <v>45869</v>
      </c>
      <c r="B78" t="s">
        <v>462</v>
      </c>
      <c r="C78" t="s">
        <v>192</v>
      </c>
      <c r="D78" t="s">
        <v>466</v>
      </c>
      <c r="E78">
        <v>119318.85</v>
      </c>
      <c r="F78">
        <v>29793.46</v>
      </c>
      <c r="G78">
        <v>89525.38</v>
      </c>
      <c r="H78" s="6">
        <v>0.75029999999999997</v>
      </c>
      <c r="I78" s="6">
        <v>0.2</v>
      </c>
      <c r="J78">
        <v>17905.076000000001</v>
      </c>
    </row>
    <row r="79" spans="1:10" x14ac:dyDescent="0.3">
      <c r="A79" s="31">
        <v>45869</v>
      </c>
      <c r="B79" t="s">
        <v>462</v>
      </c>
      <c r="C79" t="s">
        <v>192</v>
      </c>
      <c r="D79" t="s">
        <v>465</v>
      </c>
      <c r="E79">
        <v>57037.47</v>
      </c>
      <c r="F79">
        <v>14242.04</v>
      </c>
      <c r="G79">
        <v>42795.43</v>
      </c>
      <c r="H79" s="6">
        <v>0.75029999999999997</v>
      </c>
      <c r="I79" s="6">
        <v>0.1</v>
      </c>
      <c r="J79">
        <v>4279.5430000000006</v>
      </c>
    </row>
    <row r="80" spans="1:10" x14ac:dyDescent="0.3">
      <c r="A80" s="31">
        <v>45869</v>
      </c>
      <c r="B80" t="s">
        <v>462</v>
      </c>
      <c r="C80" t="s">
        <v>192</v>
      </c>
      <c r="D80" t="s">
        <v>464</v>
      </c>
      <c r="E80">
        <v>37357.33</v>
      </c>
      <c r="F80">
        <v>9327.98</v>
      </c>
      <c r="G80">
        <v>28029.34</v>
      </c>
      <c r="H80" s="6">
        <v>0.75029999999999997</v>
      </c>
      <c r="I80" s="6">
        <v>0.1</v>
      </c>
      <c r="J80">
        <v>2802.9340000000002</v>
      </c>
    </row>
    <row r="81" spans="1:10" x14ac:dyDescent="0.3">
      <c r="A81" s="31">
        <v>45869</v>
      </c>
      <c r="B81" t="s">
        <v>462</v>
      </c>
      <c r="C81" t="s">
        <v>192</v>
      </c>
      <c r="D81" t="s">
        <v>463</v>
      </c>
      <c r="E81">
        <v>26303.38</v>
      </c>
      <c r="F81">
        <v>6567.86</v>
      </c>
      <c r="G81">
        <v>19735.55</v>
      </c>
      <c r="H81" s="6">
        <v>0.75029999999999997</v>
      </c>
      <c r="I81" s="6">
        <v>0.1</v>
      </c>
      <c r="J81">
        <v>1973.5550000000001</v>
      </c>
    </row>
    <row r="82" spans="1:10" x14ac:dyDescent="0.3">
      <c r="A82" s="31">
        <v>45900</v>
      </c>
      <c r="B82" t="s">
        <v>462</v>
      </c>
      <c r="C82" t="s">
        <v>192</v>
      </c>
      <c r="D82" t="s">
        <v>472</v>
      </c>
      <c r="E82">
        <v>203265.73</v>
      </c>
      <c r="F82">
        <v>40321.89</v>
      </c>
      <c r="G82">
        <v>162943.84</v>
      </c>
      <c r="H82" s="6">
        <v>0.80159999999999998</v>
      </c>
      <c r="I82" s="6">
        <v>0.2</v>
      </c>
      <c r="J82">
        <v>32588.768</v>
      </c>
    </row>
    <row r="83" spans="1:10" x14ac:dyDescent="0.3">
      <c r="A83" s="31">
        <v>45900</v>
      </c>
      <c r="B83" t="s">
        <v>462</v>
      </c>
      <c r="C83" t="s">
        <v>192</v>
      </c>
      <c r="D83" t="s">
        <v>471</v>
      </c>
      <c r="E83">
        <v>119519.93</v>
      </c>
      <c r="F83">
        <v>23709.21</v>
      </c>
      <c r="G83">
        <v>95810.72</v>
      </c>
      <c r="H83" s="6">
        <v>0.80159999999999998</v>
      </c>
      <c r="I83" s="6">
        <v>0.2</v>
      </c>
      <c r="J83">
        <v>19162.144</v>
      </c>
    </row>
    <row r="84" spans="1:10" x14ac:dyDescent="0.3">
      <c r="A84" s="31">
        <v>45900</v>
      </c>
      <c r="B84" t="s">
        <v>462</v>
      </c>
      <c r="C84" t="s">
        <v>192</v>
      </c>
      <c r="D84" t="s">
        <v>470</v>
      </c>
      <c r="E84">
        <v>119242.09</v>
      </c>
      <c r="F84">
        <v>23654.09</v>
      </c>
      <c r="G84">
        <v>95588</v>
      </c>
      <c r="H84" s="6">
        <v>0.80159999999999998</v>
      </c>
      <c r="I84" s="6">
        <v>0.2</v>
      </c>
      <c r="J84">
        <v>19117.599999999999</v>
      </c>
    </row>
    <row r="85" spans="1:10" x14ac:dyDescent="0.3">
      <c r="A85" s="31">
        <v>45900</v>
      </c>
      <c r="B85" t="s">
        <v>462</v>
      </c>
      <c r="C85" t="s">
        <v>192</v>
      </c>
      <c r="D85" t="s">
        <v>469</v>
      </c>
      <c r="E85">
        <v>76402.990000000005</v>
      </c>
      <c r="F85">
        <v>15156.08</v>
      </c>
      <c r="G85">
        <v>61246.9</v>
      </c>
      <c r="H85" s="6">
        <v>0.80159999999999998</v>
      </c>
      <c r="I85" s="6">
        <v>0.15</v>
      </c>
      <c r="J85">
        <v>9187.0349999999999</v>
      </c>
    </row>
    <row r="86" spans="1:10" x14ac:dyDescent="0.3">
      <c r="A86" s="31">
        <v>45900</v>
      </c>
      <c r="B86" t="s">
        <v>462</v>
      </c>
      <c r="C86" t="s">
        <v>192</v>
      </c>
      <c r="D86" t="s">
        <v>468</v>
      </c>
      <c r="E86">
        <v>55691.87</v>
      </c>
      <c r="F86">
        <v>11047.61</v>
      </c>
      <c r="G86">
        <v>44644.26</v>
      </c>
      <c r="H86" s="6">
        <v>0.80159999999999998</v>
      </c>
      <c r="I86" s="6">
        <v>0.1</v>
      </c>
      <c r="J86">
        <v>4464.4260000000004</v>
      </c>
    </row>
    <row r="87" spans="1:10" x14ac:dyDescent="0.3">
      <c r="A87" s="31">
        <v>45900</v>
      </c>
      <c r="B87" t="s">
        <v>462</v>
      </c>
      <c r="C87" t="s">
        <v>192</v>
      </c>
      <c r="D87" t="s">
        <v>467</v>
      </c>
      <c r="E87">
        <v>102987.33</v>
      </c>
      <c r="F87">
        <v>20429.63</v>
      </c>
      <c r="G87">
        <v>82557.7</v>
      </c>
      <c r="H87" s="6">
        <v>0.80159999999999998</v>
      </c>
      <c r="I87" s="6">
        <v>0.1</v>
      </c>
      <c r="J87">
        <v>8255.77</v>
      </c>
    </row>
    <row r="88" spans="1:10" x14ac:dyDescent="0.3">
      <c r="A88" s="31">
        <v>45900</v>
      </c>
      <c r="B88" t="s">
        <v>462</v>
      </c>
      <c r="C88" t="s">
        <v>192</v>
      </c>
      <c r="D88" t="s">
        <v>466</v>
      </c>
      <c r="E88">
        <v>59824.44</v>
      </c>
      <c r="F88">
        <v>11867.39</v>
      </c>
      <c r="G88">
        <v>47957.05</v>
      </c>
      <c r="H88" s="6">
        <v>0.80159999999999998</v>
      </c>
      <c r="I88" s="6">
        <v>0.2</v>
      </c>
      <c r="J88">
        <v>9591.4100000000017</v>
      </c>
    </row>
    <row r="89" spans="1:10" x14ac:dyDescent="0.3">
      <c r="A89" s="31">
        <v>45900</v>
      </c>
      <c r="B89" t="s">
        <v>462</v>
      </c>
      <c r="C89" t="s">
        <v>192</v>
      </c>
      <c r="D89" t="s">
        <v>465</v>
      </c>
      <c r="E89">
        <v>99935.9</v>
      </c>
      <c r="F89">
        <v>19824.32</v>
      </c>
      <c r="G89">
        <v>80111.59</v>
      </c>
      <c r="H89" s="6">
        <v>0.80159999999999998</v>
      </c>
      <c r="I89" s="6">
        <v>0.1</v>
      </c>
      <c r="J89">
        <v>8011.1589999999997</v>
      </c>
    </row>
    <row r="90" spans="1:10" x14ac:dyDescent="0.3">
      <c r="A90" s="31">
        <v>45900</v>
      </c>
      <c r="B90" t="s">
        <v>462</v>
      </c>
      <c r="C90" t="s">
        <v>192</v>
      </c>
      <c r="D90" t="s">
        <v>464</v>
      </c>
      <c r="E90">
        <v>61480.52</v>
      </c>
      <c r="F90">
        <v>12195.91</v>
      </c>
      <c r="G90">
        <v>49284.61</v>
      </c>
      <c r="H90" s="6">
        <v>0.80159999999999998</v>
      </c>
      <c r="I90" s="6">
        <v>0.1</v>
      </c>
      <c r="J90">
        <v>4928.4610000000002</v>
      </c>
    </row>
    <row r="91" spans="1:10" x14ac:dyDescent="0.3">
      <c r="A91" s="31">
        <v>45900</v>
      </c>
      <c r="B91" t="s">
        <v>462</v>
      </c>
      <c r="C91" t="s">
        <v>192</v>
      </c>
      <c r="D91" t="s">
        <v>463</v>
      </c>
      <c r="E91">
        <v>75525.53</v>
      </c>
      <c r="F91">
        <v>14982.03</v>
      </c>
      <c r="G91">
        <v>60543.51</v>
      </c>
      <c r="H91" s="6">
        <v>0.80159999999999998</v>
      </c>
      <c r="I91" s="6">
        <v>0.1</v>
      </c>
      <c r="J91">
        <v>6054.3510000000006</v>
      </c>
    </row>
    <row r="92" spans="1:10" x14ac:dyDescent="0.3">
      <c r="A92" s="31">
        <v>45930</v>
      </c>
      <c r="B92" t="s">
        <v>462</v>
      </c>
      <c r="C92" t="s">
        <v>192</v>
      </c>
      <c r="D92" t="s">
        <v>472</v>
      </c>
      <c r="E92">
        <v>169759.67</v>
      </c>
      <c r="F92">
        <v>22288.75</v>
      </c>
      <c r="G92">
        <v>147470.93</v>
      </c>
      <c r="H92" s="6">
        <v>0.86870000000000003</v>
      </c>
      <c r="I92" s="6">
        <v>0.2</v>
      </c>
      <c r="J92">
        <v>29494.186000000002</v>
      </c>
    </row>
    <row r="93" spans="1:10" x14ac:dyDescent="0.3">
      <c r="A93" s="31">
        <v>45930</v>
      </c>
      <c r="B93" t="s">
        <v>462</v>
      </c>
      <c r="C93" t="s">
        <v>192</v>
      </c>
      <c r="D93" t="s">
        <v>471</v>
      </c>
      <c r="E93">
        <v>199510.35</v>
      </c>
      <c r="F93">
        <v>26194.89</v>
      </c>
      <c r="G93">
        <v>173315.46</v>
      </c>
      <c r="H93" s="6">
        <v>0.86870000000000003</v>
      </c>
      <c r="I93" s="6">
        <v>0.2</v>
      </c>
      <c r="J93">
        <v>34663.091999999997</v>
      </c>
    </row>
    <row r="94" spans="1:10" x14ac:dyDescent="0.3">
      <c r="A94" s="31">
        <v>45930</v>
      </c>
      <c r="B94" t="s">
        <v>462</v>
      </c>
      <c r="C94" t="s">
        <v>192</v>
      </c>
      <c r="D94" t="s">
        <v>470</v>
      </c>
      <c r="E94">
        <v>101725.53</v>
      </c>
      <c r="F94">
        <v>13356.14</v>
      </c>
      <c r="G94">
        <v>88369.39</v>
      </c>
      <c r="H94" s="6">
        <v>0.86870000000000003</v>
      </c>
      <c r="I94" s="6">
        <v>0.2</v>
      </c>
      <c r="J94">
        <v>17673.878000000001</v>
      </c>
    </row>
    <row r="95" spans="1:10" x14ac:dyDescent="0.3">
      <c r="A95" s="31">
        <v>45930</v>
      </c>
      <c r="B95" t="s">
        <v>462</v>
      </c>
      <c r="C95" t="s">
        <v>192</v>
      </c>
      <c r="D95" t="s">
        <v>469</v>
      </c>
      <c r="E95">
        <v>42117.17</v>
      </c>
      <c r="F95">
        <v>5529.81</v>
      </c>
      <c r="G95">
        <v>36587.360000000001</v>
      </c>
      <c r="H95" s="6">
        <v>0.86870000000000003</v>
      </c>
      <c r="I95" s="6">
        <v>0.15</v>
      </c>
      <c r="J95">
        <v>5488.1040000000003</v>
      </c>
    </row>
    <row r="96" spans="1:10" x14ac:dyDescent="0.3">
      <c r="A96" s="31">
        <v>45930</v>
      </c>
      <c r="B96" t="s">
        <v>462</v>
      </c>
      <c r="C96" t="s">
        <v>192</v>
      </c>
      <c r="D96" t="s">
        <v>468</v>
      </c>
      <c r="E96">
        <v>77598.64</v>
      </c>
      <c r="F96">
        <v>10188.379999999999</v>
      </c>
      <c r="G96">
        <v>67410.259999999995</v>
      </c>
      <c r="H96" s="6">
        <v>0.86870000000000003</v>
      </c>
      <c r="I96" s="6">
        <v>0.1</v>
      </c>
      <c r="J96">
        <v>6741.0259999999998</v>
      </c>
    </row>
    <row r="97" spans="1:10" x14ac:dyDescent="0.3">
      <c r="A97" s="31">
        <v>45930</v>
      </c>
      <c r="B97" t="s">
        <v>462</v>
      </c>
      <c r="C97" t="s">
        <v>192</v>
      </c>
      <c r="D97" t="s">
        <v>467</v>
      </c>
      <c r="E97">
        <v>85333.79</v>
      </c>
      <c r="F97">
        <v>11203.97</v>
      </c>
      <c r="G97">
        <v>74129.81</v>
      </c>
      <c r="H97" s="6">
        <v>0.86870000000000003</v>
      </c>
      <c r="I97" s="6">
        <v>0.1</v>
      </c>
      <c r="J97">
        <v>7412.9809999999998</v>
      </c>
    </row>
    <row r="98" spans="1:10" x14ac:dyDescent="0.3">
      <c r="A98" s="31">
        <v>45930</v>
      </c>
      <c r="B98" t="s">
        <v>462</v>
      </c>
      <c r="C98" t="s">
        <v>192</v>
      </c>
      <c r="D98" t="s">
        <v>466</v>
      </c>
      <c r="E98">
        <v>147273.26</v>
      </c>
      <c r="F98">
        <v>19336.37</v>
      </c>
      <c r="G98">
        <v>127936.89</v>
      </c>
      <c r="H98" s="6">
        <v>0.86870000000000003</v>
      </c>
      <c r="I98" s="6">
        <v>0.2</v>
      </c>
      <c r="J98">
        <v>25587.378000000001</v>
      </c>
    </row>
    <row r="99" spans="1:10" x14ac:dyDescent="0.3">
      <c r="A99" s="31">
        <v>45930</v>
      </c>
      <c r="B99" t="s">
        <v>462</v>
      </c>
      <c r="C99" t="s">
        <v>192</v>
      </c>
      <c r="D99" t="s">
        <v>465</v>
      </c>
      <c r="E99">
        <v>68975.77</v>
      </c>
      <c r="F99">
        <v>9056.23</v>
      </c>
      <c r="G99">
        <v>59919.54</v>
      </c>
      <c r="H99" s="6">
        <v>0.86870000000000003</v>
      </c>
      <c r="I99" s="6">
        <v>0.1</v>
      </c>
      <c r="J99">
        <v>5991.9540000000006</v>
      </c>
    </row>
    <row r="100" spans="1:10" x14ac:dyDescent="0.3">
      <c r="A100" s="31">
        <v>45930</v>
      </c>
      <c r="B100" t="s">
        <v>462</v>
      </c>
      <c r="C100" t="s">
        <v>192</v>
      </c>
      <c r="D100" t="s">
        <v>464</v>
      </c>
      <c r="E100">
        <v>71597.070000000007</v>
      </c>
      <c r="F100">
        <v>9400.4</v>
      </c>
      <c r="G100">
        <v>62196.67</v>
      </c>
      <c r="H100" s="6">
        <v>0.86870000000000003</v>
      </c>
      <c r="I100" s="6">
        <v>0.1</v>
      </c>
      <c r="J100">
        <v>6219.6670000000004</v>
      </c>
    </row>
    <row r="101" spans="1:10" x14ac:dyDescent="0.3">
      <c r="A101" s="31">
        <v>45930</v>
      </c>
      <c r="B101" t="s">
        <v>462</v>
      </c>
      <c r="C101" t="s">
        <v>192</v>
      </c>
      <c r="D101" t="s">
        <v>463</v>
      </c>
      <c r="E101">
        <v>81996.820000000007</v>
      </c>
      <c r="F101">
        <v>10765.85</v>
      </c>
      <c r="G101">
        <v>71230.97</v>
      </c>
      <c r="H101" s="6">
        <v>0.86870000000000003</v>
      </c>
      <c r="I101" s="6">
        <v>0.1</v>
      </c>
      <c r="J101">
        <v>7123.0970000000007</v>
      </c>
    </row>
    <row r="102" spans="1:10" x14ac:dyDescent="0.3">
      <c r="A102" s="31">
        <v>45961</v>
      </c>
      <c r="B102" t="s">
        <v>462</v>
      </c>
      <c r="C102" t="s">
        <v>192</v>
      </c>
      <c r="D102" t="s">
        <v>472</v>
      </c>
      <c r="E102">
        <v>155656.47</v>
      </c>
      <c r="F102">
        <v>37891.64</v>
      </c>
      <c r="G102">
        <v>117764.83</v>
      </c>
      <c r="H102" s="6">
        <v>0.75660000000000005</v>
      </c>
      <c r="I102" s="6">
        <v>0.2</v>
      </c>
      <c r="J102">
        <v>23552.966</v>
      </c>
    </row>
    <row r="103" spans="1:10" x14ac:dyDescent="0.3">
      <c r="A103" s="31">
        <v>45961</v>
      </c>
      <c r="B103" t="s">
        <v>462</v>
      </c>
      <c r="C103" t="s">
        <v>192</v>
      </c>
      <c r="D103" t="s">
        <v>471</v>
      </c>
      <c r="E103">
        <v>189925.85</v>
      </c>
      <c r="F103">
        <v>46233.88</v>
      </c>
      <c r="G103">
        <v>143691.97</v>
      </c>
      <c r="H103" s="6">
        <v>0.75660000000000005</v>
      </c>
      <c r="I103" s="6">
        <v>0.2</v>
      </c>
      <c r="J103">
        <v>28738.394</v>
      </c>
    </row>
    <row r="104" spans="1:10" x14ac:dyDescent="0.3">
      <c r="A104" s="31">
        <v>45961</v>
      </c>
      <c r="B104" t="s">
        <v>462</v>
      </c>
      <c r="C104" t="s">
        <v>192</v>
      </c>
      <c r="D104" t="s">
        <v>470</v>
      </c>
      <c r="E104">
        <v>74091.149999999994</v>
      </c>
      <c r="F104">
        <v>18036.099999999999</v>
      </c>
      <c r="G104">
        <v>56055.05</v>
      </c>
      <c r="H104" s="6">
        <v>0.75660000000000005</v>
      </c>
      <c r="I104" s="6">
        <v>0.2</v>
      </c>
      <c r="J104">
        <v>11211.01</v>
      </c>
    </row>
    <row r="105" spans="1:10" x14ac:dyDescent="0.3">
      <c r="A105" s="31">
        <v>45961</v>
      </c>
      <c r="B105" t="s">
        <v>462</v>
      </c>
      <c r="C105" t="s">
        <v>192</v>
      </c>
      <c r="D105" t="s">
        <v>469</v>
      </c>
      <c r="E105">
        <v>71920.67</v>
      </c>
      <c r="F105">
        <v>17507.73</v>
      </c>
      <c r="G105">
        <v>54412.94</v>
      </c>
      <c r="H105" s="6">
        <v>0.75660000000000005</v>
      </c>
      <c r="I105" s="6">
        <v>0.15</v>
      </c>
      <c r="J105">
        <v>8161.9409999999998</v>
      </c>
    </row>
    <row r="106" spans="1:10" x14ac:dyDescent="0.3">
      <c r="A106" s="31">
        <v>45961</v>
      </c>
      <c r="B106" t="s">
        <v>462</v>
      </c>
      <c r="C106" t="s">
        <v>192</v>
      </c>
      <c r="D106" t="s">
        <v>468</v>
      </c>
      <c r="E106">
        <v>64108.39</v>
      </c>
      <c r="F106">
        <v>15605.98</v>
      </c>
      <c r="G106">
        <v>48502.41</v>
      </c>
      <c r="H106" s="6">
        <v>0.75660000000000005</v>
      </c>
      <c r="I106" s="6">
        <v>0.1</v>
      </c>
      <c r="J106">
        <v>4850.2410000000009</v>
      </c>
    </row>
    <row r="107" spans="1:10" x14ac:dyDescent="0.3">
      <c r="A107" s="31">
        <v>45961</v>
      </c>
      <c r="B107" t="s">
        <v>462</v>
      </c>
      <c r="C107" t="s">
        <v>192</v>
      </c>
      <c r="D107" t="s">
        <v>467</v>
      </c>
      <c r="E107">
        <v>129500.84</v>
      </c>
      <c r="F107">
        <v>31524.54</v>
      </c>
      <c r="G107">
        <v>97976.3</v>
      </c>
      <c r="H107" s="6">
        <v>0.75660000000000005</v>
      </c>
      <c r="I107" s="6">
        <v>0.1</v>
      </c>
      <c r="J107">
        <v>9797.630000000001</v>
      </c>
    </row>
    <row r="108" spans="1:10" x14ac:dyDescent="0.3">
      <c r="A108" s="31">
        <v>45961</v>
      </c>
      <c r="B108" t="s">
        <v>462</v>
      </c>
      <c r="C108" t="s">
        <v>192</v>
      </c>
      <c r="D108" t="s">
        <v>466</v>
      </c>
      <c r="E108">
        <v>148215.95000000001</v>
      </c>
      <c r="F108">
        <v>36080.379999999997</v>
      </c>
      <c r="G108">
        <v>112135.56</v>
      </c>
      <c r="H108" s="6">
        <v>0.75660000000000005</v>
      </c>
      <c r="I108" s="6">
        <v>0.2</v>
      </c>
      <c r="J108">
        <v>22427.112000000001</v>
      </c>
    </row>
    <row r="109" spans="1:10" x14ac:dyDescent="0.3">
      <c r="A109" s="31">
        <v>45961</v>
      </c>
      <c r="B109" t="s">
        <v>462</v>
      </c>
      <c r="C109" t="s">
        <v>192</v>
      </c>
      <c r="D109" t="s">
        <v>465</v>
      </c>
      <c r="E109">
        <v>15737.82</v>
      </c>
      <c r="F109">
        <v>3831.08</v>
      </c>
      <c r="G109">
        <v>11906.74</v>
      </c>
      <c r="H109" s="6">
        <v>0.75660000000000005</v>
      </c>
      <c r="I109" s="6">
        <v>0.1</v>
      </c>
      <c r="J109">
        <v>1190.674</v>
      </c>
    </row>
    <row r="110" spans="1:10" x14ac:dyDescent="0.3">
      <c r="A110" s="31">
        <v>45961</v>
      </c>
      <c r="B110" t="s">
        <v>462</v>
      </c>
      <c r="C110" t="s">
        <v>192</v>
      </c>
      <c r="D110" t="s">
        <v>464</v>
      </c>
      <c r="E110">
        <v>71422.67</v>
      </c>
      <c r="F110">
        <v>17386.509999999998</v>
      </c>
      <c r="G110">
        <v>54036.160000000003</v>
      </c>
      <c r="H110" s="6">
        <v>0.75660000000000005</v>
      </c>
      <c r="I110" s="6">
        <v>0.1</v>
      </c>
      <c r="J110">
        <v>5403.6160000000009</v>
      </c>
    </row>
    <row r="111" spans="1:10" x14ac:dyDescent="0.3">
      <c r="A111" s="31">
        <v>45961</v>
      </c>
      <c r="B111" t="s">
        <v>462</v>
      </c>
      <c r="C111" t="s">
        <v>192</v>
      </c>
      <c r="D111" t="s">
        <v>463</v>
      </c>
      <c r="E111">
        <v>105243.86</v>
      </c>
      <c r="F111">
        <v>25619.64</v>
      </c>
      <c r="G111">
        <v>79624.22</v>
      </c>
      <c r="H111" s="6">
        <v>0.75660000000000005</v>
      </c>
      <c r="I111" s="6">
        <v>0.1</v>
      </c>
      <c r="J111">
        <v>7962.4219999999996</v>
      </c>
    </row>
    <row r="112" spans="1:10" x14ac:dyDescent="0.3">
      <c r="A112" s="31">
        <v>45991</v>
      </c>
      <c r="B112" t="s">
        <v>462</v>
      </c>
      <c r="C112" t="s">
        <v>192</v>
      </c>
      <c r="D112" t="s">
        <v>472</v>
      </c>
      <c r="E112">
        <v>183958.05</v>
      </c>
      <c r="F112">
        <v>29505.83</v>
      </c>
      <c r="G112">
        <v>154452.22</v>
      </c>
      <c r="H112" s="6">
        <v>0.83960000000000001</v>
      </c>
      <c r="I112" s="6">
        <v>0.2</v>
      </c>
      <c r="J112">
        <v>30890.444</v>
      </c>
    </row>
    <row r="113" spans="1:10" x14ac:dyDescent="0.3">
      <c r="A113" s="31">
        <v>45991</v>
      </c>
      <c r="B113" t="s">
        <v>462</v>
      </c>
      <c r="C113" t="s">
        <v>192</v>
      </c>
      <c r="D113" t="s">
        <v>471</v>
      </c>
      <c r="E113">
        <v>54405.34</v>
      </c>
      <c r="F113">
        <v>8726.31</v>
      </c>
      <c r="G113">
        <v>45679.03</v>
      </c>
      <c r="H113" s="6">
        <v>0.83960000000000001</v>
      </c>
      <c r="I113" s="6">
        <v>0.2</v>
      </c>
      <c r="J113">
        <v>9135.8060000000005</v>
      </c>
    </row>
    <row r="114" spans="1:10" x14ac:dyDescent="0.3">
      <c r="A114" s="31">
        <v>45991</v>
      </c>
      <c r="B114" t="s">
        <v>462</v>
      </c>
      <c r="C114" t="s">
        <v>192</v>
      </c>
      <c r="D114" t="s">
        <v>470</v>
      </c>
      <c r="E114">
        <v>101987.22</v>
      </c>
      <c r="F114">
        <v>16358.17</v>
      </c>
      <c r="G114">
        <v>85629.04</v>
      </c>
      <c r="H114" s="6">
        <v>0.83960000000000001</v>
      </c>
      <c r="I114" s="6">
        <v>0.2</v>
      </c>
      <c r="J114">
        <v>17125.808000000001</v>
      </c>
    </row>
    <row r="115" spans="1:10" x14ac:dyDescent="0.3">
      <c r="A115" s="31">
        <v>45991</v>
      </c>
      <c r="B115" t="s">
        <v>462</v>
      </c>
      <c r="C115" t="s">
        <v>192</v>
      </c>
      <c r="D115" t="s">
        <v>469</v>
      </c>
      <c r="E115">
        <v>114599.16</v>
      </c>
      <c r="F115">
        <v>18381.060000000001</v>
      </c>
      <c r="G115">
        <v>96218.1</v>
      </c>
      <c r="H115" s="6">
        <v>0.83960000000000001</v>
      </c>
      <c r="I115" s="6">
        <v>0.15</v>
      </c>
      <c r="J115">
        <v>14432.715</v>
      </c>
    </row>
    <row r="116" spans="1:10" x14ac:dyDescent="0.3">
      <c r="A116" s="31">
        <v>45991</v>
      </c>
      <c r="B116" t="s">
        <v>462</v>
      </c>
      <c r="C116" t="s">
        <v>192</v>
      </c>
      <c r="D116" t="s">
        <v>468</v>
      </c>
      <c r="E116">
        <v>74040.28</v>
      </c>
      <c r="F116">
        <v>11875.64</v>
      </c>
      <c r="G116">
        <v>62164.63</v>
      </c>
      <c r="H116" s="6">
        <v>0.83960000000000001</v>
      </c>
      <c r="I116" s="6">
        <v>0.1</v>
      </c>
      <c r="J116">
        <v>6216.4629999999997</v>
      </c>
    </row>
    <row r="117" spans="1:10" x14ac:dyDescent="0.3">
      <c r="A117" s="31">
        <v>45991</v>
      </c>
      <c r="B117" t="s">
        <v>462</v>
      </c>
      <c r="C117" t="s">
        <v>192</v>
      </c>
      <c r="D117" t="s">
        <v>467</v>
      </c>
      <c r="E117">
        <v>107386.64</v>
      </c>
      <c r="F117">
        <v>17224.21</v>
      </c>
      <c r="G117">
        <v>90162.43</v>
      </c>
      <c r="H117" s="6">
        <v>0.83960000000000001</v>
      </c>
      <c r="I117" s="6">
        <v>0.1</v>
      </c>
      <c r="J117">
        <v>9016.2430000000004</v>
      </c>
    </row>
    <row r="118" spans="1:10" x14ac:dyDescent="0.3">
      <c r="A118" s="31">
        <v>45991</v>
      </c>
      <c r="B118" t="s">
        <v>462</v>
      </c>
      <c r="C118" t="s">
        <v>192</v>
      </c>
      <c r="D118" t="s">
        <v>466</v>
      </c>
      <c r="E118">
        <v>141226.10999999999</v>
      </c>
      <c r="F118">
        <v>22651.87</v>
      </c>
      <c r="G118">
        <v>118574.24</v>
      </c>
      <c r="H118" s="6">
        <v>0.83960000000000001</v>
      </c>
      <c r="I118" s="6">
        <v>0.2</v>
      </c>
      <c r="J118">
        <v>23714.848000000002</v>
      </c>
    </row>
    <row r="119" spans="1:10" x14ac:dyDescent="0.3">
      <c r="A119" s="31">
        <v>45991</v>
      </c>
      <c r="B119" t="s">
        <v>462</v>
      </c>
      <c r="C119" t="s">
        <v>192</v>
      </c>
      <c r="D119" t="s">
        <v>465</v>
      </c>
      <c r="E119">
        <v>65533.5</v>
      </c>
      <c r="F119">
        <v>10511.2</v>
      </c>
      <c r="G119">
        <v>55022.29</v>
      </c>
      <c r="H119" s="6">
        <v>0.83960000000000001</v>
      </c>
      <c r="I119" s="6">
        <v>0.1</v>
      </c>
      <c r="J119">
        <v>5502.2290000000003</v>
      </c>
    </row>
    <row r="120" spans="1:10" x14ac:dyDescent="0.3">
      <c r="A120" s="31">
        <v>45991</v>
      </c>
      <c r="B120" t="s">
        <v>462</v>
      </c>
      <c r="C120" t="s">
        <v>192</v>
      </c>
      <c r="D120" t="s">
        <v>464</v>
      </c>
      <c r="E120">
        <v>86763.1</v>
      </c>
      <c r="F120">
        <v>13916.31</v>
      </c>
      <c r="G120">
        <v>72846.789999999994</v>
      </c>
      <c r="H120" s="6">
        <v>0.83960000000000001</v>
      </c>
      <c r="I120" s="6">
        <v>0.1</v>
      </c>
      <c r="J120">
        <v>7284.6790000000001</v>
      </c>
    </row>
    <row r="121" spans="1:10" x14ac:dyDescent="0.3">
      <c r="A121" s="31">
        <v>45991</v>
      </c>
      <c r="B121" t="s">
        <v>462</v>
      </c>
      <c r="C121" t="s">
        <v>192</v>
      </c>
      <c r="D121" t="s">
        <v>463</v>
      </c>
      <c r="E121">
        <v>86937.79</v>
      </c>
      <c r="F121">
        <v>13944.34</v>
      </c>
      <c r="G121">
        <v>72993.48</v>
      </c>
      <c r="H121" s="6">
        <v>0.83960000000000001</v>
      </c>
      <c r="I121" s="6">
        <v>0.1</v>
      </c>
      <c r="J121">
        <v>7299.348</v>
      </c>
    </row>
    <row r="122" spans="1:10" x14ac:dyDescent="0.3">
      <c r="A122" s="31">
        <v>45657</v>
      </c>
      <c r="B122" t="s">
        <v>462</v>
      </c>
      <c r="C122" t="s">
        <v>191</v>
      </c>
      <c r="D122" t="s">
        <v>472</v>
      </c>
      <c r="E122">
        <v>154686</v>
      </c>
      <c r="F122">
        <v>26798.61</v>
      </c>
      <c r="G122">
        <v>127887.39</v>
      </c>
      <c r="H122" s="6">
        <v>0.82679999999999998</v>
      </c>
      <c r="I122" s="6">
        <v>0.2</v>
      </c>
      <c r="J122">
        <v>25577.477999999999</v>
      </c>
    </row>
    <row r="123" spans="1:10" x14ac:dyDescent="0.3">
      <c r="A123" s="31">
        <v>45657</v>
      </c>
      <c r="B123" t="s">
        <v>462</v>
      </c>
      <c r="C123" t="s">
        <v>191</v>
      </c>
      <c r="D123" t="s">
        <v>471</v>
      </c>
      <c r="E123">
        <v>147106.12</v>
      </c>
      <c r="F123">
        <v>25485.439999999999</v>
      </c>
      <c r="G123">
        <v>121620.69</v>
      </c>
      <c r="H123" s="6">
        <v>0.82679999999999998</v>
      </c>
      <c r="I123" s="6">
        <v>0.2</v>
      </c>
      <c r="J123">
        <v>24324.137999999999</v>
      </c>
    </row>
    <row r="124" spans="1:10" x14ac:dyDescent="0.3">
      <c r="A124" s="31">
        <v>45657</v>
      </c>
      <c r="B124" t="s">
        <v>462</v>
      </c>
      <c r="C124" t="s">
        <v>191</v>
      </c>
      <c r="D124" t="s">
        <v>470</v>
      </c>
      <c r="E124">
        <v>121503.64</v>
      </c>
      <c r="F124">
        <v>21049.93</v>
      </c>
      <c r="G124">
        <v>100453.71</v>
      </c>
      <c r="H124" s="6">
        <v>0.82679999999999998</v>
      </c>
      <c r="I124" s="6">
        <v>0.2</v>
      </c>
      <c r="J124">
        <v>20090.741999999998</v>
      </c>
    </row>
    <row r="125" spans="1:10" x14ac:dyDescent="0.3">
      <c r="A125" s="31">
        <v>45657</v>
      </c>
      <c r="B125" t="s">
        <v>462</v>
      </c>
      <c r="C125" t="s">
        <v>191</v>
      </c>
      <c r="D125" t="s">
        <v>469</v>
      </c>
      <c r="E125">
        <v>64558.17</v>
      </c>
      <c r="F125">
        <v>11184.4</v>
      </c>
      <c r="G125">
        <v>53373.77</v>
      </c>
      <c r="H125" s="6">
        <v>0.82679999999999998</v>
      </c>
      <c r="I125" s="6">
        <v>0.15</v>
      </c>
      <c r="J125">
        <v>8006.0654999999988</v>
      </c>
    </row>
    <row r="126" spans="1:10" x14ac:dyDescent="0.3">
      <c r="A126" s="31">
        <v>45657</v>
      </c>
      <c r="B126" t="s">
        <v>462</v>
      </c>
      <c r="C126" t="s">
        <v>191</v>
      </c>
      <c r="D126" t="s">
        <v>468</v>
      </c>
      <c r="E126">
        <v>25810.92</v>
      </c>
      <c r="F126">
        <v>4471.62</v>
      </c>
      <c r="G126">
        <v>21339.3</v>
      </c>
      <c r="H126" s="6">
        <v>0.82679999999999998</v>
      </c>
      <c r="I126" s="6">
        <v>0.1</v>
      </c>
      <c r="J126">
        <v>2133.9299999999998</v>
      </c>
    </row>
    <row r="127" spans="1:10" x14ac:dyDescent="0.3">
      <c r="A127" s="31">
        <v>45657</v>
      </c>
      <c r="B127" t="s">
        <v>462</v>
      </c>
      <c r="C127" t="s">
        <v>191</v>
      </c>
      <c r="D127" t="s">
        <v>467</v>
      </c>
      <c r="E127">
        <v>56184.800000000003</v>
      </c>
      <c r="F127">
        <v>9733.75</v>
      </c>
      <c r="G127">
        <v>46451.05</v>
      </c>
      <c r="H127" s="6">
        <v>0.82679999999999998</v>
      </c>
      <c r="I127" s="6">
        <v>0.1</v>
      </c>
      <c r="J127">
        <v>4645.1049999999996</v>
      </c>
    </row>
    <row r="128" spans="1:10" x14ac:dyDescent="0.3">
      <c r="A128" s="31">
        <v>45657</v>
      </c>
      <c r="B128" t="s">
        <v>462</v>
      </c>
      <c r="C128" t="s">
        <v>191</v>
      </c>
      <c r="D128" t="s">
        <v>466</v>
      </c>
      <c r="E128">
        <v>46957.89</v>
      </c>
      <c r="F128">
        <v>8135.23</v>
      </c>
      <c r="G128">
        <v>38822.660000000003</v>
      </c>
      <c r="H128" s="6">
        <v>0.82679999999999998</v>
      </c>
      <c r="I128" s="6">
        <v>0.2</v>
      </c>
      <c r="J128">
        <v>7764.5320000000011</v>
      </c>
    </row>
    <row r="129" spans="1:10" x14ac:dyDescent="0.3">
      <c r="A129" s="31">
        <v>45657</v>
      </c>
      <c r="B129" t="s">
        <v>462</v>
      </c>
      <c r="C129" t="s">
        <v>191</v>
      </c>
      <c r="D129" t="s">
        <v>465</v>
      </c>
      <c r="E129">
        <v>40389.949999999997</v>
      </c>
      <c r="F129">
        <v>6997.37</v>
      </c>
      <c r="G129">
        <v>33392.58</v>
      </c>
      <c r="H129" s="6">
        <v>0.82679999999999998</v>
      </c>
      <c r="I129" s="6">
        <v>0.1</v>
      </c>
      <c r="J129">
        <v>3339.2579999999998</v>
      </c>
    </row>
    <row r="130" spans="1:10" x14ac:dyDescent="0.3">
      <c r="A130" s="31">
        <v>45657</v>
      </c>
      <c r="B130" t="s">
        <v>462</v>
      </c>
      <c r="C130" t="s">
        <v>191</v>
      </c>
      <c r="D130" t="s">
        <v>464</v>
      </c>
      <c r="E130">
        <v>97275.97</v>
      </c>
      <c r="F130">
        <v>16852.599999999999</v>
      </c>
      <c r="G130">
        <v>80423.38</v>
      </c>
      <c r="H130" s="6">
        <v>0.82679999999999998</v>
      </c>
      <c r="I130" s="6">
        <v>0.1</v>
      </c>
      <c r="J130">
        <v>8042.3380000000006</v>
      </c>
    </row>
    <row r="131" spans="1:10" x14ac:dyDescent="0.3">
      <c r="A131" s="31">
        <v>45657</v>
      </c>
      <c r="B131" t="s">
        <v>462</v>
      </c>
      <c r="C131" t="s">
        <v>191</v>
      </c>
      <c r="D131" t="s">
        <v>463</v>
      </c>
      <c r="E131">
        <v>54721.22</v>
      </c>
      <c r="F131">
        <v>9480.18</v>
      </c>
      <c r="G131">
        <v>45241.03</v>
      </c>
      <c r="H131" s="6">
        <v>0.82679999999999998</v>
      </c>
      <c r="I131" s="6">
        <v>0.1</v>
      </c>
      <c r="J131">
        <v>4524.1030000000001</v>
      </c>
    </row>
    <row r="132" spans="1:10" x14ac:dyDescent="0.3">
      <c r="A132" s="31">
        <v>45688</v>
      </c>
      <c r="B132" t="s">
        <v>462</v>
      </c>
      <c r="C132" t="s">
        <v>191</v>
      </c>
      <c r="D132" t="s">
        <v>472</v>
      </c>
      <c r="E132">
        <v>133926.94</v>
      </c>
      <c r="F132">
        <v>17200.61</v>
      </c>
      <c r="G132">
        <v>116726.34</v>
      </c>
      <c r="H132" s="6">
        <v>0.87160000000000004</v>
      </c>
      <c r="I132" s="6">
        <v>0.2</v>
      </c>
      <c r="J132">
        <v>23345.268</v>
      </c>
    </row>
    <row r="133" spans="1:10" x14ac:dyDescent="0.3">
      <c r="A133" s="31">
        <v>45688</v>
      </c>
      <c r="B133" t="s">
        <v>462</v>
      </c>
      <c r="C133" t="s">
        <v>191</v>
      </c>
      <c r="D133" t="s">
        <v>471</v>
      </c>
      <c r="E133">
        <v>119045.66</v>
      </c>
      <c r="F133">
        <v>15289.36</v>
      </c>
      <c r="G133">
        <v>103756.3</v>
      </c>
      <c r="H133" s="6">
        <v>0.87160000000000004</v>
      </c>
      <c r="I133" s="6">
        <v>0.2</v>
      </c>
      <c r="J133">
        <v>20751.259999999998</v>
      </c>
    </row>
    <row r="134" spans="1:10" x14ac:dyDescent="0.3">
      <c r="A134" s="31">
        <v>45688</v>
      </c>
      <c r="B134" t="s">
        <v>462</v>
      </c>
      <c r="C134" t="s">
        <v>191</v>
      </c>
      <c r="D134" t="s">
        <v>470</v>
      </c>
      <c r="E134">
        <v>128334.55</v>
      </c>
      <c r="F134">
        <v>16482.36</v>
      </c>
      <c r="G134">
        <v>111852.19</v>
      </c>
      <c r="H134" s="6">
        <v>0.87160000000000004</v>
      </c>
      <c r="I134" s="6">
        <v>0.2</v>
      </c>
      <c r="J134">
        <v>22370.437999999998</v>
      </c>
    </row>
    <row r="135" spans="1:10" x14ac:dyDescent="0.3">
      <c r="A135" s="31">
        <v>45688</v>
      </c>
      <c r="B135" t="s">
        <v>462</v>
      </c>
      <c r="C135" t="s">
        <v>191</v>
      </c>
      <c r="D135" t="s">
        <v>469</v>
      </c>
      <c r="E135">
        <v>64071.7</v>
      </c>
      <c r="F135">
        <v>8228.9</v>
      </c>
      <c r="G135">
        <v>55842.8</v>
      </c>
      <c r="H135" s="6">
        <v>0.87160000000000004</v>
      </c>
      <c r="I135" s="6">
        <v>0.15</v>
      </c>
      <c r="J135">
        <v>8376.42</v>
      </c>
    </row>
    <row r="136" spans="1:10" x14ac:dyDescent="0.3">
      <c r="A136" s="31">
        <v>45688</v>
      </c>
      <c r="B136" t="s">
        <v>462</v>
      </c>
      <c r="C136" t="s">
        <v>191</v>
      </c>
      <c r="D136" t="s">
        <v>468</v>
      </c>
      <c r="E136">
        <v>36053.15</v>
      </c>
      <c r="F136">
        <v>4630.3999999999996</v>
      </c>
      <c r="G136">
        <v>31422.74</v>
      </c>
      <c r="H136" s="6">
        <v>0.87160000000000004</v>
      </c>
      <c r="I136" s="6">
        <v>0.1</v>
      </c>
      <c r="J136">
        <v>3142.2739999999999</v>
      </c>
    </row>
    <row r="137" spans="1:10" x14ac:dyDescent="0.3">
      <c r="A137" s="31">
        <v>45688</v>
      </c>
      <c r="B137" t="s">
        <v>462</v>
      </c>
      <c r="C137" t="s">
        <v>191</v>
      </c>
      <c r="D137" t="s">
        <v>467</v>
      </c>
      <c r="E137">
        <v>72686.990000000005</v>
      </c>
      <c r="F137">
        <v>9335.39</v>
      </c>
      <c r="G137">
        <v>63351.6</v>
      </c>
      <c r="H137" s="6">
        <v>0.87160000000000004</v>
      </c>
      <c r="I137" s="6">
        <v>0.1</v>
      </c>
      <c r="J137">
        <v>6335.16</v>
      </c>
    </row>
    <row r="138" spans="1:10" x14ac:dyDescent="0.3">
      <c r="A138" s="31">
        <v>45688</v>
      </c>
      <c r="B138" t="s">
        <v>462</v>
      </c>
      <c r="C138" t="s">
        <v>191</v>
      </c>
      <c r="D138" t="s">
        <v>466</v>
      </c>
      <c r="E138">
        <v>111173.68</v>
      </c>
      <c r="F138">
        <v>14278.34</v>
      </c>
      <c r="G138">
        <v>96895.34</v>
      </c>
      <c r="H138" s="6">
        <v>0.87160000000000004</v>
      </c>
      <c r="I138" s="6">
        <v>0.2</v>
      </c>
      <c r="J138">
        <v>19379.067999999999</v>
      </c>
    </row>
    <row r="139" spans="1:10" x14ac:dyDescent="0.3">
      <c r="A139" s="31">
        <v>45688</v>
      </c>
      <c r="B139" t="s">
        <v>462</v>
      </c>
      <c r="C139" t="s">
        <v>191</v>
      </c>
      <c r="D139" t="s">
        <v>465</v>
      </c>
      <c r="E139">
        <v>25017.4</v>
      </c>
      <c r="F139">
        <v>3213.05</v>
      </c>
      <c r="G139">
        <v>21804.34</v>
      </c>
      <c r="H139" s="6">
        <v>0.87160000000000004</v>
      </c>
      <c r="I139" s="6">
        <v>0.1</v>
      </c>
      <c r="J139">
        <v>2180.4340000000002</v>
      </c>
    </row>
    <row r="140" spans="1:10" x14ac:dyDescent="0.3">
      <c r="A140" s="31">
        <v>45688</v>
      </c>
      <c r="B140" t="s">
        <v>462</v>
      </c>
      <c r="C140" t="s">
        <v>191</v>
      </c>
      <c r="D140" t="s">
        <v>464</v>
      </c>
      <c r="E140">
        <v>81517.23</v>
      </c>
      <c r="F140">
        <v>10469.48</v>
      </c>
      <c r="G140">
        <v>71047.740000000005</v>
      </c>
      <c r="H140" s="6">
        <v>0.87160000000000004</v>
      </c>
      <c r="I140" s="6">
        <v>0.1</v>
      </c>
      <c r="J140">
        <v>7104.7740000000013</v>
      </c>
    </row>
    <row r="141" spans="1:10" x14ac:dyDescent="0.3">
      <c r="A141" s="31">
        <v>45688</v>
      </c>
      <c r="B141" t="s">
        <v>462</v>
      </c>
      <c r="C141" t="s">
        <v>191</v>
      </c>
      <c r="D141" t="s">
        <v>463</v>
      </c>
      <c r="E141">
        <v>78382.100000000006</v>
      </c>
      <c r="F141">
        <v>10066.84</v>
      </c>
      <c r="G141">
        <v>68315.28</v>
      </c>
      <c r="H141" s="6">
        <v>0.87160000000000004</v>
      </c>
      <c r="I141" s="6">
        <v>0.1</v>
      </c>
      <c r="J141">
        <v>6831.5280000000002</v>
      </c>
    </row>
    <row r="142" spans="1:10" x14ac:dyDescent="0.3">
      <c r="A142" s="31">
        <v>45716</v>
      </c>
      <c r="B142" t="s">
        <v>462</v>
      </c>
      <c r="C142" t="s">
        <v>191</v>
      </c>
      <c r="D142" t="s">
        <v>472</v>
      </c>
      <c r="E142">
        <v>146902.9</v>
      </c>
      <c r="F142">
        <v>23294.35</v>
      </c>
      <c r="G142">
        <v>123608.54</v>
      </c>
      <c r="H142" s="6">
        <v>0.84140000000000004</v>
      </c>
      <c r="I142" s="6">
        <v>0.2</v>
      </c>
      <c r="J142">
        <v>24721.707999999999</v>
      </c>
    </row>
    <row r="143" spans="1:10" x14ac:dyDescent="0.3">
      <c r="A143" s="31">
        <v>45716</v>
      </c>
      <c r="B143" t="s">
        <v>462</v>
      </c>
      <c r="C143" t="s">
        <v>191</v>
      </c>
      <c r="D143" t="s">
        <v>471</v>
      </c>
      <c r="E143">
        <v>145176.62</v>
      </c>
      <c r="F143">
        <v>23020.62</v>
      </c>
      <c r="G143">
        <v>122156</v>
      </c>
      <c r="H143" s="6">
        <v>0.84140000000000004</v>
      </c>
      <c r="I143" s="6">
        <v>0.2</v>
      </c>
      <c r="J143">
        <v>24431.200000000001</v>
      </c>
    </row>
    <row r="144" spans="1:10" x14ac:dyDescent="0.3">
      <c r="A144" s="31">
        <v>45716</v>
      </c>
      <c r="B144" t="s">
        <v>462</v>
      </c>
      <c r="C144" t="s">
        <v>191</v>
      </c>
      <c r="D144" t="s">
        <v>470</v>
      </c>
      <c r="E144">
        <v>112829.13</v>
      </c>
      <c r="F144">
        <v>17891.28</v>
      </c>
      <c r="G144">
        <v>94937.84</v>
      </c>
      <c r="H144" s="6">
        <v>0.84140000000000004</v>
      </c>
      <c r="I144" s="6">
        <v>0.2</v>
      </c>
      <c r="J144">
        <v>18987.567999999999</v>
      </c>
    </row>
    <row r="145" spans="1:10" x14ac:dyDescent="0.3">
      <c r="A145" s="31">
        <v>45716</v>
      </c>
      <c r="B145" t="s">
        <v>462</v>
      </c>
      <c r="C145" t="s">
        <v>191</v>
      </c>
      <c r="D145" t="s">
        <v>469</v>
      </c>
      <c r="E145">
        <v>98270.14</v>
      </c>
      <c r="F145">
        <v>15582.67</v>
      </c>
      <c r="G145">
        <v>82687.47</v>
      </c>
      <c r="H145" s="6">
        <v>0.84140000000000004</v>
      </c>
      <c r="I145" s="6">
        <v>0.15</v>
      </c>
      <c r="J145">
        <v>12403.120500000001</v>
      </c>
    </row>
    <row r="146" spans="1:10" x14ac:dyDescent="0.3">
      <c r="A146" s="31">
        <v>45716</v>
      </c>
      <c r="B146" t="s">
        <v>462</v>
      </c>
      <c r="C146" t="s">
        <v>191</v>
      </c>
      <c r="D146" t="s">
        <v>468</v>
      </c>
      <c r="E146">
        <v>39607.660000000003</v>
      </c>
      <c r="F146">
        <v>6280.58</v>
      </c>
      <c r="G146">
        <v>33327.08</v>
      </c>
      <c r="H146" s="6">
        <v>0.84140000000000004</v>
      </c>
      <c r="I146" s="6">
        <v>0.1</v>
      </c>
      <c r="J146">
        <v>3332.708000000001</v>
      </c>
    </row>
    <row r="147" spans="1:10" x14ac:dyDescent="0.3">
      <c r="A147" s="31">
        <v>45716</v>
      </c>
      <c r="B147" t="s">
        <v>462</v>
      </c>
      <c r="C147" t="s">
        <v>191</v>
      </c>
      <c r="D147" t="s">
        <v>467</v>
      </c>
      <c r="E147">
        <v>55152.800000000003</v>
      </c>
      <c r="F147">
        <v>8745.56</v>
      </c>
      <c r="G147">
        <v>46407.24</v>
      </c>
      <c r="H147" s="6">
        <v>0.84140000000000004</v>
      </c>
      <c r="I147" s="6">
        <v>0.1</v>
      </c>
      <c r="J147">
        <v>4640.7240000000002</v>
      </c>
    </row>
    <row r="148" spans="1:10" x14ac:dyDescent="0.3">
      <c r="A148" s="31">
        <v>45716</v>
      </c>
      <c r="B148" t="s">
        <v>462</v>
      </c>
      <c r="C148" t="s">
        <v>191</v>
      </c>
      <c r="D148" t="s">
        <v>466</v>
      </c>
      <c r="E148">
        <v>53160.37</v>
      </c>
      <c r="F148">
        <v>8429.6299999999992</v>
      </c>
      <c r="G148">
        <v>44730.74</v>
      </c>
      <c r="H148" s="6">
        <v>0.84140000000000004</v>
      </c>
      <c r="I148" s="6">
        <v>0.2</v>
      </c>
      <c r="J148">
        <v>8946.1479999999992</v>
      </c>
    </row>
    <row r="149" spans="1:10" x14ac:dyDescent="0.3">
      <c r="A149" s="31">
        <v>45716</v>
      </c>
      <c r="B149" t="s">
        <v>462</v>
      </c>
      <c r="C149" t="s">
        <v>191</v>
      </c>
      <c r="D149" t="s">
        <v>465</v>
      </c>
      <c r="E149">
        <v>37043.43</v>
      </c>
      <c r="F149">
        <v>5873.97</v>
      </c>
      <c r="G149">
        <v>31169.46</v>
      </c>
      <c r="H149" s="6">
        <v>0.84140000000000004</v>
      </c>
      <c r="I149" s="6">
        <v>0.1</v>
      </c>
      <c r="J149">
        <v>3116.9459999999999</v>
      </c>
    </row>
    <row r="150" spans="1:10" x14ac:dyDescent="0.3">
      <c r="A150" s="31">
        <v>45716</v>
      </c>
      <c r="B150" t="s">
        <v>462</v>
      </c>
      <c r="C150" t="s">
        <v>191</v>
      </c>
      <c r="D150" t="s">
        <v>464</v>
      </c>
      <c r="E150">
        <v>108926.73</v>
      </c>
      <c r="F150">
        <v>17272.48</v>
      </c>
      <c r="G150">
        <v>91654.25</v>
      </c>
      <c r="H150" s="6">
        <v>0.84140000000000004</v>
      </c>
      <c r="I150" s="6">
        <v>0.1</v>
      </c>
      <c r="J150">
        <v>9165.4250000000011</v>
      </c>
    </row>
    <row r="151" spans="1:10" x14ac:dyDescent="0.3">
      <c r="A151" s="31">
        <v>45716</v>
      </c>
      <c r="B151" t="s">
        <v>462</v>
      </c>
      <c r="C151" t="s">
        <v>191</v>
      </c>
      <c r="D151" t="s">
        <v>463</v>
      </c>
      <c r="E151">
        <v>41124.89</v>
      </c>
      <c r="F151">
        <v>6521.16</v>
      </c>
      <c r="G151">
        <v>34603.75</v>
      </c>
      <c r="H151" s="6">
        <v>0.84140000000000004</v>
      </c>
      <c r="I151" s="6">
        <v>0.1</v>
      </c>
      <c r="J151">
        <v>3460.375</v>
      </c>
    </row>
    <row r="152" spans="1:10" x14ac:dyDescent="0.3">
      <c r="A152" s="31">
        <v>45747</v>
      </c>
      <c r="B152" t="s">
        <v>462</v>
      </c>
      <c r="C152" t="s">
        <v>191</v>
      </c>
      <c r="D152" t="s">
        <v>472</v>
      </c>
      <c r="E152">
        <v>191303.94</v>
      </c>
      <c r="F152">
        <v>23745.95</v>
      </c>
      <c r="G152">
        <v>167557.99</v>
      </c>
      <c r="H152" s="6">
        <v>0.87590000000000001</v>
      </c>
      <c r="I152" s="6">
        <v>0.2</v>
      </c>
      <c r="J152">
        <v>33511.597999999998</v>
      </c>
    </row>
    <row r="153" spans="1:10" x14ac:dyDescent="0.3">
      <c r="A153" s="31">
        <v>45747</v>
      </c>
      <c r="B153" t="s">
        <v>462</v>
      </c>
      <c r="C153" t="s">
        <v>191</v>
      </c>
      <c r="D153" t="s">
        <v>471</v>
      </c>
      <c r="E153">
        <v>156961.48000000001</v>
      </c>
      <c r="F153">
        <v>19483.13</v>
      </c>
      <c r="G153">
        <v>137478.35</v>
      </c>
      <c r="H153" s="6">
        <v>0.87590000000000001</v>
      </c>
      <c r="I153" s="6">
        <v>0.2</v>
      </c>
      <c r="J153">
        <v>27495.67</v>
      </c>
    </row>
    <row r="154" spans="1:10" x14ac:dyDescent="0.3">
      <c r="A154" s="31">
        <v>45747</v>
      </c>
      <c r="B154" t="s">
        <v>462</v>
      </c>
      <c r="C154" t="s">
        <v>191</v>
      </c>
      <c r="D154" t="s">
        <v>470</v>
      </c>
      <c r="E154">
        <v>116218.8</v>
      </c>
      <c r="F154">
        <v>14425.87</v>
      </c>
      <c r="G154">
        <v>101792.93</v>
      </c>
      <c r="H154" s="6">
        <v>0.87590000000000001</v>
      </c>
      <c r="I154" s="6">
        <v>0.2</v>
      </c>
      <c r="J154">
        <v>20358.585999999999</v>
      </c>
    </row>
    <row r="155" spans="1:10" x14ac:dyDescent="0.3">
      <c r="A155" s="31">
        <v>45747</v>
      </c>
      <c r="B155" t="s">
        <v>462</v>
      </c>
      <c r="C155" t="s">
        <v>191</v>
      </c>
      <c r="D155" t="s">
        <v>469</v>
      </c>
      <c r="E155">
        <v>66194.42</v>
      </c>
      <c r="F155">
        <v>8216.5</v>
      </c>
      <c r="G155">
        <v>57977.919999999998</v>
      </c>
      <c r="H155" s="6">
        <v>0.87590000000000001</v>
      </c>
      <c r="I155" s="6">
        <v>0.15</v>
      </c>
      <c r="J155">
        <v>8696.6880000000001</v>
      </c>
    </row>
    <row r="156" spans="1:10" x14ac:dyDescent="0.3">
      <c r="A156" s="31">
        <v>45747</v>
      </c>
      <c r="B156" t="s">
        <v>462</v>
      </c>
      <c r="C156" t="s">
        <v>191</v>
      </c>
      <c r="D156" t="s">
        <v>468</v>
      </c>
      <c r="E156">
        <v>56064.160000000003</v>
      </c>
      <c r="F156">
        <v>6959.07</v>
      </c>
      <c r="G156">
        <v>49105.09</v>
      </c>
      <c r="H156" s="6">
        <v>0.87590000000000001</v>
      </c>
      <c r="I156" s="6">
        <v>0.1</v>
      </c>
      <c r="J156">
        <v>4910.509</v>
      </c>
    </row>
    <row r="157" spans="1:10" x14ac:dyDescent="0.3">
      <c r="A157" s="31">
        <v>45747</v>
      </c>
      <c r="B157" t="s">
        <v>462</v>
      </c>
      <c r="C157" t="s">
        <v>191</v>
      </c>
      <c r="D157" t="s">
        <v>467</v>
      </c>
      <c r="E157">
        <v>37094.550000000003</v>
      </c>
      <c r="F157">
        <v>4604.43</v>
      </c>
      <c r="G157">
        <v>32490.12</v>
      </c>
      <c r="H157" s="6">
        <v>0.87590000000000001</v>
      </c>
      <c r="I157" s="6">
        <v>0.1</v>
      </c>
      <c r="J157">
        <v>3249.0120000000002</v>
      </c>
    </row>
    <row r="158" spans="1:10" x14ac:dyDescent="0.3">
      <c r="A158" s="31">
        <v>45747</v>
      </c>
      <c r="B158" t="s">
        <v>462</v>
      </c>
      <c r="C158" t="s">
        <v>191</v>
      </c>
      <c r="D158" t="s">
        <v>466</v>
      </c>
      <c r="E158">
        <v>122196.21</v>
      </c>
      <c r="F158">
        <v>15167.83</v>
      </c>
      <c r="G158">
        <v>107028.38</v>
      </c>
      <c r="H158" s="6">
        <v>0.87590000000000001</v>
      </c>
      <c r="I158" s="6">
        <v>0.2</v>
      </c>
      <c r="J158">
        <v>21405.675999999999</v>
      </c>
    </row>
    <row r="159" spans="1:10" x14ac:dyDescent="0.3">
      <c r="A159" s="31">
        <v>45747</v>
      </c>
      <c r="B159" t="s">
        <v>462</v>
      </c>
      <c r="C159" t="s">
        <v>191</v>
      </c>
      <c r="D159" t="s">
        <v>465</v>
      </c>
      <c r="E159">
        <v>10190.469999999999</v>
      </c>
      <c r="F159">
        <v>1264.9100000000001</v>
      </c>
      <c r="G159">
        <v>8925.5499999999993</v>
      </c>
      <c r="H159" s="6">
        <v>0.87590000000000001</v>
      </c>
      <c r="I159" s="6">
        <v>0.1</v>
      </c>
      <c r="J159">
        <v>892.55499999999995</v>
      </c>
    </row>
    <row r="160" spans="1:10" x14ac:dyDescent="0.3">
      <c r="A160" s="31">
        <v>45747</v>
      </c>
      <c r="B160" t="s">
        <v>462</v>
      </c>
      <c r="C160" t="s">
        <v>191</v>
      </c>
      <c r="D160" t="s">
        <v>464</v>
      </c>
      <c r="E160">
        <v>49679.92</v>
      </c>
      <c r="F160">
        <v>6166.61</v>
      </c>
      <c r="G160">
        <v>43513.3</v>
      </c>
      <c r="H160" s="6">
        <v>0.87590000000000001</v>
      </c>
      <c r="I160" s="6">
        <v>0.1</v>
      </c>
      <c r="J160">
        <v>4351.3300000000008</v>
      </c>
    </row>
    <row r="161" spans="1:10" x14ac:dyDescent="0.3">
      <c r="A161" s="31">
        <v>45747</v>
      </c>
      <c r="B161" t="s">
        <v>462</v>
      </c>
      <c r="C161" t="s">
        <v>191</v>
      </c>
      <c r="D161" t="s">
        <v>463</v>
      </c>
      <c r="E161">
        <v>77311.86</v>
      </c>
      <c r="F161">
        <v>9596.49</v>
      </c>
      <c r="G161">
        <v>67715.399999999994</v>
      </c>
      <c r="H161" s="6">
        <v>0.87590000000000001</v>
      </c>
      <c r="I161" s="6">
        <v>0.1</v>
      </c>
      <c r="J161">
        <v>6771.54</v>
      </c>
    </row>
    <row r="162" spans="1:10" x14ac:dyDescent="0.3">
      <c r="A162" s="31">
        <v>45777</v>
      </c>
      <c r="B162" t="s">
        <v>462</v>
      </c>
      <c r="C162" t="s">
        <v>191</v>
      </c>
      <c r="D162" t="s">
        <v>472</v>
      </c>
      <c r="E162">
        <v>219249.45</v>
      </c>
      <c r="F162">
        <v>49024.75</v>
      </c>
      <c r="G162">
        <v>170224.7</v>
      </c>
      <c r="H162" s="6">
        <v>0.77639999999999998</v>
      </c>
      <c r="I162" s="6">
        <v>0.2</v>
      </c>
      <c r="J162">
        <v>34044.94</v>
      </c>
    </row>
    <row r="163" spans="1:10" x14ac:dyDescent="0.3">
      <c r="A163" s="31">
        <v>45777</v>
      </c>
      <c r="B163" t="s">
        <v>462</v>
      </c>
      <c r="C163" t="s">
        <v>191</v>
      </c>
      <c r="D163" t="s">
        <v>471</v>
      </c>
      <c r="E163">
        <v>112166.46</v>
      </c>
      <c r="F163">
        <v>25080.720000000001</v>
      </c>
      <c r="G163">
        <v>87085.75</v>
      </c>
      <c r="H163" s="6">
        <v>0.77639999999999998</v>
      </c>
      <c r="I163" s="6">
        <v>0.2</v>
      </c>
      <c r="J163">
        <v>17417.150000000001</v>
      </c>
    </row>
    <row r="164" spans="1:10" x14ac:dyDescent="0.3">
      <c r="A164" s="31">
        <v>45777</v>
      </c>
      <c r="B164" t="s">
        <v>462</v>
      </c>
      <c r="C164" t="s">
        <v>191</v>
      </c>
      <c r="D164" t="s">
        <v>470</v>
      </c>
      <c r="E164">
        <v>107044.56</v>
      </c>
      <c r="F164">
        <v>23935.45</v>
      </c>
      <c r="G164">
        <v>83109.119999999995</v>
      </c>
      <c r="H164" s="6">
        <v>0.77639999999999998</v>
      </c>
      <c r="I164" s="6">
        <v>0.2</v>
      </c>
      <c r="J164">
        <v>16621.824000000001</v>
      </c>
    </row>
    <row r="165" spans="1:10" x14ac:dyDescent="0.3">
      <c r="A165" s="31">
        <v>45777</v>
      </c>
      <c r="B165" t="s">
        <v>462</v>
      </c>
      <c r="C165" t="s">
        <v>191</v>
      </c>
      <c r="D165" t="s">
        <v>469</v>
      </c>
      <c r="E165">
        <v>95215.87</v>
      </c>
      <c r="F165">
        <v>21290.52</v>
      </c>
      <c r="G165">
        <v>73925.350000000006</v>
      </c>
      <c r="H165" s="6">
        <v>0.77639999999999998</v>
      </c>
      <c r="I165" s="6">
        <v>0.15</v>
      </c>
      <c r="J165">
        <v>11088.8025</v>
      </c>
    </row>
    <row r="166" spans="1:10" x14ac:dyDescent="0.3">
      <c r="A166" s="31">
        <v>45777</v>
      </c>
      <c r="B166" t="s">
        <v>462</v>
      </c>
      <c r="C166" t="s">
        <v>191</v>
      </c>
      <c r="D166" t="s">
        <v>468</v>
      </c>
      <c r="E166">
        <v>21144.89</v>
      </c>
      <c r="F166">
        <v>4728.05</v>
      </c>
      <c r="G166">
        <v>16416.830000000002</v>
      </c>
      <c r="H166" s="6">
        <v>0.77639999999999998</v>
      </c>
      <c r="I166" s="6">
        <v>0.1</v>
      </c>
      <c r="J166">
        <v>1641.683</v>
      </c>
    </row>
    <row r="167" spans="1:10" x14ac:dyDescent="0.3">
      <c r="A167" s="31">
        <v>45777</v>
      </c>
      <c r="B167" t="s">
        <v>462</v>
      </c>
      <c r="C167" t="s">
        <v>191</v>
      </c>
      <c r="D167" t="s">
        <v>467</v>
      </c>
      <c r="E167">
        <v>91592.04</v>
      </c>
      <c r="F167">
        <v>20480.22</v>
      </c>
      <c r="G167">
        <v>71111.820000000007</v>
      </c>
      <c r="H167" s="6">
        <v>0.77639999999999998</v>
      </c>
      <c r="I167" s="6">
        <v>0.1</v>
      </c>
      <c r="J167">
        <v>7111.1820000000007</v>
      </c>
    </row>
    <row r="168" spans="1:10" x14ac:dyDescent="0.3">
      <c r="A168" s="31">
        <v>45777</v>
      </c>
      <c r="B168" t="s">
        <v>462</v>
      </c>
      <c r="C168" t="s">
        <v>191</v>
      </c>
      <c r="D168" t="s">
        <v>466</v>
      </c>
      <c r="E168">
        <v>63392.21</v>
      </c>
      <c r="F168">
        <v>14174.66</v>
      </c>
      <c r="G168">
        <v>49217.54</v>
      </c>
      <c r="H168" s="6">
        <v>0.77639999999999998</v>
      </c>
      <c r="I168" s="6">
        <v>0.2</v>
      </c>
      <c r="J168">
        <v>9843.5080000000016</v>
      </c>
    </row>
    <row r="169" spans="1:10" x14ac:dyDescent="0.3">
      <c r="A169" s="31">
        <v>45777</v>
      </c>
      <c r="B169" t="s">
        <v>462</v>
      </c>
      <c r="C169" t="s">
        <v>191</v>
      </c>
      <c r="D169" t="s">
        <v>465</v>
      </c>
      <c r="E169">
        <v>68024.679999999993</v>
      </c>
      <c r="F169">
        <v>15210.5</v>
      </c>
      <c r="G169">
        <v>52814.19</v>
      </c>
      <c r="H169" s="6">
        <v>0.77639999999999998</v>
      </c>
      <c r="I169" s="6">
        <v>0.1</v>
      </c>
      <c r="J169">
        <v>5281.4190000000008</v>
      </c>
    </row>
    <row r="170" spans="1:10" x14ac:dyDescent="0.3">
      <c r="A170" s="31">
        <v>45777</v>
      </c>
      <c r="B170" t="s">
        <v>462</v>
      </c>
      <c r="C170" t="s">
        <v>191</v>
      </c>
      <c r="D170" t="s">
        <v>464</v>
      </c>
      <c r="E170">
        <v>79232.23</v>
      </c>
      <c r="F170">
        <v>17716.54</v>
      </c>
      <c r="G170">
        <v>61515.7</v>
      </c>
      <c r="H170" s="6">
        <v>0.77639999999999998</v>
      </c>
      <c r="I170" s="6">
        <v>0.1</v>
      </c>
      <c r="J170">
        <v>6151.57</v>
      </c>
    </row>
    <row r="171" spans="1:10" x14ac:dyDescent="0.3">
      <c r="A171" s="31">
        <v>45777</v>
      </c>
      <c r="B171" t="s">
        <v>462</v>
      </c>
      <c r="C171" t="s">
        <v>191</v>
      </c>
      <c r="D171" t="s">
        <v>463</v>
      </c>
      <c r="E171">
        <v>27451.91</v>
      </c>
      <c r="F171">
        <v>6138.32</v>
      </c>
      <c r="G171">
        <v>21313.58</v>
      </c>
      <c r="H171" s="6">
        <v>0.77639999999999998</v>
      </c>
      <c r="I171" s="6">
        <v>0.1</v>
      </c>
      <c r="J171">
        <v>2131.3580000000002</v>
      </c>
    </row>
    <row r="172" spans="1:10" x14ac:dyDescent="0.3">
      <c r="A172" s="31">
        <v>45808</v>
      </c>
      <c r="B172" t="s">
        <v>462</v>
      </c>
      <c r="C172" t="s">
        <v>191</v>
      </c>
      <c r="D172" t="s">
        <v>472</v>
      </c>
      <c r="E172">
        <v>186901.05</v>
      </c>
      <c r="F172">
        <v>20124.75</v>
      </c>
      <c r="G172">
        <v>166776.29999999999</v>
      </c>
      <c r="H172" s="6">
        <v>0.89229999999999998</v>
      </c>
      <c r="I172" s="6">
        <v>0.2</v>
      </c>
      <c r="J172">
        <v>33355.26</v>
      </c>
    </row>
    <row r="173" spans="1:10" x14ac:dyDescent="0.3">
      <c r="A173" s="31">
        <v>45808</v>
      </c>
      <c r="B173" t="s">
        <v>462</v>
      </c>
      <c r="C173" t="s">
        <v>191</v>
      </c>
      <c r="D173" t="s">
        <v>471</v>
      </c>
      <c r="E173">
        <v>138692.85999999999</v>
      </c>
      <c r="F173">
        <v>14933.89</v>
      </c>
      <c r="G173">
        <v>123758.97</v>
      </c>
      <c r="H173" s="6">
        <v>0.89229999999999998</v>
      </c>
      <c r="I173" s="6">
        <v>0.2</v>
      </c>
      <c r="J173">
        <v>24751.794000000002</v>
      </c>
    </row>
    <row r="174" spans="1:10" x14ac:dyDescent="0.3">
      <c r="A174" s="31">
        <v>45808</v>
      </c>
      <c r="B174" t="s">
        <v>462</v>
      </c>
      <c r="C174" t="s">
        <v>191</v>
      </c>
      <c r="D174" t="s">
        <v>470</v>
      </c>
      <c r="E174">
        <v>152120.15</v>
      </c>
      <c r="F174">
        <v>16379.68</v>
      </c>
      <c r="G174">
        <v>135740.46</v>
      </c>
      <c r="H174" s="6">
        <v>0.89229999999999998</v>
      </c>
      <c r="I174" s="6">
        <v>0.2</v>
      </c>
      <c r="J174">
        <v>27148.092000000001</v>
      </c>
    </row>
    <row r="175" spans="1:10" x14ac:dyDescent="0.3">
      <c r="A175" s="31">
        <v>45808</v>
      </c>
      <c r="B175" t="s">
        <v>462</v>
      </c>
      <c r="C175" t="s">
        <v>191</v>
      </c>
      <c r="D175" t="s">
        <v>469</v>
      </c>
      <c r="E175">
        <v>69866.8</v>
      </c>
      <c r="F175">
        <v>7522.97</v>
      </c>
      <c r="G175">
        <v>62343.82</v>
      </c>
      <c r="H175" s="6">
        <v>0.89229999999999998</v>
      </c>
      <c r="I175" s="6">
        <v>0.15</v>
      </c>
      <c r="J175">
        <v>9351.5730000000003</v>
      </c>
    </row>
    <row r="176" spans="1:10" x14ac:dyDescent="0.3">
      <c r="A176" s="31">
        <v>45808</v>
      </c>
      <c r="B176" t="s">
        <v>462</v>
      </c>
      <c r="C176" t="s">
        <v>191</v>
      </c>
      <c r="D176" t="s">
        <v>468</v>
      </c>
      <c r="E176">
        <v>8460.8700000000008</v>
      </c>
      <c r="F176">
        <v>911.03</v>
      </c>
      <c r="G176">
        <v>7549.84</v>
      </c>
      <c r="H176" s="6">
        <v>0.89229999999999998</v>
      </c>
      <c r="I176" s="6">
        <v>0.1</v>
      </c>
      <c r="J176">
        <v>754.98400000000004</v>
      </c>
    </row>
    <row r="177" spans="1:10" x14ac:dyDescent="0.3">
      <c r="A177" s="31">
        <v>45808</v>
      </c>
      <c r="B177" t="s">
        <v>462</v>
      </c>
      <c r="C177" t="s">
        <v>191</v>
      </c>
      <c r="D177" t="s">
        <v>467</v>
      </c>
      <c r="E177">
        <v>127513.77</v>
      </c>
      <c r="F177">
        <v>13730.17</v>
      </c>
      <c r="G177">
        <v>113783.6</v>
      </c>
      <c r="H177" s="6">
        <v>0.89229999999999998</v>
      </c>
      <c r="I177" s="6">
        <v>0.1</v>
      </c>
      <c r="J177">
        <v>11378.36</v>
      </c>
    </row>
    <row r="178" spans="1:10" x14ac:dyDescent="0.3">
      <c r="A178" s="31">
        <v>45808</v>
      </c>
      <c r="B178" t="s">
        <v>462</v>
      </c>
      <c r="C178" t="s">
        <v>191</v>
      </c>
      <c r="D178" t="s">
        <v>466</v>
      </c>
      <c r="E178">
        <v>46182.81</v>
      </c>
      <c r="F178">
        <v>4972.78</v>
      </c>
      <c r="G178">
        <v>41210.03</v>
      </c>
      <c r="H178" s="6">
        <v>0.89229999999999998</v>
      </c>
      <c r="I178" s="6">
        <v>0.2</v>
      </c>
      <c r="J178">
        <v>8242.0059999999994</v>
      </c>
    </row>
    <row r="179" spans="1:10" x14ac:dyDescent="0.3">
      <c r="A179" s="31">
        <v>45808</v>
      </c>
      <c r="B179" t="s">
        <v>462</v>
      </c>
      <c r="C179" t="s">
        <v>191</v>
      </c>
      <c r="D179" t="s">
        <v>465</v>
      </c>
      <c r="E179">
        <v>25208.16</v>
      </c>
      <c r="F179">
        <v>2714.31</v>
      </c>
      <c r="G179">
        <v>22493.84</v>
      </c>
      <c r="H179" s="6">
        <v>0.89229999999999998</v>
      </c>
      <c r="I179" s="6">
        <v>0.1</v>
      </c>
      <c r="J179">
        <v>2249.384</v>
      </c>
    </row>
    <row r="180" spans="1:10" x14ac:dyDescent="0.3">
      <c r="A180" s="31">
        <v>45808</v>
      </c>
      <c r="B180" t="s">
        <v>462</v>
      </c>
      <c r="C180" t="s">
        <v>191</v>
      </c>
      <c r="D180" t="s">
        <v>464</v>
      </c>
      <c r="E180">
        <v>71368.25</v>
      </c>
      <c r="F180">
        <v>7684.64</v>
      </c>
      <c r="G180">
        <v>63683.6</v>
      </c>
      <c r="H180" s="6">
        <v>0.89229999999999998</v>
      </c>
      <c r="I180" s="6">
        <v>0.1</v>
      </c>
      <c r="J180">
        <v>6368.3600000000006</v>
      </c>
    </row>
    <row r="181" spans="1:10" x14ac:dyDescent="0.3">
      <c r="A181" s="31">
        <v>45808</v>
      </c>
      <c r="B181" t="s">
        <v>462</v>
      </c>
      <c r="C181" t="s">
        <v>191</v>
      </c>
      <c r="D181" t="s">
        <v>463</v>
      </c>
      <c r="E181">
        <v>99039.89</v>
      </c>
      <c r="F181">
        <v>10664.22</v>
      </c>
      <c r="G181">
        <v>88375.7</v>
      </c>
      <c r="H181" s="6">
        <v>0.89229999999999998</v>
      </c>
      <c r="I181" s="6">
        <v>0.1</v>
      </c>
      <c r="J181">
        <v>8837.57</v>
      </c>
    </row>
    <row r="182" spans="1:10" x14ac:dyDescent="0.3">
      <c r="A182" s="31">
        <v>45838</v>
      </c>
      <c r="B182" t="s">
        <v>462</v>
      </c>
      <c r="C182" t="s">
        <v>191</v>
      </c>
      <c r="D182" t="s">
        <v>472</v>
      </c>
      <c r="E182">
        <v>145516.94</v>
      </c>
      <c r="F182">
        <v>15135.23</v>
      </c>
      <c r="G182">
        <v>130381.72</v>
      </c>
      <c r="H182" s="6">
        <v>0.89600000000000002</v>
      </c>
      <c r="I182" s="6">
        <v>0.2</v>
      </c>
      <c r="J182">
        <v>26076.344000000001</v>
      </c>
    </row>
    <row r="183" spans="1:10" x14ac:dyDescent="0.3">
      <c r="A183" s="31">
        <v>45838</v>
      </c>
      <c r="B183" t="s">
        <v>462</v>
      </c>
      <c r="C183" t="s">
        <v>191</v>
      </c>
      <c r="D183" t="s">
        <v>471</v>
      </c>
      <c r="E183">
        <v>140529.71</v>
      </c>
      <c r="F183">
        <v>14616.5</v>
      </c>
      <c r="G183">
        <v>125913.21</v>
      </c>
      <c r="H183" s="6">
        <v>0.89600000000000002</v>
      </c>
      <c r="I183" s="6">
        <v>0.2</v>
      </c>
      <c r="J183">
        <v>25182.642</v>
      </c>
    </row>
    <row r="184" spans="1:10" x14ac:dyDescent="0.3">
      <c r="A184" s="31">
        <v>45838</v>
      </c>
      <c r="B184" t="s">
        <v>462</v>
      </c>
      <c r="C184" t="s">
        <v>191</v>
      </c>
      <c r="D184" t="s">
        <v>470</v>
      </c>
      <c r="E184">
        <v>128610.32</v>
      </c>
      <c r="F184">
        <v>13376.77</v>
      </c>
      <c r="G184">
        <v>115233.55</v>
      </c>
      <c r="H184" s="6">
        <v>0.89600000000000002</v>
      </c>
      <c r="I184" s="6">
        <v>0.2</v>
      </c>
      <c r="J184">
        <v>23046.71</v>
      </c>
    </row>
    <row r="185" spans="1:10" x14ac:dyDescent="0.3">
      <c r="A185" s="31">
        <v>45838</v>
      </c>
      <c r="B185" t="s">
        <v>462</v>
      </c>
      <c r="C185" t="s">
        <v>191</v>
      </c>
      <c r="D185" t="s">
        <v>469</v>
      </c>
      <c r="E185">
        <v>76142.039999999994</v>
      </c>
      <c r="F185">
        <v>7919.54</v>
      </c>
      <c r="G185">
        <v>68222.5</v>
      </c>
      <c r="H185" s="6">
        <v>0.89600000000000002</v>
      </c>
      <c r="I185" s="6">
        <v>0.15</v>
      </c>
      <c r="J185">
        <v>10233.375</v>
      </c>
    </row>
    <row r="186" spans="1:10" x14ac:dyDescent="0.3">
      <c r="A186" s="31">
        <v>45838</v>
      </c>
      <c r="B186" t="s">
        <v>462</v>
      </c>
      <c r="C186" t="s">
        <v>191</v>
      </c>
      <c r="D186" t="s">
        <v>468</v>
      </c>
      <c r="E186">
        <v>81045.539999999994</v>
      </c>
      <c r="F186">
        <v>8429.5499999999993</v>
      </c>
      <c r="G186">
        <v>72615.990000000005</v>
      </c>
      <c r="H186" s="6">
        <v>0.89600000000000002</v>
      </c>
      <c r="I186" s="6">
        <v>0.1</v>
      </c>
      <c r="J186">
        <v>7261.5990000000011</v>
      </c>
    </row>
    <row r="187" spans="1:10" x14ac:dyDescent="0.3">
      <c r="A187" s="31">
        <v>45838</v>
      </c>
      <c r="B187" t="s">
        <v>462</v>
      </c>
      <c r="C187" t="s">
        <v>191</v>
      </c>
      <c r="D187" t="s">
        <v>467</v>
      </c>
      <c r="E187">
        <v>70237.179999999993</v>
      </c>
      <c r="F187">
        <v>7305.37</v>
      </c>
      <c r="G187">
        <v>62931.81</v>
      </c>
      <c r="H187" s="6">
        <v>0.89600000000000002</v>
      </c>
      <c r="I187" s="6">
        <v>0.1</v>
      </c>
      <c r="J187">
        <v>6293.1809999999996</v>
      </c>
    </row>
    <row r="188" spans="1:10" x14ac:dyDescent="0.3">
      <c r="A188" s="31">
        <v>45838</v>
      </c>
      <c r="B188" t="s">
        <v>462</v>
      </c>
      <c r="C188" t="s">
        <v>191</v>
      </c>
      <c r="D188" t="s">
        <v>466</v>
      </c>
      <c r="E188">
        <v>76467.759999999995</v>
      </c>
      <c r="F188">
        <v>7953.42</v>
      </c>
      <c r="G188">
        <v>68514.350000000006</v>
      </c>
      <c r="H188" s="6">
        <v>0.89600000000000002</v>
      </c>
      <c r="I188" s="6">
        <v>0.2</v>
      </c>
      <c r="J188">
        <v>13702.87</v>
      </c>
    </row>
    <row r="189" spans="1:10" x14ac:dyDescent="0.3">
      <c r="A189" s="31">
        <v>45838</v>
      </c>
      <c r="B189" t="s">
        <v>462</v>
      </c>
      <c r="C189" t="s">
        <v>191</v>
      </c>
      <c r="D189" t="s">
        <v>465</v>
      </c>
      <c r="E189">
        <v>46858.26</v>
      </c>
      <c r="F189">
        <v>4873.7299999999996</v>
      </c>
      <c r="G189">
        <v>41984.53</v>
      </c>
      <c r="H189" s="6">
        <v>0.89600000000000002</v>
      </c>
      <c r="I189" s="6">
        <v>0.1</v>
      </c>
      <c r="J189">
        <v>4198.4530000000004</v>
      </c>
    </row>
    <row r="190" spans="1:10" x14ac:dyDescent="0.3">
      <c r="A190" s="31">
        <v>45838</v>
      </c>
      <c r="B190" t="s">
        <v>462</v>
      </c>
      <c r="C190" t="s">
        <v>191</v>
      </c>
      <c r="D190" t="s">
        <v>464</v>
      </c>
      <c r="E190">
        <v>66636.56</v>
      </c>
      <c r="F190">
        <v>6930.87</v>
      </c>
      <c r="G190">
        <v>59705.69</v>
      </c>
      <c r="H190" s="6">
        <v>0.89600000000000002</v>
      </c>
      <c r="I190" s="6">
        <v>0.1</v>
      </c>
      <c r="J190">
        <v>5970.5690000000004</v>
      </c>
    </row>
    <row r="191" spans="1:10" x14ac:dyDescent="0.3">
      <c r="A191" s="31">
        <v>45838</v>
      </c>
      <c r="B191" t="s">
        <v>462</v>
      </c>
      <c r="C191" t="s">
        <v>191</v>
      </c>
      <c r="D191" t="s">
        <v>463</v>
      </c>
      <c r="E191">
        <v>80844.820000000007</v>
      </c>
      <c r="F191">
        <v>8408.67</v>
      </c>
      <c r="G191">
        <v>72436.14</v>
      </c>
      <c r="H191" s="6">
        <v>0.89600000000000002</v>
      </c>
      <c r="I191" s="6">
        <v>0.1</v>
      </c>
      <c r="J191">
        <v>7243.6139999999996</v>
      </c>
    </row>
    <row r="192" spans="1:10" x14ac:dyDescent="0.3">
      <c r="A192" s="31">
        <v>45869</v>
      </c>
      <c r="B192" t="s">
        <v>462</v>
      </c>
      <c r="C192" t="s">
        <v>191</v>
      </c>
      <c r="D192" t="s">
        <v>472</v>
      </c>
      <c r="E192">
        <v>208912.36</v>
      </c>
      <c r="F192">
        <v>22071.33</v>
      </c>
      <c r="G192">
        <v>186841.02</v>
      </c>
      <c r="H192" s="6">
        <v>0.89439999999999997</v>
      </c>
      <c r="I192" s="6">
        <v>0.2</v>
      </c>
      <c r="J192">
        <v>37368.203999999998</v>
      </c>
    </row>
    <row r="193" spans="1:10" x14ac:dyDescent="0.3">
      <c r="A193" s="31">
        <v>45869</v>
      </c>
      <c r="B193" t="s">
        <v>462</v>
      </c>
      <c r="C193" t="s">
        <v>191</v>
      </c>
      <c r="D193" t="s">
        <v>471</v>
      </c>
      <c r="E193">
        <v>132142.22</v>
      </c>
      <c r="F193">
        <v>13960.66</v>
      </c>
      <c r="G193">
        <v>118181.56</v>
      </c>
      <c r="H193" s="6">
        <v>0.89439999999999997</v>
      </c>
      <c r="I193" s="6">
        <v>0.2</v>
      </c>
      <c r="J193">
        <v>23636.312000000002</v>
      </c>
    </row>
    <row r="194" spans="1:10" x14ac:dyDescent="0.3">
      <c r="A194" s="31">
        <v>45869</v>
      </c>
      <c r="B194" t="s">
        <v>462</v>
      </c>
      <c r="C194" t="s">
        <v>191</v>
      </c>
      <c r="D194" t="s">
        <v>470</v>
      </c>
      <c r="E194">
        <v>102766.62</v>
      </c>
      <c r="F194">
        <v>10857.17</v>
      </c>
      <c r="G194">
        <v>91909.45</v>
      </c>
      <c r="H194" s="6">
        <v>0.89439999999999997</v>
      </c>
      <c r="I194" s="6">
        <v>0.2</v>
      </c>
      <c r="J194">
        <v>18381.89</v>
      </c>
    </row>
    <row r="195" spans="1:10" x14ac:dyDescent="0.3">
      <c r="A195" s="31">
        <v>45869</v>
      </c>
      <c r="B195" t="s">
        <v>462</v>
      </c>
      <c r="C195" t="s">
        <v>191</v>
      </c>
      <c r="D195" t="s">
        <v>469</v>
      </c>
      <c r="E195">
        <v>130063.53</v>
      </c>
      <c r="F195">
        <v>13741.05</v>
      </c>
      <c r="G195">
        <v>116322.48</v>
      </c>
      <c r="H195" s="6">
        <v>0.89439999999999997</v>
      </c>
      <c r="I195" s="6">
        <v>0.15</v>
      </c>
      <c r="J195">
        <v>17448.371999999999</v>
      </c>
    </row>
    <row r="196" spans="1:10" x14ac:dyDescent="0.3">
      <c r="A196" s="31">
        <v>45869</v>
      </c>
      <c r="B196" t="s">
        <v>462</v>
      </c>
      <c r="C196" t="s">
        <v>191</v>
      </c>
      <c r="D196" t="s">
        <v>468</v>
      </c>
      <c r="E196">
        <v>32745.31</v>
      </c>
      <c r="F196">
        <v>3459.5</v>
      </c>
      <c r="G196">
        <v>29285.81</v>
      </c>
      <c r="H196" s="6">
        <v>0.89439999999999997</v>
      </c>
      <c r="I196" s="6">
        <v>0.1</v>
      </c>
      <c r="J196">
        <v>2928.5810000000001</v>
      </c>
    </row>
    <row r="197" spans="1:10" x14ac:dyDescent="0.3">
      <c r="A197" s="31">
        <v>45869</v>
      </c>
      <c r="B197" t="s">
        <v>462</v>
      </c>
      <c r="C197" t="s">
        <v>191</v>
      </c>
      <c r="D197" t="s">
        <v>467</v>
      </c>
      <c r="E197">
        <v>20352.689999999999</v>
      </c>
      <c r="F197">
        <v>2150.2399999999998</v>
      </c>
      <c r="G197">
        <v>18202.46</v>
      </c>
      <c r="H197" s="6">
        <v>0.89439999999999997</v>
      </c>
      <c r="I197" s="6">
        <v>0.1</v>
      </c>
      <c r="J197">
        <v>1820.2460000000001</v>
      </c>
    </row>
    <row r="198" spans="1:10" x14ac:dyDescent="0.3">
      <c r="A198" s="31">
        <v>45869</v>
      </c>
      <c r="B198" t="s">
        <v>462</v>
      </c>
      <c r="C198" t="s">
        <v>191</v>
      </c>
      <c r="D198" t="s">
        <v>466</v>
      </c>
      <c r="E198">
        <v>119996.11</v>
      </c>
      <c r="F198">
        <v>12677.44</v>
      </c>
      <c r="G198">
        <v>107318.67</v>
      </c>
      <c r="H198" s="6">
        <v>0.89439999999999997</v>
      </c>
      <c r="I198" s="6">
        <v>0.2</v>
      </c>
      <c r="J198">
        <v>21463.734</v>
      </c>
    </row>
    <row r="199" spans="1:10" x14ac:dyDescent="0.3">
      <c r="A199" s="31">
        <v>45869</v>
      </c>
      <c r="B199" t="s">
        <v>462</v>
      </c>
      <c r="C199" t="s">
        <v>191</v>
      </c>
      <c r="D199" t="s">
        <v>465</v>
      </c>
      <c r="E199">
        <v>103010.49</v>
      </c>
      <c r="F199">
        <v>10882.93</v>
      </c>
      <c r="G199">
        <v>92127.55</v>
      </c>
      <c r="H199" s="6">
        <v>0.89439999999999997</v>
      </c>
      <c r="I199" s="6">
        <v>0.1</v>
      </c>
      <c r="J199">
        <v>9212.755000000001</v>
      </c>
    </row>
    <row r="200" spans="1:10" x14ac:dyDescent="0.3">
      <c r="A200" s="31">
        <v>45869</v>
      </c>
      <c r="B200" t="s">
        <v>462</v>
      </c>
      <c r="C200" t="s">
        <v>191</v>
      </c>
      <c r="D200" t="s">
        <v>464</v>
      </c>
      <c r="E200">
        <v>67736.63</v>
      </c>
      <c r="F200">
        <v>7156.29</v>
      </c>
      <c r="G200">
        <v>60580.34</v>
      </c>
      <c r="H200" s="6">
        <v>0.89439999999999997</v>
      </c>
      <c r="I200" s="6">
        <v>0.1</v>
      </c>
      <c r="J200">
        <v>6058.0339999999997</v>
      </c>
    </row>
    <row r="201" spans="1:10" x14ac:dyDescent="0.3">
      <c r="A201" s="31">
        <v>45869</v>
      </c>
      <c r="B201" t="s">
        <v>462</v>
      </c>
      <c r="C201" t="s">
        <v>191</v>
      </c>
      <c r="D201" t="s">
        <v>463</v>
      </c>
      <c r="E201">
        <v>76408.800000000003</v>
      </c>
      <c r="F201">
        <v>8072.51</v>
      </c>
      <c r="G201">
        <v>68336.3</v>
      </c>
      <c r="H201" s="6">
        <v>0.89439999999999997</v>
      </c>
      <c r="I201" s="6">
        <v>0.1</v>
      </c>
      <c r="J201">
        <v>6833.630000000001</v>
      </c>
    </row>
    <row r="202" spans="1:10" x14ac:dyDescent="0.3">
      <c r="A202" s="31">
        <v>45900</v>
      </c>
      <c r="B202" t="s">
        <v>462</v>
      </c>
      <c r="C202" t="s">
        <v>191</v>
      </c>
      <c r="D202" t="s">
        <v>472</v>
      </c>
      <c r="E202">
        <v>204780.68</v>
      </c>
      <c r="F202">
        <v>27432.82</v>
      </c>
      <c r="G202">
        <v>177347.86</v>
      </c>
      <c r="H202" s="6">
        <v>0.86599999999999999</v>
      </c>
      <c r="I202" s="6">
        <v>0.2</v>
      </c>
      <c r="J202">
        <v>35469.572</v>
      </c>
    </row>
    <row r="203" spans="1:10" x14ac:dyDescent="0.3">
      <c r="A203" s="31">
        <v>45900</v>
      </c>
      <c r="B203" t="s">
        <v>462</v>
      </c>
      <c r="C203" t="s">
        <v>191</v>
      </c>
      <c r="D203" t="s">
        <v>471</v>
      </c>
      <c r="E203">
        <v>120825.07</v>
      </c>
      <c r="F203">
        <v>16185.96</v>
      </c>
      <c r="G203">
        <v>104639.11</v>
      </c>
      <c r="H203" s="6">
        <v>0.86599999999999999</v>
      </c>
      <c r="I203" s="6">
        <v>0.2</v>
      </c>
      <c r="J203">
        <v>20927.822</v>
      </c>
    </row>
    <row r="204" spans="1:10" x14ac:dyDescent="0.3">
      <c r="A204" s="31">
        <v>45900</v>
      </c>
      <c r="B204" t="s">
        <v>462</v>
      </c>
      <c r="C204" t="s">
        <v>191</v>
      </c>
      <c r="D204" t="s">
        <v>470</v>
      </c>
      <c r="E204">
        <v>112273.19</v>
      </c>
      <c r="F204">
        <v>15040.34</v>
      </c>
      <c r="G204">
        <v>97232.86</v>
      </c>
      <c r="H204" s="6">
        <v>0.86599999999999999</v>
      </c>
      <c r="I204" s="6">
        <v>0.2</v>
      </c>
      <c r="J204">
        <v>19446.572</v>
      </c>
    </row>
    <row r="205" spans="1:10" x14ac:dyDescent="0.3">
      <c r="A205" s="31">
        <v>45900</v>
      </c>
      <c r="B205" t="s">
        <v>462</v>
      </c>
      <c r="C205" t="s">
        <v>191</v>
      </c>
      <c r="D205" t="s">
        <v>469</v>
      </c>
      <c r="E205">
        <v>55419.15</v>
      </c>
      <c r="F205">
        <v>7424.06</v>
      </c>
      <c r="G205">
        <v>47995.1</v>
      </c>
      <c r="H205" s="6">
        <v>0.86599999999999999</v>
      </c>
      <c r="I205" s="6">
        <v>0.15</v>
      </c>
      <c r="J205">
        <v>7199.2649999999994</v>
      </c>
    </row>
    <row r="206" spans="1:10" x14ac:dyDescent="0.3">
      <c r="A206" s="31">
        <v>45900</v>
      </c>
      <c r="B206" t="s">
        <v>462</v>
      </c>
      <c r="C206" t="s">
        <v>191</v>
      </c>
      <c r="D206" t="s">
        <v>468</v>
      </c>
      <c r="E206">
        <v>58840.37</v>
      </c>
      <c r="F206">
        <v>7882.37</v>
      </c>
      <c r="G206">
        <v>50958</v>
      </c>
      <c r="H206" s="6">
        <v>0.86599999999999999</v>
      </c>
      <c r="I206" s="6">
        <v>0.1</v>
      </c>
      <c r="J206">
        <v>5095.8</v>
      </c>
    </row>
    <row r="207" spans="1:10" x14ac:dyDescent="0.3">
      <c r="A207" s="31">
        <v>45900</v>
      </c>
      <c r="B207" t="s">
        <v>462</v>
      </c>
      <c r="C207" t="s">
        <v>191</v>
      </c>
      <c r="D207" t="s">
        <v>467</v>
      </c>
      <c r="E207">
        <v>96508.14</v>
      </c>
      <c r="F207">
        <v>12928.42</v>
      </c>
      <c r="G207">
        <v>83579.72</v>
      </c>
      <c r="H207" s="6">
        <v>0.86599999999999999</v>
      </c>
      <c r="I207" s="6">
        <v>0.1</v>
      </c>
      <c r="J207">
        <v>8357.9719999999998</v>
      </c>
    </row>
    <row r="208" spans="1:10" x14ac:dyDescent="0.3">
      <c r="A208" s="31">
        <v>45900</v>
      </c>
      <c r="B208" t="s">
        <v>462</v>
      </c>
      <c r="C208" t="s">
        <v>191</v>
      </c>
      <c r="D208" t="s">
        <v>466</v>
      </c>
      <c r="E208">
        <v>76346.399999999994</v>
      </c>
      <c r="F208">
        <v>10227.51</v>
      </c>
      <c r="G208">
        <v>66118.89</v>
      </c>
      <c r="H208" s="6">
        <v>0.86599999999999999</v>
      </c>
      <c r="I208" s="6">
        <v>0.2</v>
      </c>
      <c r="J208">
        <v>13223.778</v>
      </c>
    </row>
    <row r="209" spans="1:10" x14ac:dyDescent="0.3">
      <c r="A209" s="31">
        <v>45900</v>
      </c>
      <c r="B209" t="s">
        <v>462</v>
      </c>
      <c r="C209" t="s">
        <v>191</v>
      </c>
      <c r="D209" t="s">
        <v>465</v>
      </c>
      <c r="E209">
        <v>55337.93</v>
      </c>
      <c r="F209">
        <v>7413.18</v>
      </c>
      <c r="G209">
        <v>47924.75</v>
      </c>
      <c r="H209" s="6">
        <v>0.86599999999999999</v>
      </c>
      <c r="I209" s="6">
        <v>0.1</v>
      </c>
      <c r="J209">
        <v>4792.4750000000004</v>
      </c>
    </row>
    <row r="210" spans="1:10" x14ac:dyDescent="0.3">
      <c r="A210" s="31">
        <v>45900</v>
      </c>
      <c r="B210" t="s">
        <v>462</v>
      </c>
      <c r="C210" t="s">
        <v>191</v>
      </c>
      <c r="D210" t="s">
        <v>464</v>
      </c>
      <c r="E210">
        <v>54784</v>
      </c>
      <c r="F210">
        <v>7338.97</v>
      </c>
      <c r="G210">
        <v>47445.03</v>
      </c>
      <c r="H210" s="6">
        <v>0.86599999999999999</v>
      </c>
      <c r="I210" s="6">
        <v>0.1</v>
      </c>
      <c r="J210">
        <v>4744.5029999999997</v>
      </c>
    </row>
    <row r="211" spans="1:10" x14ac:dyDescent="0.3">
      <c r="A211" s="31">
        <v>45900</v>
      </c>
      <c r="B211" t="s">
        <v>462</v>
      </c>
      <c r="C211" t="s">
        <v>191</v>
      </c>
      <c r="D211" t="s">
        <v>463</v>
      </c>
      <c r="E211">
        <v>62804.61</v>
      </c>
      <c r="F211">
        <v>8413.44</v>
      </c>
      <c r="G211">
        <v>54391.16</v>
      </c>
      <c r="H211" s="6">
        <v>0.86599999999999999</v>
      </c>
      <c r="I211" s="6">
        <v>0.1</v>
      </c>
      <c r="J211">
        <v>5439.1160000000009</v>
      </c>
    </row>
    <row r="212" spans="1:10" x14ac:dyDescent="0.3">
      <c r="A212" s="31">
        <v>45930</v>
      </c>
      <c r="B212" t="s">
        <v>462</v>
      </c>
      <c r="C212" t="s">
        <v>191</v>
      </c>
      <c r="D212" t="s">
        <v>472</v>
      </c>
      <c r="E212">
        <v>258653.91</v>
      </c>
      <c r="F212">
        <v>33709.910000000003</v>
      </c>
      <c r="G212">
        <v>224944</v>
      </c>
      <c r="H212" s="6">
        <v>0.86970000000000003</v>
      </c>
      <c r="I212" s="6">
        <v>0.2</v>
      </c>
      <c r="J212">
        <v>44988.800000000003</v>
      </c>
    </row>
    <row r="213" spans="1:10" x14ac:dyDescent="0.3">
      <c r="A213" s="31">
        <v>45930</v>
      </c>
      <c r="B213" t="s">
        <v>462</v>
      </c>
      <c r="C213" t="s">
        <v>191</v>
      </c>
      <c r="D213" t="s">
        <v>471</v>
      </c>
      <c r="E213">
        <v>128541.88</v>
      </c>
      <c r="F213">
        <v>16752.64</v>
      </c>
      <c r="G213">
        <v>111789.24</v>
      </c>
      <c r="H213" s="6">
        <v>0.86970000000000003</v>
      </c>
      <c r="I213" s="6">
        <v>0.2</v>
      </c>
      <c r="J213">
        <v>22357.848000000002</v>
      </c>
    </row>
    <row r="214" spans="1:10" x14ac:dyDescent="0.3">
      <c r="A214" s="31">
        <v>45930</v>
      </c>
      <c r="B214" t="s">
        <v>462</v>
      </c>
      <c r="C214" t="s">
        <v>191</v>
      </c>
      <c r="D214" t="s">
        <v>470</v>
      </c>
      <c r="E214">
        <v>89719.88</v>
      </c>
      <c r="F214">
        <v>11693.03</v>
      </c>
      <c r="G214">
        <v>78026.850000000006</v>
      </c>
      <c r="H214" s="6">
        <v>0.86970000000000003</v>
      </c>
      <c r="I214" s="6">
        <v>0.2</v>
      </c>
      <c r="J214">
        <v>15605.37</v>
      </c>
    </row>
    <row r="215" spans="1:10" x14ac:dyDescent="0.3">
      <c r="A215" s="31">
        <v>45930</v>
      </c>
      <c r="B215" t="s">
        <v>462</v>
      </c>
      <c r="C215" t="s">
        <v>191</v>
      </c>
      <c r="D215" t="s">
        <v>469</v>
      </c>
      <c r="E215">
        <v>111735.61</v>
      </c>
      <c r="F215">
        <v>14562.31</v>
      </c>
      <c r="G215">
        <v>97173.31</v>
      </c>
      <c r="H215" s="6">
        <v>0.86970000000000003</v>
      </c>
      <c r="I215" s="6">
        <v>0.15</v>
      </c>
      <c r="J215">
        <v>14575.996499999999</v>
      </c>
    </row>
    <row r="216" spans="1:10" x14ac:dyDescent="0.3">
      <c r="A216" s="31">
        <v>45930</v>
      </c>
      <c r="B216" t="s">
        <v>462</v>
      </c>
      <c r="C216" t="s">
        <v>191</v>
      </c>
      <c r="D216" t="s">
        <v>468</v>
      </c>
      <c r="E216">
        <v>55187.55</v>
      </c>
      <c r="F216">
        <v>7192.5</v>
      </c>
      <c r="G216">
        <v>47995.05</v>
      </c>
      <c r="H216" s="6">
        <v>0.86970000000000003</v>
      </c>
      <c r="I216" s="6">
        <v>0.1</v>
      </c>
      <c r="J216">
        <v>4799.5050000000001</v>
      </c>
    </row>
    <row r="217" spans="1:10" x14ac:dyDescent="0.3">
      <c r="A217" s="31">
        <v>45930</v>
      </c>
      <c r="B217" t="s">
        <v>462</v>
      </c>
      <c r="C217" t="s">
        <v>191</v>
      </c>
      <c r="D217" t="s">
        <v>467</v>
      </c>
      <c r="E217">
        <v>10691.19</v>
      </c>
      <c r="F217">
        <v>1393.36</v>
      </c>
      <c r="G217">
        <v>9297.83</v>
      </c>
      <c r="H217" s="6">
        <v>0.86970000000000003</v>
      </c>
      <c r="I217" s="6">
        <v>0.1</v>
      </c>
      <c r="J217">
        <v>929.78300000000002</v>
      </c>
    </row>
    <row r="218" spans="1:10" x14ac:dyDescent="0.3">
      <c r="A218" s="31">
        <v>45930</v>
      </c>
      <c r="B218" t="s">
        <v>462</v>
      </c>
      <c r="C218" t="s">
        <v>191</v>
      </c>
      <c r="D218" t="s">
        <v>466</v>
      </c>
      <c r="E218">
        <v>14232.96</v>
      </c>
      <c r="F218">
        <v>1854.96</v>
      </c>
      <c r="G218">
        <v>12378.01</v>
      </c>
      <c r="H218" s="6">
        <v>0.86970000000000003</v>
      </c>
      <c r="I218" s="6">
        <v>0.2</v>
      </c>
      <c r="J218">
        <v>2475.6019999999999</v>
      </c>
    </row>
    <row r="219" spans="1:10" x14ac:dyDescent="0.3">
      <c r="A219" s="31">
        <v>45930</v>
      </c>
      <c r="B219" t="s">
        <v>462</v>
      </c>
      <c r="C219" t="s">
        <v>191</v>
      </c>
      <c r="D219" t="s">
        <v>465</v>
      </c>
      <c r="E219">
        <v>84408.41</v>
      </c>
      <c r="F219">
        <v>11000.8</v>
      </c>
      <c r="G219">
        <v>73407.61</v>
      </c>
      <c r="H219" s="6">
        <v>0.86970000000000003</v>
      </c>
      <c r="I219" s="6">
        <v>0.1</v>
      </c>
      <c r="J219">
        <v>7340.7610000000004</v>
      </c>
    </row>
    <row r="220" spans="1:10" x14ac:dyDescent="0.3">
      <c r="A220" s="31">
        <v>45930</v>
      </c>
      <c r="B220" t="s">
        <v>462</v>
      </c>
      <c r="C220" t="s">
        <v>191</v>
      </c>
      <c r="D220" t="s">
        <v>464</v>
      </c>
      <c r="E220">
        <v>91544.06</v>
      </c>
      <c r="F220">
        <v>11930.78</v>
      </c>
      <c r="G220">
        <v>79613.289999999994</v>
      </c>
      <c r="H220" s="6">
        <v>0.86970000000000003</v>
      </c>
      <c r="I220" s="6">
        <v>0.1</v>
      </c>
      <c r="J220">
        <v>7961.3289999999997</v>
      </c>
    </row>
    <row r="221" spans="1:10" x14ac:dyDescent="0.3">
      <c r="A221" s="31">
        <v>45930</v>
      </c>
      <c r="B221" t="s">
        <v>462</v>
      </c>
      <c r="C221" t="s">
        <v>191</v>
      </c>
      <c r="D221" t="s">
        <v>463</v>
      </c>
      <c r="E221">
        <v>19054.47</v>
      </c>
      <c r="F221">
        <v>2483.3200000000002</v>
      </c>
      <c r="G221">
        <v>16571.12</v>
      </c>
      <c r="H221" s="6">
        <v>0.86970000000000003</v>
      </c>
      <c r="I221" s="6">
        <v>0.1</v>
      </c>
      <c r="J221">
        <v>1657.1120000000001</v>
      </c>
    </row>
    <row r="222" spans="1:10" x14ac:dyDescent="0.3">
      <c r="A222" s="31">
        <v>45961</v>
      </c>
      <c r="B222" t="s">
        <v>462</v>
      </c>
      <c r="C222" t="s">
        <v>191</v>
      </c>
      <c r="D222" t="s">
        <v>472</v>
      </c>
      <c r="E222">
        <v>175634.08</v>
      </c>
      <c r="F222">
        <v>36242.480000000003</v>
      </c>
      <c r="G222">
        <v>139391.6</v>
      </c>
      <c r="H222" s="6">
        <v>0.79359999999999997</v>
      </c>
      <c r="I222" s="6">
        <v>0.2</v>
      </c>
      <c r="J222">
        <v>27878.32</v>
      </c>
    </row>
    <row r="223" spans="1:10" x14ac:dyDescent="0.3">
      <c r="A223" s="31">
        <v>45961</v>
      </c>
      <c r="B223" t="s">
        <v>462</v>
      </c>
      <c r="C223" t="s">
        <v>191</v>
      </c>
      <c r="D223" t="s">
        <v>471</v>
      </c>
      <c r="E223">
        <v>104824.64</v>
      </c>
      <c r="F223">
        <v>21630.799999999999</v>
      </c>
      <c r="G223">
        <v>83193.84</v>
      </c>
      <c r="H223" s="6">
        <v>0.79359999999999997</v>
      </c>
      <c r="I223" s="6">
        <v>0.2</v>
      </c>
      <c r="J223">
        <v>16638.768</v>
      </c>
    </row>
    <row r="224" spans="1:10" x14ac:dyDescent="0.3">
      <c r="A224" s="31">
        <v>45961</v>
      </c>
      <c r="B224" t="s">
        <v>462</v>
      </c>
      <c r="C224" t="s">
        <v>191</v>
      </c>
      <c r="D224" t="s">
        <v>470</v>
      </c>
      <c r="E224">
        <v>129055.69</v>
      </c>
      <c r="F224">
        <v>26630.93</v>
      </c>
      <c r="G224">
        <v>102424.76</v>
      </c>
      <c r="H224" s="6">
        <v>0.79359999999999997</v>
      </c>
      <c r="I224" s="6">
        <v>0.2</v>
      </c>
      <c r="J224">
        <v>20484.952000000001</v>
      </c>
    </row>
    <row r="225" spans="1:10" x14ac:dyDescent="0.3">
      <c r="A225" s="31">
        <v>45961</v>
      </c>
      <c r="B225" t="s">
        <v>462</v>
      </c>
      <c r="C225" t="s">
        <v>191</v>
      </c>
      <c r="D225" t="s">
        <v>469</v>
      </c>
      <c r="E225">
        <v>85346.25</v>
      </c>
      <c r="F225">
        <v>17611.39</v>
      </c>
      <c r="G225">
        <v>67734.87</v>
      </c>
      <c r="H225" s="6">
        <v>0.79359999999999997</v>
      </c>
      <c r="I225" s="6">
        <v>0.15</v>
      </c>
      <c r="J225">
        <v>10160.2305</v>
      </c>
    </row>
    <row r="226" spans="1:10" x14ac:dyDescent="0.3">
      <c r="A226" s="31">
        <v>45961</v>
      </c>
      <c r="B226" t="s">
        <v>462</v>
      </c>
      <c r="C226" t="s">
        <v>191</v>
      </c>
      <c r="D226" t="s">
        <v>468</v>
      </c>
      <c r="E226">
        <v>53653.15</v>
      </c>
      <c r="F226">
        <v>11071.45</v>
      </c>
      <c r="G226">
        <v>42581.7</v>
      </c>
      <c r="H226" s="6">
        <v>0.79359999999999997</v>
      </c>
      <c r="I226" s="6">
        <v>0.1</v>
      </c>
      <c r="J226">
        <v>4258.17</v>
      </c>
    </row>
    <row r="227" spans="1:10" x14ac:dyDescent="0.3">
      <c r="A227" s="31">
        <v>45961</v>
      </c>
      <c r="B227" t="s">
        <v>462</v>
      </c>
      <c r="C227" t="s">
        <v>191</v>
      </c>
      <c r="D227" t="s">
        <v>467</v>
      </c>
      <c r="E227">
        <v>19221.009999999998</v>
      </c>
      <c r="F227">
        <v>3966.3</v>
      </c>
      <c r="G227">
        <v>15254.71</v>
      </c>
      <c r="H227" s="6">
        <v>0.79359999999999997</v>
      </c>
      <c r="I227" s="6">
        <v>0.1</v>
      </c>
      <c r="J227">
        <v>1525.471</v>
      </c>
    </row>
    <row r="228" spans="1:10" x14ac:dyDescent="0.3">
      <c r="A228" s="31">
        <v>45961</v>
      </c>
      <c r="B228" t="s">
        <v>462</v>
      </c>
      <c r="C228" t="s">
        <v>191</v>
      </c>
      <c r="D228" t="s">
        <v>466</v>
      </c>
      <c r="E228">
        <v>101819.42</v>
      </c>
      <c r="F228">
        <v>21010.66</v>
      </c>
      <c r="G228">
        <v>80808.759999999995</v>
      </c>
      <c r="H228" s="6">
        <v>0.79359999999999997</v>
      </c>
      <c r="I228" s="6">
        <v>0.2</v>
      </c>
      <c r="J228">
        <v>16161.752</v>
      </c>
    </row>
    <row r="229" spans="1:10" x14ac:dyDescent="0.3">
      <c r="A229" s="31">
        <v>45961</v>
      </c>
      <c r="B229" t="s">
        <v>462</v>
      </c>
      <c r="C229" t="s">
        <v>191</v>
      </c>
      <c r="D229" t="s">
        <v>465</v>
      </c>
      <c r="E229">
        <v>76660.289999999994</v>
      </c>
      <c r="F229">
        <v>15819.02</v>
      </c>
      <c r="G229">
        <v>60841.27</v>
      </c>
      <c r="H229" s="6">
        <v>0.79359999999999997</v>
      </c>
      <c r="I229" s="6">
        <v>0.1</v>
      </c>
      <c r="J229">
        <v>6084.1270000000004</v>
      </c>
    </row>
    <row r="230" spans="1:10" x14ac:dyDescent="0.3">
      <c r="A230" s="31">
        <v>45961</v>
      </c>
      <c r="B230" t="s">
        <v>462</v>
      </c>
      <c r="C230" t="s">
        <v>191</v>
      </c>
      <c r="D230" t="s">
        <v>464</v>
      </c>
      <c r="E230">
        <v>61071.13</v>
      </c>
      <c r="F230">
        <v>12602.16</v>
      </c>
      <c r="G230">
        <v>48468.959999999999</v>
      </c>
      <c r="H230" s="6">
        <v>0.79359999999999997</v>
      </c>
      <c r="I230" s="6">
        <v>0.1</v>
      </c>
      <c r="J230">
        <v>4846.8959999999997</v>
      </c>
    </row>
    <row r="231" spans="1:10" x14ac:dyDescent="0.3">
      <c r="A231" s="31">
        <v>45961</v>
      </c>
      <c r="B231" t="s">
        <v>462</v>
      </c>
      <c r="C231" t="s">
        <v>191</v>
      </c>
      <c r="D231" t="s">
        <v>463</v>
      </c>
      <c r="E231">
        <v>126821.33</v>
      </c>
      <c r="F231">
        <v>26169.86</v>
      </c>
      <c r="G231">
        <v>100651.48</v>
      </c>
      <c r="H231" s="6">
        <v>0.79359999999999997</v>
      </c>
      <c r="I231" s="6">
        <v>0.1</v>
      </c>
      <c r="J231">
        <v>10065.147999999999</v>
      </c>
    </row>
    <row r="232" spans="1:10" x14ac:dyDescent="0.3">
      <c r="A232" s="31">
        <v>45991</v>
      </c>
      <c r="B232" t="s">
        <v>462</v>
      </c>
      <c r="C232" t="s">
        <v>191</v>
      </c>
      <c r="D232" t="s">
        <v>472</v>
      </c>
      <c r="E232">
        <v>150516.28</v>
      </c>
      <c r="F232">
        <v>16693.64</v>
      </c>
      <c r="G232">
        <v>133822.64000000001</v>
      </c>
      <c r="H232" s="6">
        <v>0.8891</v>
      </c>
      <c r="I232" s="6">
        <v>0.2</v>
      </c>
      <c r="J232">
        <v>26764.528000000009</v>
      </c>
    </row>
    <row r="233" spans="1:10" x14ac:dyDescent="0.3">
      <c r="A233" s="31">
        <v>45991</v>
      </c>
      <c r="B233" t="s">
        <v>462</v>
      </c>
      <c r="C233" t="s">
        <v>191</v>
      </c>
      <c r="D233" t="s">
        <v>471</v>
      </c>
      <c r="E233">
        <v>170446.98</v>
      </c>
      <c r="F233">
        <v>18904.14</v>
      </c>
      <c r="G233">
        <v>151542.85</v>
      </c>
      <c r="H233" s="6">
        <v>0.8891</v>
      </c>
      <c r="I233" s="6">
        <v>0.2</v>
      </c>
      <c r="J233">
        <v>30308.57</v>
      </c>
    </row>
    <row r="234" spans="1:10" x14ac:dyDescent="0.3">
      <c r="A234" s="31">
        <v>45991</v>
      </c>
      <c r="B234" t="s">
        <v>462</v>
      </c>
      <c r="C234" t="s">
        <v>191</v>
      </c>
      <c r="D234" t="s">
        <v>470</v>
      </c>
      <c r="E234">
        <v>125235.23</v>
      </c>
      <c r="F234">
        <v>13889.74</v>
      </c>
      <c r="G234">
        <v>111345.49</v>
      </c>
      <c r="H234" s="6">
        <v>0.8891</v>
      </c>
      <c r="I234" s="6">
        <v>0.2</v>
      </c>
      <c r="J234">
        <v>22269.098000000002</v>
      </c>
    </row>
    <row r="235" spans="1:10" x14ac:dyDescent="0.3">
      <c r="A235" s="31">
        <v>45991</v>
      </c>
      <c r="B235" t="s">
        <v>462</v>
      </c>
      <c r="C235" t="s">
        <v>191</v>
      </c>
      <c r="D235" t="s">
        <v>469</v>
      </c>
      <c r="E235">
        <v>81454.929999999993</v>
      </c>
      <c r="F235">
        <v>9034.1</v>
      </c>
      <c r="G235">
        <v>72420.83</v>
      </c>
      <c r="H235" s="6">
        <v>0.8891</v>
      </c>
      <c r="I235" s="6">
        <v>0.15</v>
      </c>
      <c r="J235">
        <v>10863.1245</v>
      </c>
    </row>
    <row r="236" spans="1:10" x14ac:dyDescent="0.3">
      <c r="A236" s="31">
        <v>45991</v>
      </c>
      <c r="B236" t="s">
        <v>462</v>
      </c>
      <c r="C236" t="s">
        <v>191</v>
      </c>
      <c r="D236" t="s">
        <v>468</v>
      </c>
      <c r="E236">
        <v>79373.78</v>
      </c>
      <c r="F236">
        <v>8803.2800000000007</v>
      </c>
      <c r="G236">
        <v>70570.5</v>
      </c>
      <c r="H236" s="6">
        <v>0.8891</v>
      </c>
      <c r="I236" s="6">
        <v>0.1</v>
      </c>
      <c r="J236">
        <v>7057.05</v>
      </c>
    </row>
    <row r="237" spans="1:10" x14ac:dyDescent="0.3">
      <c r="A237" s="31">
        <v>45991</v>
      </c>
      <c r="B237" t="s">
        <v>462</v>
      </c>
      <c r="C237" t="s">
        <v>191</v>
      </c>
      <c r="D237" t="s">
        <v>467</v>
      </c>
      <c r="E237">
        <v>74033.649999999994</v>
      </c>
      <c r="F237">
        <v>8211.01</v>
      </c>
      <c r="G237">
        <v>65822.64</v>
      </c>
      <c r="H237" s="6">
        <v>0.8891</v>
      </c>
      <c r="I237" s="6">
        <v>0.1</v>
      </c>
      <c r="J237">
        <v>6582.2640000000001</v>
      </c>
    </row>
    <row r="238" spans="1:10" x14ac:dyDescent="0.3">
      <c r="A238" s="31">
        <v>45991</v>
      </c>
      <c r="B238" t="s">
        <v>462</v>
      </c>
      <c r="C238" t="s">
        <v>191</v>
      </c>
      <c r="D238" t="s">
        <v>466</v>
      </c>
      <c r="E238">
        <v>40043.160000000003</v>
      </c>
      <c r="F238">
        <v>4441.1499999999996</v>
      </c>
      <c r="G238">
        <v>35602.01</v>
      </c>
      <c r="H238" s="6">
        <v>0.8891</v>
      </c>
      <c r="I238" s="6">
        <v>0.2</v>
      </c>
      <c r="J238">
        <v>7120.402000000001</v>
      </c>
    </row>
    <row r="239" spans="1:10" x14ac:dyDescent="0.3">
      <c r="A239" s="31">
        <v>45991</v>
      </c>
      <c r="B239" t="s">
        <v>462</v>
      </c>
      <c r="C239" t="s">
        <v>191</v>
      </c>
      <c r="D239" t="s">
        <v>465</v>
      </c>
      <c r="E239">
        <v>48406.93</v>
      </c>
      <c r="F239">
        <v>5368.77</v>
      </c>
      <c r="G239">
        <v>43038.16</v>
      </c>
      <c r="H239" s="6">
        <v>0.8891</v>
      </c>
      <c r="I239" s="6">
        <v>0.1</v>
      </c>
      <c r="J239">
        <v>4303.8160000000007</v>
      </c>
    </row>
    <row r="240" spans="1:10" x14ac:dyDescent="0.3">
      <c r="A240" s="31">
        <v>45991</v>
      </c>
      <c r="B240" t="s">
        <v>462</v>
      </c>
      <c r="C240" t="s">
        <v>191</v>
      </c>
      <c r="D240" t="s">
        <v>464</v>
      </c>
      <c r="E240">
        <v>76575.95</v>
      </c>
      <c r="F240">
        <v>8492.98</v>
      </c>
      <c r="G240">
        <v>68082.97</v>
      </c>
      <c r="H240" s="6">
        <v>0.8891</v>
      </c>
      <c r="I240" s="6">
        <v>0.1</v>
      </c>
      <c r="J240">
        <v>6808.2969999999996</v>
      </c>
    </row>
    <row r="241" spans="1:10" x14ac:dyDescent="0.3">
      <c r="A241" s="31">
        <v>45991</v>
      </c>
      <c r="B241" t="s">
        <v>462</v>
      </c>
      <c r="C241" t="s">
        <v>191</v>
      </c>
      <c r="D241" t="s">
        <v>463</v>
      </c>
      <c r="E241">
        <v>80659.33</v>
      </c>
      <c r="F241">
        <v>8945.8700000000008</v>
      </c>
      <c r="G241">
        <v>71713.45</v>
      </c>
      <c r="H241" s="6">
        <v>0.8891</v>
      </c>
      <c r="I241" s="6">
        <v>0.1</v>
      </c>
      <c r="J241">
        <v>7171.3450000000003</v>
      </c>
    </row>
    <row r="242" spans="1:10" x14ac:dyDescent="0.3">
      <c r="A242" s="31">
        <v>45657</v>
      </c>
      <c r="B242" t="s">
        <v>462</v>
      </c>
      <c r="C242" t="s">
        <v>193</v>
      </c>
      <c r="D242" t="s">
        <v>472</v>
      </c>
      <c r="E242">
        <v>226463.83</v>
      </c>
      <c r="F242">
        <v>46271.12</v>
      </c>
      <c r="G242">
        <v>180192.71</v>
      </c>
      <c r="H242" s="6">
        <v>0.79569999999999996</v>
      </c>
      <c r="I242" s="6">
        <v>0.2</v>
      </c>
      <c r="J242">
        <v>36038.542000000001</v>
      </c>
    </row>
    <row r="243" spans="1:10" x14ac:dyDescent="0.3">
      <c r="A243" s="31">
        <v>45657</v>
      </c>
      <c r="B243" t="s">
        <v>462</v>
      </c>
      <c r="C243" t="s">
        <v>193</v>
      </c>
      <c r="D243" t="s">
        <v>471</v>
      </c>
      <c r="E243">
        <v>143591.38</v>
      </c>
      <c r="F243">
        <v>29338.61</v>
      </c>
      <c r="G243">
        <v>114252.77</v>
      </c>
      <c r="H243" s="6">
        <v>0.79569999999999996</v>
      </c>
      <c r="I243" s="6">
        <v>0.2</v>
      </c>
      <c r="J243">
        <v>22850.554</v>
      </c>
    </row>
    <row r="244" spans="1:10" x14ac:dyDescent="0.3">
      <c r="A244" s="31">
        <v>45657</v>
      </c>
      <c r="B244" t="s">
        <v>462</v>
      </c>
      <c r="C244" t="s">
        <v>193</v>
      </c>
      <c r="D244" t="s">
        <v>470</v>
      </c>
      <c r="E244">
        <v>108467.03</v>
      </c>
      <c r="F244">
        <v>22162</v>
      </c>
      <c r="G244">
        <v>86305.03</v>
      </c>
      <c r="H244" s="6">
        <v>0.79569999999999996</v>
      </c>
      <c r="I244" s="6">
        <v>0.2</v>
      </c>
      <c r="J244">
        <v>17261.006000000001</v>
      </c>
    </row>
    <row r="245" spans="1:10" x14ac:dyDescent="0.3">
      <c r="A245" s="31">
        <v>45657</v>
      </c>
      <c r="B245" t="s">
        <v>462</v>
      </c>
      <c r="C245" t="s">
        <v>193</v>
      </c>
      <c r="D245" t="s">
        <v>469</v>
      </c>
      <c r="E245">
        <v>101071.62</v>
      </c>
      <c r="F245">
        <v>20650.97</v>
      </c>
      <c r="G245">
        <v>80420.649999999994</v>
      </c>
      <c r="H245" s="6">
        <v>0.79569999999999996</v>
      </c>
      <c r="I245" s="6">
        <v>0.15</v>
      </c>
      <c r="J245">
        <v>12063.0975</v>
      </c>
    </row>
    <row r="246" spans="1:10" x14ac:dyDescent="0.3">
      <c r="A246" s="31">
        <v>45657</v>
      </c>
      <c r="B246" t="s">
        <v>462</v>
      </c>
      <c r="C246" t="s">
        <v>193</v>
      </c>
      <c r="D246" t="s">
        <v>468</v>
      </c>
      <c r="E246">
        <v>65475.07</v>
      </c>
      <c r="F246">
        <v>13377.88</v>
      </c>
      <c r="G246">
        <v>52097.2</v>
      </c>
      <c r="H246" s="6">
        <v>0.79569999999999996</v>
      </c>
      <c r="I246" s="6">
        <v>0.1</v>
      </c>
      <c r="J246">
        <v>5209.72</v>
      </c>
    </row>
    <row r="247" spans="1:10" x14ac:dyDescent="0.3">
      <c r="A247" s="31">
        <v>45657</v>
      </c>
      <c r="B247" t="s">
        <v>462</v>
      </c>
      <c r="C247" t="s">
        <v>193</v>
      </c>
      <c r="D247" t="s">
        <v>467</v>
      </c>
      <c r="E247">
        <v>71419.990000000005</v>
      </c>
      <c r="F247">
        <v>14592.54</v>
      </c>
      <c r="G247">
        <v>56827.45</v>
      </c>
      <c r="H247" s="6">
        <v>0.79569999999999996</v>
      </c>
      <c r="I247" s="6">
        <v>0.1</v>
      </c>
      <c r="J247">
        <v>5682.7449999999999</v>
      </c>
    </row>
    <row r="248" spans="1:10" x14ac:dyDescent="0.3">
      <c r="A248" s="31">
        <v>45657</v>
      </c>
      <c r="B248" t="s">
        <v>462</v>
      </c>
      <c r="C248" t="s">
        <v>193</v>
      </c>
      <c r="D248" t="s">
        <v>466</v>
      </c>
      <c r="E248">
        <v>71069.14</v>
      </c>
      <c r="F248">
        <v>14520.86</v>
      </c>
      <c r="G248">
        <v>56548.28</v>
      </c>
      <c r="H248" s="6">
        <v>0.79569999999999996</v>
      </c>
      <c r="I248" s="6">
        <v>0.2</v>
      </c>
      <c r="J248">
        <v>11309.656000000001</v>
      </c>
    </row>
    <row r="249" spans="1:10" x14ac:dyDescent="0.3">
      <c r="A249" s="31">
        <v>45657</v>
      </c>
      <c r="B249" t="s">
        <v>462</v>
      </c>
      <c r="C249" t="s">
        <v>193</v>
      </c>
      <c r="D249" t="s">
        <v>465</v>
      </c>
      <c r="E249">
        <v>76445.11</v>
      </c>
      <c r="F249">
        <v>15619.28</v>
      </c>
      <c r="G249">
        <v>60825.84</v>
      </c>
      <c r="H249" s="6">
        <v>0.79569999999999996</v>
      </c>
      <c r="I249" s="6">
        <v>0.1</v>
      </c>
      <c r="J249">
        <v>6082.5839999999998</v>
      </c>
    </row>
    <row r="250" spans="1:10" x14ac:dyDescent="0.3">
      <c r="A250" s="31">
        <v>45657</v>
      </c>
      <c r="B250" t="s">
        <v>462</v>
      </c>
      <c r="C250" t="s">
        <v>193</v>
      </c>
      <c r="D250" t="s">
        <v>464</v>
      </c>
      <c r="E250">
        <v>58672.2</v>
      </c>
      <c r="F250">
        <v>11987.91</v>
      </c>
      <c r="G250">
        <v>46684.29</v>
      </c>
      <c r="H250" s="6">
        <v>0.79569999999999996</v>
      </c>
      <c r="I250" s="6">
        <v>0.1</v>
      </c>
      <c r="J250">
        <v>4668.4290000000001</v>
      </c>
    </row>
    <row r="251" spans="1:10" x14ac:dyDescent="0.3">
      <c r="A251" s="31">
        <v>45657</v>
      </c>
      <c r="B251" t="s">
        <v>462</v>
      </c>
      <c r="C251" t="s">
        <v>193</v>
      </c>
      <c r="D251" t="s">
        <v>463</v>
      </c>
      <c r="E251">
        <v>112460.93</v>
      </c>
      <c r="F251">
        <v>22978.03</v>
      </c>
      <c r="G251">
        <v>89482.89</v>
      </c>
      <c r="H251" s="6">
        <v>0.79569999999999996</v>
      </c>
      <c r="I251" s="6">
        <v>0.1</v>
      </c>
      <c r="J251">
        <v>8948.2890000000007</v>
      </c>
    </row>
    <row r="252" spans="1:10" x14ac:dyDescent="0.3">
      <c r="A252" s="31">
        <v>45688</v>
      </c>
      <c r="B252" t="s">
        <v>462</v>
      </c>
      <c r="C252" t="s">
        <v>193</v>
      </c>
      <c r="D252" t="s">
        <v>472</v>
      </c>
      <c r="E252">
        <v>201948.82</v>
      </c>
      <c r="F252">
        <v>32867.760000000002</v>
      </c>
      <c r="G252">
        <v>169081.06</v>
      </c>
      <c r="H252" s="6">
        <v>0.83720000000000006</v>
      </c>
      <c r="I252" s="6">
        <v>0.2</v>
      </c>
      <c r="J252">
        <v>33816.212</v>
      </c>
    </row>
    <row r="253" spans="1:10" x14ac:dyDescent="0.3">
      <c r="A253" s="31">
        <v>45688</v>
      </c>
      <c r="B253" t="s">
        <v>462</v>
      </c>
      <c r="C253" t="s">
        <v>193</v>
      </c>
      <c r="D253" t="s">
        <v>471</v>
      </c>
      <c r="E253">
        <v>213045.43</v>
      </c>
      <c r="F253">
        <v>34673.769999999997</v>
      </c>
      <c r="G253">
        <v>178371.66</v>
      </c>
      <c r="H253" s="6">
        <v>0.83720000000000006</v>
      </c>
      <c r="I253" s="6">
        <v>0.2</v>
      </c>
      <c r="J253">
        <v>35674.332000000002</v>
      </c>
    </row>
    <row r="254" spans="1:10" x14ac:dyDescent="0.3">
      <c r="A254" s="31">
        <v>45688</v>
      </c>
      <c r="B254" t="s">
        <v>462</v>
      </c>
      <c r="C254" t="s">
        <v>193</v>
      </c>
      <c r="D254" t="s">
        <v>470</v>
      </c>
      <c r="E254">
        <v>112299.1</v>
      </c>
      <c r="F254">
        <v>18277.009999999998</v>
      </c>
      <c r="G254">
        <v>94022.09</v>
      </c>
      <c r="H254" s="6">
        <v>0.83720000000000006</v>
      </c>
      <c r="I254" s="6">
        <v>0.2</v>
      </c>
      <c r="J254">
        <v>18804.418000000001</v>
      </c>
    </row>
    <row r="255" spans="1:10" x14ac:dyDescent="0.3">
      <c r="A255" s="31">
        <v>45688</v>
      </c>
      <c r="B255" t="s">
        <v>462</v>
      </c>
      <c r="C255" t="s">
        <v>193</v>
      </c>
      <c r="D255" t="s">
        <v>469</v>
      </c>
      <c r="E255">
        <v>102298.59</v>
      </c>
      <c r="F255">
        <v>16649.400000000001</v>
      </c>
      <c r="G255">
        <v>85649.2</v>
      </c>
      <c r="H255" s="6">
        <v>0.83720000000000006</v>
      </c>
      <c r="I255" s="6">
        <v>0.15</v>
      </c>
      <c r="J255">
        <v>12847.38</v>
      </c>
    </row>
    <row r="256" spans="1:10" x14ac:dyDescent="0.3">
      <c r="A256" s="31">
        <v>45688</v>
      </c>
      <c r="B256" t="s">
        <v>462</v>
      </c>
      <c r="C256" t="s">
        <v>193</v>
      </c>
      <c r="D256" t="s">
        <v>468</v>
      </c>
      <c r="E256">
        <v>49587.11</v>
      </c>
      <c r="F256">
        <v>8070.45</v>
      </c>
      <c r="G256">
        <v>41516.660000000003</v>
      </c>
      <c r="H256" s="6">
        <v>0.83720000000000006</v>
      </c>
      <c r="I256" s="6">
        <v>0.1</v>
      </c>
      <c r="J256">
        <v>4151.6660000000002</v>
      </c>
    </row>
    <row r="257" spans="1:10" x14ac:dyDescent="0.3">
      <c r="A257" s="31">
        <v>45688</v>
      </c>
      <c r="B257" t="s">
        <v>462</v>
      </c>
      <c r="C257" t="s">
        <v>193</v>
      </c>
      <c r="D257" t="s">
        <v>467</v>
      </c>
      <c r="E257">
        <v>103203.81</v>
      </c>
      <c r="F257">
        <v>16796.72</v>
      </c>
      <c r="G257">
        <v>86407.09</v>
      </c>
      <c r="H257" s="6">
        <v>0.83720000000000006</v>
      </c>
      <c r="I257" s="6">
        <v>0.1</v>
      </c>
      <c r="J257">
        <v>8640.7090000000007</v>
      </c>
    </row>
    <row r="258" spans="1:10" x14ac:dyDescent="0.3">
      <c r="A258" s="31">
        <v>45688</v>
      </c>
      <c r="B258" t="s">
        <v>462</v>
      </c>
      <c r="C258" t="s">
        <v>193</v>
      </c>
      <c r="D258" t="s">
        <v>466</v>
      </c>
      <c r="E258">
        <v>94403.12</v>
      </c>
      <c r="F258">
        <v>15364.38</v>
      </c>
      <c r="G258">
        <v>79038.740000000005</v>
      </c>
      <c r="H258" s="6">
        <v>0.83720000000000006</v>
      </c>
      <c r="I258" s="6">
        <v>0.2</v>
      </c>
      <c r="J258">
        <v>15807.748</v>
      </c>
    </row>
    <row r="259" spans="1:10" x14ac:dyDescent="0.3">
      <c r="A259" s="31">
        <v>45688</v>
      </c>
      <c r="B259" t="s">
        <v>462</v>
      </c>
      <c r="C259" t="s">
        <v>193</v>
      </c>
      <c r="D259" t="s">
        <v>465</v>
      </c>
      <c r="E259">
        <v>35631.370000000003</v>
      </c>
      <c r="F259">
        <v>5799.11</v>
      </c>
      <c r="G259">
        <v>29832.26</v>
      </c>
      <c r="H259" s="6">
        <v>0.83720000000000006</v>
      </c>
      <c r="I259" s="6">
        <v>0.1</v>
      </c>
      <c r="J259">
        <v>2983.2260000000001</v>
      </c>
    </row>
    <row r="260" spans="1:10" x14ac:dyDescent="0.3">
      <c r="A260" s="31">
        <v>45688</v>
      </c>
      <c r="B260" t="s">
        <v>462</v>
      </c>
      <c r="C260" t="s">
        <v>193</v>
      </c>
      <c r="D260" t="s">
        <v>464</v>
      </c>
      <c r="E260">
        <v>56805.919999999998</v>
      </c>
      <c r="F260">
        <v>9245.33</v>
      </c>
      <c r="G260">
        <v>47560.59</v>
      </c>
      <c r="H260" s="6">
        <v>0.83720000000000006</v>
      </c>
      <c r="I260" s="6">
        <v>0.1</v>
      </c>
      <c r="J260">
        <v>4756.0590000000002</v>
      </c>
    </row>
    <row r="261" spans="1:10" x14ac:dyDescent="0.3">
      <c r="A261" s="31">
        <v>45688</v>
      </c>
      <c r="B261" t="s">
        <v>462</v>
      </c>
      <c r="C261" t="s">
        <v>193</v>
      </c>
      <c r="D261" t="s">
        <v>463</v>
      </c>
      <c r="E261">
        <v>99759.73</v>
      </c>
      <c r="F261">
        <v>16236.19</v>
      </c>
      <c r="G261">
        <v>83523.539999999994</v>
      </c>
      <c r="H261" s="6">
        <v>0.83720000000000006</v>
      </c>
      <c r="I261" s="6">
        <v>0.1</v>
      </c>
      <c r="J261">
        <v>8352.3539999999994</v>
      </c>
    </row>
    <row r="262" spans="1:10" x14ac:dyDescent="0.3">
      <c r="A262" s="31">
        <v>45716</v>
      </c>
      <c r="B262" t="s">
        <v>462</v>
      </c>
      <c r="C262" t="s">
        <v>193</v>
      </c>
      <c r="D262" t="s">
        <v>472</v>
      </c>
      <c r="E262">
        <v>260291.25</v>
      </c>
      <c r="F262">
        <v>26189.96</v>
      </c>
      <c r="G262">
        <v>234101.29</v>
      </c>
      <c r="H262" s="6">
        <v>0.89939999999999998</v>
      </c>
      <c r="I262" s="6">
        <v>0.2</v>
      </c>
      <c r="J262">
        <v>46820.258000000002</v>
      </c>
    </row>
    <row r="263" spans="1:10" x14ac:dyDescent="0.3">
      <c r="A263" s="31">
        <v>45716</v>
      </c>
      <c r="B263" t="s">
        <v>462</v>
      </c>
      <c r="C263" t="s">
        <v>193</v>
      </c>
      <c r="D263" t="s">
        <v>471</v>
      </c>
      <c r="E263">
        <v>85435.67</v>
      </c>
      <c r="F263">
        <v>8596.36</v>
      </c>
      <c r="G263">
        <v>76839.31</v>
      </c>
      <c r="H263" s="6">
        <v>0.89939999999999998</v>
      </c>
      <c r="I263" s="6">
        <v>0.2</v>
      </c>
      <c r="J263">
        <v>15367.861999999999</v>
      </c>
    </row>
    <row r="264" spans="1:10" x14ac:dyDescent="0.3">
      <c r="A264" s="31">
        <v>45716</v>
      </c>
      <c r="B264" t="s">
        <v>462</v>
      </c>
      <c r="C264" t="s">
        <v>193</v>
      </c>
      <c r="D264" t="s">
        <v>470</v>
      </c>
      <c r="E264">
        <v>76875.38</v>
      </c>
      <c r="F264">
        <v>7735.04</v>
      </c>
      <c r="G264">
        <v>69140.34</v>
      </c>
      <c r="H264" s="6">
        <v>0.89939999999999998</v>
      </c>
      <c r="I264" s="6">
        <v>0.2</v>
      </c>
      <c r="J264">
        <v>13828.067999999999</v>
      </c>
    </row>
    <row r="265" spans="1:10" x14ac:dyDescent="0.3">
      <c r="A265" s="31">
        <v>45716</v>
      </c>
      <c r="B265" t="s">
        <v>462</v>
      </c>
      <c r="C265" t="s">
        <v>193</v>
      </c>
      <c r="D265" t="s">
        <v>469</v>
      </c>
      <c r="E265">
        <v>110421.74</v>
      </c>
      <c r="F265">
        <v>11110.4</v>
      </c>
      <c r="G265">
        <v>99311.34</v>
      </c>
      <c r="H265" s="6">
        <v>0.89939999999999998</v>
      </c>
      <c r="I265" s="6">
        <v>0.15</v>
      </c>
      <c r="J265">
        <v>14896.700999999999</v>
      </c>
    </row>
    <row r="266" spans="1:10" x14ac:dyDescent="0.3">
      <c r="A266" s="31">
        <v>45716</v>
      </c>
      <c r="B266" t="s">
        <v>462</v>
      </c>
      <c r="C266" t="s">
        <v>193</v>
      </c>
      <c r="D266" t="s">
        <v>468</v>
      </c>
      <c r="E266">
        <v>138266.51</v>
      </c>
      <c r="F266">
        <v>13912.08</v>
      </c>
      <c r="G266">
        <v>124354.42</v>
      </c>
      <c r="H266" s="6">
        <v>0.89939999999999998</v>
      </c>
      <c r="I266" s="6">
        <v>0.1</v>
      </c>
      <c r="J266">
        <v>12435.441999999999</v>
      </c>
    </row>
    <row r="267" spans="1:10" x14ac:dyDescent="0.3">
      <c r="A267" s="31">
        <v>45716</v>
      </c>
      <c r="B267" t="s">
        <v>462</v>
      </c>
      <c r="C267" t="s">
        <v>193</v>
      </c>
      <c r="D267" t="s">
        <v>467</v>
      </c>
      <c r="E267">
        <v>142459.98000000001</v>
      </c>
      <c r="F267">
        <v>14334.02</v>
      </c>
      <c r="G267">
        <v>128125.96</v>
      </c>
      <c r="H267" s="6">
        <v>0.89939999999999998</v>
      </c>
      <c r="I267" s="6">
        <v>0.1</v>
      </c>
      <c r="J267">
        <v>12812.596</v>
      </c>
    </row>
    <row r="268" spans="1:10" x14ac:dyDescent="0.3">
      <c r="A268" s="31">
        <v>45716</v>
      </c>
      <c r="B268" t="s">
        <v>462</v>
      </c>
      <c r="C268" t="s">
        <v>193</v>
      </c>
      <c r="D268" t="s">
        <v>466</v>
      </c>
      <c r="E268">
        <v>81742.460000000006</v>
      </c>
      <c r="F268">
        <v>8224.75</v>
      </c>
      <c r="G268">
        <v>73517.710000000006</v>
      </c>
      <c r="H268" s="6">
        <v>0.89939999999999998</v>
      </c>
      <c r="I268" s="6">
        <v>0.2</v>
      </c>
      <c r="J268">
        <v>14703.541999999999</v>
      </c>
    </row>
    <row r="269" spans="1:10" x14ac:dyDescent="0.3">
      <c r="A269" s="31">
        <v>45716</v>
      </c>
      <c r="B269" t="s">
        <v>462</v>
      </c>
      <c r="C269" t="s">
        <v>193</v>
      </c>
      <c r="D269" t="s">
        <v>465</v>
      </c>
      <c r="E269">
        <v>56136.22</v>
      </c>
      <c r="F269">
        <v>5648.31</v>
      </c>
      <c r="G269">
        <v>50487.92</v>
      </c>
      <c r="H269" s="6">
        <v>0.89939999999999998</v>
      </c>
      <c r="I269" s="6">
        <v>0.1</v>
      </c>
      <c r="J269">
        <v>5048.7920000000004</v>
      </c>
    </row>
    <row r="270" spans="1:10" x14ac:dyDescent="0.3">
      <c r="A270" s="31">
        <v>45716</v>
      </c>
      <c r="B270" t="s">
        <v>462</v>
      </c>
      <c r="C270" t="s">
        <v>193</v>
      </c>
      <c r="D270" t="s">
        <v>464</v>
      </c>
      <c r="E270">
        <v>48575.79</v>
      </c>
      <c r="F270">
        <v>4887.59</v>
      </c>
      <c r="G270">
        <v>43688.19</v>
      </c>
      <c r="H270" s="6">
        <v>0.89939999999999998</v>
      </c>
      <c r="I270" s="6">
        <v>0.1</v>
      </c>
      <c r="J270">
        <v>4368.8190000000004</v>
      </c>
    </row>
    <row r="271" spans="1:10" x14ac:dyDescent="0.3">
      <c r="A271" s="31">
        <v>45716</v>
      </c>
      <c r="B271" t="s">
        <v>462</v>
      </c>
      <c r="C271" t="s">
        <v>193</v>
      </c>
      <c r="D271" t="s">
        <v>463</v>
      </c>
      <c r="E271">
        <v>41424.46</v>
      </c>
      <c r="F271">
        <v>4168.05</v>
      </c>
      <c r="G271">
        <v>37256.42</v>
      </c>
      <c r="H271" s="6">
        <v>0.89939999999999998</v>
      </c>
      <c r="I271" s="6">
        <v>0.1</v>
      </c>
      <c r="J271">
        <v>3725.6419999999998</v>
      </c>
    </row>
    <row r="272" spans="1:10" x14ac:dyDescent="0.3">
      <c r="A272" s="31">
        <v>45747</v>
      </c>
      <c r="B272" t="s">
        <v>462</v>
      </c>
      <c r="C272" t="s">
        <v>193</v>
      </c>
      <c r="D272" t="s">
        <v>472</v>
      </c>
      <c r="E272">
        <v>217891.18</v>
      </c>
      <c r="F272">
        <v>36550.720000000001</v>
      </c>
      <c r="G272">
        <v>181340.46</v>
      </c>
      <c r="H272" s="6">
        <v>0.83230000000000004</v>
      </c>
      <c r="I272" s="6">
        <v>0.2</v>
      </c>
      <c r="J272">
        <v>36268.091999999997</v>
      </c>
    </row>
    <row r="273" spans="1:10" x14ac:dyDescent="0.3">
      <c r="A273" s="31">
        <v>45747</v>
      </c>
      <c r="B273" t="s">
        <v>462</v>
      </c>
      <c r="C273" t="s">
        <v>193</v>
      </c>
      <c r="D273" t="s">
        <v>471</v>
      </c>
      <c r="E273">
        <v>165965.39000000001</v>
      </c>
      <c r="F273">
        <v>27840.29</v>
      </c>
      <c r="G273">
        <v>138125.09</v>
      </c>
      <c r="H273" s="6">
        <v>0.83230000000000004</v>
      </c>
      <c r="I273" s="6">
        <v>0.2</v>
      </c>
      <c r="J273">
        <v>27625.018</v>
      </c>
    </row>
    <row r="274" spans="1:10" x14ac:dyDescent="0.3">
      <c r="A274" s="31">
        <v>45747</v>
      </c>
      <c r="B274" t="s">
        <v>462</v>
      </c>
      <c r="C274" t="s">
        <v>193</v>
      </c>
      <c r="D274" t="s">
        <v>470</v>
      </c>
      <c r="E274">
        <v>132087.29999999999</v>
      </c>
      <c r="F274">
        <v>22157.33</v>
      </c>
      <c r="G274">
        <v>109929.97</v>
      </c>
      <c r="H274" s="6">
        <v>0.83230000000000004</v>
      </c>
      <c r="I274" s="6">
        <v>0.2</v>
      </c>
      <c r="J274">
        <v>21985.993999999999</v>
      </c>
    </row>
    <row r="275" spans="1:10" x14ac:dyDescent="0.3">
      <c r="A275" s="31">
        <v>45747</v>
      </c>
      <c r="B275" t="s">
        <v>462</v>
      </c>
      <c r="C275" t="s">
        <v>193</v>
      </c>
      <c r="D275" t="s">
        <v>469</v>
      </c>
      <c r="E275">
        <v>78111.28</v>
      </c>
      <c r="F275">
        <v>13102.98</v>
      </c>
      <c r="G275">
        <v>65008.3</v>
      </c>
      <c r="H275" s="6">
        <v>0.83230000000000004</v>
      </c>
      <c r="I275" s="6">
        <v>0.15</v>
      </c>
      <c r="J275">
        <v>9751.2450000000008</v>
      </c>
    </row>
    <row r="276" spans="1:10" x14ac:dyDescent="0.3">
      <c r="A276" s="31">
        <v>45747</v>
      </c>
      <c r="B276" t="s">
        <v>462</v>
      </c>
      <c r="C276" t="s">
        <v>193</v>
      </c>
      <c r="D276" t="s">
        <v>468</v>
      </c>
      <c r="E276">
        <v>46202.36</v>
      </c>
      <c r="F276">
        <v>7750.34</v>
      </c>
      <c r="G276">
        <v>38452.03</v>
      </c>
      <c r="H276" s="6">
        <v>0.83230000000000004</v>
      </c>
      <c r="I276" s="6">
        <v>0.1</v>
      </c>
      <c r="J276">
        <v>3845.203</v>
      </c>
    </row>
    <row r="277" spans="1:10" x14ac:dyDescent="0.3">
      <c r="A277" s="31">
        <v>45747</v>
      </c>
      <c r="B277" t="s">
        <v>462</v>
      </c>
      <c r="C277" t="s">
        <v>193</v>
      </c>
      <c r="D277" t="s">
        <v>467</v>
      </c>
      <c r="E277">
        <v>36590.78</v>
      </c>
      <c r="F277">
        <v>6138.01</v>
      </c>
      <c r="G277">
        <v>30452.76</v>
      </c>
      <c r="H277" s="6">
        <v>0.83230000000000004</v>
      </c>
      <c r="I277" s="6">
        <v>0.1</v>
      </c>
      <c r="J277">
        <v>3045.2759999999998</v>
      </c>
    </row>
    <row r="278" spans="1:10" x14ac:dyDescent="0.3">
      <c r="A278" s="31">
        <v>45747</v>
      </c>
      <c r="B278" t="s">
        <v>462</v>
      </c>
      <c r="C278" t="s">
        <v>193</v>
      </c>
      <c r="D278" t="s">
        <v>466</v>
      </c>
      <c r="E278">
        <v>88114.880000000005</v>
      </c>
      <c r="F278">
        <v>14781.06</v>
      </c>
      <c r="G278">
        <v>73333.820000000007</v>
      </c>
      <c r="H278" s="6">
        <v>0.83230000000000004</v>
      </c>
      <c r="I278" s="6">
        <v>0.2</v>
      </c>
      <c r="J278">
        <v>14666.763999999999</v>
      </c>
    </row>
    <row r="279" spans="1:10" x14ac:dyDescent="0.3">
      <c r="A279" s="31">
        <v>45747</v>
      </c>
      <c r="B279" t="s">
        <v>462</v>
      </c>
      <c r="C279" t="s">
        <v>193</v>
      </c>
      <c r="D279" t="s">
        <v>465</v>
      </c>
      <c r="E279">
        <v>63801.79</v>
      </c>
      <c r="F279">
        <v>10702.6</v>
      </c>
      <c r="G279">
        <v>53099.199999999997</v>
      </c>
      <c r="H279" s="6">
        <v>0.83230000000000004</v>
      </c>
      <c r="I279" s="6">
        <v>0.1</v>
      </c>
      <c r="J279">
        <v>5309.92</v>
      </c>
    </row>
    <row r="280" spans="1:10" x14ac:dyDescent="0.3">
      <c r="A280" s="31">
        <v>45747</v>
      </c>
      <c r="B280" t="s">
        <v>462</v>
      </c>
      <c r="C280" t="s">
        <v>193</v>
      </c>
      <c r="D280" t="s">
        <v>464</v>
      </c>
      <c r="E280">
        <v>112918.51</v>
      </c>
      <c r="F280">
        <v>18941.810000000001</v>
      </c>
      <c r="G280">
        <v>93976.7</v>
      </c>
      <c r="H280" s="6">
        <v>0.83230000000000004</v>
      </c>
      <c r="I280" s="6">
        <v>0.1</v>
      </c>
      <c r="J280">
        <v>9397.67</v>
      </c>
    </row>
    <row r="281" spans="1:10" x14ac:dyDescent="0.3">
      <c r="A281" s="31">
        <v>45747</v>
      </c>
      <c r="B281" t="s">
        <v>462</v>
      </c>
      <c r="C281" t="s">
        <v>193</v>
      </c>
      <c r="D281" t="s">
        <v>463</v>
      </c>
      <c r="E281">
        <v>50166.31</v>
      </c>
      <c r="F281">
        <v>8415.27</v>
      </c>
      <c r="G281">
        <v>41751.040000000001</v>
      </c>
      <c r="H281" s="6">
        <v>0.83230000000000004</v>
      </c>
      <c r="I281" s="6">
        <v>0.1</v>
      </c>
      <c r="J281">
        <v>4175.1040000000003</v>
      </c>
    </row>
    <row r="282" spans="1:10" x14ac:dyDescent="0.3">
      <c r="A282" s="31">
        <v>45777</v>
      </c>
      <c r="B282" t="s">
        <v>462</v>
      </c>
      <c r="C282" t="s">
        <v>193</v>
      </c>
      <c r="D282" t="s">
        <v>472</v>
      </c>
      <c r="E282">
        <v>271598.40999999997</v>
      </c>
      <c r="F282">
        <v>58637.48</v>
      </c>
      <c r="G282">
        <v>212960.93</v>
      </c>
      <c r="H282" s="6">
        <v>0.78410000000000002</v>
      </c>
      <c r="I282" s="6">
        <v>0.2</v>
      </c>
      <c r="J282">
        <v>42592.186000000002</v>
      </c>
    </row>
    <row r="283" spans="1:10" x14ac:dyDescent="0.3">
      <c r="A283" s="31">
        <v>45777</v>
      </c>
      <c r="B283" t="s">
        <v>462</v>
      </c>
      <c r="C283" t="s">
        <v>193</v>
      </c>
      <c r="D283" t="s">
        <v>471</v>
      </c>
      <c r="E283">
        <v>163228.04999999999</v>
      </c>
      <c r="F283">
        <v>35240.559999999998</v>
      </c>
      <c r="G283">
        <v>127987.49</v>
      </c>
      <c r="H283" s="6">
        <v>0.78410000000000002</v>
      </c>
      <c r="I283" s="6">
        <v>0.2</v>
      </c>
      <c r="J283">
        <v>25597.498</v>
      </c>
    </row>
    <row r="284" spans="1:10" x14ac:dyDescent="0.3">
      <c r="A284" s="31">
        <v>45777</v>
      </c>
      <c r="B284" t="s">
        <v>462</v>
      </c>
      <c r="C284" t="s">
        <v>193</v>
      </c>
      <c r="D284" t="s">
        <v>470</v>
      </c>
      <c r="E284">
        <v>108824.21</v>
      </c>
      <c r="F284">
        <v>23494.9</v>
      </c>
      <c r="G284">
        <v>85329.31</v>
      </c>
      <c r="H284" s="6">
        <v>0.78410000000000002</v>
      </c>
      <c r="I284" s="6">
        <v>0.2</v>
      </c>
      <c r="J284">
        <v>17065.862000000001</v>
      </c>
    </row>
    <row r="285" spans="1:10" x14ac:dyDescent="0.3">
      <c r="A285" s="31">
        <v>45777</v>
      </c>
      <c r="B285" t="s">
        <v>462</v>
      </c>
      <c r="C285" t="s">
        <v>193</v>
      </c>
      <c r="D285" t="s">
        <v>469</v>
      </c>
      <c r="E285">
        <v>105371.47</v>
      </c>
      <c r="F285">
        <v>22749.46</v>
      </c>
      <c r="G285">
        <v>82622.009999999995</v>
      </c>
      <c r="H285" s="6">
        <v>0.78410000000000002</v>
      </c>
      <c r="I285" s="6">
        <v>0.15</v>
      </c>
      <c r="J285">
        <v>12393.3015</v>
      </c>
    </row>
    <row r="286" spans="1:10" x14ac:dyDescent="0.3">
      <c r="A286" s="31">
        <v>45777</v>
      </c>
      <c r="B286" t="s">
        <v>462</v>
      </c>
      <c r="C286" t="s">
        <v>193</v>
      </c>
      <c r="D286" t="s">
        <v>468</v>
      </c>
      <c r="E286">
        <v>68270.25</v>
      </c>
      <c r="F286">
        <v>14739.39</v>
      </c>
      <c r="G286">
        <v>53530.86</v>
      </c>
      <c r="H286" s="6">
        <v>0.78410000000000002</v>
      </c>
      <c r="I286" s="6">
        <v>0.1</v>
      </c>
      <c r="J286">
        <v>5353.0860000000002</v>
      </c>
    </row>
    <row r="287" spans="1:10" x14ac:dyDescent="0.3">
      <c r="A287" s="31">
        <v>45777</v>
      </c>
      <c r="B287" t="s">
        <v>462</v>
      </c>
      <c r="C287" t="s">
        <v>193</v>
      </c>
      <c r="D287" t="s">
        <v>467</v>
      </c>
      <c r="E287">
        <v>45522.52</v>
      </c>
      <c r="F287">
        <v>9828.2099999999991</v>
      </c>
      <c r="G287">
        <v>35694.31</v>
      </c>
      <c r="H287" s="6">
        <v>0.78410000000000002</v>
      </c>
      <c r="I287" s="6">
        <v>0.1</v>
      </c>
      <c r="J287">
        <v>3569.431</v>
      </c>
    </row>
    <row r="288" spans="1:10" x14ac:dyDescent="0.3">
      <c r="A288" s="31">
        <v>45777</v>
      </c>
      <c r="B288" t="s">
        <v>462</v>
      </c>
      <c r="C288" t="s">
        <v>193</v>
      </c>
      <c r="D288" t="s">
        <v>466</v>
      </c>
      <c r="E288">
        <v>98013.59</v>
      </c>
      <c r="F288">
        <v>21160.91</v>
      </c>
      <c r="G288">
        <v>76852.679999999993</v>
      </c>
      <c r="H288" s="6">
        <v>0.78410000000000002</v>
      </c>
      <c r="I288" s="6">
        <v>0.2</v>
      </c>
      <c r="J288">
        <v>15370.536</v>
      </c>
    </row>
    <row r="289" spans="1:10" x14ac:dyDescent="0.3">
      <c r="A289" s="31">
        <v>45777</v>
      </c>
      <c r="B289" t="s">
        <v>462</v>
      </c>
      <c r="C289" t="s">
        <v>193</v>
      </c>
      <c r="D289" t="s">
        <v>465</v>
      </c>
      <c r="E289">
        <v>92668.35</v>
      </c>
      <c r="F289">
        <v>20006.88</v>
      </c>
      <c r="G289">
        <v>72661.460000000006</v>
      </c>
      <c r="H289" s="6">
        <v>0.78410000000000002</v>
      </c>
      <c r="I289" s="6">
        <v>0.1</v>
      </c>
      <c r="J289">
        <v>7266.1460000000006</v>
      </c>
    </row>
    <row r="290" spans="1:10" x14ac:dyDescent="0.3">
      <c r="A290" s="31">
        <v>45777</v>
      </c>
      <c r="B290" t="s">
        <v>462</v>
      </c>
      <c r="C290" t="s">
        <v>193</v>
      </c>
      <c r="D290" t="s">
        <v>464</v>
      </c>
      <c r="E290">
        <v>108002.11</v>
      </c>
      <c r="F290">
        <v>23317.41</v>
      </c>
      <c r="G290">
        <v>84684.7</v>
      </c>
      <c r="H290" s="6">
        <v>0.78410000000000002</v>
      </c>
      <c r="I290" s="6">
        <v>0.1</v>
      </c>
      <c r="J290">
        <v>8468.4699999999993</v>
      </c>
    </row>
    <row r="291" spans="1:10" x14ac:dyDescent="0.3">
      <c r="A291" s="31">
        <v>45777</v>
      </c>
      <c r="B291" t="s">
        <v>462</v>
      </c>
      <c r="C291" t="s">
        <v>193</v>
      </c>
      <c r="D291" t="s">
        <v>463</v>
      </c>
      <c r="E291">
        <v>67063.199999999997</v>
      </c>
      <c r="F291">
        <v>14478.79</v>
      </c>
      <c r="G291">
        <v>52584.42</v>
      </c>
      <c r="H291" s="6">
        <v>0.78410000000000002</v>
      </c>
      <c r="I291" s="6">
        <v>0.1</v>
      </c>
      <c r="J291">
        <v>5258.442</v>
      </c>
    </row>
    <row r="292" spans="1:10" x14ac:dyDescent="0.3">
      <c r="A292" s="31">
        <v>45808</v>
      </c>
      <c r="B292" t="s">
        <v>462</v>
      </c>
      <c r="C292" t="s">
        <v>193</v>
      </c>
      <c r="D292" t="s">
        <v>472</v>
      </c>
      <c r="E292">
        <v>213941.45</v>
      </c>
      <c r="F292">
        <v>26840.35</v>
      </c>
      <c r="G292">
        <v>187101.1</v>
      </c>
      <c r="H292" s="6">
        <v>0.87450000000000006</v>
      </c>
      <c r="I292" s="6">
        <v>0.2</v>
      </c>
      <c r="J292">
        <v>37420.22</v>
      </c>
    </row>
    <row r="293" spans="1:10" x14ac:dyDescent="0.3">
      <c r="A293" s="31">
        <v>45808</v>
      </c>
      <c r="B293" t="s">
        <v>462</v>
      </c>
      <c r="C293" t="s">
        <v>193</v>
      </c>
      <c r="D293" t="s">
        <v>471</v>
      </c>
      <c r="E293">
        <v>121133.53</v>
      </c>
      <c r="F293">
        <v>15196.99</v>
      </c>
      <c r="G293">
        <v>105936.54</v>
      </c>
      <c r="H293" s="6">
        <v>0.87450000000000006</v>
      </c>
      <c r="I293" s="6">
        <v>0.2</v>
      </c>
      <c r="J293">
        <v>21187.308000000001</v>
      </c>
    </row>
    <row r="294" spans="1:10" x14ac:dyDescent="0.3">
      <c r="A294" s="31">
        <v>45808</v>
      </c>
      <c r="B294" t="s">
        <v>462</v>
      </c>
      <c r="C294" t="s">
        <v>193</v>
      </c>
      <c r="D294" t="s">
        <v>470</v>
      </c>
      <c r="E294">
        <v>161486.95000000001</v>
      </c>
      <c r="F294">
        <v>20259.59</v>
      </c>
      <c r="G294">
        <v>141227.35999999999</v>
      </c>
      <c r="H294" s="6">
        <v>0.87450000000000006</v>
      </c>
      <c r="I294" s="6">
        <v>0.2</v>
      </c>
      <c r="J294">
        <v>28245.472000000002</v>
      </c>
    </row>
    <row r="295" spans="1:10" x14ac:dyDescent="0.3">
      <c r="A295" s="31">
        <v>45808</v>
      </c>
      <c r="B295" t="s">
        <v>462</v>
      </c>
      <c r="C295" t="s">
        <v>193</v>
      </c>
      <c r="D295" t="s">
        <v>469</v>
      </c>
      <c r="E295">
        <v>53298.12</v>
      </c>
      <c r="F295">
        <v>6686.6</v>
      </c>
      <c r="G295">
        <v>46611.53</v>
      </c>
      <c r="H295" s="6">
        <v>0.87450000000000006</v>
      </c>
      <c r="I295" s="6">
        <v>0.15</v>
      </c>
      <c r="J295">
        <v>6991.7294999999986</v>
      </c>
    </row>
    <row r="296" spans="1:10" x14ac:dyDescent="0.3">
      <c r="A296" s="31">
        <v>45808</v>
      </c>
      <c r="B296" t="s">
        <v>462</v>
      </c>
      <c r="C296" t="s">
        <v>193</v>
      </c>
      <c r="D296" t="s">
        <v>468</v>
      </c>
      <c r="E296">
        <v>99981.67</v>
      </c>
      <c r="F296">
        <v>12543.35</v>
      </c>
      <c r="G296">
        <v>87438.32</v>
      </c>
      <c r="H296" s="6">
        <v>0.87450000000000006</v>
      </c>
      <c r="I296" s="6">
        <v>0.1</v>
      </c>
      <c r="J296">
        <v>8743.8320000000003</v>
      </c>
    </row>
    <row r="297" spans="1:10" x14ac:dyDescent="0.3">
      <c r="A297" s="31">
        <v>45808</v>
      </c>
      <c r="B297" t="s">
        <v>462</v>
      </c>
      <c r="C297" t="s">
        <v>193</v>
      </c>
      <c r="D297" t="s">
        <v>467</v>
      </c>
      <c r="E297">
        <v>103465.47</v>
      </c>
      <c r="F297">
        <v>12980.42</v>
      </c>
      <c r="G297">
        <v>90485.05</v>
      </c>
      <c r="H297" s="6">
        <v>0.87450000000000006</v>
      </c>
      <c r="I297" s="6">
        <v>0.1</v>
      </c>
      <c r="J297">
        <v>9048.505000000001</v>
      </c>
    </row>
    <row r="298" spans="1:10" x14ac:dyDescent="0.3">
      <c r="A298" s="31">
        <v>45808</v>
      </c>
      <c r="B298" t="s">
        <v>462</v>
      </c>
      <c r="C298" t="s">
        <v>193</v>
      </c>
      <c r="D298" t="s">
        <v>466</v>
      </c>
      <c r="E298">
        <v>175553.76</v>
      </c>
      <c r="F298">
        <v>22024.36</v>
      </c>
      <c r="G298">
        <v>153529.4</v>
      </c>
      <c r="H298" s="6">
        <v>0.87450000000000006</v>
      </c>
      <c r="I298" s="6">
        <v>0.2</v>
      </c>
      <c r="J298">
        <v>30705.88</v>
      </c>
    </row>
    <row r="299" spans="1:10" x14ac:dyDescent="0.3">
      <c r="A299" s="31">
        <v>45808</v>
      </c>
      <c r="B299" t="s">
        <v>462</v>
      </c>
      <c r="C299" t="s">
        <v>193</v>
      </c>
      <c r="D299" t="s">
        <v>465</v>
      </c>
      <c r="E299">
        <v>41272.69</v>
      </c>
      <c r="F299">
        <v>5177.93</v>
      </c>
      <c r="G299">
        <v>36094.76</v>
      </c>
      <c r="H299" s="6">
        <v>0.87450000000000006</v>
      </c>
      <c r="I299" s="6">
        <v>0.1</v>
      </c>
      <c r="J299">
        <v>3609.476000000001</v>
      </c>
    </row>
    <row r="300" spans="1:10" x14ac:dyDescent="0.3">
      <c r="A300" s="31">
        <v>45808</v>
      </c>
      <c r="B300" t="s">
        <v>462</v>
      </c>
      <c r="C300" t="s">
        <v>193</v>
      </c>
      <c r="D300" t="s">
        <v>464</v>
      </c>
      <c r="E300">
        <v>46945.05</v>
      </c>
      <c r="F300">
        <v>5889.56</v>
      </c>
      <c r="G300">
        <v>41055.49</v>
      </c>
      <c r="H300" s="6">
        <v>0.87450000000000006</v>
      </c>
      <c r="I300" s="6">
        <v>0.1</v>
      </c>
      <c r="J300">
        <v>4105.549</v>
      </c>
    </row>
    <row r="301" spans="1:10" x14ac:dyDescent="0.3">
      <c r="A301" s="31">
        <v>45808</v>
      </c>
      <c r="B301" t="s">
        <v>462</v>
      </c>
      <c r="C301" t="s">
        <v>193</v>
      </c>
      <c r="D301" t="s">
        <v>463</v>
      </c>
      <c r="E301">
        <v>10706.28</v>
      </c>
      <c r="F301">
        <v>1343.17</v>
      </c>
      <c r="G301">
        <v>9363.1</v>
      </c>
      <c r="H301" s="6">
        <v>0.87450000000000006</v>
      </c>
      <c r="I301" s="6">
        <v>0.1</v>
      </c>
      <c r="J301">
        <v>936.31000000000006</v>
      </c>
    </row>
    <row r="302" spans="1:10" x14ac:dyDescent="0.3">
      <c r="A302" s="31">
        <v>45838</v>
      </c>
      <c r="B302" t="s">
        <v>462</v>
      </c>
      <c r="C302" t="s">
        <v>193</v>
      </c>
      <c r="D302" t="s">
        <v>472</v>
      </c>
      <c r="E302">
        <v>254896.44</v>
      </c>
      <c r="F302">
        <v>45697.3</v>
      </c>
      <c r="G302">
        <v>209199.14</v>
      </c>
      <c r="H302" s="6">
        <v>0.82069999999999999</v>
      </c>
      <c r="I302" s="6">
        <v>0.2</v>
      </c>
      <c r="J302">
        <v>41839.828000000009</v>
      </c>
    </row>
    <row r="303" spans="1:10" x14ac:dyDescent="0.3">
      <c r="A303" s="31">
        <v>45838</v>
      </c>
      <c r="B303" t="s">
        <v>462</v>
      </c>
      <c r="C303" t="s">
        <v>193</v>
      </c>
      <c r="D303" t="s">
        <v>471</v>
      </c>
      <c r="E303">
        <v>162792.35999999999</v>
      </c>
      <c r="F303">
        <v>29185.07</v>
      </c>
      <c r="G303">
        <v>133607.29</v>
      </c>
      <c r="H303" s="6">
        <v>0.82069999999999999</v>
      </c>
      <c r="I303" s="6">
        <v>0.2</v>
      </c>
      <c r="J303">
        <v>26721.457999999999</v>
      </c>
    </row>
    <row r="304" spans="1:10" x14ac:dyDescent="0.3">
      <c r="A304" s="31">
        <v>45838</v>
      </c>
      <c r="B304" t="s">
        <v>462</v>
      </c>
      <c r="C304" t="s">
        <v>193</v>
      </c>
      <c r="D304" t="s">
        <v>470</v>
      </c>
      <c r="E304">
        <v>132148.72</v>
      </c>
      <c r="F304">
        <v>23691.35</v>
      </c>
      <c r="G304">
        <v>108457.38</v>
      </c>
      <c r="H304" s="6">
        <v>0.82069999999999999</v>
      </c>
      <c r="I304" s="6">
        <v>0.2</v>
      </c>
      <c r="J304">
        <v>21691.475999999999</v>
      </c>
    </row>
    <row r="305" spans="1:10" x14ac:dyDescent="0.3">
      <c r="A305" s="31">
        <v>45838</v>
      </c>
      <c r="B305" t="s">
        <v>462</v>
      </c>
      <c r="C305" t="s">
        <v>193</v>
      </c>
      <c r="D305" t="s">
        <v>469</v>
      </c>
      <c r="E305">
        <v>21071.7</v>
      </c>
      <c r="F305">
        <v>3777.69</v>
      </c>
      <c r="G305">
        <v>17294.009999999998</v>
      </c>
      <c r="H305" s="6">
        <v>0.82069999999999999</v>
      </c>
      <c r="I305" s="6">
        <v>0.15</v>
      </c>
      <c r="J305">
        <v>2594.1015000000002</v>
      </c>
    </row>
    <row r="306" spans="1:10" x14ac:dyDescent="0.3">
      <c r="A306" s="31">
        <v>45838</v>
      </c>
      <c r="B306" t="s">
        <v>462</v>
      </c>
      <c r="C306" t="s">
        <v>193</v>
      </c>
      <c r="D306" t="s">
        <v>468</v>
      </c>
      <c r="E306">
        <v>49083.89</v>
      </c>
      <c r="F306">
        <v>8799.66</v>
      </c>
      <c r="G306">
        <v>40284.239999999998</v>
      </c>
      <c r="H306" s="6">
        <v>0.82069999999999999</v>
      </c>
      <c r="I306" s="6">
        <v>0.1</v>
      </c>
      <c r="J306">
        <v>4028.424</v>
      </c>
    </row>
    <row r="307" spans="1:10" x14ac:dyDescent="0.3">
      <c r="A307" s="31">
        <v>45838</v>
      </c>
      <c r="B307" t="s">
        <v>462</v>
      </c>
      <c r="C307" t="s">
        <v>193</v>
      </c>
      <c r="D307" t="s">
        <v>467</v>
      </c>
      <c r="E307">
        <v>97451.51</v>
      </c>
      <c r="F307">
        <v>17470.900000000001</v>
      </c>
      <c r="G307">
        <v>79980.61</v>
      </c>
      <c r="H307" s="6">
        <v>0.82069999999999999</v>
      </c>
      <c r="I307" s="6">
        <v>0.1</v>
      </c>
      <c r="J307">
        <v>7998.0610000000006</v>
      </c>
    </row>
    <row r="308" spans="1:10" x14ac:dyDescent="0.3">
      <c r="A308" s="31">
        <v>45838</v>
      </c>
      <c r="B308" t="s">
        <v>462</v>
      </c>
      <c r="C308" t="s">
        <v>193</v>
      </c>
      <c r="D308" t="s">
        <v>466</v>
      </c>
      <c r="E308">
        <v>57548.01</v>
      </c>
      <c r="F308">
        <v>10317.09</v>
      </c>
      <c r="G308">
        <v>47230.92</v>
      </c>
      <c r="H308" s="6">
        <v>0.82069999999999999</v>
      </c>
      <c r="I308" s="6">
        <v>0.2</v>
      </c>
      <c r="J308">
        <v>9446.1839999999993</v>
      </c>
    </row>
    <row r="309" spans="1:10" x14ac:dyDescent="0.3">
      <c r="A309" s="31">
        <v>45838</v>
      </c>
      <c r="B309" t="s">
        <v>462</v>
      </c>
      <c r="C309" t="s">
        <v>193</v>
      </c>
      <c r="D309" t="s">
        <v>465</v>
      </c>
      <c r="E309">
        <v>89417.61</v>
      </c>
      <c r="F309">
        <v>16030.6</v>
      </c>
      <c r="G309">
        <v>73387.009999999995</v>
      </c>
      <c r="H309" s="6">
        <v>0.82069999999999999</v>
      </c>
      <c r="I309" s="6">
        <v>0.1</v>
      </c>
      <c r="J309">
        <v>7338.701</v>
      </c>
    </row>
    <row r="310" spans="1:10" x14ac:dyDescent="0.3">
      <c r="A310" s="31">
        <v>45838</v>
      </c>
      <c r="B310" t="s">
        <v>462</v>
      </c>
      <c r="C310" t="s">
        <v>193</v>
      </c>
      <c r="D310" t="s">
        <v>464</v>
      </c>
      <c r="E310">
        <v>85535.73</v>
      </c>
      <c r="F310">
        <v>15334.67</v>
      </c>
      <c r="G310">
        <v>70201.06</v>
      </c>
      <c r="H310" s="6">
        <v>0.82069999999999999</v>
      </c>
      <c r="I310" s="6">
        <v>0.1</v>
      </c>
      <c r="J310">
        <v>7020.1059999999998</v>
      </c>
    </row>
    <row r="311" spans="1:10" x14ac:dyDescent="0.3">
      <c r="A311" s="31">
        <v>45838</v>
      </c>
      <c r="B311" t="s">
        <v>462</v>
      </c>
      <c r="C311" t="s">
        <v>193</v>
      </c>
      <c r="D311" t="s">
        <v>463</v>
      </c>
      <c r="E311">
        <v>97334.81</v>
      </c>
      <c r="F311">
        <v>17449.98</v>
      </c>
      <c r="G311">
        <v>79884.81</v>
      </c>
      <c r="H311" s="6">
        <v>0.82069999999999999</v>
      </c>
      <c r="I311" s="6">
        <v>0.1</v>
      </c>
      <c r="J311">
        <v>7988.4809999999998</v>
      </c>
    </row>
    <row r="312" spans="1:10" x14ac:dyDescent="0.3">
      <c r="A312" s="31">
        <v>45869</v>
      </c>
      <c r="B312" t="s">
        <v>462</v>
      </c>
      <c r="C312" t="s">
        <v>193</v>
      </c>
      <c r="D312" t="s">
        <v>472</v>
      </c>
      <c r="E312">
        <v>240384.72</v>
      </c>
      <c r="F312">
        <v>49677.69</v>
      </c>
      <c r="G312">
        <v>190707.03</v>
      </c>
      <c r="H312" s="6">
        <v>0.79330000000000001</v>
      </c>
      <c r="I312" s="6">
        <v>0.2</v>
      </c>
      <c r="J312">
        <v>38141.406000000003</v>
      </c>
    </row>
    <row r="313" spans="1:10" x14ac:dyDescent="0.3">
      <c r="A313" s="31">
        <v>45869</v>
      </c>
      <c r="B313" t="s">
        <v>462</v>
      </c>
      <c r="C313" t="s">
        <v>193</v>
      </c>
      <c r="D313" t="s">
        <v>471</v>
      </c>
      <c r="E313">
        <v>111391.56</v>
      </c>
      <c r="F313">
        <v>23020.080000000002</v>
      </c>
      <c r="G313">
        <v>88371.48</v>
      </c>
      <c r="H313" s="6">
        <v>0.79330000000000001</v>
      </c>
      <c r="I313" s="6">
        <v>0.2</v>
      </c>
      <c r="J313">
        <v>17674.295999999998</v>
      </c>
    </row>
    <row r="314" spans="1:10" x14ac:dyDescent="0.3">
      <c r="A314" s="31">
        <v>45869</v>
      </c>
      <c r="B314" t="s">
        <v>462</v>
      </c>
      <c r="C314" t="s">
        <v>193</v>
      </c>
      <c r="D314" t="s">
        <v>470</v>
      </c>
      <c r="E314">
        <v>146289.22</v>
      </c>
      <c r="F314">
        <v>30232</v>
      </c>
      <c r="G314">
        <v>116057.22</v>
      </c>
      <c r="H314" s="6">
        <v>0.79330000000000001</v>
      </c>
      <c r="I314" s="6">
        <v>0.2</v>
      </c>
      <c r="J314">
        <v>23211.444</v>
      </c>
    </row>
    <row r="315" spans="1:10" x14ac:dyDescent="0.3">
      <c r="A315" s="31">
        <v>45869</v>
      </c>
      <c r="B315" t="s">
        <v>462</v>
      </c>
      <c r="C315" t="s">
        <v>193</v>
      </c>
      <c r="D315" t="s">
        <v>469</v>
      </c>
      <c r="E315">
        <v>34139.08</v>
      </c>
      <c r="F315">
        <v>7055.15</v>
      </c>
      <c r="G315">
        <v>27083.93</v>
      </c>
      <c r="H315" s="6">
        <v>0.79330000000000001</v>
      </c>
      <c r="I315" s="6">
        <v>0.15</v>
      </c>
      <c r="J315">
        <v>4062.5895</v>
      </c>
    </row>
    <row r="316" spans="1:10" x14ac:dyDescent="0.3">
      <c r="A316" s="31">
        <v>45869</v>
      </c>
      <c r="B316" t="s">
        <v>462</v>
      </c>
      <c r="C316" t="s">
        <v>193</v>
      </c>
      <c r="D316" t="s">
        <v>468</v>
      </c>
      <c r="E316">
        <v>88550.48</v>
      </c>
      <c r="F316">
        <v>18299.759999999998</v>
      </c>
      <c r="G316">
        <v>70250.720000000001</v>
      </c>
      <c r="H316" s="6">
        <v>0.79330000000000001</v>
      </c>
      <c r="I316" s="6">
        <v>0.1</v>
      </c>
      <c r="J316">
        <v>7025.0720000000001</v>
      </c>
    </row>
    <row r="317" spans="1:10" x14ac:dyDescent="0.3">
      <c r="A317" s="31">
        <v>45869</v>
      </c>
      <c r="B317" t="s">
        <v>462</v>
      </c>
      <c r="C317" t="s">
        <v>193</v>
      </c>
      <c r="D317" t="s">
        <v>467</v>
      </c>
      <c r="E317">
        <v>63219.14</v>
      </c>
      <c r="F317">
        <v>13064.81</v>
      </c>
      <c r="G317">
        <v>50154.33</v>
      </c>
      <c r="H317" s="6">
        <v>0.79330000000000001</v>
      </c>
      <c r="I317" s="6">
        <v>0.1</v>
      </c>
      <c r="J317">
        <v>5015.4330000000009</v>
      </c>
    </row>
    <row r="318" spans="1:10" x14ac:dyDescent="0.3">
      <c r="A318" s="31">
        <v>45869</v>
      </c>
      <c r="B318" t="s">
        <v>462</v>
      </c>
      <c r="C318" t="s">
        <v>193</v>
      </c>
      <c r="D318" t="s">
        <v>466</v>
      </c>
      <c r="E318">
        <v>116325.72</v>
      </c>
      <c r="F318">
        <v>24039.77</v>
      </c>
      <c r="G318">
        <v>92285.95</v>
      </c>
      <c r="H318" s="6">
        <v>0.79330000000000001</v>
      </c>
      <c r="I318" s="6">
        <v>0.2</v>
      </c>
      <c r="J318">
        <v>18457.189999999999</v>
      </c>
    </row>
    <row r="319" spans="1:10" x14ac:dyDescent="0.3">
      <c r="A319" s="31">
        <v>45869</v>
      </c>
      <c r="B319" t="s">
        <v>462</v>
      </c>
      <c r="C319" t="s">
        <v>193</v>
      </c>
      <c r="D319" t="s">
        <v>465</v>
      </c>
      <c r="E319">
        <v>27897.95</v>
      </c>
      <c r="F319">
        <v>5765.37</v>
      </c>
      <c r="G319">
        <v>22132.59</v>
      </c>
      <c r="H319" s="6">
        <v>0.79330000000000001</v>
      </c>
      <c r="I319" s="6">
        <v>0.1</v>
      </c>
      <c r="J319">
        <v>2213.259</v>
      </c>
    </row>
    <row r="320" spans="1:10" x14ac:dyDescent="0.3">
      <c r="A320" s="31">
        <v>45869</v>
      </c>
      <c r="B320" t="s">
        <v>462</v>
      </c>
      <c r="C320" t="s">
        <v>193</v>
      </c>
      <c r="D320" t="s">
        <v>464</v>
      </c>
      <c r="E320">
        <v>95706.54</v>
      </c>
      <c r="F320">
        <v>19778.63</v>
      </c>
      <c r="G320">
        <v>75927.91</v>
      </c>
      <c r="H320" s="6">
        <v>0.79330000000000001</v>
      </c>
      <c r="I320" s="6">
        <v>0.1</v>
      </c>
      <c r="J320">
        <v>7592.7910000000011</v>
      </c>
    </row>
    <row r="321" spans="1:10" x14ac:dyDescent="0.3">
      <c r="A321" s="31">
        <v>45869</v>
      </c>
      <c r="B321" t="s">
        <v>462</v>
      </c>
      <c r="C321" t="s">
        <v>193</v>
      </c>
      <c r="D321" t="s">
        <v>463</v>
      </c>
      <c r="E321">
        <v>82570.41</v>
      </c>
      <c r="F321">
        <v>17063.919999999998</v>
      </c>
      <c r="G321">
        <v>65506.48</v>
      </c>
      <c r="H321" s="6">
        <v>0.79330000000000001</v>
      </c>
      <c r="I321" s="6">
        <v>0.1</v>
      </c>
      <c r="J321">
        <v>6550.648000000001</v>
      </c>
    </row>
    <row r="322" spans="1:10" x14ac:dyDescent="0.3">
      <c r="A322" s="31">
        <v>45900</v>
      </c>
      <c r="B322" t="s">
        <v>462</v>
      </c>
      <c r="C322" t="s">
        <v>193</v>
      </c>
      <c r="D322" t="s">
        <v>472</v>
      </c>
      <c r="E322">
        <v>261488.26</v>
      </c>
      <c r="F322">
        <v>53460.41</v>
      </c>
      <c r="G322">
        <v>208027.85</v>
      </c>
      <c r="H322" s="6">
        <v>0.79559999999999997</v>
      </c>
      <c r="I322" s="6">
        <v>0.2</v>
      </c>
      <c r="J322">
        <v>41605.570000000007</v>
      </c>
    </row>
    <row r="323" spans="1:10" x14ac:dyDescent="0.3">
      <c r="A323" s="31">
        <v>45900</v>
      </c>
      <c r="B323" t="s">
        <v>462</v>
      </c>
      <c r="C323" t="s">
        <v>193</v>
      </c>
      <c r="D323" t="s">
        <v>471</v>
      </c>
      <c r="E323">
        <v>122907.02</v>
      </c>
      <c r="F323">
        <v>25127.93</v>
      </c>
      <c r="G323">
        <v>97779.08</v>
      </c>
      <c r="H323" s="6">
        <v>0.79559999999999997</v>
      </c>
      <c r="I323" s="6">
        <v>0.2</v>
      </c>
      <c r="J323">
        <v>19555.815999999999</v>
      </c>
    </row>
    <row r="324" spans="1:10" x14ac:dyDescent="0.3">
      <c r="A324" s="31">
        <v>45900</v>
      </c>
      <c r="B324" t="s">
        <v>462</v>
      </c>
      <c r="C324" t="s">
        <v>193</v>
      </c>
      <c r="D324" t="s">
        <v>470</v>
      </c>
      <c r="E324">
        <v>114236.51</v>
      </c>
      <c r="F324">
        <v>23355.279999999999</v>
      </c>
      <c r="G324">
        <v>90881.23</v>
      </c>
      <c r="H324" s="6">
        <v>0.79559999999999997</v>
      </c>
      <c r="I324" s="6">
        <v>0.2</v>
      </c>
      <c r="J324">
        <v>18176.245999999999</v>
      </c>
    </row>
    <row r="325" spans="1:10" x14ac:dyDescent="0.3">
      <c r="A325" s="31">
        <v>45900</v>
      </c>
      <c r="B325" t="s">
        <v>462</v>
      </c>
      <c r="C325" t="s">
        <v>193</v>
      </c>
      <c r="D325" t="s">
        <v>469</v>
      </c>
      <c r="E325">
        <v>38549.47</v>
      </c>
      <c r="F325">
        <v>7881.31</v>
      </c>
      <c r="G325">
        <v>30668.16</v>
      </c>
      <c r="H325" s="6">
        <v>0.79559999999999997</v>
      </c>
      <c r="I325" s="6">
        <v>0.15</v>
      </c>
      <c r="J325">
        <v>4600.2240000000002</v>
      </c>
    </row>
    <row r="326" spans="1:10" x14ac:dyDescent="0.3">
      <c r="A326" s="31">
        <v>45900</v>
      </c>
      <c r="B326" t="s">
        <v>462</v>
      </c>
      <c r="C326" t="s">
        <v>193</v>
      </c>
      <c r="D326" t="s">
        <v>468</v>
      </c>
      <c r="E326">
        <v>90999.24</v>
      </c>
      <c r="F326">
        <v>18604.490000000002</v>
      </c>
      <c r="G326">
        <v>72394.740000000005</v>
      </c>
      <c r="H326" s="6">
        <v>0.79559999999999997</v>
      </c>
      <c r="I326" s="6">
        <v>0.1</v>
      </c>
      <c r="J326">
        <v>7239.4740000000011</v>
      </c>
    </row>
    <row r="327" spans="1:10" x14ac:dyDescent="0.3">
      <c r="A327" s="31">
        <v>45900</v>
      </c>
      <c r="B327" t="s">
        <v>462</v>
      </c>
      <c r="C327" t="s">
        <v>193</v>
      </c>
      <c r="D327" t="s">
        <v>467</v>
      </c>
      <c r="E327">
        <v>86534.06</v>
      </c>
      <c r="F327">
        <v>17691.599999999999</v>
      </c>
      <c r="G327">
        <v>68842.460000000006</v>
      </c>
      <c r="H327" s="6">
        <v>0.79559999999999997</v>
      </c>
      <c r="I327" s="6">
        <v>0.1</v>
      </c>
      <c r="J327">
        <v>6884.246000000001</v>
      </c>
    </row>
    <row r="328" spans="1:10" x14ac:dyDescent="0.3">
      <c r="A328" s="31">
        <v>45900</v>
      </c>
      <c r="B328" t="s">
        <v>462</v>
      </c>
      <c r="C328" t="s">
        <v>193</v>
      </c>
      <c r="D328" t="s">
        <v>466</v>
      </c>
      <c r="E328">
        <v>102258.11</v>
      </c>
      <c r="F328">
        <v>20906.330000000002</v>
      </c>
      <c r="G328">
        <v>81351.77</v>
      </c>
      <c r="H328" s="6">
        <v>0.79559999999999997</v>
      </c>
      <c r="I328" s="6">
        <v>0.2</v>
      </c>
      <c r="J328">
        <v>16270.353999999999</v>
      </c>
    </row>
    <row r="329" spans="1:10" x14ac:dyDescent="0.3">
      <c r="A329" s="31">
        <v>45900</v>
      </c>
      <c r="B329" t="s">
        <v>462</v>
      </c>
      <c r="C329" t="s">
        <v>193</v>
      </c>
      <c r="D329" t="s">
        <v>465</v>
      </c>
      <c r="E329">
        <v>101190.28</v>
      </c>
      <c r="F329">
        <v>20688.02</v>
      </c>
      <c r="G329">
        <v>80502.259999999995</v>
      </c>
      <c r="H329" s="6">
        <v>0.79559999999999997</v>
      </c>
      <c r="I329" s="6">
        <v>0.1</v>
      </c>
      <c r="J329">
        <v>8050.2259999999997</v>
      </c>
    </row>
    <row r="330" spans="1:10" x14ac:dyDescent="0.3">
      <c r="A330" s="31">
        <v>45900</v>
      </c>
      <c r="B330" t="s">
        <v>462</v>
      </c>
      <c r="C330" t="s">
        <v>193</v>
      </c>
      <c r="D330" t="s">
        <v>464</v>
      </c>
      <c r="E330">
        <v>50712.4</v>
      </c>
      <c r="F330">
        <v>10367.98</v>
      </c>
      <c r="G330">
        <v>40344.42</v>
      </c>
      <c r="H330" s="6">
        <v>0.79559999999999997</v>
      </c>
      <c r="I330" s="6">
        <v>0.1</v>
      </c>
      <c r="J330">
        <v>4034.442</v>
      </c>
    </row>
    <row r="331" spans="1:10" x14ac:dyDescent="0.3">
      <c r="A331" s="31">
        <v>45900</v>
      </c>
      <c r="B331" t="s">
        <v>462</v>
      </c>
      <c r="C331" t="s">
        <v>193</v>
      </c>
      <c r="D331" t="s">
        <v>463</v>
      </c>
      <c r="E331">
        <v>116559.95</v>
      </c>
      <c r="F331">
        <v>23830.32</v>
      </c>
      <c r="G331">
        <v>92729.66</v>
      </c>
      <c r="H331" s="6">
        <v>0.79559999999999997</v>
      </c>
      <c r="I331" s="6">
        <v>0.1</v>
      </c>
      <c r="J331">
        <v>9272.9660000000003</v>
      </c>
    </row>
    <row r="332" spans="1:10" x14ac:dyDescent="0.3">
      <c r="A332" s="31">
        <v>45930</v>
      </c>
      <c r="B332" t="s">
        <v>462</v>
      </c>
      <c r="C332" t="s">
        <v>193</v>
      </c>
      <c r="D332" t="s">
        <v>472</v>
      </c>
      <c r="E332">
        <v>181213.09</v>
      </c>
      <c r="F332">
        <v>42189.51</v>
      </c>
      <c r="G332">
        <v>139023.57</v>
      </c>
      <c r="H332" s="6">
        <v>0.76719999999999999</v>
      </c>
      <c r="I332" s="6">
        <v>0.2</v>
      </c>
      <c r="J332">
        <v>27804.714</v>
      </c>
    </row>
    <row r="333" spans="1:10" x14ac:dyDescent="0.3">
      <c r="A333" s="31">
        <v>45930</v>
      </c>
      <c r="B333" t="s">
        <v>462</v>
      </c>
      <c r="C333" t="s">
        <v>193</v>
      </c>
      <c r="D333" t="s">
        <v>471</v>
      </c>
      <c r="E333">
        <v>120793.99</v>
      </c>
      <c r="F333">
        <v>28122.91</v>
      </c>
      <c r="G333">
        <v>92671.08</v>
      </c>
      <c r="H333" s="6">
        <v>0.76719999999999999</v>
      </c>
      <c r="I333" s="6">
        <v>0.2</v>
      </c>
      <c r="J333">
        <v>18534.216</v>
      </c>
    </row>
    <row r="334" spans="1:10" x14ac:dyDescent="0.3">
      <c r="A334" s="31">
        <v>45930</v>
      </c>
      <c r="B334" t="s">
        <v>462</v>
      </c>
      <c r="C334" t="s">
        <v>193</v>
      </c>
      <c r="D334" t="s">
        <v>470</v>
      </c>
      <c r="E334">
        <v>130303.76</v>
      </c>
      <c r="F334">
        <v>30336.95</v>
      </c>
      <c r="G334">
        <v>99966.81</v>
      </c>
      <c r="H334" s="6">
        <v>0.76719999999999999</v>
      </c>
      <c r="I334" s="6">
        <v>0.2</v>
      </c>
      <c r="J334">
        <v>19993.362000000001</v>
      </c>
    </row>
    <row r="335" spans="1:10" x14ac:dyDescent="0.3">
      <c r="A335" s="31">
        <v>45930</v>
      </c>
      <c r="B335" t="s">
        <v>462</v>
      </c>
      <c r="C335" t="s">
        <v>193</v>
      </c>
      <c r="D335" t="s">
        <v>469</v>
      </c>
      <c r="E335">
        <v>93371.3</v>
      </c>
      <c r="F335">
        <v>21738.44</v>
      </c>
      <c r="G335">
        <v>71632.86</v>
      </c>
      <c r="H335" s="6">
        <v>0.76719999999999999</v>
      </c>
      <c r="I335" s="6">
        <v>0.15</v>
      </c>
      <c r="J335">
        <v>10744.929</v>
      </c>
    </row>
    <row r="336" spans="1:10" x14ac:dyDescent="0.3">
      <c r="A336" s="31">
        <v>45930</v>
      </c>
      <c r="B336" t="s">
        <v>462</v>
      </c>
      <c r="C336" t="s">
        <v>193</v>
      </c>
      <c r="D336" t="s">
        <v>468</v>
      </c>
      <c r="E336">
        <v>82399.58</v>
      </c>
      <c r="F336">
        <v>19184.04</v>
      </c>
      <c r="G336">
        <v>63215.55</v>
      </c>
      <c r="H336" s="6">
        <v>0.76719999999999999</v>
      </c>
      <c r="I336" s="6">
        <v>0.1</v>
      </c>
      <c r="J336">
        <v>6321.5550000000003</v>
      </c>
    </row>
    <row r="337" spans="1:10" x14ac:dyDescent="0.3">
      <c r="A337" s="31">
        <v>45930</v>
      </c>
      <c r="B337" t="s">
        <v>462</v>
      </c>
      <c r="C337" t="s">
        <v>193</v>
      </c>
      <c r="D337" t="s">
        <v>467</v>
      </c>
      <c r="E337">
        <v>96630.25</v>
      </c>
      <c r="F337">
        <v>22497.18</v>
      </c>
      <c r="G337">
        <v>74133.070000000007</v>
      </c>
      <c r="H337" s="6">
        <v>0.76719999999999999</v>
      </c>
      <c r="I337" s="6">
        <v>0.1</v>
      </c>
      <c r="J337">
        <v>7413.3070000000007</v>
      </c>
    </row>
    <row r="338" spans="1:10" x14ac:dyDescent="0.3">
      <c r="A338" s="31">
        <v>45930</v>
      </c>
      <c r="B338" t="s">
        <v>462</v>
      </c>
      <c r="C338" t="s">
        <v>193</v>
      </c>
      <c r="D338" t="s">
        <v>466</v>
      </c>
      <c r="E338">
        <v>119513.95</v>
      </c>
      <c r="F338">
        <v>27824.9</v>
      </c>
      <c r="G338">
        <v>91689.06</v>
      </c>
      <c r="H338" s="6">
        <v>0.76719999999999999</v>
      </c>
      <c r="I338" s="6">
        <v>0.2</v>
      </c>
      <c r="J338">
        <v>18337.812000000002</v>
      </c>
    </row>
    <row r="339" spans="1:10" x14ac:dyDescent="0.3">
      <c r="A339" s="31">
        <v>45930</v>
      </c>
      <c r="B339" t="s">
        <v>462</v>
      </c>
      <c r="C339" t="s">
        <v>193</v>
      </c>
      <c r="D339" t="s">
        <v>465</v>
      </c>
      <c r="E339">
        <v>120965.74</v>
      </c>
      <c r="F339">
        <v>28162.9</v>
      </c>
      <c r="G339">
        <v>92802.84</v>
      </c>
      <c r="H339" s="6">
        <v>0.76719999999999999</v>
      </c>
      <c r="I339" s="6">
        <v>0.1</v>
      </c>
      <c r="J339">
        <v>9280.2839999999997</v>
      </c>
    </row>
    <row r="340" spans="1:10" x14ac:dyDescent="0.3">
      <c r="A340" s="31">
        <v>45930</v>
      </c>
      <c r="B340" t="s">
        <v>462</v>
      </c>
      <c r="C340" t="s">
        <v>193</v>
      </c>
      <c r="D340" t="s">
        <v>464</v>
      </c>
      <c r="E340">
        <v>53017.43</v>
      </c>
      <c r="F340">
        <v>12343.37</v>
      </c>
      <c r="G340">
        <v>40674.06</v>
      </c>
      <c r="H340" s="6">
        <v>0.76719999999999999</v>
      </c>
      <c r="I340" s="6">
        <v>0.1</v>
      </c>
      <c r="J340">
        <v>4067.4059999999999</v>
      </c>
    </row>
    <row r="341" spans="1:10" x14ac:dyDescent="0.3">
      <c r="A341" s="31">
        <v>45930</v>
      </c>
      <c r="B341" t="s">
        <v>462</v>
      </c>
      <c r="C341" t="s">
        <v>193</v>
      </c>
      <c r="D341" t="s">
        <v>463</v>
      </c>
      <c r="E341">
        <v>65902.429999999993</v>
      </c>
      <c r="F341">
        <v>15343.21</v>
      </c>
      <c r="G341">
        <v>50559.22</v>
      </c>
      <c r="H341" s="6">
        <v>0.76719999999999999</v>
      </c>
      <c r="I341" s="6">
        <v>0.1</v>
      </c>
      <c r="J341">
        <v>5055.9219999999996</v>
      </c>
    </row>
    <row r="342" spans="1:10" x14ac:dyDescent="0.3">
      <c r="A342" s="31">
        <v>45961</v>
      </c>
      <c r="B342" t="s">
        <v>462</v>
      </c>
      <c r="C342" t="s">
        <v>193</v>
      </c>
      <c r="D342" t="s">
        <v>472</v>
      </c>
      <c r="E342">
        <v>262413.28000000003</v>
      </c>
      <c r="F342">
        <v>30588.57</v>
      </c>
      <c r="G342">
        <v>231824.71</v>
      </c>
      <c r="H342" s="6">
        <v>0.88339999999999996</v>
      </c>
      <c r="I342" s="6">
        <v>0.2</v>
      </c>
      <c r="J342">
        <v>46364.942000000003</v>
      </c>
    </row>
    <row r="343" spans="1:10" x14ac:dyDescent="0.3">
      <c r="A343" s="31">
        <v>45961</v>
      </c>
      <c r="B343" t="s">
        <v>462</v>
      </c>
      <c r="C343" t="s">
        <v>193</v>
      </c>
      <c r="D343" t="s">
        <v>471</v>
      </c>
      <c r="E343">
        <v>133456.22</v>
      </c>
      <c r="F343">
        <v>15556.51</v>
      </c>
      <c r="G343">
        <v>117899.71</v>
      </c>
      <c r="H343" s="6">
        <v>0.88339999999999996</v>
      </c>
      <c r="I343" s="6">
        <v>0.2</v>
      </c>
      <c r="J343">
        <v>23579.941999999999</v>
      </c>
    </row>
    <row r="344" spans="1:10" x14ac:dyDescent="0.3">
      <c r="A344" s="31">
        <v>45961</v>
      </c>
      <c r="B344" t="s">
        <v>462</v>
      </c>
      <c r="C344" t="s">
        <v>193</v>
      </c>
      <c r="D344" t="s">
        <v>470</v>
      </c>
      <c r="E344">
        <v>153637.07999999999</v>
      </c>
      <c r="F344">
        <v>17908.919999999998</v>
      </c>
      <c r="G344">
        <v>135728.16</v>
      </c>
      <c r="H344" s="6">
        <v>0.88339999999999996</v>
      </c>
      <c r="I344" s="6">
        <v>0.2</v>
      </c>
      <c r="J344">
        <v>27145.632000000001</v>
      </c>
    </row>
    <row r="345" spans="1:10" x14ac:dyDescent="0.3">
      <c r="A345" s="31">
        <v>45961</v>
      </c>
      <c r="B345" t="s">
        <v>462</v>
      </c>
      <c r="C345" t="s">
        <v>193</v>
      </c>
      <c r="D345" t="s">
        <v>469</v>
      </c>
      <c r="E345">
        <v>99665.53</v>
      </c>
      <c r="F345">
        <v>11617.65</v>
      </c>
      <c r="G345">
        <v>88047.88</v>
      </c>
      <c r="H345" s="6">
        <v>0.88339999999999996</v>
      </c>
      <c r="I345" s="6">
        <v>0.15</v>
      </c>
      <c r="J345">
        <v>13207.182000000001</v>
      </c>
    </row>
    <row r="346" spans="1:10" x14ac:dyDescent="0.3">
      <c r="A346" s="31">
        <v>45961</v>
      </c>
      <c r="B346" t="s">
        <v>462</v>
      </c>
      <c r="C346" t="s">
        <v>193</v>
      </c>
      <c r="D346" t="s">
        <v>468</v>
      </c>
      <c r="E346">
        <v>11612.68</v>
      </c>
      <c r="F346">
        <v>1353.65</v>
      </c>
      <c r="G346">
        <v>10259.030000000001</v>
      </c>
      <c r="H346" s="6">
        <v>0.88339999999999996</v>
      </c>
      <c r="I346" s="6">
        <v>0.1</v>
      </c>
      <c r="J346">
        <v>1025.903</v>
      </c>
    </row>
    <row r="347" spans="1:10" x14ac:dyDescent="0.3">
      <c r="A347" s="31">
        <v>45961</v>
      </c>
      <c r="B347" t="s">
        <v>462</v>
      </c>
      <c r="C347" t="s">
        <v>193</v>
      </c>
      <c r="D347" t="s">
        <v>467</v>
      </c>
      <c r="E347">
        <v>96193.21</v>
      </c>
      <c r="F347">
        <v>11212.9</v>
      </c>
      <c r="G347">
        <v>84980.31</v>
      </c>
      <c r="H347" s="6">
        <v>0.88339999999999996</v>
      </c>
      <c r="I347" s="6">
        <v>0.1</v>
      </c>
      <c r="J347">
        <v>8498.0310000000009</v>
      </c>
    </row>
    <row r="348" spans="1:10" x14ac:dyDescent="0.3">
      <c r="A348" s="31">
        <v>45961</v>
      </c>
      <c r="B348" t="s">
        <v>462</v>
      </c>
      <c r="C348" t="s">
        <v>193</v>
      </c>
      <c r="D348" t="s">
        <v>466</v>
      </c>
      <c r="E348">
        <v>59020</v>
      </c>
      <c r="F348">
        <v>6879.75</v>
      </c>
      <c r="G348">
        <v>52140.25</v>
      </c>
      <c r="H348" s="6">
        <v>0.88339999999999996</v>
      </c>
      <c r="I348" s="6">
        <v>0.2</v>
      </c>
      <c r="J348">
        <v>10428.049999999999</v>
      </c>
    </row>
    <row r="349" spans="1:10" x14ac:dyDescent="0.3">
      <c r="A349" s="31">
        <v>45961</v>
      </c>
      <c r="B349" t="s">
        <v>462</v>
      </c>
      <c r="C349" t="s">
        <v>193</v>
      </c>
      <c r="D349" t="s">
        <v>465</v>
      </c>
      <c r="E349">
        <v>131383.85999999999</v>
      </c>
      <c r="F349">
        <v>15314.94</v>
      </c>
      <c r="G349">
        <v>116068.92</v>
      </c>
      <c r="H349" s="6">
        <v>0.88339999999999996</v>
      </c>
      <c r="I349" s="6">
        <v>0.1</v>
      </c>
      <c r="J349">
        <v>11606.892</v>
      </c>
    </row>
    <row r="350" spans="1:10" x14ac:dyDescent="0.3">
      <c r="A350" s="31">
        <v>45961</v>
      </c>
      <c r="B350" t="s">
        <v>462</v>
      </c>
      <c r="C350" t="s">
        <v>193</v>
      </c>
      <c r="D350" t="s">
        <v>464</v>
      </c>
      <c r="E350">
        <v>98236.05</v>
      </c>
      <c r="F350">
        <v>11451.02</v>
      </c>
      <c r="G350">
        <v>86785.03</v>
      </c>
      <c r="H350" s="6">
        <v>0.88339999999999996</v>
      </c>
      <c r="I350" s="6">
        <v>0.1</v>
      </c>
      <c r="J350">
        <v>8678.5030000000006</v>
      </c>
    </row>
    <row r="351" spans="1:10" x14ac:dyDescent="0.3">
      <c r="A351" s="31">
        <v>45961</v>
      </c>
      <c r="B351" t="s">
        <v>462</v>
      </c>
      <c r="C351" t="s">
        <v>193</v>
      </c>
      <c r="D351" t="s">
        <v>463</v>
      </c>
      <c r="E351">
        <v>49930.81</v>
      </c>
      <c r="F351">
        <v>5820.25</v>
      </c>
      <c r="G351">
        <v>44110.559999999998</v>
      </c>
      <c r="H351" s="6">
        <v>0.88339999999999996</v>
      </c>
      <c r="I351" s="6">
        <v>0.1</v>
      </c>
      <c r="J351">
        <v>4411.0559999999996</v>
      </c>
    </row>
    <row r="352" spans="1:10" x14ac:dyDescent="0.3">
      <c r="A352" s="31">
        <v>45991</v>
      </c>
      <c r="B352" t="s">
        <v>462</v>
      </c>
      <c r="C352" t="s">
        <v>193</v>
      </c>
      <c r="D352" t="s">
        <v>472</v>
      </c>
      <c r="E352">
        <v>234482.5</v>
      </c>
      <c r="F352">
        <v>55591.5</v>
      </c>
      <c r="G352">
        <v>178891</v>
      </c>
      <c r="H352" s="6">
        <v>0.76290000000000002</v>
      </c>
      <c r="I352" s="6">
        <v>0.2</v>
      </c>
      <c r="J352">
        <v>35778.199999999997</v>
      </c>
    </row>
    <row r="353" spans="1:10" x14ac:dyDescent="0.3">
      <c r="A353" s="31">
        <v>45991</v>
      </c>
      <c r="B353" t="s">
        <v>462</v>
      </c>
      <c r="C353" t="s">
        <v>193</v>
      </c>
      <c r="D353" t="s">
        <v>471</v>
      </c>
      <c r="E353">
        <v>168186.59</v>
      </c>
      <c r="F353">
        <v>39873.96</v>
      </c>
      <c r="G353">
        <v>128312.63</v>
      </c>
      <c r="H353" s="6">
        <v>0.76290000000000002</v>
      </c>
      <c r="I353" s="6">
        <v>0.2</v>
      </c>
      <c r="J353">
        <v>25662.526000000002</v>
      </c>
    </row>
    <row r="354" spans="1:10" x14ac:dyDescent="0.3">
      <c r="A354" s="31">
        <v>45991</v>
      </c>
      <c r="B354" t="s">
        <v>462</v>
      </c>
      <c r="C354" t="s">
        <v>193</v>
      </c>
      <c r="D354" t="s">
        <v>470</v>
      </c>
      <c r="E354">
        <v>145250.85</v>
      </c>
      <c r="F354">
        <v>34436.31</v>
      </c>
      <c r="G354">
        <v>110814.53</v>
      </c>
      <c r="H354" s="6">
        <v>0.76290000000000002</v>
      </c>
      <c r="I354" s="6">
        <v>0.2</v>
      </c>
      <c r="J354">
        <v>22162.905999999999</v>
      </c>
    </row>
    <row r="355" spans="1:10" x14ac:dyDescent="0.3">
      <c r="A355" s="31">
        <v>45991</v>
      </c>
      <c r="B355" t="s">
        <v>462</v>
      </c>
      <c r="C355" t="s">
        <v>193</v>
      </c>
      <c r="D355" t="s">
        <v>469</v>
      </c>
      <c r="E355">
        <v>66883.97</v>
      </c>
      <c r="F355">
        <v>15856.96</v>
      </c>
      <c r="G355">
        <v>51027.01</v>
      </c>
      <c r="H355" s="6">
        <v>0.76290000000000002</v>
      </c>
      <c r="I355" s="6">
        <v>0.15</v>
      </c>
      <c r="J355">
        <v>7654.0514999999996</v>
      </c>
    </row>
    <row r="356" spans="1:10" x14ac:dyDescent="0.3">
      <c r="A356" s="31">
        <v>45991</v>
      </c>
      <c r="B356" t="s">
        <v>462</v>
      </c>
      <c r="C356" t="s">
        <v>193</v>
      </c>
      <c r="D356" t="s">
        <v>468</v>
      </c>
      <c r="E356">
        <v>61887.41</v>
      </c>
      <c r="F356">
        <v>14672.37</v>
      </c>
      <c r="G356">
        <v>47215.040000000001</v>
      </c>
      <c r="H356" s="6">
        <v>0.76290000000000002</v>
      </c>
      <c r="I356" s="6">
        <v>0.1</v>
      </c>
      <c r="J356">
        <v>4721.5039999999999</v>
      </c>
    </row>
    <row r="357" spans="1:10" x14ac:dyDescent="0.3">
      <c r="A357" s="31">
        <v>45991</v>
      </c>
      <c r="B357" t="s">
        <v>462</v>
      </c>
      <c r="C357" t="s">
        <v>193</v>
      </c>
      <c r="D357" t="s">
        <v>467</v>
      </c>
      <c r="E357">
        <v>36354.58</v>
      </c>
      <c r="F357">
        <v>8619</v>
      </c>
      <c r="G357">
        <v>27735.57</v>
      </c>
      <c r="H357" s="6">
        <v>0.76290000000000002</v>
      </c>
      <c r="I357" s="6">
        <v>0.1</v>
      </c>
      <c r="J357">
        <v>2773.5569999999998</v>
      </c>
    </row>
    <row r="358" spans="1:10" x14ac:dyDescent="0.3">
      <c r="A358" s="31">
        <v>45991</v>
      </c>
      <c r="B358" t="s">
        <v>462</v>
      </c>
      <c r="C358" t="s">
        <v>193</v>
      </c>
      <c r="D358" t="s">
        <v>466</v>
      </c>
      <c r="E358">
        <v>94879.45</v>
      </c>
      <c r="F358">
        <v>22494.18</v>
      </c>
      <c r="G358">
        <v>72385.27</v>
      </c>
      <c r="H358" s="6">
        <v>0.76290000000000002</v>
      </c>
      <c r="I358" s="6">
        <v>0.2</v>
      </c>
      <c r="J358">
        <v>14477.054</v>
      </c>
    </row>
    <row r="359" spans="1:10" x14ac:dyDescent="0.3">
      <c r="A359" s="31">
        <v>45991</v>
      </c>
      <c r="B359" t="s">
        <v>462</v>
      </c>
      <c r="C359" t="s">
        <v>193</v>
      </c>
      <c r="D359" t="s">
        <v>465</v>
      </c>
      <c r="E359">
        <v>78604.240000000005</v>
      </c>
      <c r="F359">
        <v>18635.63</v>
      </c>
      <c r="G359">
        <v>59968.62</v>
      </c>
      <c r="H359" s="6">
        <v>0.76290000000000002</v>
      </c>
      <c r="I359" s="6">
        <v>0.1</v>
      </c>
      <c r="J359">
        <v>5996.862000000001</v>
      </c>
    </row>
    <row r="360" spans="1:10" x14ac:dyDescent="0.3">
      <c r="A360" s="31">
        <v>45991</v>
      </c>
      <c r="B360" t="s">
        <v>462</v>
      </c>
      <c r="C360" t="s">
        <v>193</v>
      </c>
      <c r="D360" t="s">
        <v>464</v>
      </c>
      <c r="E360">
        <v>71033.7</v>
      </c>
      <c r="F360">
        <v>16840.79</v>
      </c>
      <c r="G360">
        <v>54192.91</v>
      </c>
      <c r="H360" s="6">
        <v>0.76290000000000002</v>
      </c>
      <c r="I360" s="6">
        <v>0.1</v>
      </c>
      <c r="J360">
        <v>5419.2910000000011</v>
      </c>
    </row>
    <row r="361" spans="1:10" x14ac:dyDescent="0.3">
      <c r="A361" s="31">
        <v>45991</v>
      </c>
      <c r="B361" t="s">
        <v>462</v>
      </c>
      <c r="C361" t="s">
        <v>193</v>
      </c>
      <c r="D361" t="s">
        <v>463</v>
      </c>
      <c r="E361">
        <v>63355.53</v>
      </c>
      <c r="F361">
        <v>15020.44</v>
      </c>
      <c r="G361">
        <v>48335.1</v>
      </c>
      <c r="H361" s="6">
        <v>0.76290000000000002</v>
      </c>
      <c r="I361" s="6">
        <v>0.1</v>
      </c>
      <c r="J361">
        <v>4833.51</v>
      </c>
    </row>
    <row r="362" spans="1:10" x14ac:dyDescent="0.3">
      <c r="A362" s="31">
        <v>45657</v>
      </c>
      <c r="B362" t="s">
        <v>462</v>
      </c>
      <c r="C362" t="s">
        <v>186</v>
      </c>
      <c r="D362" t="s">
        <v>472</v>
      </c>
      <c r="E362">
        <v>655856.68000000005</v>
      </c>
      <c r="F362">
        <v>128313.23</v>
      </c>
      <c r="G362">
        <v>527543.44999999995</v>
      </c>
      <c r="H362" s="6">
        <v>0.8044</v>
      </c>
      <c r="I362" s="6">
        <v>0.2</v>
      </c>
      <c r="J362">
        <v>105508.69</v>
      </c>
    </row>
    <row r="363" spans="1:10" x14ac:dyDescent="0.3">
      <c r="A363" s="31">
        <v>45657</v>
      </c>
      <c r="B363" t="s">
        <v>462</v>
      </c>
      <c r="C363" t="s">
        <v>186</v>
      </c>
      <c r="D363" t="s">
        <v>471</v>
      </c>
      <c r="E363">
        <v>387626.67</v>
      </c>
      <c r="F363">
        <v>75836.13</v>
      </c>
      <c r="G363">
        <v>311790.55</v>
      </c>
      <c r="H363" s="6">
        <v>0.8044</v>
      </c>
      <c r="I363" s="6">
        <v>0.2</v>
      </c>
      <c r="J363">
        <v>62358.11</v>
      </c>
    </row>
    <row r="364" spans="1:10" x14ac:dyDescent="0.3">
      <c r="A364" s="31">
        <v>45657</v>
      </c>
      <c r="B364" t="s">
        <v>462</v>
      </c>
      <c r="C364" t="s">
        <v>186</v>
      </c>
      <c r="D364" t="s">
        <v>470</v>
      </c>
      <c r="E364">
        <v>282356.93</v>
      </c>
      <c r="F364">
        <v>55240.93</v>
      </c>
      <c r="G364">
        <v>227116.01</v>
      </c>
      <c r="H364" s="6">
        <v>0.8044</v>
      </c>
      <c r="I364" s="6">
        <v>0.2</v>
      </c>
      <c r="J364">
        <v>45423.201999999997</v>
      </c>
    </row>
    <row r="365" spans="1:10" x14ac:dyDescent="0.3">
      <c r="A365" s="31">
        <v>45657</v>
      </c>
      <c r="B365" t="s">
        <v>462</v>
      </c>
      <c r="C365" t="s">
        <v>186</v>
      </c>
      <c r="D365" t="s">
        <v>469</v>
      </c>
      <c r="E365">
        <v>192410.1</v>
      </c>
      <c r="F365">
        <v>37643.53</v>
      </c>
      <c r="G365">
        <v>154766.57</v>
      </c>
      <c r="H365" s="6">
        <v>0.8044</v>
      </c>
      <c r="I365" s="6">
        <v>0.15</v>
      </c>
      <c r="J365">
        <v>23214.985499999999</v>
      </c>
    </row>
    <row r="366" spans="1:10" x14ac:dyDescent="0.3">
      <c r="A366" s="31">
        <v>45657</v>
      </c>
      <c r="B366" t="s">
        <v>462</v>
      </c>
      <c r="C366" t="s">
        <v>186</v>
      </c>
      <c r="D366" t="s">
        <v>468</v>
      </c>
      <c r="E366">
        <v>218258.34</v>
      </c>
      <c r="F366">
        <v>42700.54</v>
      </c>
      <c r="G366">
        <v>175557.81</v>
      </c>
      <c r="H366" s="6">
        <v>0.8044</v>
      </c>
      <c r="I366" s="6">
        <v>0.1</v>
      </c>
      <c r="J366">
        <v>17555.780999999999</v>
      </c>
    </row>
    <row r="367" spans="1:10" x14ac:dyDescent="0.3">
      <c r="A367" s="31">
        <v>45657</v>
      </c>
      <c r="B367" t="s">
        <v>462</v>
      </c>
      <c r="C367" t="s">
        <v>186</v>
      </c>
      <c r="D367" t="s">
        <v>467</v>
      </c>
      <c r="E367">
        <v>276192.93</v>
      </c>
      <c r="F367">
        <v>54034.99</v>
      </c>
      <c r="G367">
        <v>222157.94</v>
      </c>
      <c r="H367" s="6">
        <v>0.8044</v>
      </c>
      <c r="I367" s="6">
        <v>0.1</v>
      </c>
      <c r="J367">
        <v>22215.794000000002</v>
      </c>
    </row>
    <row r="368" spans="1:10" x14ac:dyDescent="0.3">
      <c r="A368" s="31">
        <v>45657</v>
      </c>
      <c r="B368" t="s">
        <v>462</v>
      </c>
      <c r="C368" t="s">
        <v>186</v>
      </c>
      <c r="D368" t="s">
        <v>466</v>
      </c>
      <c r="E368">
        <v>280049.93</v>
      </c>
      <c r="F368">
        <v>54789.58</v>
      </c>
      <c r="G368">
        <v>225260.35</v>
      </c>
      <c r="H368" s="6">
        <v>0.8044</v>
      </c>
      <c r="I368" s="6">
        <v>0.2</v>
      </c>
      <c r="J368">
        <v>45052.070000000007</v>
      </c>
    </row>
    <row r="369" spans="1:10" x14ac:dyDescent="0.3">
      <c r="A369" s="31">
        <v>45657</v>
      </c>
      <c r="B369" t="s">
        <v>462</v>
      </c>
      <c r="C369" t="s">
        <v>186</v>
      </c>
      <c r="D369" t="s">
        <v>465</v>
      </c>
      <c r="E369">
        <v>103269.75999999999</v>
      </c>
      <c r="F369">
        <v>20203.919999999998</v>
      </c>
      <c r="G369">
        <v>83065.84</v>
      </c>
      <c r="H369" s="6">
        <v>0.8044</v>
      </c>
      <c r="I369" s="6">
        <v>0.1</v>
      </c>
      <c r="J369">
        <v>8306.5840000000007</v>
      </c>
    </row>
    <row r="370" spans="1:10" x14ac:dyDescent="0.3">
      <c r="A370" s="31">
        <v>45657</v>
      </c>
      <c r="B370" t="s">
        <v>462</v>
      </c>
      <c r="C370" t="s">
        <v>186</v>
      </c>
      <c r="D370" t="s">
        <v>464</v>
      </c>
      <c r="E370">
        <v>214293.63</v>
      </c>
      <c r="F370">
        <v>41924.870000000003</v>
      </c>
      <c r="G370">
        <v>172368.76</v>
      </c>
      <c r="H370" s="6">
        <v>0.8044</v>
      </c>
      <c r="I370" s="6">
        <v>0.1</v>
      </c>
      <c r="J370">
        <v>17236.876</v>
      </c>
    </row>
    <row r="371" spans="1:10" x14ac:dyDescent="0.3">
      <c r="A371" s="31">
        <v>45657</v>
      </c>
      <c r="B371" t="s">
        <v>462</v>
      </c>
      <c r="C371" t="s">
        <v>186</v>
      </c>
      <c r="D371" t="s">
        <v>463</v>
      </c>
      <c r="E371">
        <v>181833.69</v>
      </c>
      <c r="F371">
        <v>35574.33</v>
      </c>
      <c r="G371">
        <v>146259.35</v>
      </c>
      <c r="H371" s="6">
        <v>0.8044</v>
      </c>
      <c r="I371" s="6">
        <v>0.1</v>
      </c>
      <c r="J371">
        <v>14625.934999999999</v>
      </c>
    </row>
    <row r="372" spans="1:10" x14ac:dyDescent="0.3">
      <c r="A372" s="31">
        <v>45688</v>
      </c>
      <c r="B372" t="s">
        <v>462</v>
      </c>
      <c r="C372" t="s">
        <v>186</v>
      </c>
      <c r="D372" t="s">
        <v>472</v>
      </c>
      <c r="E372">
        <v>571178.69999999995</v>
      </c>
      <c r="F372">
        <v>83196.66</v>
      </c>
      <c r="G372">
        <v>487982.04</v>
      </c>
      <c r="H372" s="6">
        <v>0.85429999999999995</v>
      </c>
      <c r="I372" s="6">
        <v>0.2</v>
      </c>
      <c r="J372">
        <v>97596.407999999996</v>
      </c>
    </row>
    <row r="373" spans="1:10" x14ac:dyDescent="0.3">
      <c r="A373" s="31">
        <v>45688</v>
      </c>
      <c r="B373" t="s">
        <v>462</v>
      </c>
      <c r="C373" t="s">
        <v>186</v>
      </c>
      <c r="D373" t="s">
        <v>471</v>
      </c>
      <c r="E373">
        <v>536791.61</v>
      </c>
      <c r="F373">
        <v>78187.91</v>
      </c>
      <c r="G373">
        <v>458603.69</v>
      </c>
      <c r="H373" s="6">
        <v>0.85429999999999995</v>
      </c>
      <c r="I373" s="6">
        <v>0.2</v>
      </c>
      <c r="J373">
        <v>91720.738000000012</v>
      </c>
    </row>
    <row r="374" spans="1:10" x14ac:dyDescent="0.3">
      <c r="A374" s="31">
        <v>45688</v>
      </c>
      <c r="B374" t="s">
        <v>462</v>
      </c>
      <c r="C374" t="s">
        <v>186</v>
      </c>
      <c r="D374" t="s">
        <v>470</v>
      </c>
      <c r="E374">
        <v>279081.90000000002</v>
      </c>
      <c r="F374">
        <v>40650.47</v>
      </c>
      <c r="G374">
        <v>238431.43</v>
      </c>
      <c r="H374" s="6">
        <v>0.85429999999999995</v>
      </c>
      <c r="I374" s="6">
        <v>0.2</v>
      </c>
      <c r="J374">
        <v>47686.286</v>
      </c>
    </row>
    <row r="375" spans="1:10" x14ac:dyDescent="0.3">
      <c r="A375" s="31">
        <v>45688</v>
      </c>
      <c r="B375" t="s">
        <v>462</v>
      </c>
      <c r="C375" t="s">
        <v>186</v>
      </c>
      <c r="D375" t="s">
        <v>469</v>
      </c>
      <c r="E375">
        <v>285796.93</v>
      </c>
      <c r="F375">
        <v>41628.57</v>
      </c>
      <c r="G375">
        <v>244168.37</v>
      </c>
      <c r="H375" s="6">
        <v>0.85429999999999995</v>
      </c>
      <c r="I375" s="6">
        <v>0.15</v>
      </c>
      <c r="J375">
        <v>36625.255499999999</v>
      </c>
    </row>
    <row r="376" spans="1:10" x14ac:dyDescent="0.3">
      <c r="A376" s="31">
        <v>45688</v>
      </c>
      <c r="B376" t="s">
        <v>462</v>
      </c>
      <c r="C376" t="s">
        <v>186</v>
      </c>
      <c r="D376" t="s">
        <v>468</v>
      </c>
      <c r="E376">
        <v>110522.81</v>
      </c>
      <c r="F376">
        <v>16098.52</v>
      </c>
      <c r="G376">
        <v>94424.3</v>
      </c>
      <c r="H376" s="6">
        <v>0.85429999999999995</v>
      </c>
      <c r="I376" s="6">
        <v>0.1</v>
      </c>
      <c r="J376">
        <v>9442.43</v>
      </c>
    </row>
    <row r="377" spans="1:10" x14ac:dyDescent="0.3">
      <c r="A377" s="31">
        <v>45688</v>
      </c>
      <c r="B377" t="s">
        <v>462</v>
      </c>
      <c r="C377" t="s">
        <v>186</v>
      </c>
      <c r="D377" t="s">
        <v>467</v>
      </c>
      <c r="E377">
        <v>243788.09</v>
      </c>
      <c r="F377">
        <v>35509.65</v>
      </c>
      <c r="G377">
        <v>208278.44</v>
      </c>
      <c r="H377" s="6">
        <v>0.85429999999999995</v>
      </c>
      <c r="I377" s="6">
        <v>0.1</v>
      </c>
      <c r="J377">
        <v>20827.844000000001</v>
      </c>
    </row>
    <row r="378" spans="1:10" x14ac:dyDescent="0.3">
      <c r="A378" s="31">
        <v>45688</v>
      </c>
      <c r="B378" t="s">
        <v>462</v>
      </c>
      <c r="C378" t="s">
        <v>186</v>
      </c>
      <c r="D378" t="s">
        <v>466</v>
      </c>
      <c r="E378">
        <v>263015.34000000003</v>
      </c>
      <c r="F378">
        <v>38310.25</v>
      </c>
      <c r="G378">
        <v>224705.09</v>
      </c>
      <c r="H378" s="6">
        <v>0.85429999999999995</v>
      </c>
      <c r="I378" s="6">
        <v>0.2</v>
      </c>
      <c r="J378">
        <v>44941.017999999996</v>
      </c>
    </row>
    <row r="379" spans="1:10" x14ac:dyDescent="0.3">
      <c r="A379" s="31">
        <v>45688</v>
      </c>
      <c r="B379" t="s">
        <v>462</v>
      </c>
      <c r="C379" t="s">
        <v>186</v>
      </c>
      <c r="D379" t="s">
        <v>465</v>
      </c>
      <c r="E379">
        <v>287165.94</v>
      </c>
      <c r="F379">
        <v>41827.97</v>
      </c>
      <c r="G379">
        <v>245337.97</v>
      </c>
      <c r="H379" s="6">
        <v>0.85429999999999995</v>
      </c>
      <c r="I379" s="6">
        <v>0.1</v>
      </c>
      <c r="J379">
        <v>24533.796999999999</v>
      </c>
    </row>
    <row r="380" spans="1:10" x14ac:dyDescent="0.3">
      <c r="A380" s="31">
        <v>45688</v>
      </c>
      <c r="B380" t="s">
        <v>462</v>
      </c>
      <c r="C380" t="s">
        <v>186</v>
      </c>
      <c r="D380" t="s">
        <v>464</v>
      </c>
      <c r="E380">
        <v>231722.65</v>
      </c>
      <c r="F380">
        <v>33752.22</v>
      </c>
      <c r="G380">
        <v>197970.43</v>
      </c>
      <c r="H380" s="6">
        <v>0.85429999999999995</v>
      </c>
      <c r="I380" s="6">
        <v>0.1</v>
      </c>
      <c r="J380">
        <v>19797.043000000001</v>
      </c>
    </row>
    <row r="381" spans="1:10" x14ac:dyDescent="0.3">
      <c r="A381" s="31">
        <v>45688</v>
      </c>
      <c r="B381" t="s">
        <v>462</v>
      </c>
      <c r="C381" t="s">
        <v>186</v>
      </c>
      <c r="D381" t="s">
        <v>463</v>
      </c>
      <c r="E381">
        <v>82447.03</v>
      </c>
      <c r="F381">
        <v>12009.07</v>
      </c>
      <c r="G381">
        <v>70437.960000000006</v>
      </c>
      <c r="H381" s="6">
        <v>0.85429999999999995</v>
      </c>
      <c r="I381" s="6">
        <v>0.1</v>
      </c>
      <c r="J381">
        <v>7043.7960000000012</v>
      </c>
    </row>
    <row r="382" spans="1:10" x14ac:dyDescent="0.3">
      <c r="A382" s="31">
        <v>45716</v>
      </c>
      <c r="B382" t="s">
        <v>462</v>
      </c>
      <c r="C382" t="s">
        <v>186</v>
      </c>
      <c r="D382" t="s">
        <v>472</v>
      </c>
      <c r="E382">
        <v>539019.03</v>
      </c>
      <c r="F382">
        <v>77481.509999999995</v>
      </c>
      <c r="G382">
        <v>461537.53</v>
      </c>
      <c r="H382" s="6">
        <v>0.85629999999999995</v>
      </c>
      <c r="I382" s="6">
        <v>0.2</v>
      </c>
      <c r="J382">
        <v>92307.506000000008</v>
      </c>
    </row>
    <row r="383" spans="1:10" x14ac:dyDescent="0.3">
      <c r="A383" s="31">
        <v>45716</v>
      </c>
      <c r="B383" t="s">
        <v>462</v>
      </c>
      <c r="C383" t="s">
        <v>186</v>
      </c>
      <c r="D383" t="s">
        <v>471</v>
      </c>
      <c r="E383">
        <v>605129.84</v>
      </c>
      <c r="F383">
        <v>86984.63</v>
      </c>
      <c r="G383">
        <v>518145.21</v>
      </c>
      <c r="H383" s="6">
        <v>0.85629999999999995</v>
      </c>
      <c r="I383" s="6">
        <v>0.2</v>
      </c>
      <c r="J383">
        <v>103629.042</v>
      </c>
    </row>
    <row r="384" spans="1:10" x14ac:dyDescent="0.3">
      <c r="A384" s="31">
        <v>45716</v>
      </c>
      <c r="B384" t="s">
        <v>462</v>
      </c>
      <c r="C384" t="s">
        <v>186</v>
      </c>
      <c r="D384" t="s">
        <v>470</v>
      </c>
      <c r="E384">
        <v>339247.61</v>
      </c>
      <c r="F384">
        <v>48765.279999999999</v>
      </c>
      <c r="G384">
        <v>290482.32</v>
      </c>
      <c r="H384" s="6">
        <v>0.85629999999999995</v>
      </c>
      <c r="I384" s="6">
        <v>0.2</v>
      </c>
      <c r="J384">
        <v>58096.464000000007</v>
      </c>
    </row>
    <row r="385" spans="1:10" x14ac:dyDescent="0.3">
      <c r="A385" s="31">
        <v>45716</v>
      </c>
      <c r="B385" t="s">
        <v>462</v>
      </c>
      <c r="C385" t="s">
        <v>186</v>
      </c>
      <c r="D385" t="s">
        <v>469</v>
      </c>
      <c r="E385">
        <v>223586.36</v>
      </c>
      <c r="F385">
        <v>32139.51</v>
      </c>
      <c r="G385">
        <v>191446.85</v>
      </c>
      <c r="H385" s="6">
        <v>0.85629999999999995</v>
      </c>
      <c r="I385" s="6">
        <v>0.15</v>
      </c>
      <c r="J385">
        <v>28717.0275</v>
      </c>
    </row>
    <row r="386" spans="1:10" x14ac:dyDescent="0.3">
      <c r="A386" s="31">
        <v>45716</v>
      </c>
      <c r="B386" t="s">
        <v>462</v>
      </c>
      <c r="C386" t="s">
        <v>186</v>
      </c>
      <c r="D386" t="s">
        <v>468</v>
      </c>
      <c r="E386">
        <v>234015.33</v>
      </c>
      <c r="F386">
        <v>33638.629999999997</v>
      </c>
      <c r="G386">
        <v>200376.71</v>
      </c>
      <c r="H386" s="6">
        <v>0.85629999999999995</v>
      </c>
      <c r="I386" s="6">
        <v>0.1</v>
      </c>
      <c r="J386">
        <v>20037.670999999998</v>
      </c>
    </row>
    <row r="387" spans="1:10" x14ac:dyDescent="0.3">
      <c r="A387" s="31">
        <v>45716</v>
      </c>
      <c r="B387" t="s">
        <v>462</v>
      </c>
      <c r="C387" t="s">
        <v>186</v>
      </c>
      <c r="D387" t="s">
        <v>467</v>
      </c>
      <c r="E387">
        <v>167403.67000000001</v>
      </c>
      <c r="F387">
        <v>24063.51</v>
      </c>
      <c r="G387">
        <v>143340.16</v>
      </c>
      <c r="H387" s="6">
        <v>0.85629999999999995</v>
      </c>
      <c r="I387" s="6">
        <v>0.1</v>
      </c>
      <c r="J387">
        <v>14334.016</v>
      </c>
    </row>
    <row r="388" spans="1:10" x14ac:dyDescent="0.3">
      <c r="A388" s="31">
        <v>45716</v>
      </c>
      <c r="B388" t="s">
        <v>462</v>
      </c>
      <c r="C388" t="s">
        <v>186</v>
      </c>
      <c r="D388" t="s">
        <v>466</v>
      </c>
      <c r="E388">
        <v>186843.45</v>
      </c>
      <c r="F388">
        <v>26857.89</v>
      </c>
      <c r="G388">
        <v>159985.56</v>
      </c>
      <c r="H388" s="6">
        <v>0.85629999999999995</v>
      </c>
      <c r="I388" s="6">
        <v>0.2</v>
      </c>
      <c r="J388">
        <v>31997.112000000001</v>
      </c>
    </row>
    <row r="389" spans="1:10" x14ac:dyDescent="0.3">
      <c r="A389" s="31">
        <v>45716</v>
      </c>
      <c r="B389" t="s">
        <v>462</v>
      </c>
      <c r="C389" t="s">
        <v>186</v>
      </c>
      <c r="D389" t="s">
        <v>465</v>
      </c>
      <c r="E389">
        <v>85574.1</v>
      </c>
      <c r="F389">
        <v>12300.88</v>
      </c>
      <c r="G389">
        <v>73273.22</v>
      </c>
      <c r="H389" s="6">
        <v>0.85629999999999995</v>
      </c>
      <c r="I389" s="6">
        <v>0.1</v>
      </c>
      <c r="J389">
        <v>7327.3220000000001</v>
      </c>
    </row>
    <row r="390" spans="1:10" x14ac:dyDescent="0.3">
      <c r="A390" s="31">
        <v>45716</v>
      </c>
      <c r="B390" t="s">
        <v>462</v>
      </c>
      <c r="C390" t="s">
        <v>186</v>
      </c>
      <c r="D390" t="s">
        <v>464</v>
      </c>
      <c r="E390">
        <v>239991.08</v>
      </c>
      <c r="F390">
        <v>34497.61</v>
      </c>
      <c r="G390">
        <v>205493.47</v>
      </c>
      <c r="H390" s="6">
        <v>0.85629999999999995</v>
      </c>
      <c r="I390" s="6">
        <v>0.1</v>
      </c>
      <c r="J390">
        <v>20549.347000000002</v>
      </c>
    </row>
    <row r="391" spans="1:10" x14ac:dyDescent="0.3">
      <c r="A391" s="31">
        <v>45716</v>
      </c>
      <c r="B391" t="s">
        <v>462</v>
      </c>
      <c r="C391" t="s">
        <v>186</v>
      </c>
      <c r="D391" t="s">
        <v>463</v>
      </c>
      <c r="E391">
        <v>156551.38</v>
      </c>
      <c r="F391">
        <v>22503.54</v>
      </c>
      <c r="G391">
        <v>134047.84</v>
      </c>
      <c r="H391" s="6">
        <v>0.85629999999999995</v>
      </c>
      <c r="I391" s="6">
        <v>0.1</v>
      </c>
      <c r="J391">
        <v>13404.784</v>
      </c>
    </row>
    <row r="392" spans="1:10" x14ac:dyDescent="0.3">
      <c r="A392" s="31">
        <v>45747</v>
      </c>
      <c r="B392" t="s">
        <v>462</v>
      </c>
      <c r="C392" t="s">
        <v>186</v>
      </c>
      <c r="D392" t="s">
        <v>472</v>
      </c>
      <c r="E392">
        <v>665151.21</v>
      </c>
      <c r="F392">
        <v>99877.58</v>
      </c>
      <c r="G392">
        <v>565273.63</v>
      </c>
      <c r="H392" s="6">
        <v>0.8498</v>
      </c>
      <c r="I392" s="6">
        <v>0.2</v>
      </c>
      <c r="J392">
        <v>113054.726</v>
      </c>
    </row>
    <row r="393" spans="1:10" x14ac:dyDescent="0.3">
      <c r="A393" s="31">
        <v>45747</v>
      </c>
      <c r="B393" t="s">
        <v>462</v>
      </c>
      <c r="C393" t="s">
        <v>186</v>
      </c>
      <c r="D393" t="s">
        <v>471</v>
      </c>
      <c r="E393">
        <v>326852.75</v>
      </c>
      <c r="F393">
        <v>49079.46</v>
      </c>
      <c r="G393">
        <v>277773.3</v>
      </c>
      <c r="H393" s="6">
        <v>0.8498</v>
      </c>
      <c r="I393" s="6">
        <v>0.2</v>
      </c>
      <c r="J393">
        <v>55554.66</v>
      </c>
    </row>
    <row r="394" spans="1:10" x14ac:dyDescent="0.3">
      <c r="A394" s="31">
        <v>45747</v>
      </c>
      <c r="B394" t="s">
        <v>462</v>
      </c>
      <c r="C394" t="s">
        <v>186</v>
      </c>
      <c r="D394" t="s">
        <v>470</v>
      </c>
      <c r="E394">
        <v>294063.64</v>
      </c>
      <c r="F394">
        <v>44155.92</v>
      </c>
      <c r="G394">
        <v>249907.72</v>
      </c>
      <c r="H394" s="6">
        <v>0.8498</v>
      </c>
      <c r="I394" s="6">
        <v>0.2</v>
      </c>
      <c r="J394">
        <v>49981.544000000002</v>
      </c>
    </row>
    <row r="395" spans="1:10" x14ac:dyDescent="0.3">
      <c r="A395" s="31">
        <v>45747</v>
      </c>
      <c r="B395" t="s">
        <v>462</v>
      </c>
      <c r="C395" t="s">
        <v>186</v>
      </c>
      <c r="D395" t="s">
        <v>469</v>
      </c>
      <c r="E395">
        <v>93426.21</v>
      </c>
      <c r="F395">
        <v>14028.67</v>
      </c>
      <c r="G395">
        <v>79397.55</v>
      </c>
      <c r="H395" s="6">
        <v>0.8498</v>
      </c>
      <c r="I395" s="6">
        <v>0.15</v>
      </c>
      <c r="J395">
        <v>11909.6325</v>
      </c>
    </row>
    <row r="396" spans="1:10" x14ac:dyDescent="0.3">
      <c r="A396" s="31">
        <v>45747</v>
      </c>
      <c r="B396" t="s">
        <v>462</v>
      </c>
      <c r="C396" t="s">
        <v>186</v>
      </c>
      <c r="D396" t="s">
        <v>468</v>
      </c>
      <c r="E396">
        <v>249095.85</v>
      </c>
      <c r="F396">
        <v>37403.660000000003</v>
      </c>
      <c r="G396">
        <v>211692.19</v>
      </c>
      <c r="H396" s="6">
        <v>0.8498</v>
      </c>
      <c r="I396" s="6">
        <v>0.1</v>
      </c>
      <c r="J396">
        <v>21169.219000000001</v>
      </c>
    </row>
    <row r="397" spans="1:10" x14ac:dyDescent="0.3">
      <c r="A397" s="31">
        <v>45747</v>
      </c>
      <c r="B397" t="s">
        <v>462</v>
      </c>
      <c r="C397" t="s">
        <v>186</v>
      </c>
      <c r="D397" t="s">
        <v>467</v>
      </c>
      <c r="E397">
        <v>332025.03999999998</v>
      </c>
      <c r="F397">
        <v>49856.12</v>
      </c>
      <c r="G397">
        <v>282168.92</v>
      </c>
      <c r="H397" s="6">
        <v>0.8498</v>
      </c>
      <c r="I397" s="6">
        <v>0.1</v>
      </c>
      <c r="J397">
        <v>28216.892</v>
      </c>
    </row>
    <row r="398" spans="1:10" x14ac:dyDescent="0.3">
      <c r="A398" s="31">
        <v>45747</v>
      </c>
      <c r="B398" t="s">
        <v>462</v>
      </c>
      <c r="C398" t="s">
        <v>186</v>
      </c>
      <c r="D398" t="s">
        <v>466</v>
      </c>
      <c r="E398">
        <v>197232.57</v>
      </c>
      <c r="F398">
        <v>29615.99</v>
      </c>
      <c r="G398">
        <v>167616.57999999999</v>
      </c>
      <c r="H398" s="6">
        <v>0.8498</v>
      </c>
      <c r="I398" s="6">
        <v>0.2</v>
      </c>
      <c r="J398">
        <v>33523.315999999999</v>
      </c>
    </row>
    <row r="399" spans="1:10" x14ac:dyDescent="0.3">
      <c r="A399" s="31">
        <v>45747</v>
      </c>
      <c r="B399" t="s">
        <v>462</v>
      </c>
      <c r="C399" t="s">
        <v>186</v>
      </c>
      <c r="D399" t="s">
        <v>465</v>
      </c>
      <c r="E399">
        <v>228989.58</v>
      </c>
      <c r="F399">
        <v>34384.550000000003</v>
      </c>
      <c r="G399">
        <v>194605.03</v>
      </c>
      <c r="H399" s="6">
        <v>0.8498</v>
      </c>
      <c r="I399" s="6">
        <v>0.1</v>
      </c>
      <c r="J399">
        <v>19460.503000000001</v>
      </c>
    </row>
    <row r="400" spans="1:10" x14ac:dyDescent="0.3">
      <c r="A400" s="31">
        <v>45747</v>
      </c>
      <c r="B400" t="s">
        <v>462</v>
      </c>
      <c r="C400" t="s">
        <v>186</v>
      </c>
      <c r="D400" t="s">
        <v>464</v>
      </c>
      <c r="E400">
        <v>226253.82</v>
      </c>
      <c r="F400">
        <v>33973.75</v>
      </c>
      <c r="G400">
        <v>192280.07</v>
      </c>
      <c r="H400" s="6">
        <v>0.8498</v>
      </c>
      <c r="I400" s="6">
        <v>0.1</v>
      </c>
      <c r="J400">
        <v>19228.007000000001</v>
      </c>
    </row>
    <row r="401" spans="1:10" x14ac:dyDescent="0.3">
      <c r="A401" s="31">
        <v>45747</v>
      </c>
      <c r="B401" t="s">
        <v>462</v>
      </c>
      <c r="C401" t="s">
        <v>186</v>
      </c>
      <c r="D401" t="s">
        <v>463</v>
      </c>
      <c r="E401">
        <v>228789.81</v>
      </c>
      <c r="F401">
        <v>34354.559999999998</v>
      </c>
      <c r="G401">
        <v>194435.25</v>
      </c>
      <c r="H401" s="6">
        <v>0.8498</v>
      </c>
      <c r="I401" s="6">
        <v>0.1</v>
      </c>
      <c r="J401">
        <v>19443.525000000001</v>
      </c>
    </row>
    <row r="402" spans="1:10" x14ac:dyDescent="0.3">
      <c r="A402" s="31">
        <v>45777</v>
      </c>
      <c r="B402" t="s">
        <v>462</v>
      </c>
      <c r="C402" t="s">
        <v>186</v>
      </c>
      <c r="D402" t="s">
        <v>472</v>
      </c>
      <c r="E402">
        <v>540774.57999999996</v>
      </c>
      <c r="F402">
        <v>114581.98</v>
      </c>
      <c r="G402">
        <v>426192.6</v>
      </c>
      <c r="H402" s="6">
        <v>0.78810000000000002</v>
      </c>
      <c r="I402" s="6">
        <v>0.2</v>
      </c>
      <c r="J402">
        <v>85238.52</v>
      </c>
    </row>
    <row r="403" spans="1:10" x14ac:dyDescent="0.3">
      <c r="A403" s="31">
        <v>45777</v>
      </c>
      <c r="B403" t="s">
        <v>462</v>
      </c>
      <c r="C403" t="s">
        <v>186</v>
      </c>
      <c r="D403" t="s">
        <v>471</v>
      </c>
      <c r="E403">
        <v>600694.34</v>
      </c>
      <c r="F403">
        <v>127278.07</v>
      </c>
      <c r="G403">
        <v>473416.27</v>
      </c>
      <c r="H403" s="6">
        <v>0.78810000000000002</v>
      </c>
      <c r="I403" s="6">
        <v>0.2</v>
      </c>
      <c r="J403">
        <v>94683.254000000015</v>
      </c>
    </row>
    <row r="404" spans="1:10" x14ac:dyDescent="0.3">
      <c r="A404" s="31">
        <v>45777</v>
      </c>
      <c r="B404" t="s">
        <v>462</v>
      </c>
      <c r="C404" t="s">
        <v>186</v>
      </c>
      <c r="D404" t="s">
        <v>470</v>
      </c>
      <c r="E404">
        <v>182216.99</v>
      </c>
      <c r="F404">
        <v>38609.03</v>
      </c>
      <c r="G404">
        <v>143607.96</v>
      </c>
      <c r="H404" s="6">
        <v>0.78810000000000002</v>
      </c>
      <c r="I404" s="6">
        <v>0.2</v>
      </c>
      <c r="J404">
        <v>28721.592000000001</v>
      </c>
    </row>
    <row r="405" spans="1:10" x14ac:dyDescent="0.3">
      <c r="A405" s="31">
        <v>45777</v>
      </c>
      <c r="B405" t="s">
        <v>462</v>
      </c>
      <c r="C405" t="s">
        <v>186</v>
      </c>
      <c r="D405" t="s">
        <v>469</v>
      </c>
      <c r="E405">
        <v>314889.15000000002</v>
      </c>
      <c r="F405">
        <v>66720.259999999995</v>
      </c>
      <c r="G405">
        <v>248168.89</v>
      </c>
      <c r="H405" s="6">
        <v>0.78810000000000002</v>
      </c>
      <c r="I405" s="6">
        <v>0.15</v>
      </c>
      <c r="J405">
        <v>37225.333500000001</v>
      </c>
    </row>
    <row r="406" spans="1:10" x14ac:dyDescent="0.3">
      <c r="A406" s="31">
        <v>45777</v>
      </c>
      <c r="B406" t="s">
        <v>462</v>
      </c>
      <c r="C406" t="s">
        <v>186</v>
      </c>
      <c r="D406" t="s">
        <v>468</v>
      </c>
      <c r="E406">
        <v>107552.89</v>
      </c>
      <c r="F406">
        <v>22788.84</v>
      </c>
      <c r="G406">
        <v>84764.06</v>
      </c>
      <c r="H406" s="6">
        <v>0.78810000000000002</v>
      </c>
      <c r="I406" s="6">
        <v>0.1</v>
      </c>
      <c r="J406">
        <v>8476.4060000000009</v>
      </c>
    </row>
    <row r="407" spans="1:10" x14ac:dyDescent="0.3">
      <c r="A407" s="31">
        <v>45777</v>
      </c>
      <c r="B407" t="s">
        <v>462</v>
      </c>
      <c r="C407" t="s">
        <v>186</v>
      </c>
      <c r="D407" t="s">
        <v>467</v>
      </c>
      <c r="E407">
        <v>200415.59</v>
      </c>
      <c r="F407">
        <v>42465.04</v>
      </c>
      <c r="G407">
        <v>157950.54999999999</v>
      </c>
      <c r="H407" s="6">
        <v>0.78810000000000002</v>
      </c>
      <c r="I407" s="6">
        <v>0.1</v>
      </c>
      <c r="J407">
        <v>15795.055</v>
      </c>
    </row>
    <row r="408" spans="1:10" x14ac:dyDescent="0.3">
      <c r="A408" s="31">
        <v>45777</v>
      </c>
      <c r="B408" t="s">
        <v>462</v>
      </c>
      <c r="C408" t="s">
        <v>186</v>
      </c>
      <c r="D408" t="s">
        <v>466</v>
      </c>
      <c r="E408">
        <v>347288.33</v>
      </c>
      <c r="F408">
        <v>73585.16</v>
      </c>
      <c r="G408">
        <v>273703.17</v>
      </c>
      <c r="H408" s="6">
        <v>0.78810000000000002</v>
      </c>
      <c r="I408" s="6">
        <v>0.2</v>
      </c>
      <c r="J408">
        <v>54740.633999999998</v>
      </c>
    </row>
    <row r="409" spans="1:10" x14ac:dyDescent="0.3">
      <c r="A409" s="31">
        <v>45777</v>
      </c>
      <c r="B409" t="s">
        <v>462</v>
      </c>
      <c r="C409" t="s">
        <v>186</v>
      </c>
      <c r="D409" t="s">
        <v>465</v>
      </c>
      <c r="E409">
        <v>208881.41</v>
      </c>
      <c r="F409">
        <v>44258.82</v>
      </c>
      <c r="G409">
        <v>164622.59</v>
      </c>
      <c r="H409" s="6">
        <v>0.78810000000000002</v>
      </c>
      <c r="I409" s="6">
        <v>0.1</v>
      </c>
      <c r="J409">
        <v>16462.258999999998</v>
      </c>
    </row>
    <row r="410" spans="1:10" x14ac:dyDescent="0.3">
      <c r="A410" s="31">
        <v>45777</v>
      </c>
      <c r="B410" t="s">
        <v>462</v>
      </c>
      <c r="C410" t="s">
        <v>186</v>
      </c>
      <c r="D410" t="s">
        <v>464</v>
      </c>
      <c r="E410">
        <v>191568.08</v>
      </c>
      <c r="F410">
        <v>40590.39</v>
      </c>
      <c r="G410">
        <v>150977.69</v>
      </c>
      <c r="H410" s="6">
        <v>0.78810000000000002</v>
      </c>
      <c r="I410" s="6">
        <v>0.1</v>
      </c>
      <c r="J410">
        <v>15097.769</v>
      </c>
    </row>
    <row r="411" spans="1:10" x14ac:dyDescent="0.3">
      <c r="A411" s="31">
        <v>45777</v>
      </c>
      <c r="B411" t="s">
        <v>462</v>
      </c>
      <c r="C411" t="s">
        <v>186</v>
      </c>
      <c r="D411" t="s">
        <v>463</v>
      </c>
      <c r="E411">
        <v>241841.09</v>
      </c>
      <c r="F411">
        <v>51242.47</v>
      </c>
      <c r="G411">
        <v>190598.61</v>
      </c>
      <c r="H411" s="6">
        <v>0.78810000000000002</v>
      </c>
      <c r="I411" s="6">
        <v>0.1</v>
      </c>
      <c r="J411">
        <v>19059.861000000001</v>
      </c>
    </row>
    <row r="412" spans="1:10" x14ac:dyDescent="0.3">
      <c r="A412" s="31">
        <v>45808</v>
      </c>
      <c r="B412" t="s">
        <v>462</v>
      </c>
      <c r="C412" t="s">
        <v>186</v>
      </c>
      <c r="D412" t="s">
        <v>472</v>
      </c>
      <c r="E412">
        <v>533237.01</v>
      </c>
      <c r="F412">
        <v>70060.36</v>
      </c>
      <c r="G412">
        <v>463176.65</v>
      </c>
      <c r="H412" s="6">
        <v>0.86860000000000004</v>
      </c>
      <c r="I412" s="6">
        <v>0.2</v>
      </c>
      <c r="J412">
        <v>92635.330000000016</v>
      </c>
    </row>
    <row r="413" spans="1:10" x14ac:dyDescent="0.3">
      <c r="A413" s="31">
        <v>45808</v>
      </c>
      <c r="B413" t="s">
        <v>462</v>
      </c>
      <c r="C413" t="s">
        <v>186</v>
      </c>
      <c r="D413" t="s">
        <v>471</v>
      </c>
      <c r="E413">
        <v>268342.78999999998</v>
      </c>
      <c r="F413">
        <v>35256.730000000003</v>
      </c>
      <c r="G413">
        <v>233086.06</v>
      </c>
      <c r="H413" s="6">
        <v>0.86860000000000004</v>
      </c>
      <c r="I413" s="6">
        <v>0.2</v>
      </c>
      <c r="J413">
        <v>46617.212</v>
      </c>
    </row>
    <row r="414" spans="1:10" x14ac:dyDescent="0.3">
      <c r="A414" s="31">
        <v>45808</v>
      </c>
      <c r="B414" t="s">
        <v>462</v>
      </c>
      <c r="C414" t="s">
        <v>186</v>
      </c>
      <c r="D414" t="s">
        <v>470</v>
      </c>
      <c r="E414">
        <v>346080.8</v>
      </c>
      <c r="F414">
        <v>45470.49</v>
      </c>
      <c r="G414">
        <v>300610.31</v>
      </c>
      <c r="H414" s="6">
        <v>0.86860000000000004</v>
      </c>
      <c r="I414" s="6">
        <v>0.2</v>
      </c>
      <c r="J414">
        <v>60122.062000000013</v>
      </c>
    </row>
    <row r="415" spans="1:10" x14ac:dyDescent="0.3">
      <c r="A415" s="31">
        <v>45808</v>
      </c>
      <c r="B415" t="s">
        <v>462</v>
      </c>
      <c r="C415" t="s">
        <v>186</v>
      </c>
      <c r="D415" t="s">
        <v>469</v>
      </c>
      <c r="E415">
        <v>201834.25</v>
      </c>
      <c r="F415">
        <v>26518.38</v>
      </c>
      <c r="G415">
        <v>175315.87</v>
      </c>
      <c r="H415" s="6">
        <v>0.86860000000000004</v>
      </c>
      <c r="I415" s="6">
        <v>0.15</v>
      </c>
      <c r="J415">
        <v>26297.380499999999</v>
      </c>
    </row>
    <row r="416" spans="1:10" x14ac:dyDescent="0.3">
      <c r="A416" s="31">
        <v>45808</v>
      </c>
      <c r="B416" t="s">
        <v>462</v>
      </c>
      <c r="C416" t="s">
        <v>186</v>
      </c>
      <c r="D416" t="s">
        <v>468</v>
      </c>
      <c r="E416">
        <v>263021.59000000003</v>
      </c>
      <c r="F416">
        <v>34557.589999999997</v>
      </c>
      <c r="G416">
        <v>228463.99</v>
      </c>
      <c r="H416" s="6">
        <v>0.86860000000000004</v>
      </c>
      <c r="I416" s="6">
        <v>0.1</v>
      </c>
      <c r="J416">
        <v>22846.399000000001</v>
      </c>
    </row>
    <row r="417" spans="1:10" x14ac:dyDescent="0.3">
      <c r="A417" s="31">
        <v>45808</v>
      </c>
      <c r="B417" t="s">
        <v>462</v>
      </c>
      <c r="C417" t="s">
        <v>186</v>
      </c>
      <c r="D417" t="s">
        <v>467</v>
      </c>
      <c r="E417">
        <v>247011.69</v>
      </c>
      <c r="F417">
        <v>32454.1</v>
      </c>
      <c r="G417">
        <v>214557.59</v>
      </c>
      <c r="H417" s="6">
        <v>0.86860000000000004</v>
      </c>
      <c r="I417" s="6">
        <v>0.1</v>
      </c>
      <c r="J417">
        <v>21455.758999999998</v>
      </c>
    </row>
    <row r="418" spans="1:10" x14ac:dyDescent="0.3">
      <c r="A418" s="31">
        <v>45808</v>
      </c>
      <c r="B418" t="s">
        <v>462</v>
      </c>
      <c r="C418" t="s">
        <v>186</v>
      </c>
      <c r="D418" t="s">
        <v>466</v>
      </c>
      <c r="E418">
        <v>236008.68</v>
      </c>
      <c r="F418">
        <v>31008.45</v>
      </c>
      <c r="G418">
        <v>205000.23</v>
      </c>
      <c r="H418" s="6">
        <v>0.86860000000000004</v>
      </c>
      <c r="I418" s="6">
        <v>0.2</v>
      </c>
      <c r="J418">
        <v>41000.046000000002</v>
      </c>
    </row>
    <row r="419" spans="1:10" x14ac:dyDescent="0.3">
      <c r="A419" s="31">
        <v>45808</v>
      </c>
      <c r="B419" t="s">
        <v>462</v>
      </c>
      <c r="C419" t="s">
        <v>186</v>
      </c>
      <c r="D419" t="s">
        <v>465</v>
      </c>
      <c r="E419">
        <v>234807.01</v>
      </c>
      <c r="F419">
        <v>30850.57</v>
      </c>
      <c r="G419">
        <v>203956.44</v>
      </c>
      <c r="H419" s="6">
        <v>0.86860000000000004</v>
      </c>
      <c r="I419" s="6">
        <v>0.1</v>
      </c>
      <c r="J419">
        <v>20395.644</v>
      </c>
    </row>
    <row r="420" spans="1:10" x14ac:dyDescent="0.3">
      <c r="A420" s="31">
        <v>45808</v>
      </c>
      <c r="B420" t="s">
        <v>462</v>
      </c>
      <c r="C420" t="s">
        <v>186</v>
      </c>
      <c r="D420" t="s">
        <v>464</v>
      </c>
      <c r="E420">
        <v>298753.57</v>
      </c>
      <c r="F420">
        <v>39252.31</v>
      </c>
      <c r="G420">
        <v>259501.26</v>
      </c>
      <c r="H420" s="6">
        <v>0.86860000000000004</v>
      </c>
      <c r="I420" s="6">
        <v>0.1</v>
      </c>
      <c r="J420">
        <v>25950.126</v>
      </c>
    </row>
    <row r="421" spans="1:10" x14ac:dyDescent="0.3">
      <c r="A421" s="31">
        <v>45808</v>
      </c>
      <c r="B421" t="s">
        <v>462</v>
      </c>
      <c r="C421" t="s">
        <v>186</v>
      </c>
      <c r="D421" t="s">
        <v>463</v>
      </c>
      <c r="E421">
        <v>271157.53999999998</v>
      </c>
      <c r="F421">
        <v>35626.54</v>
      </c>
      <c r="G421">
        <v>235531</v>
      </c>
      <c r="H421" s="6">
        <v>0.86860000000000004</v>
      </c>
      <c r="I421" s="6">
        <v>0.1</v>
      </c>
      <c r="J421">
        <v>23553.1</v>
      </c>
    </row>
    <row r="422" spans="1:10" x14ac:dyDescent="0.3">
      <c r="A422" s="31">
        <v>45838</v>
      </c>
      <c r="B422" t="s">
        <v>462</v>
      </c>
      <c r="C422" t="s">
        <v>186</v>
      </c>
      <c r="D422" t="s">
        <v>472</v>
      </c>
      <c r="E422">
        <v>557019.59</v>
      </c>
      <c r="F422">
        <v>83195.070000000007</v>
      </c>
      <c r="G422">
        <v>473824.52</v>
      </c>
      <c r="H422" s="6">
        <v>0.85060000000000002</v>
      </c>
      <c r="I422" s="6">
        <v>0.2</v>
      </c>
      <c r="J422">
        <v>94764.90400000001</v>
      </c>
    </row>
    <row r="423" spans="1:10" x14ac:dyDescent="0.3">
      <c r="A423" s="31">
        <v>45838</v>
      </c>
      <c r="B423" t="s">
        <v>462</v>
      </c>
      <c r="C423" t="s">
        <v>186</v>
      </c>
      <c r="D423" t="s">
        <v>471</v>
      </c>
      <c r="E423">
        <v>338431.36</v>
      </c>
      <c r="F423">
        <v>50547.27</v>
      </c>
      <c r="G423">
        <v>287884.09000000003</v>
      </c>
      <c r="H423" s="6">
        <v>0.85060000000000002</v>
      </c>
      <c r="I423" s="6">
        <v>0.2</v>
      </c>
      <c r="J423">
        <v>57576.818000000007</v>
      </c>
    </row>
    <row r="424" spans="1:10" x14ac:dyDescent="0.3">
      <c r="A424" s="31">
        <v>45838</v>
      </c>
      <c r="B424" t="s">
        <v>462</v>
      </c>
      <c r="C424" t="s">
        <v>186</v>
      </c>
      <c r="D424" t="s">
        <v>470</v>
      </c>
      <c r="E424">
        <v>366315.31</v>
      </c>
      <c r="F424">
        <v>54711.95</v>
      </c>
      <c r="G424">
        <v>311603.36</v>
      </c>
      <c r="H424" s="6">
        <v>0.85060000000000002</v>
      </c>
      <c r="I424" s="6">
        <v>0.2</v>
      </c>
      <c r="J424">
        <v>62320.671999999999</v>
      </c>
    </row>
    <row r="425" spans="1:10" x14ac:dyDescent="0.3">
      <c r="A425" s="31">
        <v>45838</v>
      </c>
      <c r="B425" t="s">
        <v>462</v>
      </c>
      <c r="C425" t="s">
        <v>186</v>
      </c>
      <c r="D425" t="s">
        <v>469</v>
      </c>
      <c r="E425">
        <v>255873.29</v>
      </c>
      <c r="F425">
        <v>38216.6</v>
      </c>
      <c r="G425">
        <v>217656.69</v>
      </c>
      <c r="H425" s="6">
        <v>0.85060000000000002</v>
      </c>
      <c r="I425" s="6">
        <v>0.15</v>
      </c>
      <c r="J425">
        <v>32648.503499999999</v>
      </c>
    </row>
    <row r="426" spans="1:10" x14ac:dyDescent="0.3">
      <c r="A426" s="31">
        <v>45838</v>
      </c>
      <c r="B426" t="s">
        <v>462</v>
      </c>
      <c r="C426" t="s">
        <v>186</v>
      </c>
      <c r="D426" t="s">
        <v>468</v>
      </c>
      <c r="E426">
        <v>111815.52</v>
      </c>
      <c r="F426">
        <v>16700.490000000002</v>
      </c>
      <c r="G426">
        <v>95115.03</v>
      </c>
      <c r="H426" s="6">
        <v>0.85060000000000002</v>
      </c>
      <c r="I426" s="6">
        <v>0.1</v>
      </c>
      <c r="J426">
        <v>9511.5030000000006</v>
      </c>
    </row>
    <row r="427" spans="1:10" x14ac:dyDescent="0.3">
      <c r="A427" s="31">
        <v>45838</v>
      </c>
      <c r="B427" t="s">
        <v>462</v>
      </c>
      <c r="C427" t="s">
        <v>186</v>
      </c>
      <c r="D427" t="s">
        <v>467</v>
      </c>
      <c r="E427">
        <v>458038.49</v>
      </c>
      <c r="F427">
        <v>68411.5</v>
      </c>
      <c r="G427">
        <v>389626.99</v>
      </c>
      <c r="H427" s="6">
        <v>0.85060000000000002</v>
      </c>
      <c r="I427" s="6">
        <v>0.1</v>
      </c>
      <c r="J427">
        <v>38962.699000000001</v>
      </c>
    </row>
    <row r="428" spans="1:10" x14ac:dyDescent="0.3">
      <c r="A428" s="31">
        <v>45838</v>
      </c>
      <c r="B428" t="s">
        <v>462</v>
      </c>
      <c r="C428" t="s">
        <v>186</v>
      </c>
      <c r="D428" t="s">
        <v>466</v>
      </c>
      <c r="E428">
        <v>298624.46000000002</v>
      </c>
      <c r="F428">
        <v>44601.81</v>
      </c>
      <c r="G428">
        <v>254022.65</v>
      </c>
      <c r="H428" s="6">
        <v>0.85060000000000002</v>
      </c>
      <c r="I428" s="6">
        <v>0.2</v>
      </c>
      <c r="J428">
        <v>50804.53</v>
      </c>
    </row>
    <row r="429" spans="1:10" x14ac:dyDescent="0.3">
      <c r="A429" s="31">
        <v>45838</v>
      </c>
      <c r="B429" t="s">
        <v>462</v>
      </c>
      <c r="C429" t="s">
        <v>186</v>
      </c>
      <c r="D429" t="s">
        <v>465</v>
      </c>
      <c r="E429">
        <v>268812.14</v>
      </c>
      <c r="F429">
        <v>40149.120000000003</v>
      </c>
      <c r="G429">
        <v>228663.03</v>
      </c>
      <c r="H429" s="6">
        <v>0.85060000000000002</v>
      </c>
      <c r="I429" s="6">
        <v>0.1</v>
      </c>
      <c r="J429">
        <v>22866.303</v>
      </c>
    </row>
    <row r="430" spans="1:10" x14ac:dyDescent="0.3">
      <c r="A430" s="31">
        <v>45838</v>
      </c>
      <c r="B430" t="s">
        <v>462</v>
      </c>
      <c r="C430" t="s">
        <v>186</v>
      </c>
      <c r="D430" t="s">
        <v>464</v>
      </c>
      <c r="E430">
        <v>147669.98000000001</v>
      </c>
      <c r="F430">
        <v>22055.62</v>
      </c>
      <c r="G430">
        <v>125614.36</v>
      </c>
      <c r="H430" s="6">
        <v>0.85060000000000002</v>
      </c>
      <c r="I430" s="6">
        <v>0.1</v>
      </c>
      <c r="J430">
        <v>12561.436</v>
      </c>
    </row>
    <row r="431" spans="1:10" x14ac:dyDescent="0.3">
      <c r="A431" s="31">
        <v>45838</v>
      </c>
      <c r="B431" t="s">
        <v>462</v>
      </c>
      <c r="C431" t="s">
        <v>186</v>
      </c>
      <c r="D431" t="s">
        <v>463</v>
      </c>
      <c r="E431">
        <v>134092.17000000001</v>
      </c>
      <c r="F431">
        <v>20027.68</v>
      </c>
      <c r="G431">
        <v>114064.49</v>
      </c>
      <c r="H431" s="6">
        <v>0.85060000000000002</v>
      </c>
      <c r="I431" s="6">
        <v>0.1</v>
      </c>
      <c r="J431">
        <v>11406.449000000001</v>
      </c>
    </row>
    <row r="432" spans="1:10" x14ac:dyDescent="0.3">
      <c r="A432" s="31">
        <v>45869</v>
      </c>
      <c r="B432" t="s">
        <v>462</v>
      </c>
      <c r="C432" t="s">
        <v>186</v>
      </c>
      <c r="D432" t="s">
        <v>472</v>
      </c>
      <c r="E432">
        <v>536472.32999999996</v>
      </c>
      <c r="F432">
        <v>100374.12</v>
      </c>
      <c r="G432">
        <v>436098.21</v>
      </c>
      <c r="H432" s="6">
        <v>0.81289999999999996</v>
      </c>
      <c r="I432" s="6">
        <v>0.2</v>
      </c>
      <c r="J432">
        <v>87219.642000000007</v>
      </c>
    </row>
    <row r="433" spans="1:10" x14ac:dyDescent="0.3">
      <c r="A433" s="31">
        <v>45869</v>
      </c>
      <c r="B433" t="s">
        <v>462</v>
      </c>
      <c r="C433" t="s">
        <v>186</v>
      </c>
      <c r="D433" t="s">
        <v>471</v>
      </c>
      <c r="E433">
        <v>462422.03</v>
      </c>
      <c r="F433">
        <v>86519.29</v>
      </c>
      <c r="G433">
        <v>375902.74</v>
      </c>
      <c r="H433" s="6">
        <v>0.81289999999999996</v>
      </c>
      <c r="I433" s="6">
        <v>0.2</v>
      </c>
      <c r="J433">
        <v>75180.547999999995</v>
      </c>
    </row>
    <row r="434" spans="1:10" x14ac:dyDescent="0.3">
      <c r="A434" s="31">
        <v>45869</v>
      </c>
      <c r="B434" t="s">
        <v>462</v>
      </c>
      <c r="C434" t="s">
        <v>186</v>
      </c>
      <c r="D434" t="s">
        <v>470</v>
      </c>
      <c r="E434">
        <v>449013.08</v>
      </c>
      <c r="F434">
        <v>84010.47</v>
      </c>
      <c r="G434">
        <v>365002.61</v>
      </c>
      <c r="H434" s="6">
        <v>0.81289999999999996</v>
      </c>
      <c r="I434" s="6">
        <v>0.2</v>
      </c>
      <c r="J434">
        <v>73000.521999999997</v>
      </c>
    </row>
    <row r="435" spans="1:10" x14ac:dyDescent="0.3">
      <c r="A435" s="31">
        <v>45869</v>
      </c>
      <c r="B435" t="s">
        <v>462</v>
      </c>
      <c r="C435" t="s">
        <v>186</v>
      </c>
      <c r="D435" t="s">
        <v>469</v>
      </c>
      <c r="E435">
        <v>185166.61</v>
      </c>
      <c r="F435">
        <v>34644.720000000001</v>
      </c>
      <c r="G435">
        <v>150521.88</v>
      </c>
      <c r="H435" s="6">
        <v>0.81289999999999996</v>
      </c>
      <c r="I435" s="6">
        <v>0.15</v>
      </c>
      <c r="J435">
        <v>22578.281999999999</v>
      </c>
    </row>
    <row r="436" spans="1:10" x14ac:dyDescent="0.3">
      <c r="A436" s="31">
        <v>45869</v>
      </c>
      <c r="B436" t="s">
        <v>462</v>
      </c>
      <c r="C436" t="s">
        <v>186</v>
      </c>
      <c r="D436" t="s">
        <v>468</v>
      </c>
      <c r="E436">
        <v>183171.67</v>
      </c>
      <c r="F436">
        <v>34271.47</v>
      </c>
      <c r="G436">
        <v>148900.20000000001</v>
      </c>
      <c r="H436" s="6">
        <v>0.81289999999999996</v>
      </c>
      <c r="I436" s="6">
        <v>0.1</v>
      </c>
      <c r="J436">
        <v>14890.02</v>
      </c>
    </row>
    <row r="437" spans="1:10" x14ac:dyDescent="0.3">
      <c r="A437" s="31">
        <v>45869</v>
      </c>
      <c r="B437" t="s">
        <v>462</v>
      </c>
      <c r="C437" t="s">
        <v>186</v>
      </c>
      <c r="D437" t="s">
        <v>467</v>
      </c>
      <c r="E437">
        <v>325619.34999999998</v>
      </c>
      <c r="F437">
        <v>60923.47</v>
      </c>
      <c r="G437">
        <v>264695.88</v>
      </c>
      <c r="H437" s="6">
        <v>0.81289999999999996</v>
      </c>
      <c r="I437" s="6">
        <v>0.1</v>
      </c>
      <c r="J437">
        <v>26469.588</v>
      </c>
    </row>
    <row r="438" spans="1:10" x14ac:dyDescent="0.3">
      <c r="A438" s="31">
        <v>45869</v>
      </c>
      <c r="B438" t="s">
        <v>462</v>
      </c>
      <c r="C438" t="s">
        <v>186</v>
      </c>
      <c r="D438" t="s">
        <v>466</v>
      </c>
      <c r="E438">
        <v>379377.3</v>
      </c>
      <c r="F438">
        <v>70981.600000000006</v>
      </c>
      <c r="G438">
        <v>308395.7</v>
      </c>
      <c r="H438" s="6">
        <v>0.81289999999999996</v>
      </c>
      <c r="I438" s="6">
        <v>0.2</v>
      </c>
      <c r="J438">
        <v>61679.140000000007</v>
      </c>
    </row>
    <row r="439" spans="1:10" x14ac:dyDescent="0.3">
      <c r="A439" s="31">
        <v>45869</v>
      </c>
      <c r="B439" t="s">
        <v>462</v>
      </c>
      <c r="C439" t="s">
        <v>186</v>
      </c>
      <c r="D439" t="s">
        <v>465</v>
      </c>
      <c r="E439">
        <v>151391.65</v>
      </c>
      <c r="F439">
        <v>28325.42</v>
      </c>
      <c r="G439">
        <v>123066.23</v>
      </c>
      <c r="H439" s="6">
        <v>0.81289999999999996</v>
      </c>
      <c r="I439" s="6">
        <v>0.1</v>
      </c>
      <c r="J439">
        <v>12306.623</v>
      </c>
    </row>
    <row r="440" spans="1:10" x14ac:dyDescent="0.3">
      <c r="A440" s="31">
        <v>45869</v>
      </c>
      <c r="B440" t="s">
        <v>462</v>
      </c>
      <c r="C440" t="s">
        <v>186</v>
      </c>
      <c r="D440" t="s">
        <v>464</v>
      </c>
      <c r="E440">
        <v>276249.42</v>
      </c>
      <c r="F440">
        <v>51686.34</v>
      </c>
      <c r="G440">
        <v>224563.08</v>
      </c>
      <c r="H440" s="6">
        <v>0.81289999999999996</v>
      </c>
      <c r="I440" s="6">
        <v>0.1</v>
      </c>
      <c r="J440">
        <v>22456.308000000001</v>
      </c>
    </row>
    <row r="441" spans="1:10" x14ac:dyDescent="0.3">
      <c r="A441" s="31">
        <v>45869</v>
      </c>
      <c r="B441" t="s">
        <v>462</v>
      </c>
      <c r="C441" t="s">
        <v>186</v>
      </c>
      <c r="D441" t="s">
        <v>463</v>
      </c>
      <c r="E441">
        <v>30836.22</v>
      </c>
      <c r="F441">
        <v>5769.46</v>
      </c>
      <c r="G441">
        <v>25066.77</v>
      </c>
      <c r="H441" s="6">
        <v>0.81289999999999996</v>
      </c>
      <c r="I441" s="6">
        <v>0.1</v>
      </c>
      <c r="J441">
        <v>2506.6770000000001</v>
      </c>
    </row>
    <row r="442" spans="1:10" x14ac:dyDescent="0.3">
      <c r="A442" s="31">
        <v>45900</v>
      </c>
      <c r="B442" t="s">
        <v>462</v>
      </c>
      <c r="C442" t="s">
        <v>186</v>
      </c>
      <c r="D442" t="s">
        <v>472</v>
      </c>
      <c r="E442">
        <v>498596.85</v>
      </c>
      <c r="F442">
        <v>90267.96</v>
      </c>
      <c r="G442">
        <v>408328.89</v>
      </c>
      <c r="H442" s="6">
        <v>0.81899999999999995</v>
      </c>
      <c r="I442" s="6">
        <v>0.2</v>
      </c>
      <c r="J442">
        <v>81665.778000000006</v>
      </c>
    </row>
    <row r="443" spans="1:10" x14ac:dyDescent="0.3">
      <c r="A443" s="31">
        <v>45900</v>
      </c>
      <c r="B443" t="s">
        <v>462</v>
      </c>
      <c r="C443" t="s">
        <v>186</v>
      </c>
      <c r="D443" t="s">
        <v>471</v>
      </c>
      <c r="E443">
        <v>524015.66</v>
      </c>
      <c r="F443">
        <v>94869.88</v>
      </c>
      <c r="G443">
        <v>429145.78</v>
      </c>
      <c r="H443" s="6">
        <v>0.81899999999999995</v>
      </c>
      <c r="I443" s="6">
        <v>0.2</v>
      </c>
      <c r="J443">
        <v>85829.156000000017</v>
      </c>
    </row>
    <row r="444" spans="1:10" x14ac:dyDescent="0.3">
      <c r="A444" s="31">
        <v>45900</v>
      </c>
      <c r="B444" t="s">
        <v>462</v>
      </c>
      <c r="C444" t="s">
        <v>186</v>
      </c>
      <c r="D444" t="s">
        <v>470</v>
      </c>
      <c r="E444">
        <v>287192.62</v>
      </c>
      <c r="F444">
        <v>51994.5</v>
      </c>
      <c r="G444">
        <v>235198.13</v>
      </c>
      <c r="H444" s="6">
        <v>0.81899999999999995</v>
      </c>
      <c r="I444" s="6">
        <v>0.2</v>
      </c>
      <c r="J444">
        <v>47039.625999999997</v>
      </c>
    </row>
    <row r="445" spans="1:10" x14ac:dyDescent="0.3">
      <c r="A445" s="31">
        <v>45900</v>
      </c>
      <c r="B445" t="s">
        <v>462</v>
      </c>
      <c r="C445" t="s">
        <v>186</v>
      </c>
      <c r="D445" t="s">
        <v>469</v>
      </c>
      <c r="E445">
        <v>255656.67</v>
      </c>
      <c r="F445">
        <v>46285.1</v>
      </c>
      <c r="G445">
        <v>209371.57</v>
      </c>
      <c r="H445" s="6">
        <v>0.81899999999999995</v>
      </c>
      <c r="I445" s="6">
        <v>0.15</v>
      </c>
      <c r="J445">
        <v>31405.735499999999</v>
      </c>
    </row>
    <row r="446" spans="1:10" x14ac:dyDescent="0.3">
      <c r="A446" s="31">
        <v>45900</v>
      </c>
      <c r="B446" t="s">
        <v>462</v>
      </c>
      <c r="C446" t="s">
        <v>186</v>
      </c>
      <c r="D446" t="s">
        <v>468</v>
      </c>
      <c r="E446">
        <v>88292.21</v>
      </c>
      <c r="F446">
        <v>15984.77</v>
      </c>
      <c r="G446">
        <v>72307.44</v>
      </c>
      <c r="H446" s="6">
        <v>0.81899999999999995</v>
      </c>
      <c r="I446" s="6">
        <v>0.1</v>
      </c>
      <c r="J446">
        <v>7230.7440000000006</v>
      </c>
    </row>
    <row r="447" spans="1:10" x14ac:dyDescent="0.3">
      <c r="A447" s="31">
        <v>45900</v>
      </c>
      <c r="B447" t="s">
        <v>462</v>
      </c>
      <c r="C447" t="s">
        <v>186</v>
      </c>
      <c r="D447" t="s">
        <v>467</v>
      </c>
      <c r="E447">
        <v>159181.91</v>
      </c>
      <c r="F447">
        <v>28818.93</v>
      </c>
      <c r="G447">
        <v>130362.98</v>
      </c>
      <c r="H447" s="6">
        <v>0.81899999999999995</v>
      </c>
      <c r="I447" s="6">
        <v>0.1</v>
      </c>
      <c r="J447">
        <v>13036.298000000001</v>
      </c>
    </row>
    <row r="448" spans="1:10" x14ac:dyDescent="0.3">
      <c r="A448" s="31">
        <v>45900</v>
      </c>
      <c r="B448" t="s">
        <v>462</v>
      </c>
      <c r="C448" t="s">
        <v>186</v>
      </c>
      <c r="D448" t="s">
        <v>466</v>
      </c>
      <c r="E448">
        <v>353263.41</v>
      </c>
      <c r="F448">
        <v>63956.21</v>
      </c>
      <c r="G448">
        <v>289307.2</v>
      </c>
      <c r="H448" s="6">
        <v>0.81899999999999995</v>
      </c>
      <c r="I448" s="6">
        <v>0.2</v>
      </c>
      <c r="J448">
        <v>57861.440000000002</v>
      </c>
    </row>
    <row r="449" spans="1:10" x14ac:dyDescent="0.3">
      <c r="A449" s="31">
        <v>45900</v>
      </c>
      <c r="B449" t="s">
        <v>462</v>
      </c>
      <c r="C449" t="s">
        <v>186</v>
      </c>
      <c r="D449" t="s">
        <v>465</v>
      </c>
      <c r="E449">
        <v>218855.63</v>
      </c>
      <c r="F449">
        <v>39622.49</v>
      </c>
      <c r="G449">
        <v>179233.14</v>
      </c>
      <c r="H449" s="6">
        <v>0.81899999999999995</v>
      </c>
      <c r="I449" s="6">
        <v>0.1</v>
      </c>
      <c r="J449">
        <v>17923.313999999998</v>
      </c>
    </row>
    <row r="450" spans="1:10" x14ac:dyDescent="0.3">
      <c r="A450" s="31">
        <v>45900</v>
      </c>
      <c r="B450" t="s">
        <v>462</v>
      </c>
      <c r="C450" t="s">
        <v>186</v>
      </c>
      <c r="D450" t="s">
        <v>464</v>
      </c>
      <c r="E450">
        <v>349754.06</v>
      </c>
      <c r="F450">
        <v>63320.87</v>
      </c>
      <c r="G450">
        <v>286433.2</v>
      </c>
      <c r="H450" s="6">
        <v>0.81899999999999995</v>
      </c>
      <c r="I450" s="6">
        <v>0.1</v>
      </c>
      <c r="J450">
        <v>28643.32</v>
      </c>
    </row>
    <row r="451" spans="1:10" x14ac:dyDescent="0.3">
      <c r="A451" s="31">
        <v>45900</v>
      </c>
      <c r="B451" t="s">
        <v>462</v>
      </c>
      <c r="C451" t="s">
        <v>186</v>
      </c>
      <c r="D451" t="s">
        <v>463</v>
      </c>
      <c r="E451">
        <v>222422.15</v>
      </c>
      <c r="F451">
        <v>40268.19</v>
      </c>
      <c r="G451">
        <v>182153.96</v>
      </c>
      <c r="H451" s="6">
        <v>0.81899999999999995</v>
      </c>
      <c r="I451" s="6">
        <v>0.1</v>
      </c>
      <c r="J451">
        <v>18215.396000000001</v>
      </c>
    </row>
    <row r="452" spans="1:10" x14ac:dyDescent="0.3">
      <c r="A452" s="31">
        <v>45930</v>
      </c>
      <c r="B452" t="s">
        <v>462</v>
      </c>
      <c r="C452" t="s">
        <v>186</v>
      </c>
      <c r="D452" t="s">
        <v>472</v>
      </c>
      <c r="E452">
        <v>541677</v>
      </c>
      <c r="F452">
        <v>90645.54</v>
      </c>
      <c r="G452">
        <v>451031.46</v>
      </c>
      <c r="H452" s="6">
        <v>0.8327</v>
      </c>
      <c r="I452" s="6">
        <v>0.2</v>
      </c>
      <c r="J452">
        <v>90206.292000000016</v>
      </c>
    </row>
    <row r="453" spans="1:10" x14ac:dyDescent="0.3">
      <c r="A453" s="31">
        <v>45930</v>
      </c>
      <c r="B453" t="s">
        <v>462</v>
      </c>
      <c r="C453" t="s">
        <v>186</v>
      </c>
      <c r="D453" t="s">
        <v>471</v>
      </c>
      <c r="E453">
        <v>364737.4</v>
      </c>
      <c r="F453">
        <v>61036.04</v>
      </c>
      <c r="G453">
        <v>303701.36</v>
      </c>
      <c r="H453" s="6">
        <v>0.8327</v>
      </c>
      <c r="I453" s="6">
        <v>0.2</v>
      </c>
      <c r="J453">
        <v>60740.271999999997</v>
      </c>
    </row>
    <row r="454" spans="1:10" x14ac:dyDescent="0.3">
      <c r="A454" s="31">
        <v>45930</v>
      </c>
      <c r="B454" t="s">
        <v>462</v>
      </c>
      <c r="C454" t="s">
        <v>186</v>
      </c>
      <c r="D454" t="s">
        <v>470</v>
      </c>
      <c r="E454">
        <v>349740.51</v>
      </c>
      <c r="F454">
        <v>58526.43</v>
      </c>
      <c r="G454">
        <v>291214.08000000002</v>
      </c>
      <c r="H454" s="6">
        <v>0.8327</v>
      </c>
      <c r="I454" s="6">
        <v>0.2</v>
      </c>
      <c r="J454">
        <v>58242.816000000013</v>
      </c>
    </row>
    <row r="455" spans="1:10" x14ac:dyDescent="0.3">
      <c r="A455" s="31">
        <v>45930</v>
      </c>
      <c r="B455" t="s">
        <v>462</v>
      </c>
      <c r="C455" t="s">
        <v>186</v>
      </c>
      <c r="D455" t="s">
        <v>469</v>
      </c>
      <c r="E455">
        <v>320586.40999999997</v>
      </c>
      <c r="F455">
        <v>53647.71</v>
      </c>
      <c r="G455">
        <v>266938.71000000002</v>
      </c>
      <c r="H455" s="6">
        <v>0.8327</v>
      </c>
      <c r="I455" s="6">
        <v>0.15</v>
      </c>
      <c r="J455">
        <v>40040.806499999999</v>
      </c>
    </row>
    <row r="456" spans="1:10" x14ac:dyDescent="0.3">
      <c r="A456" s="31">
        <v>45930</v>
      </c>
      <c r="B456" t="s">
        <v>462</v>
      </c>
      <c r="C456" t="s">
        <v>186</v>
      </c>
      <c r="D456" t="s">
        <v>468</v>
      </c>
      <c r="E456">
        <v>194251.33</v>
      </c>
      <c r="F456">
        <v>32506.49</v>
      </c>
      <c r="G456">
        <v>161744.84</v>
      </c>
      <c r="H456" s="6">
        <v>0.8327</v>
      </c>
      <c r="I456" s="6">
        <v>0.1</v>
      </c>
      <c r="J456">
        <v>16174.484</v>
      </c>
    </row>
    <row r="457" spans="1:10" x14ac:dyDescent="0.3">
      <c r="A457" s="31">
        <v>45930</v>
      </c>
      <c r="B457" t="s">
        <v>462</v>
      </c>
      <c r="C457" t="s">
        <v>186</v>
      </c>
      <c r="D457" t="s">
        <v>467</v>
      </c>
      <c r="E457">
        <v>404549.76</v>
      </c>
      <c r="F457">
        <v>67698.34</v>
      </c>
      <c r="G457">
        <v>336851.42</v>
      </c>
      <c r="H457" s="6">
        <v>0.8327</v>
      </c>
      <c r="I457" s="6">
        <v>0.1</v>
      </c>
      <c r="J457">
        <v>33685.142</v>
      </c>
    </row>
    <row r="458" spans="1:10" x14ac:dyDescent="0.3">
      <c r="A458" s="31">
        <v>45930</v>
      </c>
      <c r="B458" t="s">
        <v>462</v>
      </c>
      <c r="C458" t="s">
        <v>186</v>
      </c>
      <c r="D458" t="s">
        <v>466</v>
      </c>
      <c r="E458">
        <v>257828.69</v>
      </c>
      <c r="F458">
        <v>43145.68</v>
      </c>
      <c r="G458">
        <v>214683.01</v>
      </c>
      <c r="H458" s="6">
        <v>0.8327</v>
      </c>
      <c r="I458" s="6">
        <v>0.2</v>
      </c>
      <c r="J458">
        <v>42936.602000000014</v>
      </c>
    </row>
    <row r="459" spans="1:10" x14ac:dyDescent="0.3">
      <c r="A459" s="31">
        <v>45930</v>
      </c>
      <c r="B459" t="s">
        <v>462</v>
      </c>
      <c r="C459" t="s">
        <v>186</v>
      </c>
      <c r="D459" t="s">
        <v>465</v>
      </c>
      <c r="E459">
        <v>94252.34</v>
      </c>
      <c r="F459">
        <v>15772.41</v>
      </c>
      <c r="G459">
        <v>78479.92</v>
      </c>
      <c r="H459" s="6">
        <v>0.8327</v>
      </c>
      <c r="I459" s="6">
        <v>0.1</v>
      </c>
      <c r="J459">
        <v>7847.9920000000002</v>
      </c>
    </row>
    <row r="460" spans="1:10" x14ac:dyDescent="0.3">
      <c r="A460" s="31">
        <v>45930</v>
      </c>
      <c r="B460" t="s">
        <v>462</v>
      </c>
      <c r="C460" t="s">
        <v>186</v>
      </c>
      <c r="D460" t="s">
        <v>464</v>
      </c>
      <c r="E460">
        <v>223547.72</v>
      </c>
      <c r="F460">
        <v>37409.019999999997</v>
      </c>
      <c r="G460">
        <v>186138.71</v>
      </c>
      <c r="H460" s="6">
        <v>0.8327</v>
      </c>
      <c r="I460" s="6">
        <v>0.1</v>
      </c>
      <c r="J460">
        <v>18613.870999999999</v>
      </c>
    </row>
    <row r="461" spans="1:10" x14ac:dyDescent="0.3">
      <c r="A461" s="31">
        <v>45930</v>
      </c>
      <c r="B461" t="s">
        <v>462</v>
      </c>
      <c r="C461" t="s">
        <v>186</v>
      </c>
      <c r="D461" t="s">
        <v>463</v>
      </c>
      <c r="E461">
        <v>222598.35</v>
      </c>
      <c r="F461">
        <v>37250.15</v>
      </c>
      <c r="G461">
        <v>185348.2</v>
      </c>
      <c r="H461" s="6">
        <v>0.8327</v>
      </c>
      <c r="I461" s="6">
        <v>0.1</v>
      </c>
      <c r="J461">
        <v>18534.82</v>
      </c>
    </row>
    <row r="462" spans="1:10" x14ac:dyDescent="0.3">
      <c r="A462" s="31">
        <v>45961</v>
      </c>
      <c r="B462" t="s">
        <v>462</v>
      </c>
      <c r="C462" t="s">
        <v>186</v>
      </c>
      <c r="D462" t="s">
        <v>472</v>
      </c>
      <c r="E462">
        <v>695782.09</v>
      </c>
      <c r="F462">
        <v>129838.46</v>
      </c>
      <c r="G462">
        <v>565943.63</v>
      </c>
      <c r="H462" s="6">
        <v>0.81340000000000001</v>
      </c>
      <c r="I462" s="6">
        <v>0.2</v>
      </c>
      <c r="J462">
        <v>113188.726</v>
      </c>
    </row>
    <row r="463" spans="1:10" x14ac:dyDescent="0.3">
      <c r="A463" s="31">
        <v>45961</v>
      </c>
      <c r="B463" t="s">
        <v>462</v>
      </c>
      <c r="C463" t="s">
        <v>186</v>
      </c>
      <c r="D463" t="s">
        <v>471</v>
      </c>
      <c r="E463">
        <v>396180.31</v>
      </c>
      <c r="F463">
        <v>73930.39</v>
      </c>
      <c r="G463">
        <v>322249.92</v>
      </c>
      <c r="H463" s="6">
        <v>0.81340000000000001</v>
      </c>
      <c r="I463" s="6">
        <v>0.2</v>
      </c>
      <c r="J463">
        <v>64449.983999999997</v>
      </c>
    </row>
    <row r="464" spans="1:10" x14ac:dyDescent="0.3">
      <c r="A464" s="31">
        <v>45961</v>
      </c>
      <c r="B464" t="s">
        <v>462</v>
      </c>
      <c r="C464" t="s">
        <v>186</v>
      </c>
      <c r="D464" t="s">
        <v>470</v>
      </c>
      <c r="E464">
        <v>493952.18</v>
      </c>
      <c r="F464">
        <v>92175.4</v>
      </c>
      <c r="G464">
        <v>401776.79</v>
      </c>
      <c r="H464" s="6">
        <v>0.81340000000000001</v>
      </c>
      <c r="I464" s="6">
        <v>0.2</v>
      </c>
      <c r="J464">
        <v>80355.358000000007</v>
      </c>
    </row>
    <row r="465" spans="1:15" x14ac:dyDescent="0.3">
      <c r="A465" s="31">
        <v>45961</v>
      </c>
      <c r="B465" t="s">
        <v>462</v>
      </c>
      <c r="C465" t="s">
        <v>186</v>
      </c>
      <c r="D465" t="s">
        <v>469</v>
      </c>
      <c r="E465">
        <v>312334.93</v>
      </c>
      <c r="F465">
        <v>58284.18</v>
      </c>
      <c r="G465">
        <v>254050.75</v>
      </c>
      <c r="H465" s="6">
        <v>0.81340000000000001</v>
      </c>
      <c r="I465" s="6">
        <v>0.15</v>
      </c>
      <c r="J465">
        <v>38107.612500000003</v>
      </c>
    </row>
    <row r="466" spans="1:15" x14ac:dyDescent="0.3">
      <c r="A466" s="31">
        <v>45961</v>
      </c>
      <c r="B466" t="s">
        <v>462</v>
      </c>
      <c r="C466" t="s">
        <v>186</v>
      </c>
      <c r="D466" t="s">
        <v>468</v>
      </c>
      <c r="E466">
        <v>129765.64</v>
      </c>
      <c r="F466">
        <v>24215.3</v>
      </c>
      <c r="G466">
        <v>105550.34</v>
      </c>
      <c r="H466" s="6">
        <v>0.81340000000000001</v>
      </c>
      <c r="I466" s="6">
        <v>0.1</v>
      </c>
      <c r="J466">
        <v>10555.034</v>
      </c>
    </row>
    <row r="467" spans="1:15" x14ac:dyDescent="0.3">
      <c r="A467" s="31">
        <v>45961</v>
      </c>
      <c r="B467" t="s">
        <v>462</v>
      </c>
      <c r="C467" t="s">
        <v>186</v>
      </c>
      <c r="D467" t="s">
        <v>467</v>
      </c>
      <c r="E467">
        <v>212032.75</v>
      </c>
      <c r="F467">
        <v>39566.99</v>
      </c>
      <c r="G467">
        <v>172465.75</v>
      </c>
      <c r="H467" s="6">
        <v>0.81340000000000001</v>
      </c>
      <c r="I467" s="6">
        <v>0.1</v>
      </c>
      <c r="J467">
        <v>17246.575000000001</v>
      </c>
    </row>
    <row r="468" spans="1:15" x14ac:dyDescent="0.3">
      <c r="A468" s="31">
        <v>45961</v>
      </c>
      <c r="B468" t="s">
        <v>462</v>
      </c>
      <c r="C468" t="s">
        <v>186</v>
      </c>
      <c r="D468" t="s">
        <v>466</v>
      </c>
      <c r="E468">
        <v>126033.79</v>
      </c>
      <c r="F468">
        <v>23518.9</v>
      </c>
      <c r="G468">
        <v>102514.88</v>
      </c>
      <c r="H468" s="6">
        <v>0.81340000000000001</v>
      </c>
      <c r="I468" s="6">
        <v>0.2</v>
      </c>
      <c r="J468">
        <v>20502.975999999999</v>
      </c>
    </row>
    <row r="469" spans="1:15" x14ac:dyDescent="0.3">
      <c r="A469" s="31">
        <v>45961</v>
      </c>
      <c r="B469" t="s">
        <v>462</v>
      </c>
      <c r="C469" t="s">
        <v>186</v>
      </c>
      <c r="D469" t="s">
        <v>465</v>
      </c>
      <c r="E469">
        <v>184207.59</v>
      </c>
      <c r="F469">
        <v>34374.6</v>
      </c>
      <c r="G469">
        <v>149832.99</v>
      </c>
      <c r="H469" s="6">
        <v>0.81340000000000001</v>
      </c>
      <c r="I469" s="6">
        <v>0.1</v>
      </c>
      <c r="J469">
        <v>14983.299000000001</v>
      </c>
    </row>
    <row r="470" spans="1:15" x14ac:dyDescent="0.3">
      <c r="A470" s="31">
        <v>45961</v>
      </c>
      <c r="B470" t="s">
        <v>462</v>
      </c>
      <c r="C470" t="s">
        <v>186</v>
      </c>
      <c r="D470" t="s">
        <v>464</v>
      </c>
      <c r="E470">
        <v>289224.96000000002</v>
      </c>
      <c r="F470">
        <v>53971.67</v>
      </c>
      <c r="G470">
        <v>235253.29</v>
      </c>
      <c r="H470" s="6">
        <v>0.81340000000000001</v>
      </c>
      <c r="I470" s="6">
        <v>0.1</v>
      </c>
      <c r="J470">
        <v>23525.329000000002</v>
      </c>
    </row>
    <row r="471" spans="1:15" x14ac:dyDescent="0.3">
      <c r="A471" s="31">
        <v>45961</v>
      </c>
      <c r="B471" t="s">
        <v>462</v>
      </c>
      <c r="C471" t="s">
        <v>186</v>
      </c>
      <c r="D471" t="s">
        <v>463</v>
      </c>
      <c r="E471">
        <v>215965.14</v>
      </c>
      <c r="F471">
        <v>40300.800000000003</v>
      </c>
      <c r="G471">
        <v>175664.35</v>
      </c>
      <c r="H471" s="6">
        <v>0.81340000000000001</v>
      </c>
      <c r="I471" s="6">
        <v>0.1</v>
      </c>
      <c r="J471">
        <v>17566.435000000001</v>
      </c>
    </row>
    <row r="472" spans="1:15" x14ac:dyDescent="0.3">
      <c r="A472" s="31">
        <v>45991</v>
      </c>
      <c r="B472" t="s">
        <v>462</v>
      </c>
      <c r="C472" t="s">
        <v>186</v>
      </c>
      <c r="D472" t="s">
        <v>472</v>
      </c>
      <c r="E472">
        <v>672764.75</v>
      </c>
      <c r="F472">
        <v>115267.64</v>
      </c>
      <c r="G472">
        <v>557497.11</v>
      </c>
      <c r="H472" s="6">
        <v>0.82869999999999999</v>
      </c>
      <c r="I472" s="6">
        <v>0.2</v>
      </c>
      <c r="J472">
        <v>111499.42200000001</v>
      </c>
    </row>
    <row r="473" spans="1:15" x14ac:dyDescent="0.3">
      <c r="A473" s="31">
        <v>45991</v>
      </c>
      <c r="B473" t="s">
        <v>462</v>
      </c>
      <c r="C473" t="s">
        <v>186</v>
      </c>
      <c r="D473" t="s">
        <v>471</v>
      </c>
      <c r="E473">
        <v>394562.41</v>
      </c>
      <c r="F473">
        <v>67602.05</v>
      </c>
      <c r="G473">
        <v>326960.36</v>
      </c>
      <c r="H473" s="6">
        <v>0.82869999999999999</v>
      </c>
      <c r="I473" s="6">
        <v>0.2</v>
      </c>
      <c r="J473">
        <v>65392.072</v>
      </c>
    </row>
    <row r="474" spans="1:15" x14ac:dyDescent="0.3">
      <c r="A474" s="31">
        <v>45991</v>
      </c>
      <c r="B474" t="s">
        <v>462</v>
      </c>
      <c r="C474" t="s">
        <v>186</v>
      </c>
      <c r="D474" t="s">
        <v>470</v>
      </c>
      <c r="E474">
        <v>238422.73</v>
      </c>
      <c r="F474">
        <v>40849.980000000003</v>
      </c>
      <c r="G474">
        <v>197572.75</v>
      </c>
      <c r="H474" s="6">
        <v>0.82869999999999999</v>
      </c>
      <c r="I474" s="6">
        <v>0.2</v>
      </c>
      <c r="J474">
        <v>39514.550000000003</v>
      </c>
    </row>
    <row r="475" spans="1:15" x14ac:dyDescent="0.3">
      <c r="A475" s="31">
        <v>45991</v>
      </c>
      <c r="B475" t="s">
        <v>462</v>
      </c>
      <c r="C475" t="s">
        <v>186</v>
      </c>
      <c r="D475" t="s">
        <v>469</v>
      </c>
      <c r="E475">
        <v>319925.01</v>
      </c>
      <c r="F475">
        <v>54814.11</v>
      </c>
      <c r="G475">
        <v>265110.89</v>
      </c>
      <c r="H475" s="6">
        <v>0.82869999999999999</v>
      </c>
      <c r="I475" s="6">
        <v>0.15</v>
      </c>
      <c r="J475">
        <v>39766.633500000004</v>
      </c>
    </row>
    <row r="476" spans="1:15" x14ac:dyDescent="0.3">
      <c r="A476" s="31">
        <v>45991</v>
      </c>
      <c r="B476" t="s">
        <v>462</v>
      </c>
      <c r="C476" t="s">
        <v>186</v>
      </c>
      <c r="D476" t="s">
        <v>468</v>
      </c>
      <c r="E476">
        <v>209137.54</v>
      </c>
      <c r="F476">
        <v>35832.42</v>
      </c>
      <c r="G476">
        <v>173305.12</v>
      </c>
      <c r="H476" s="6">
        <v>0.82869999999999999</v>
      </c>
      <c r="I476" s="6">
        <v>0.1</v>
      </c>
      <c r="J476">
        <v>17330.511999999999</v>
      </c>
    </row>
    <row r="477" spans="1:15" x14ac:dyDescent="0.3">
      <c r="A477" s="31">
        <v>45991</v>
      </c>
      <c r="B477" t="s">
        <v>462</v>
      </c>
      <c r="C477" t="s">
        <v>186</v>
      </c>
      <c r="D477" t="s">
        <v>467</v>
      </c>
      <c r="E477">
        <v>281999.03999999998</v>
      </c>
      <c r="F477">
        <v>48316.09</v>
      </c>
      <c r="G477">
        <v>233682.94</v>
      </c>
      <c r="H477" s="6">
        <v>0.82869999999999999</v>
      </c>
      <c r="I477" s="6">
        <v>0.1</v>
      </c>
      <c r="J477">
        <v>23368.294000000002</v>
      </c>
      <c r="N477" s="10"/>
      <c r="O477" s="10"/>
    </row>
    <row r="478" spans="1:15" x14ac:dyDescent="0.3">
      <c r="A478" s="31">
        <v>45991</v>
      </c>
      <c r="B478" t="s">
        <v>462</v>
      </c>
      <c r="C478" t="s">
        <v>186</v>
      </c>
      <c r="D478" t="s">
        <v>466</v>
      </c>
      <c r="E478">
        <v>279737.68</v>
      </c>
      <c r="F478">
        <v>47928.65</v>
      </c>
      <c r="G478">
        <v>231809.04</v>
      </c>
      <c r="H478" s="6">
        <v>0.82869999999999999</v>
      </c>
      <c r="I478" s="6">
        <v>0.2</v>
      </c>
      <c r="J478">
        <v>46361.807999999997</v>
      </c>
    </row>
    <row r="479" spans="1:15" x14ac:dyDescent="0.3">
      <c r="A479" s="31">
        <v>45991</v>
      </c>
      <c r="B479" t="s">
        <v>462</v>
      </c>
      <c r="C479" t="s">
        <v>186</v>
      </c>
      <c r="D479" t="s">
        <v>465</v>
      </c>
      <c r="E479">
        <v>161157.68</v>
      </c>
      <c r="F479">
        <v>27611.83</v>
      </c>
      <c r="G479">
        <v>133545.85</v>
      </c>
      <c r="H479" s="6">
        <v>0.82869999999999999</v>
      </c>
      <c r="I479" s="6">
        <v>0.1</v>
      </c>
      <c r="J479">
        <v>13354.584999999999</v>
      </c>
    </row>
    <row r="480" spans="1:15" x14ac:dyDescent="0.3">
      <c r="A480" s="31">
        <v>45991</v>
      </c>
      <c r="B480" t="s">
        <v>462</v>
      </c>
      <c r="C480" t="s">
        <v>186</v>
      </c>
      <c r="D480" t="s">
        <v>464</v>
      </c>
      <c r="E480">
        <v>203996.07</v>
      </c>
      <c r="F480">
        <v>34951.51</v>
      </c>
      <c r="G480">
        <v>169044.55</v>
      </c>
      <c r="H480" s="6">
        <v>0.82869999999999999</v>
      </c>
      <c r="I480" s="6">
        <v>0.1</v>
      </c>
      <c r="J480">
        <v>16904.455000000002</v>
      </c>
    </row>
    <row r="481" spans="1:10" x14ac:dyDescent="0.3">
      <c r="A481" s="31">
        <v>45991</v>
      </c>
      <c r="B481" t="s">
        <v>462</v>
      </c>
      <c r="C481" t="s">
        <v>186</v>
      </c>
      <c r="D481" t="s">
        <v>463</v>
      </c>
      <c r="E481">
        <v>202799.32</v>
      </c>
      <c r="F481">
        <v>34746.480000000003</v>
      </c>
      <c r="G481">
        <v>168052.86</v>
      </c>
      <c r="H481" s="6">
        <v>0.82869999999999999</v>
      </c>
      <c r="I481" s="6">
        <v>0.1</v>
      </c>
      <c r="J481">
        <v>16805.286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237F-6488-4D9F-A719-5C7CBA492F2C}">
  <sheetPr>
    <tabColor theme="4" tint="0.79998168889431442"/>
  </sheetPr>
  <dimension ref="A1:P481"/>
  <sheetViews>
    <sheetView topLeftCell="A434" zoomScale="65" workbookViewId="0">
      <selection activeCell="N472" sqref="N472"/>
    </sheetView>
  </sheetViews>
  <sheetFormatPr defaultRowHeight="14.4" x14ac:dyDescent="0.3"/>
  <cols>
    <col min="1" max="4" width="20.44140625" customWidth="1"/>
    <col min="5" max="7" width="20.44140625" style="4" customWidth="1"/>
    <col min="8" max="8" width="20.44140625" style="6" customWidth="1"/>
    <col min="9" max="9" width="20.44140625" style="26" customWidth="1"/>
    <col min="10" max="10" width="20.44140625" style="4" customWidth="1"/>
    <col min="14" max="15" width="13.33203125" bestFit="1" customWidth="1"/>
  </cols>
  <sheetData>
    <row r="1" spans="1:11" x14ac:dyDescent="0.3">
      <c r="A1" s="13" t="s">
        <v>267</v>
      </c>
      <c r="B1" s="13" t="s">
        <v>290</v>
      </c>
      <c r="C1" s="13" t="s">
        <v>22</v>
      </c>
      <c r="D1" s="13" t="s">
        <v>333</v>
      </c>
      <c r="E1" s="21" t="s">
        <v>289</v>
      </c>
      <c r="F1" s="21" t="s">
        <v>288</v>
      </c>
      <c r="G1" s="21" t="s">
        <v>287</v>
      </c>
      <c r="H1" s="22" t="s">
        <v>379</v>
      </c>
      <c r="I1" s="27" t="s">
        <v>559</v>
      </c>
      <c r="J1" s="21" t="s">
        <v>556</v>
      </c>
    </row>
    <row r="2" spans="1:11" x14ac:dyDescent="0.3">
      <c r="A2" s="31">
        <v>45657</v>
      </c>
      <c r="B2" t="s">
        <v>368</v>
      </c>
      <c r="C2" t="s">
        <v>192</v>
      </c>
      <c r="D2" t="s">
        <v>378</v>
      </c>
      <c r="E2" s="4">
        <v>466605.45</v>
      </c>
      <c r="F2" s="4">
        <v>63558.69</v>
      </c>
      <c r="G2" s="4">
        <v>403046.76</v>
      </c>
      <c r="H2" s="6">
        <v>0.86380000000000001</v>
      </c>
      <c r="I2" s="6">
        <v>0.55000000000000004</v>
      </c>
      <c r="J2" s="4">
        <v>221675.71799999999</v>
      </c>
      <c r="K2" s="6">
        <f t="shared" ref="K2:K65" si="0">LEFT(I2,4)/100</f>
        <v>5.5000000000000005E-3</v>
      </c>
    </row>
    <row r="3" spans="1:11" x14ac:dyDescent="0.3">
      <c r="A3" s="31">
        <v>45657</v>
      </c>
      <c r="B3" t="s">
        <v>368</v>
      </c>
      <c r="C3" t="s">
        <v>192</v>
      </c>
      <c r="D3" t="s">
        <v>377</v>
      </c>
      <c r="E3" s="4">
        <v>524177.82</v>
      </c>
      <c r="F3" s="4">
        <v>71400.91</v>
      </c>
      <c r="G3" s="4">
        <v>452776.91</v>
      </c>
      <c r="H3" s="6">
        <v>0.86380000000000001</v>
      </c>
      <c r="I3" s="6">
        <v>0.55000000000000004</v>
      </c>
      <c r="J3" s="4">
        <v>249027.30050000001</v>
      </c>
      <c r="K3" s="6">
        <f t="shared" si="0"/>
        <v>5.5000000000000005E-3</v>
      </c>
    </row>
    <row r="4" spans="1:11" x14ac:dyDescent="0.3">
      <c r="A4" s="31">
        <v>45657</v>
      </c>
      <c r="B4" t="s">
        <v>368</v>
      </c>
      <c r="C4" t="s">
        <v>192</v>
      </c>
      <c r="D4" t="s">
        <v>376</v>
      </c>
      <c r="E4" s="4">
        <v>393594.13</v>
      </c>
      <c r="F4" s="4">
        <v>53613.45</v>
      </c>
      <c r="G4" s="4">
        <v>339980.68</v>
      </c>
      <c r="H4" s="6">
        <v>0.86380000000000001</v>
      </c>
      <c r="I4" s="6">
        <v>0.5</v>
      </c>
      <c r="J4" s="4">
        <v>169990.34</v>
      </c>
      <c r="K4" s="6">
        <f t="shared" si="0"/>
        <v>5.0000000000000001E-3</v>
      </c>
    </row>
    <row r="5" spans="1:11" x14ac:dyDescent="0.3">
      <c r="A5" s="31">
        <v>45657</v>
      </c>
      <c r="B5" t="s">
        <v>368</v>
      </c>
      <c r="C5" t="s">
        <v>192</v>
      </c>
      <c r="D5" t="s">
        <v>375</v>
      </c>
      <c r="E5" s="4">
        <v>181904.58</v>
      </c>
      <c r="F5" s="4">
        <v>24778.14</v>
      </c>
      <c r="G5" s="4">
        <v>157126.44</v>
      </c>
      <c r="H5" s="6">
        <v>0.86380000000000001</v>
      </c>
      <c r="I5" s="6">
        <v>0.4</v>
      </c>
      <c r="J5" s="4">
        <v>62850.576000000001</v>
      </c>
      <c r="K5" s="6">
        <f t="shared" si="0"/>
        <v>4.0000000000000001E-3</v>
      </c>
    </row>
    <row r="6" spans="1:11" x14ac:dyDescent="0.3">
      <c r="A6" s="31">
        <v>45657</v>
      </c>
      <c r="B6" t="s">
        <v>368</v>
      </c>
      <c r="C6" t="s">
        <v>192</v>
      </c>
      <c r="D6" t="s">
        <v>374</v>
      </c>
      <c r="E6" s="4">
        <v>194385.32</v>
      </c>
      <c r="F6" s="4">
        <v>26478.21</v>
      </c>
      <c r="G6" s="4">
        <v>167907.12</v>
      </c>
      <c r="H6" s="6">
        <v>0.86380000000000001</v>
      </c>
      <c r="I6" s="6">
        <v>0.35</v>
      </c>
      <c r="J6" s="4">
        <v>58767.491999999991</v>
      </c>
      <c r="K6" s="6">
        <f t="shared" si="0"/>
        <v>3.4999999999999996E-3</v>
      </c>
    </row>
    <row r="7" spans="1:11" x14ac:dyDescent="0.3">
      <c r="A7" s="31">
        <v>45657</v>
      </c>
      <c r="B7" t="s">
        <v>368</v>
      </c>
      <c r="C7" t="s">
        <v>192</v>
      </c>
      <c r="D7" t="s">
        <v>373</v>
      </c>
      <c r="E7" s="4">
        <v>77960.039999999994</v>
      </c>
      <c r="F7" s="4">
        <v>10619.33</v>
      </c>
      <c r="G7" s="4">
        <v>67340.710000000006</v>
      </c>
      <c r="H7" s="6">
        <v>0.86380000000000001</v>
      </c>
      <c r="I7" s="6">
        <v>0.3</v>
      </c>
      <c r="J7" s="4">
        <v>20202.213</v>
      </c>
      <c r="K7" s="6">
        <f t="shared" si="0"/>
        <v>3.0000000000000001E-3</v>
      </c>
    </row>
    <row r="8" spans="1:11" x14ac:dyDescent="0.3">
      <c r="A8" s="31">
        <v>45657</v>
      </c>
      <c r="B8" t="s">
        <v>368</v>
      </c>
      <c r="C8" t="s">
        <v>192</v>
      </c>
      <c r="D8" t="s">
        <v>372</v>
      </c>
      <c r="E8" s="4">
        <v>234882.53</v>
      </c>
      <c r="F8" s="4">
        <v>31994.54</v>
      </c>
      <c r="G8" s="4">
        <v>202887.99</v>
      </c>
      <c r="H8" s="6">
        <v>0.86380000000000001</v>
      </c>
      <c r="I8" s="6">
        <v>0.2</v>
      </c>
      <c r="J8" s="4">
        <v>40577.597999999998</v>
      </c>
      <c r="K8" s="6">
        <f t="shared" si="0"/>
        <v>2E-3</v>
      </c>
    </row>
    <row r="9" spans="1:11" x14ac:dyDescent="0.3">
      <c r="A9" s="31">
        <v>45657</v>
      </c>
      <c r="B9" t="s">
        <v>368</v>
      </c>
      <c r="C9" t="s">
        <v>192</v>
      </c>
      <c r="D9" t="s">
        <v>371</v>
      </c>
      <c r="E9" s="4">
        <v>134355.04</v>
      </c>
      <c r="F9" s="4">
        <v>18301.18</v>
      </c>
      <c r="G9" s="4">
        <v>116053.86</v>
      </c>
      <c r="H9" s="6">
        <v>0.86380000000000001</v>
      </c>
      <c r="I9" s="6">
        <v>0.2</v>
      </c>
      <c r="J9" s="4">
        <v>23210.772000000001</v>
      </c>
      <c r="K9" s="6">
        <f t="shared" si="0"/>
        <v>2E-3</v>
      </c>
    </row>
    <row r="10" spans="1:11" x14ac:dyDescent="0.3">
      <c r="A10" s="31">
        <v>45657</v>
      </c>
      <c r="B10" t="s">
        <v>368</v>
      </c>
      <c r="C10" t="s">
        <v>192</v>
      </c>
      <c r="D10" t="s">
        <v>370</v>
      </c>
      <c r="E10" s="4">
        <v>110054.28</v>
      </c>
      <c r="F10" s="4">
        <v>14991.05</v>
      </c>
      <c r="G10" s="4">
        <v>95063.23</v>
      </c>
      <c r="H10" s="6">
        <v>0.86380000000000001</v>
      </c>
      <c r="I10" s="6">
        <v>0.15</v>
      </c>
      <c r="J10" s="4">
        <v>14259.4845</v>
      </c>
      <c r="K10" s="6">
        <f t="shared" si="0"/>
        <v>1.5E-3</v>
      </c>
    </row>
    <row r="11" spans="1:11" x14ac:dyDescent="0.3">
      <c r="A11" s="31">
        <v>45657</v>
      </c>
      <c r="B11" t="s">
        <v>368</v>
      </c>
      <c r="C11" t="s">
        <v>192</v>
      </c>
      <c r="D11" t="s">
        <v>369</v>
      </c>
      <c r="E11" s="4">
        <v>122253.83</v>
      </c>
      <c r="F11" s="4">
        <v>16652.810000000001</v>
      </c>
      <c r="G11" s="4">
        <v>105601</v>
      </c>
      <c r="H11" s="6">
        <v>0.86380000000000001</v>
      </c>
      <c r="I11" s="6">
        <v>0.15</v>
      </c>
      <c r="J11" s="4">
        <v>15840.15</v>
      </c>
      <c r="K11" s="6">
        <f t="shared" si="0"/>
        <v>1.5E-3</v>
      </c>
    </row>
    <row r="12" spans="1:11" x14ac:dyDescent="0.3">
      <c r="A12" s="31">
        <v>45688</v>
      </c>
      <c r="B12" t="s">
        <v>368</v>
      </c>
      <c r="C12" t="s">
        <v>192</v>
      </c>
      <c r="D12" t="s">
        <v>378</v>
      </c>
      <c r="E12" s="4">
        <v>446197.54</v>
      </c>
      <c r="F12" s="4">
        <v>105304.01</v>
      </c>
      <c r="G12" s="4">
        <v>340893.53</v>
      </c>
      <c r="H12" s="6">
        <v>0.76400000000000001</v>
      </c>
      <c r="I12" s="6">
        <v>0.55000000000000004</v>
      </c>
      <c r="J12" s="4">
        <v>187491.44149999999</v>
      </c>
      <c r="K12" s="6">
        <f t="shared" si="0"/>
        <v>5.5000000000000005E-3</v>
      </c>
    </row>
    <row r="13" spans="1:11" x14ac:dyDescent="0.3">
      <c r="A13" s="31">
        <v>45688</v>
      </c>
      <c r="B13" t="s">
        <v>368</v>
      </c>
      <c r="C13" t="s">
        <v>192</v>
      </c>
      <c r="D13" t="s">
        <v>377</v>
      </c>
      <c r="E13" s="4">
        <v>569236.29</v>
      </c>
      <c r="F13" s="4">
        <v>134341.54</v>
      </c>
      <c r="G13" s="4">
        <v>434894.75</v>
      </c>
      <c r="H13" s="6">
        <v>0.76400000000000001</v>
      </c>
      <c r="I13" s="6">
        <v>0.55000000000000004</v>
      </c>
      <c r="J13" s="4">
        <v>239192.11249999999</v>
      </c>
      <c r="K13" s="6">
        <f t="shared" si="0"/>
        <v>5.5000000000000005E-3</v>
      </c>
    </row>
    <row r="14" spans="1:11" x14ac:dyDescent="0.3">
      <c r="A14" s="31">
        <v>45688</v>
      </c>
      <c r="B14" t="s">
        <v>368</v>
      </c>
      <c r="C14" t="s">
        <v>192</v>
      </c>
      <c r="D14" t="s">
        <v>376</v>
      </c>
      <c r="E14" s="4">
        <v>306954.38</v>
      </c>
      <c r="F14" s="4">
        <v>72442.19</v>
      </c>
      <c r="G14" s="4">
        <v>234512.19</v>
      </c>
      <c r="H14" s="6">
        <v>0.76400000000000001</v>
      </c>
      <c r="I14" s="6">
        <v>0.5</v>
      </c>
      <c r="J14" s="4">
        <v>117256.095</v>
      </c>
      <c r="K14" s="6">
        <f t="shared" si="0"/>
        <v>5.0000000000000001E-3</v>
      </c>
    </row>
    <row r="15" spans="1:11" x14ac:dyDescent="0.3">
      <c r="A15" s="31">
        <v>45688</v>
      </c>
      <c r="B15" t="s">
        <v>368</v>
      </c>
      <c r="C15" t="s">
        <v>192</v>
      </c>
      <c r="D15" t="s">
        <v>375</v>
      </c>
      <c r="E15" s="4">
        <v>310473.15999999997</v>
      </c>
      <c r="F15" s="4">
        <v>73272.639999999999</v>
      </c>
      <c r="G15" s="4">
        <v>237200.52</v>
      </c>
      <c r="H15" s="6">
        <v>0.76400000000000001</v>
      </c>
      <c r="I15" s="6">
        <v>0.4</v>
      </c>
      <c r="J15" s="4">
        <v>94880.207999999999</v>
      </c>
      <c r="K15" s="6">
        <f t="shared" si="0"/>
        <v>4.0000000000000001E-3</v>
      </c>
    </row>
    <row r="16" spans="1:11" x14ac:dyDescent="0.3">
      <c r="A16" s="31">
        <v>45688</v>
      </c>
      <c r="B16" t="s">
        <v>368</v>
      </c>
      <c r="C16" t="s">
        <v>192</v>
      </c>
      <c r="D16" t="s">
        <v>374</v>
      </c>
      <c r="E16" s="4">
        <v>219704.41</v>
      </c>
      <c r="F16" s="4">
        <v>51850.93</v>
      </c>
      <c r="G16" s="4">
        <v>167853.48</v>
      </c>
      <c r="H16" s="6">
        <v>0.76400000000000001</v>
      </c>
      <c r="I16" s="6">
        <v>0.35</v>
      </c>
      <c r="J16" s="4">
        <v>58748.718000000001</v>
      </c>
      <c r="K16" s="6">
        <f t="shared" si="0"/>
        <v>3.4999999999999996E-3</v>
      </c>
    </row>
    <row r="17" spans="1:11" x14ac:dyDescent="0.3">
      <c r="A17" s="31">
        <v>45688</v>
      </c>
      <c r="B17" t="s">
        <v>368</v>
      </c>
      <c r="C17" t="s">
        <v>192</v>
      </c>
      <c r="D17" t="s">
        <v>373</v>
      </c>
      <c r="E17" s="4">
        <v>25050.31</v>
      </c>
      <c r="F17" s="4">
        <v>5911.95</v>
      </c>
      <c r="G17" s="4">
        <v>19138.36</v>
      </c>
      <c r="H17" s="6">
        <v>0.76400000000000001</v>
      </c>
      <c r="I17" s="6">
        <v>0.3</v>
      </c>
      <c r="J17" s="4">
        <v>5741.5079999999998</v>
      </c>
      <c r="K17" s="6">
        <f t="shared" si="0"/>
        <v>3.0000000000000001E-3</v>
      </c>
    </row>
    <row r="18" spans="1:11" x14ac:dyDescent="0.3">
      <c r="A18" s="31">
        <v>45688</v>
      </c>
      <c r="B18" t="s">
        <v>368</v>
      </c>
      <c r="C18" t="s">
        <v>192</v>
      </c>
      <c r="D18" t="s">
        <v>372</v>
      </c>
      <c r="E18" s="4">
        <v>315792.19</v>
      </c>
      <c r="F18" s="4">
        <v>74527.94</v>
      </c>
      <c r="G18" s="4">
        <v>241264.24</v>
      </c>
      <c r="H18" s="6">
        <v>0.76400000000000001</v>
      </c>
      <c r="I18" s="6">
        <v>0.2</v>
      </c>
      <c r="J18" s="4">
        <v>48252.847999999998</v>
      </c>
      <c r="K18" s="6">
        <f t="shared" si="0"/>
        <v>2E-3</v>
      </c>
    </row>
    <row r="19" spans="1:11" x14ac:dyDescent="0.3">
      <c r="A19" s="31">
        <v>45688</v>
      </c>
      <c r="B19" t="s">
        <v>368</v>
      </c>
      <c r="C19" t="s">
        <v>192</v>
      </c>
      <c r="D19" t="s">
        <v>371</v>
      </c>
      <c r="E19" s="4">
        <v>61147.58</v>
      </c>
      <c r="F19" s="4">
        <v>14431.02</v>
      </c>
      <c r="G19" s="4">
        <v>46716.56</v>
      </c>
      <c r="H19" s="6">
        <v>0.76400000000000001</v>
      </c>
      <c r="I19" s="6">
        <v>0.2</v>
      </c>
      <c r="J19" s="4">
        <v>9343.3119999999999</v>
      </c>
      <c r="K19" s="6">
        <f t="shared" si="0"/>
        <v>2E-3</v>
      </c>
    </row>
    <row r="20" spans="1:11" x14ac:dyDescent="0.3">
      <c r="A20" s="31">
        <v>45688</v>
      </c>
      <c r="B20" t="s">
        <v>368</v>
      </c>
      <c r="C20" t="s">
        <v>192</v>
      </c>
      <c r="D20" t="s">
        <v>370</v>
      </c>
      <c r="E20" s="4">
        <v>219530.1</v>
      </c>
      <c r="F20" s="4">
        <v>51809.79</v>
      </c>
      <c r="G20" s="4">
        <v>167720.31</v>
      </c>
      <c r="H20" s="6">
        <v>0.76400000000000001</v>
      </c>
      <c r="I20" s="6">
        <v>0.15</v>
      </c>
      <c r="J20" s="4">
        <v>25158.0465</v>
      </c>
      <c r="K20" s="6">
        <f t="shared" si="0"/>
        <v>1.5E-3</v>
      </c>
    </row>
    <row r="21" spans="1:11" x14ac:dyDescent="0.3">
      <c r="A21" s="31">
        <v>45688</v>
      </c>
      <c r="B21" t="s">
        <v>368</v>
      </c>
      <c r="C21" t="s">
        <v>192</v>
      </c>
      <c r="D21" t="s">
        <v>369</v>
      </c>
      <c r="E21" s="4">
        <v>171825.52</v>
      </c>
      <c r="F21" s="4">
        <v>40551.370000000003</v>
      </c>
      <c r="G21" s="4">
        <v>131274.16</v>
      </c>
      <c r="H21" s="6">
        <v>0.76400000000000001</v>
      </c>
      <c r="I21" s="6">
        <v>0.15</v>
      </c>
      <c r="J21" s="4">
        <v>19691.124</v>
      </c>
      <c r="K21" s="6">
        <f t="shared" si="0"/>
        <v>1.5E-3</v>
      </c>
    </row>
    <row r="22" spans="1:11" x14ac:dyDescent="0.3">
      <c r="A22" s="31">
        <v>45716</v>
      </c>
      <c r="B22" t="s">
        <v>368</v>
      </c>
      <c r="C22" t="s">
        <v>192</v>
      </c>
      <c r="D22" t="s">
        <v>378</v>
      </c>
      <c r="E22" s="4">
        <v>338363.57</v>
      </c>
      <c r="F22" s="4">
        <v>56334.26</v>
      </c>
      <c r="G22" s="4">
        <v>282029.3</v>
      </c>
      <c r="H22" s="6">
        <v>0.83350000000000002</v>
      </c>
      <c r="I22" s="6">
        <v>0.55000000000000004</v>
      </c>
      <c r="J22" s="4">
        <v>155116.11499999999</v>
      </c>
      <c r="K22" s="6">
        <f t="shared" si="0"/>
        <v>5.5000000000000005E-3</v>
      </c>
    </row>
    <row r="23" spans="1:11" x14ac:dyDescent="0.3">
      <c r="A23" s="31">
        <v>45716</v>
      </c>
      <c r="B23" t="s">
        <v>368</v>
      </c>
      <c r="C23" t="s">
        <v>192</v>
      </c>
      <c r="D23" t="s">
        <v>377</v>
      </c>
      <c r="E23" s="4">
        <v>614572.84</v>
      </c>
      <c r="F23" s="4">
        <v>102320.44</v>
      </c>
      <c r="G23" s="4">
        <v>512252.41</v>
      </c>
      <c r="H23" s="6">
        <v>0.83350000000000002</v>
      </c>
      <c r="I23" s="6">
        <v>0.55000000000000004</v>
      </c>
      <c r="J23" s="4">
        <v>281738.82549999998</v>
      </c>
      <c r="K23" s="6">
        <f t="shared" si="0"/>
        <v>5.5000000000000005E-3</v>
      </c>
    </row>
    <row r="24" spans="1:11" x14ac:dyDescent="0.3">
      <c r="A24" s="31">
        <v>45716</v>
      </c>
      <c r="B24" t="s">
        <v>368</v>
      </c>
      <c r="C24" t="s">
        <v>192</v>
      </c>
      <c r="D24" t="s">
        <v>376</v>
      </c>
      <c r="E24" s="4">
        <v>292253.57</v>
      </c>
      <c r="F24" s="4">
        <v>48657.4</v>
      </c>
      <c r="G24" s="4">
        <v>243596.18</v>
      </c>
      <c r="H24" s="6">
        <v>0.83350000000000002</v>
      </c>
      <c r="I24" s="6">
        <v>0.5</v>
      </c>
      <c r="J24" s="4">
        <v>121798.09</v>
      </c>
      <c r="K24" s="6">
        <f t="shared" si="0"/>
        <v>5.0000000000000001E-3</v>
      </c>
    </row>
    <row r="25" spans="1:11" x14ac:dyDescent="0.3">
      <c r="A25" s="31">
        <v>45716</v>
      </c>
      <c r="B25" t="s">
        <v>368</v>
      </c>
      <c r="C25" t="s">
        <v>192</v>
      </c>
      <c r="D25" t="s">
        <v>375</v>
      </c>
      <c r="E25" s="4">
        <v>213061.27</v>
      </c>
      <c r="F25" s="4">
        <v>35472.639999999999</v>
      </c>
      <c r="G25" s="4">
        <v>177588.63</v>
      </c>
      <c r="H25" s="6">
        <v>0.83350000000000002</v>
      </c>
      <c r="I25" s="6">
        <v>0.4</v>
      </c>
      <c r="J25" s="4">
        <v>71035.452000000005</v>
      </c>
      <c r="K25" s="6">
        <f t="shared" si="0"/>
        <v>4.0000000000000001E-3</v>
      </c>
    </row>
    <row r="26" spans="1:11" x14ac:dyDescent="0.3">
      <c r="A26" s="31">
        <v>45716</v>
      </c>
      <c r="B26" t="s">
        <v>368</v>
      </c>
      <c r="C26" t="s">
        <v>192</v>
      </c>
      <c r="D26" t="s">
        <v>374</v>
      </c>
      <c r="E26" s="4">
        <v>277303.55</v>
      </c>
      <c r="F26" s="4">
        <v>46168.36</v>
      </c>
      <c r="G26" s="4">
        <v>231135.19</v>
      </c>
      <c r="H26" s="6">
        <v>0.83350000000000002</v>
      </c>
      <c r="I26" s="6">
        <v>0.35</v>
      </c>
      <c r="J26" s="4">
        <v>80897.316500000001</v>
      </c>
      <c r="K26" s="6">
        <f t="shared" si="0"/>
        <v>3.4999999999999996E-3</v>
      </c>
    </row>
    <row r="27" spans="1:11" x14ac:dyDescent="0.3">
      <c r="A27" s="31">
        <v>45716</v>
      </c>
      <c r="B27" t="s">
        <v>368</v>
      </c>
      <c r="C27" t="s">
        <v>192</v>
      </c>
      <c r="D27" t="s">
        <v>373</v>
      </c>
      <c r="E27" s="4">
        <v>56245.55</v>
      </c>
      <c r="F27" s="4">
        <v>9364.34</v>
      </c>
      <c r="G27" s="4">
        <v>46881.21</v>
      </c>
      <c r="H27" s="6">
        <v>0.83350000000000002</v>
      </c>
      <c r="I27" s="6">
        <v>0.3</v>
      </c>
      <c r="J27" s="4">
        <v>14064.362999999999</v>
      </c>
      <c r="K27" s="6">
        <f t="shared" si="0"/>
        <v>3.0000000000000001E-3</v>
      </c>
    </row>
    <row r="28" spans="1:11" x14ac:dyDescent="0.3">
      <c r="A28" s="31">
        <v>45716</v>
      </c>
      <c r="B28" t="s">
        <v>368</v>
      </c>
      <c r="C28" t="s">
        <v>192</v>
      </c>
      <c r="D28" t="s">
        <v>372</v>
      </c>
      <c r="E28" s="4">
        <v>209121.12</v>
      </c>
      <c r="F28" s="4">
        <v>34816.639999999999</v>
      </c>
      <c r="G28" s="4">
        <v>174304.47</v>
      </c>
      <c r="H28" s="6">
        <v>0.83350000000000002</v>
      </c>
      <c r="I28" s="6">
        <v>0.2</v>
      </c>
      <c r="J28" s="4">
        <v>34860.894</v>
      </c>
      <c r="K28" s="6">
        <f t="shared" si="0"/>
        <v>2E-3</v>
      </c>
    </row>
    <row r="29" spans="1:11" x14ac:dyDescent="0.3">
      <c r="A29" s="31">
        <v>45716</v>
      </c>
      <c r="B29" t="s">
        <v>368</v>
      </c>
      <c r="C29" t="s">
        <v>192</v>
      </c>
      <c r="D29" t="s">
        <v>371</v>
      </c>
      <c r="E29" s="4">
        <v>171776.47</v>
      </c>
      <c r="F29" s="4">
        <v>28599.119999999999</v>
      </c>
      <c r="G29" s="4">
        <v>143177.35</v>
      </c>
      <c r="H29" s="6">
        <v>0.83350000000000002</v>
      </c>
      <c r="I29" s="6">
        <v>0.2</v>
      </c>
      <c r="J29" s="4">
        <v>28635.47</v>
      </c>
      <c r="K29" s="6">
        <f t="shared" si="0"/>
        <v>2E-3</v>
      </c>
    </row>
    <row r="30" spans="1:11" x14ac:dyDescent="0.3">
      <c r="A30" s="31">
        <v>45716</v>
      </c>
      <c r="B30" t="s">
        <v>368</v>
      </c>
      <c r="C30" t="s">
        <v>192</v>
      </c>
      <c r="D30" t="s">
        <v>370</v>
      </c>
      <c r="E30" s="4">
        <v>249834.37</v>
      </c>
      <c r="F30" s="4">
        <v>41595.01</v>
      </c>
      <c r="G30" s="4">
        <v>208239.35999999999</v>
      </c>
      <c r="H30" s="6">
        <v>0.83350000000000002</v>
      </c>
      <c r="I30" s="6">
        <v>0.15</v>
      </c>
      <c r="J30" s="4">
        <v>31235.903999999991</v>
      </c>
      <c r="K30" s="6">
        <f t="shared" si="0"/>
        <v>1.5E-3</v>
      </c>
    </row>
    <row r="31" spans="1:11" x14ac:dyDescent="0.3">
      <c r="A31" s="31">
        <v>45716</v>
      </c>
      <c r="B31" t="s">
        <v>368</v>
      </c>
      <c r="C31" t="s">
        <v>192</v>
      </c>
      <c r="D31" t="s">
        <v>369</v>
      </c>
      <c r="E31" s="4">
        <v>126204.59</v>
      </c>
      <c r="F31" s="4">
        <v>21011.85</v>
      </c>
      <c r="G31" s="4">
        <v>105192.74</v>
      </c>
      <c r="H31" s="6">
        <v>0.83350000000000002</v>
      </c>
      <c r="I31" s="6">
        <v>0.15</v>
      </c>
      <c r="J31" s="4">
        <v>15778.911</v>
      </c>
      <c r="K31" s="6">
        <f t="shared" si="0"/>
        <v>1.5E-3</v>
      </c>
    </row>
    <row r="32" spans="1:11" x14ac:dyDescent="0.3">
      <c r="A32" s="31">
        <v>45747</v>
      </c>
      <c r="B32" t="s">
        <v>368</v>
      </c>
      <c r="C32" t="s">
        <v>192</v>
      </c>
      <c r="D32" t="s">
        <v>378</v>
      </c>
      <c r="E32" s="4">
        <v>532422.78</v>
      </c>
      <c r="F32" s="4">
        <v>126188.97</v>
      </c>
      <c r="G32" s="4">
        <v>406233.81</v>
      </c>
      <c r="H32" s="6">
        <v>0.76300000000000001</v>
      </c>
      <c r="I32" s="6">
        <v>0.55000000000000004</v>
      </c>
      <c r="J32" s="4">
        <v>223428.5955</v>
      </c>
      <c r="K32" s="6">
        <f t="shared" si="0"/>
        <v>5.5000000000000005E-3</v>
      </c>
    </row>
    <row r="33" spans="1:11" x14ac:dyDescent="0.3">
      <c r="A33" s="31">
        <v>45747</v>
      </c>
      <c r="B33" t="s">
        <v>368</v>
      </c>
      <c r="C33" t="s">
        <v>192</v>
      </c>
      <c r="D33" t="s">
        <v>377</v>
      </c>
      <c r="E33" s="4">
        <v>584275.85</v>
      </c>
      <c r="F33" s="4">
        <v>138478.60999999999</v>
      </c>
      <c r="G33" s="4">
        <v>445797.24</v>
      </c>
      <c r="H33" s="6">
        <v>0.76300000000000001</v>
      </c>
      <c r="I33" s="6">
        <v>0.55000000000000004</v>
      </c>
      <c r="J33" s="4">
        <v>245188.48199999999</v>
      </c>
      <c r="K33" s="6">
        <f t="shared" si="0"/>
        <v>5.5000000000000005E-3</v>
      </c>
    </row>
    <row r="34" spans="1:11" x14ac:dyDescent="0.3">
      <c r="A34" s="31">
        <v>45747</v>
      </c>
      <c r="B34" t="s">
        <v>368</v>
      </c>
      <c r="C34" t="s">
        <v>192</v>
      </c>
      <c r="D34" t="s">
        <v>376</v>
      </c>
      <c r="E34" s="4">
        <v>135349.1</v>
      </c>
      <c r="F34" s="4">
        <v>32078.95</v>
      </c>
      <c r="G34" s="4">
        <v>103270.15</v>
      </c>
      <c r="H34" s="6">
        <v>0.76300000000000001</v>
      </c>
      <c r="I34" s="6">
        <v>0.5</v>
      </c>
      <c r="J34" s="4">
        <v>51635.074999999997</v>
      </c>
      <c r="K34" s="6">
        <f t="shared" si="0"/>
        <v>5.0000000000000001E-3</v>
      </c>
    </row>
    <row r="35" spans="1:11" x14ac:dyDescent="0.3">
      <c r="A35" s="31">
        <v>45747</v>
      </c>
      <c r="B35" t="s">
        <v>368</v>
      </c>
      <c r="C35" t="s">
        <v>192</v>
      </c>
      <c r="D35" t="s">
        <v>375</v>
      </c>
      <c r="E35" s="4">
        <v>208312.19</v>
      </c>
      <c r="F35" s="4">
        <v>49371.85</v>
      </c>
      <c r="G35" s="4">
        <v>158940.32999999999</v>
      </c>
      <c r="H35" s="6">
        <v>0.76300000000000001</v>
      </c>
      <c r="I35" s="6">
        <v>0.4</v>
      </c>
      <c r="J35" s="4">
        <v>63576.131999999998</v>
      </c>
      <c r="K35" s="6">
        <f t="shared" si="0"/>
        <v>4.0000000000000001E-3</v>
      </c>
    </row>
    <row r="36" spans="1:11" x14ac:dyDescent="0.3">
      <c r="A36" s="31">
        <v>45747</v>
      </c>
      <c r="B36" t="s">
        <v>368</v>
      </c>
      <c r="C36" t="s">
        <v>192</v>
      </c>
      <c r="D36" t="s">
        <v>374</v>
      </c>
      <c r="E36" s="4">
        <v>106847.4</v>
      </c>
      <c r="F36" s="4">
        <v>25323.79</v>
      </c>
      <c r="G36" s="4">
        <v>81523.61</v>
      </c>
      <c r="H36" s="6">
        <v>0.76300000000000001</v>
      </c>
      <c r="I36" s="6">
        <v>0.35</v>
      </c>
      <c r="J36" s="4">
        <v>28533.263500000001</v>
      </c>
      <c r="K36" s="6">
        <f t="shared" si="0"/>
        <v>3.4999999999999996E-3</v>
      </c>
    </row>
    <row r="37" spans="1:11" x14ac:dyDescent="0.3">
      <c r="A37" s="31">
        <v>45747</v>
      </c>
      <c r="B37" t="s">
        <v>368</v>
      </c>
      <c r="C37" t="s">
        <v>192</v>
      </c>
      <c r="D37" t="s">
        <v>373</v>
      </c>
      <c r="E37" s="4">
        <v>134673.43</v>
      </c>
      <c r="F37" s="4">
        <v>31918.81</v>
      </c>
      <c r="G37" s="4">
        <v>102754.62</v>
      </c>
      <c r="H37" s="6">
        <v>0.76300000000000001</v>
      </c>
      <c r="I37" s="6">
        <v>0.3</v>
      </c>
      <c r="J37" s="4">
        <v>30826.385999999999</v>
      </c>
      <c r="K37" s="6">
        <f t="shared" si="0"/>
        <v>3.0000000000000001E-3</v>
      </c>
    </row>
    <row r="38" spans="1:11" x14ac:dyDescent="0.3">
      <c r="A38" s="31">
        <v>45747</v>
      </c>
      <c r="B38" t="s">
        <v>368</v>
      </c>
      <c r="C38" t="s">
        <v>192</v>
      </c>
      <c r="D38" t="s">
        <v>372</v>
      </c>
      <c r="E38" s="4">
        <v>52638.95</v>
      </c>
      <c r="F38" s="4">
        <v>12475.9</v>
      </c>
      <c r="G38" s="4">
        <v>40163.050000000003</v>
      </c>
      <c r="H38" s="6">
        <v>0.76300000000000001</v>
      </c>
      <c r="I38" s="6">
        <v>0.2</v>
      </c>
      <c r="J38" s="4">
        <v>8032.6100000000006</v>
      </c>
      <c r="K38" s="6">
        <f t="shared" si="0"/>
        <v>2E-3</v>
      </c>
    </row>
    <row r="39" spans="1:11" x14ac:dyDescent="0.3">
      <c r="A39" s="31">
        <v>45747</v>
      </c>
      <c r="B39" t="s">
        <v>368</v>
      </c>
      <c r="C39" t="s">
        <v>192</v>
      </c>
      <c r="D39" t="s">
        <v>371</v>
      </c>
      <c r="E39" s="4">
        <v>337966.95</v>
      </c>
      <c r="F39" s="4">
        <v>80101.2</v>
      </c>
      <c r="G39" s="4">
        <v>257865.76</v>
      </c>
      <c r="H39" s="6">
        <v>0.76300000000000001</v>
      </c>
      <c r="I39" s="6">
        <v>0.2</v>
      </c>
      <c r="J39" s="4">
        <v>51573.152000000002</v>
      </c>
      <c r="K39" s="6">
        <f t="shared" si="0"/>
        <v>2E-3</v>
      </c>
    </row>
    <row r="40" spans="1:11" x14ac:dyDescent="0.3">
      <c r="A40" s="31">
        <v>45747</v>
      </c>
      <c r="B40" t="s">
        <v>368</v>
      </c>
      <c r="C40" t="s">
        <v>192</v>
      </c>
      <c r="D40" t="s">
        <v>370</v>
      </c>
      <c r="E40" s="4">
        <v>212806.5</v>
      </c>
      <c r="F40" s="4">
        <v>50437.05</v>
      </c>
      <c r="G40" s="4">
        <v>162369.45000000001</v>
      </c>
      <c r="H40" s="6">
        <v>0.76300000000000001</v>
      </c>
      <c r="I40" s="6">
        <v>0.15</v>
      </c>
      <c r="J40" s="4">
        <v>24355.4175</v>
      </c>
      <c r="K40" s="6">
        <f t="shared" si="0"/>
        <v>1.5E-3</v>
      </c>
    </row>
    <row r="41" spans="1:11" x14ac:dyDescent="0.3">
      <c r="A41" s="31">
        <v>45747</v>
      </c>
      <c r="B41" t="s">
        <v>368</v>
      </c>
      <c r="C41" t="s">
        <v>192</v>
      </c>
      <c r="D41" t="s">
        <v>369</v>
      </c>
      <c r="E41" s="4">
        <v>134885.10999999999</v>
      </c>
      <c r="F41" s="4">
        <v>31968.98</v>
      </c>
      <c r="G41" s="4">
        <v>102916.13</v>
      </c>
      <c r="H41" s="6">
        <v>0.76300000000000001</v>
      </c>
      <c r="I41" s="6">
        <v>0.15</v>
      </c>
      <c r="J41" s="4">
        <v>15437.4195</v>
      </c>
      <c r="K41" s="6">
        <f t="shared" si="0"/>
        <v>1.5E-3</v>
      </c>
    </row>
    <row r="42" spans="1:11" x14ac:dyDescent="0.3">
      <c r="A42" s="31">
        <v>45777</v>
      </c>
      <c r="B42" t="s">
        <v>368</v>
      </c>
      <c r="C42" t="s">
        <v>192</v>
      </c>
      <c r="D42" t="s">
        <v>378</v>
      </c>
      <c r="E42" s="4">
        <v>518665.34</v>
      </c>
      <c r="F42" s="4">
        <v>68417.100000000006</v>
      </c>
      <c r="G42" s="4">
        <v>450248.24</v>
      </c>
      <c r="H42" s="6">
        <v>0.86809999999999998</v>
      </c>
      <c r="I42" s="6">
        <v>0.55000000000000004</v>
      </c>
      <c r="J42" s="4">
        <v>247636.53200000001</v>
      </c>
      <c r="K42" s="6">
        <f t="shared" si="0"/>
        <v>5.5000000000000005E-3</v>
      </c>
    </row>
    <row r="43" spans="1:11" x14ac:dyDescent="0.3">
      <c r="A43" s="31">
        <v>45777</v>
      </c>
      <c r="B43" t="s">
        <v>368</v>
      </c>
      <c r="C43" t="s">
        <v>192</v>
      </c>
      <c r="D43" t="s">
        <v>377</v>
      </c>
      <c r="E43" s="4">
        <v>698888.9</v>
      </c>
      <c r="F43" s="4">
        <v>92190.38</v>
      </c>
      <c r="G43" s="4">
        <v>606698.52</v>
      </c>
      <c r="H43" s="6">
        <v>0.86809999999999998</v>
      </c>
      <c r="I43" s="6">
        <v>0.55000000000000004</v>
      </c>
      <c r="J43" s="4">
        <v>333684.18599999999</v>
      </c>
      <c r="K43" s="6">
        <f t="shared" si="0"/>
        <v>5.5000000000000005E-3</v>
      </c>
    </row>
    <row r="44" spans="1:11" x14ac:dyDescent="0.3">
      <c r="A44" s="31">
        <v>45777</v>
      </c>
      <c r="B44" t="s">
        <v>368</v>
      </c>
      <c r="C44" t="s">
        <v>192</v>
      </c>
      <c r="D44" t="s">
        <v>376</v>
      </c>
      <c r="E44" s="4">
        <v>351773.81</v>
      </c>
      <c r="F44" s="4">
        <v>46402.45</v>
      </c>
      <c r="G44" s="4">
        <v>305371.36</v>
      </c>
      <c r="H44" s="6">
        <v>0.86809999999999998</v>
      </c>
      <c r="I44" s="6">
        <v>0.5</v>
      </c>
      <c r="J44" s="4">
        <v>152685.68</v>
      </c>
      <c r="K44" s="6">
        <f t="shared" si="0"/>
        <v>5.0000000000000001E-3</v>
      </c>
    </row>
    <row r="45" spans="1:11" x14ac:dyDescent="0.3">
      <c r="A45" s="31">
        <v>45777</v>
      </c>
      <c r="B45" t="s">
        <v>368</v>
      </c>
      <c r="C45" t="s">
        <v>192</v>
      </c>
      <c r="D45" t="s">
        <v>375</v>
      </c>
      <c r="E45" s="4">
        <v>309264.08</v>
      </c>
      <c r="F45" s="4">
        <v>40795</v>
      </c>
      <c r="G45" s="4">
        <v>268469.08</v>
      </c>
      <c r="H45" s="6">
        <v>0.86809999999999998</v>
      </c>
      <c r="I45" s="6">
        <v>0.4</v>
      </c>
      <c r="J45" s="4">
        <v>107387.632</v>
      </c>
      <c r="K45" s="6">
        <f t="shared" si="0"/>
        <v>4.0000000000000001E-3</v>
      </c>
    </row>
    <row r="46" spans="1:11" x14ac:dyDescent="0.3">
      <c r="A46" s="31">
        <v>45777</v>
      </c>
      <c r="B46" t="s">
        <v>368</v>
      </c>
      <c r="C46" t="s">
        <v>192</v>
      </c>
      <c r="D46" t="s">
        <v>374</v>
      </c>
      <c r="E46" s="4">
        <v>153882.15</v>
      </c>
      <c r="F46" s="4">
        <v>20298.580000000002</v>
      </c>
      <c r="G46" s="4">
        <v>133583.57</v>
      </c>
      <c r="H46" s="6">
        <v>0.86809999999999998</v>
      </c>
      <c r="I46" s="6">
        <v>0.35</v>
      </c>
      <c r="J46" s="4">
        <v>46754.249499999998</v>
      </c>
      <c r="K46" s="6">
        <f t="shared" si="0"/>
        <v>3.4999999999999996E-3</v>
      </c>
    </row>
    <row r="47" spans="1:11" x14ac:dyDescent="0.3">
      <c r="A47" s="31">
        <v>45777</v>
      </c>
      <c r="B47" t="s">
        <v>368</v>
      </c>
      <c r="C47" t="s">
        <v>192</v>
      </c>
      <c r="D47" t="s">
        <v>373</v>
      </c>
      <c r="E47" s="4">
        <v>86074.42</v>
      </c>
      <c r="F47" s="4">
        <v>11354.07</v>
      </c>
      <c r="G47" s="4">
        <v>74720.350000000006</v>
      </c>
      <c r="H47" s="6">
        <v>0.86809999999999998</v>
      </c>
      <c r="I47" s="6">
        <v>0.3</v>
      </c>
      <c r="J47" s="4">
        <v>22416.105</v>
      </c>
      <c r="K47" s="6">
        <f t="shared" si="0"/>
        <v>3.0000000000000001E-3</v>
      </c>
    </row>
    <row r="48" spans="1:11" x14ac:dyDescent="0.3">
      <c r="A48" s="31">
        <v>45777</v>
      </c>
      <c r="B48" t="s">
        <v>368</v>
      </c>
      <c r="C48" t="s">
        <v>192</v>
      </c>
      <c r="D48" t="s">
        <v>372</v>
      </c>
      <c r="E48" s="4">
        <v>206376.37</v>
      </c>
      <c r="F48" s="4">
        <v>27223.09</v>
      </c>
      <c r="G48" s="4">
        <v>179153.28</v>
      </c>
      <c r="H48" s="6">
        <v>0.86809999999999998</v>
      </c>
      <c r="I48" s="6">
        <v>0.2</v>
      </c>
      <c r="J48" s="4">
        <v>35830.656000000003</v>
      </c>
      <c r="K48" s="6">
        <f t="shared" si="0"/>
        <v>2E-3</v>
      </c>
    </row>
    <row r="49" spans="1:11" x14ac:dyDescent="0.3">
      <c r="A49" s="31">
        <v>45777</v>
      </c>
      <c r="B49" t="s">
        <v>368</v>
      </c>
      <c r="C49" t="s">
        <v>192</v>
      </c>
      <c r="D49" t="s">
        <v>371</v>
      </c>
      <c r="E49" s="4">
        <v>84780.24</v>
      </c>
      <c r="F49" s="4">
        <v>11183.35</v>
      </c>
      <c r="G49" s="4">
        <v>73596.88</v>
      </c>
      <c r="H49" s="6">
        <v>0.86809999999999998</v>
      </c>
      <c r="I49" s="6">
        <v>0.2</v>
      </c>
      <c r="J49" s="4">
        <v>14719.376</v>
      </c>
      <c r="K49" s="6">
        <f t="shared" si="0"/>
        <v>2E-3</v>
      </c>
    </row>
    <row r="50" spans="1:11" x14ac:dyDescent="0.3">
      <c r="A50" s="31">
        <v>45777</v>
      </c>
      <c r="B50" t="s">
        <v>368</v>
      </c>
      <c r="C50" t="s">
        <v>192</v>
      </c>
      <c r="D50" t="s">
        <v>370</v>
      </c>
      <c r="E50" s="4">
        <v>118900.04</v>
      </c>
      <c r="F50" s="4">
        <v>15684.1</v>
      </c>
      <c r="G50" s="4">
        <v>103215.95</v>
      </c>
      <c r="H50" s="6">
        <v>0.86809999999999998</v>
      </c>
      <c r="I50" s="6">
        <v>0.15</v>
      </c>
      <c r="J50" s="4">
        <v>15482.3925</v>
      </c>
      <c r="K50" s="6">
        <f t="shared" si="0"/>
        <v>1.5E-3</v>
      </c>
    </row>
    <row r="51" spans="1:11" x14ac:dyDescent="0.3">
      <c r="A51" s="31">
        <v>45777</v>
      </c>
      <c r="B51" t="s">
        <v>368</v>
      </c>
      <c r="C51" t="s">
        <v>192</v>
      </c>
      <c r="D51" t="s">
        <v>369</v>
      </c>
      <c r="E51" s="4">
        <v>24073.91</v>
      </c>
      <c r="F51" s="4">
        <v>3175.59</v>
      </c>
      <c r="G51" s="4">
        <v>20898.32</v>
      </c>
      <c r="H51" s="6">
        <v>0.86809999999999998</v>
      </c>
      <c r="I51" s="6">
        <v>0.15</v>
      </c>
      <c r="J51" s="4">
        <v>3134.748</v>
      </c>
      <c r="K51" s="6">
        <f t="shared" si="0"/>
        <v>1.5E-3</v>
      </c>
    </row>
    <row r="52" spans="1:11" x14ac:dyDescent="0.3">
      <c r="A52" s="31">
        <v>45808</v>
      </c>
      <c r="B52" t="s">
        <v>368</v>
      </c>
      <c r="C52" t="s">
        <v>192</v>
      </c>
      <c r="D52" t="s">
        <v>378</v>
      </c>
      <c r="E52" s="4">
        <v>424543.79</v>
      </c>
      <c r="F52" s="4">
        <v>64437.54</v>
      </c>
      <c r="G52" s="4">
        <v>360106.25</v>
      </c>
      <c r="H52" s="6">
        <v>0.84819999999999995</v>
      </c>
      <c r="I52" s="6">
        <v>0.55000000000000004</v>
      </c>
      <c r="J52" s="4">
        <v>198058.4375</v>
      </c>
      <c r="K52" s="6">
        <f t="shared" si="0"/>
        <v>5.5000000000000005E-3</v>
      </c>
    </row>
    <row r="53" spans="1:11" x14ac:dyDescent="0.3">
      <c r="A53" s="31">
        <v>45808</v>
      </c>
      <c r="B53" t="s">
        <v>368</v>
      </c>
      <c r="C53" t="s">
        <v>192</v>
      </c>
      <c r="D53" t="s">
        <v>377</v>
      </c>
      <c r="E53" s="4">
        <v>404803.17</v>
      </c>
      <c r="F53" s="4">
        <v>61441.29</v>
      </c>
      <c r="G53" s="4">
        <v>343361.87</v>
      </c>
      <c r="H53" s="6">
        <v>0.84819999999999995</v>
      </c>
      <c r="I53" s="6">
        <v>0.55000000000000004</v>
      </c>
      <c r="J53" s="4">
        <v>188849.02849999999</v>
      </c>
      <c r="K53" s="6">
        <f t="shared" si="0"/>
        <v>5.5000000000000005E-3</v>
      </c>
    </row>
    <row r="54" spans="1:11" x14ac:dyDescent="0.3">
      <c r="A54" s="31">
        <v>45808</v>
      </c>
      <c r="B54" t="s">
        <v>368</v>
      </c>
      <c r="C54" t="s">
        <v>192</v>
      </c>
      <c r="D54" t="s">
        <v>376</v>
      </c>
      <c r="E54" s="4">
        <v>300335.75</v>
      </c>
      <c r="F54" s="4">
        <v>45585.16</v>
      </c>
      <c r="G54" s="4">
        <v>254750.59</v>
      </c>
      <c r="H54" s="6">
        <v>0.84819999999999995</v>
      </c>
      <c r="I54" s="6">
        <v>0.5</v>
      </c>
      <c r="J54" s="4">
        <v>127375.295</v>
      </c>
      <c r="K54" s="6">
        <f t="shared" si="0"/>
        <v>5.0000000000000001E-3</v>
      </c>
    </row>
    <row r="55" spans="1:11" x14ac:dyDescent="0.3">
      <c r="A55" s="31">
        <v>45808</v>
      </c>
      <c r="B55" t="s">
        <v>368</v>
      </c>
      <c r="C55" t="s">
        <v>192</v>
      </c>
      <c r="D55" t="s">
        <v>375</v>
      </c>
      <c r="E55" s="4">
        <v>236274.76</v>
      </c>
      <c r="F55" s="4">
        <v>35861.94</v>
      </c>
      <c r="G55" s="4">
        <v>200412.82</v>
      </c>
      <c r="H55" s="6">
        <v>0.84819999999999995</v>
      </c>
      <c r="I55" s="6">
        <v>0.4</v>
      </c>
      <c r="J55" s="4">
        <v>80165.128000000012</v>
      </c>
      <c r="K55" s="6">
        <f t="shared" si="0"/>
        <v>4.0000000000000001E-3</v>
      </c>
    </row>
    <row r="56" spans="1:11" x14ac:dyDescent="0.3">
      <c r="A56" s="31">
        <v>45808</v>
      </c>
      <c r="B56" t="s">
        <v>368</v>
      </c>
      <c r="C56" t="s">
        <v>192</v>
      </c>
      <c r="D56" t="s">
        <v>374</v>
      </c>
      <c r="E56" s="4">
        <v>153856.9</v>
      </c>
      <c r="F56" s="4">
        <v>23352.5</v>
      </c>
      <c r="G56" s="4">
        <v>130504.4</v>
      </c>
      <c r="H56" s="6">
        <v>0.84819999999999995</v>
      </c>
      <c r="I56" s="6">
        <v>0.35</v>
      </c>
      <c r="J56" s="4">
        <v>45676.539999999994</v>
      </c>
      <c r="K56" s="6">
        <f t="shared" si="0"/>
        <v>3.4999999999999996E-3</v>
      </c>
    </row>
    <row r="57" spans="1:11" x14ac:dyDescent="0.3">
      <c r="A57" s="31">
        <v>45808</v>
      </c>
      <c r="B57" t="s">
        <v>368</v>
      </c>
      <c r="C57" t="s">
        <v>192</v>
      </c>
      <c r="D57" t="s">
        <v>373</v>
      </c>
      <c r="E57" s="4">
        <v>58133.56</v>
      </c>
      <c r="F57" s="4">
        <v>8823.5499999999993</v>
      </c>
      <c r="G57" s="4">
        <v>49310.01</v>
      </c>
      <c r="H57" s="6">
        <v>0.84819999999999995</v>
      </c>
      <c r="I57" s="6">
        <v>0.3</v>
      </c>
      <c r="J57" s="4">
        <v>14793.003000000001</v>
      </c>
      <c r="K57" s="6">
        <f t="shared" si="0"/>
        <v>3.0000000000000001E-3</v>
      </c>
    </row>
    <row r="58" spans="1:11" x14ac:dyDescent="0.3">
      <c r="A58" s="31">
        <v>45808</v>
      </c>
      <c r="B58" t="s">
        <v>368</v>
      </c>
      <c r="C58" t="s">
        <v>192</v>
      </c>
      <c r="D58" t="s">
        <v>372</v>
      </c>
      <c r="E58" s="4">
        <v>459376.92</v>
      </c>
      <c r="F58" s="4">
        <v>69724.53</v>
      </c>
      <c r="G58" s="4">
        <v>389652.39</v>
      </c>
      <c r="H58" s="6">
        <v>0.84819999999999995</v>
      </c>
      <c r="I58" s="6">
        <v>0.2</v>
      </c>
      <c r="J58" s="4">
        <v>77930.478000000003</v>
      </c>
      <c r="K58" s="6">
        <f t="shared" si="0"/>
        <v>2E-3</v>
      </c>
    </row>
    <row r="59" spans="1:11" x14ac:dyDescent="0.3">
      <c r="A59" s="31">
        <v>45808</v>
      </c>
      <c r="B59" t="s">
        <v>368</v>
      </c>
      <c r="C59" t="s">
        <v>192</v>
      </c>
      <c r="D59" t="s">
        <v>371</v>
      </c>
      <c r="E59" s="4">
        <v>240797.67</v>
      </c>
      <c r="F59" s="4">
        <v>36548.43</v>
      </c>
      <c r="G59" s="4">
        <v>204249.24</v>
      </c>
      <c r="H59" s="6">
        <v>0.84819999999999995</v>
      </c>
      <c r="I59" s="6">
        <v>0.2</v>
      </c>
      <c r="J59" s="4">
        <v>40849.847999999998</v>
      </c>
      <c r="K59" s="6">
        <f t="shared" si="0"/>
        <v>2E-3</v>
      </c>
    </row>
    <row r="60" spans="1:11" x14ac:dyDescent="0.3">
      <c r="A60" s="31">
        <v>45808</v>
      </c>
      <c r="B60" t="s">
        <v>368</v>
      </c>
      <c r="C60" t="s">
        <v>192</v>
      </c>
      <c r="D60" t="s">
        <v>370</v>
      </c>
      <c r="E60" s="4">
        <v>78026.559999999998</v>
      </c>
      <c r="F60" s="4">
        <v>11842.92</v>
      </c>
      <c r="G60" s="4">
        <v>66183.64</v>
      </c>
      <c r="H60" s="6">
        <v>0.84819999999999995</v>
      </c>
      <c r="I60" s="6">
        <v>0.15</v>
      </c>
      <c r="J60" s="4">
        <v>9927.5460000000003</v>
      </c>
      <c r="K60" s="6">
        <f t="shared" si="0"/>
        <v>1.5E-3</v>
      </c>
    </row>
    <row r="61" spans="1:11" x14ac:dyDescent="0.3">
      <c r="A61" s="31">
        <v>45808</v>
      </c>
      <c r="B61" t="s">
        <v>368</v>
      </c>
      <c r="C61" t="s">
        <v>192</v>
      </c>
      <c r="D61" t="s">
        <v>369</v>
      </c>
      <c r="E61" s="4">
        <v>136127.32</v>
      </c>
      <c r="F61" s="4">
        <v>20661.5</v>
      </c>
      <c r="G61" s="4">
        <v>115465.82</v>
      </c>
      <c r="H61" s="6">
        <v>0.84819999999999995</v>
      </c>
      <c r="I61" s="6">
        <v>0.15</v>
      </c>
      <c r="J61" s="4">
        <v>17319.873</v>
      </c>
      <c r="K61" s="6">
        <f t="shared" si="0"/>
        <v>1.5E-3</v>
      </c>
    </row>
    <row r="62" spans="1:11" x14ac:dyDescent="0.3">
      <c r="A62" s="31">
        <v>45838</v>
      </c>
      <c r="B62" t="s">
        <v>368</v>
      </c>
      <c r="C62" t="s">
        <v>192</v>
      </c>
      <c r="D62" t="s">
        <v>378</v>
      </c>
      <c r="E62" s="4">
        <v>417077.23</v>
      </c>
      <c r="F62" s="4">
        <v>69736.31</v>
      </c>
      <c r="G62" s="4">
        <v>347340.92</v>
      </c>
      <c r="H62" s="6">
        <v>0.83279999999999998</v>
      </c>
      <c r="I62" s="6">
        <v>0.55000000000000004</v>
      </c>
      <c r="J62" s="4">
        <v>191037.50599999999</v>
      </c>
      <c r="K62" s="6">
        <f t="shared" si="0"/>
        <v>5.5000000000000005E-3</v>
      </c>
    </row>
    <row r="63" spans="1:11" x14ac:dyDescent="0.3">
      <c r="A63" s="31">
        <v>45838</v>
      </c>
      <c r="B63" t="s">
        <v>368</v>
      </c>
      <c r="C63" t="s">
        <v>192</v>
      </c>
      <c r="D63" t="s">
        <v>377</v>
      </c>
      <c r="E63" s="4">
        <v>488770.95</v>
      </c>
      <c r="F63" s="4">
        <v>81723.67</v>
      </c>
      <c r="G63" s="4">
        <v>407047.27</v>
      </c>
      <c r="H63" s="6">
        <v>0.83279999999999998</v>
      </c>
      <c r="I63" s="6">
        <v>0.55000000000000004</v>
      </c>
      <c r="J63" s="4">
        <v>223875.99849999999</v>
      </c>
      <c r="K63" s="6">
        <f t="shared" si="0"/>
        <v>5.5000000000000005E-3</v>
      </c>
    </row>
    <row r="64" spans="1:11" x14ac:dyDescent="0.3">
      <c r="A64" s="31">
        <v>45838</v>
      </c>
      <c r="B64" t="s">
        <v>368</v>
      </c>
      <c r="C64" t="s">
        <v>192</v>
      </c>
      <c r="D64" t="s">
        <v>376</v>
      </c>
      <c r="E64" s="4">
        <v>205748.63</v>
      </c>
      <c r="F64" s="4">
        <v>34401.660000000003</v>
      </c>
      <c r="G64" s="4">
        <v>171346.97</v>
      </c>
      <c r="H64" s="6">
        <v>0.83279999999999998</v>
      </c>
      <c r="I64" s="6">
        <v>0.5</v>
      </c>
      <c r="J64" s="4">
        <v>85673.485000000001</v>
      </c>
      <c r="K64" s="6">
        <f t="shared" si="0"/>
        <v>5.0000000000000001E-3</v>
      </c>
    </row>
    <row r="65" spans="1:11" x14ac:dyDescent="0.3">
      <c r="A65" s="31">
        <v>45838</v>
      </c>
      <c r="B65" t="s">
        <v>368</v>
      </c>
      <c r="C65" t="s">
        <v>192</v>
      </c>
      <c r="D65" t="s">
        <v>375</v>
      </c>
      <c r="E65" s="4">
        <v>291269.83</v>
      </c>
      <c r="F65" s="4">
        <v>48701.01</v>
      </c>
      <c r="G65" s="4">
        <v>242568.82</v>
      </c>
      <c r="H65" s="6">
        <v>0.83279999999999998</v>
      </c>
      <c r="I65" s="6">
        <v>0.4</v>
      </c>
      <c r="J65" s="4">
        <v>97027.528000000006</v>
      </c>
      <c r="K65" s="6">
        <f t="shared" si="0"/>
        <v>4.0000000000000001E-3</v>
      </c>
    </row>
    <row r="66" spans="1:11" x14ac:dyDescent="0.3">
      <c r="A66" s="31">
        <v>45838</v>
      </c>
      <c r="B66" t="s">
        <v>368</v>
      </c>
      <c r="C66" t="s">
        <v>192</v>
      </c>
      <c r="D66" t="s">
        <v>374</v>
      </c>
      <c r="E66" s="4">
        <v>101996.83</v>
      </c>
      <c r="F66" s="4">
        <v>17054.11</v>
      </c>
      <c r="G66" s="4">
        <v>84942.71</v>
      </c>
      <c r="H66" s="6">
        <v>0.83279999999999998</v>
      </c>
      <c r="I66" s="6">
        <v>0.35</v>
      </c>
      <c r="J66" s="4">
        <v>29729.948499999999</v>
      </c>
      <c r="K66" s="6">
        <f t="shared" ref="K66:K129" si="1">LEFT(I66,4)/100</f>
        <v>3.4999999999999996E-3</v>
      </c>
    </row>
    <row r="67" spans="1:11" x14ac:dyDescent="0.3">
      <c r="A67" s="31">
        <v>45838</v>
      </c>
      <c r="B67" t="s">
        <v>368</v>
      </c>
      <c r="C67" t="s">
        <v>192</v>
      </c>
      <c r="D67" t="s">
        <v>373</v>
      </c>
      <c r="E67" s="4">
        <v>177997.45</v>
      </c>
      <c r="F67" s="4">
        <v>29761.599999999999</v>
      </c>
      <c r="G67" s="4">
        <v>148235.85</v>
      </c>
      <c r="H67" s="6">
        <v>0.83279999999999998</v>
      </c>
      <c r="I67" s="6">
        <v>0.3</v>
      </c>
      <c r="J67" s="4">
        <v>44470.754999999997</v>
      </c>
      <c r="K67" s="6">
        <f t="shared" si="1"/>
        <v>3.0000000000000001E-3</v>
      </c>
    </row>
    <row r="68" spans="1:11" x14ac:dyDescent="0.3">
      <c r="A68" s="31">
        <v>45838</v>
      </c>
      <c r="B68" t="s">
        <v>368</v>
      </c>
      <c r="C68" t="s">
        <v>192</v>
      </c>
      <c r="D68" t="s">
        <v>372</v>
      </c>
      <c r="E68" s="4">
        <v>334707.59999999998</v>
      </c>
      <c r="F68" s="4">
        <v>55963.91</v>
      </c>
      <c r="G68" s="4">
        <v>278743.69</v>
      </c>
      <c r="H68" s="6">
        <v>0.83279999999999998</v>
      </c>
      <c r="I68" s="6">
        <v>0.2</v>
      </c>
      <c r="J68" s="4">
        <v>55748.737999999998</v>
      </c>
      <c r="K68" s="6">
        <f t="shared" si="1"/>
        <v>2E-3</v>
      </c>
    </row>
    <row r="69" spans="1:11" x14ac:dyDescent="0.3">
      <c r="A69" s="31">
        <v>45838</v>
      </c>
      <c r="B69" t="s">
        <v>368</v>
      </c>
      <c r="C69" t="s">
        <v>192</v>
      </c>
      <c r="D69" t="s">
        <v>371</v>
      </c>
      <c r="E69" s="4">
        <v>260976.35</v>
      </c>
      <c r="F69" s="4">
        <v>43635.87</v>
      </c>
      <c r="G69" s="4">
        <v>217340.48</v>
      </c>
      <c r="H69" s="6">
        <v>0.83279999999999998</v>
      </c>
      <c r="I69" s="6">
        <v>0.2</v>
      </c>
      <c r="J69" s="4">
        <v>43468.096000000012</v>
      </c>
      <c r="K69" s="6">
        <f t="shared" si="1"/>
        <v>2E-3</v>
      </c>
    </row>
    <row r="70" spans="1:11" x14ac:dyDescent="0.3">
      <c r="A70" s="31">
        <v>45838</v>
      </c>
      <c r="B70" t="s">
        <v>368</v>
      </c>
      <c r="C70" t="s">
        <v>192</v>
      </c>
      <c r="D70" t="s">
        <v>370</v>
      </c>
      <c r="E70" s="4">
        <v>114553</v>
      </c>
      <c r="F70" s="4">
        <v>19153.54</v>
      </c>
      <c r="G70" s="4">
        <v>95399.47</v>
      </c>
      <c r="H70" s="6">
        <v>0.83279999999999998</v>
      </c>
      <c r="I70" s="6">
        <v>0.15</v>
      </c>
      <c r="J70" s="4">
        <v>14309.9205</v>
      </c>
      <c r="K70" s="6">
        <f t="shared" si="1"/>
        <v>1.5E-3</v>
      </c>
    </row>
    <row r="71" spans="1:11" x14ac:dyDescent="0.3">
      <c r="A71" s="31">
        <v>45838</v>
      </c>
      <c r="B71" t="s">
        <v>368</v>
      </c>
      <c r="C71" t="s">
        <v>192</v>
      </c>
      <c r="D71" t="s">
        <v>369</v>
      </c>
      <c r="E71" s="4">
        <v>165688.78</v>
      </c>
      <c r="F71" s="4">
        <v>27703.57</v>
      </c>
      <c r="G71" s="4">
        <v>137985.22</v>
      </c>
      <c r="H71" s="6">
        <v>0.83279999999999998</v>
      </c>
      <c r="I71" s="6">
        <v>0.15</v>
      </c>
      <c r="J71" s="4">
        <v>20697.782999999999</v>
      </c>
      <c r="K71" s="6">
        <f t="shared" si="1"/>
        <v>1.5E-3</v>
      </c>
    </row>
    <row r="72" spans="1:11" x14ac:dyDescent="0.3">
      <c r="A72" s="31">
        <v>45869</v>
      </c>
      <c r="B72" t="s">
        <v>368</v>
      </c>
      <c r="C72" t="s">
        <v>192</v>
      </c>
      <c r="D72" t="s">
        <v>378</v>
      </c>
      <c r="E72" s="4">
        <v>531231.93000000005</v>
      </c>
      <c r="F72" s="4">
        <v>67767.149999999994</v>
      </c>
      <c r="G72" s="4">
        <v>463464.78</v>
      </c>
      <c r="H72" s="6">
        <v>0.87239999999999995</v>
      </c>
      <c r="I72" s="6">
        <v>0.55000000000000004</v>
      </c>
      <c r="J72" s="4">
        <v>254905.62899999999</v>
      </c>
      <c r="K72" s="6">
        <f t="shared" si="1"/>
        <v>5.5000000000000005E-3</v>
      </c>
    </row>
    <row r="73" spans="1:11" x14ac:dyDescent="0.3">
      <c r="A73" s="31">
        <v>45869</v>
      </c>
      <c r="B73" t="s">
        <v>368</v>
      </c>
      <c r="C73" t="s">
        <v>192</v>
      </c>
      <c r="D73" t="s">
        <v>377</v>
      </c>
      <c r="E73" s="4">
        <v>549389.73</v>
      </c>
      <c r="F73" s="4">
        <v>70083.47</v>
      </c>
      <c r="G73" s="4">
        <v>479306.26</v>
      </c>
      <c r="H73" s="6">
        <v>0.87239999999999995</v>
      </c>
      <c r="I73" s="6">
        <v>0.55000000000000004</v>
      </c>
      <c r="J73" s="4">
        <v>263618.44300000003</v>
      </c>
      <c r="K73" s="6">
        <f t="shared" si="1"/>
        <v>5.5000000000000005E-3</v>
      </c>
    </row>
    <row r="74" spans="1:11" x14ac:dyDescent="0.3">
      <c r="A74" s="31">
        <v>45869</v>
      </c>
      <c r="B74" t="s">
        <v>368</v>
      </c>
      <c r="C74" t="s">
        <v>192</v>
      </c>
      <c r="D74" t="s">
        <v>376</v>
      </c>
      <c r="E74" s="4">
        <v>258567.61</v>
      </c>
      <c r="F74" s="4">
        <v>32984.449999999997</v>
      </c>
      <c r="G74" s="4">
        <v>225583.16</v>
      </c>
      <c r="H74" s="6">
        <v>0.87239999999999995</v>
      </c>
      <c r="I74" s="6">
        <v>0.5</v>
      </c>
      <c r="J74" s="4">
        <v>112791.58</v>
      </c>
      <c r="K74" s="6">
        <f t="shared" si="1"/>
        <v>5.0000000000000001E-3</v>
      </c>
    </row>
    <row r="75" spans="1:11" x14ac:dyDescent="0.3">
      <c r="A75" s="31">
        <v>45869</v>
      </c>
      <c r="B75" t="s">
        <v>368</v>
      </c>
      <c r="C75" t="s">
        <v>192</v>
      </c>
      <c r="D75" t="s">
        <v>375</v>
      </c>
      <c r="E75" s="4">
        <v>395902</v>
      </c>
      <c r="F75" s="4">
        <v>50503.65</v>
      </c>
      <c r="G75" s="4">
        <v>345398.35</v>
      </c>
      <c r="H75" s="6">
        <v>0.87239999999999995</v>
      </c>
      <c r="I75" s="6">
        <v>0.4</v>
      </c>
      <c r="J75" s="4">
        <v>138159.34</v>
      </c>
      <c r="K75" s="6">
        <f t="shared" si="1"/>
        <v>4.0000000000000001E-3</v>
      </c>
    </row>
    <row r="76" spans="1:11" x14ac:dyDescent="0.3">
      <c r="A76" s="31">
        <v>45869</v>
      </c>
      <c r="B76" t="s">
        <v>368</v>
      </c>
      <c r="C76" t="s">
        <v>192</v>
      </c>
      <c r="D76" t="s">
        <v>374</v>
      </c>
      <c r="E76" s="4">
        <v>178413.13</v>
      </c>
      <c r="F76" s="4">
        <v>22759.46</v>
      </c>
      <c r="G76" s="4">
        <v>155653.68</v>
      </c>
      <c r="H76" s="6">
        <v>0.87239999999999995</v>
      </c>
      <c r="I76" s="6">
        <v>0.35</v>
      </c>
      <c r="J76" s="4">
        <v>54478.787999999993</v>
      </c>
      <c r="K76" s="6">
        <f t="shared" si="1"/>
        <v>3.4999999999999996E-3</v>
      </c>
    </row>
    <row r="77" spans="1:11" x14ac:dyDescent="0.3">
      <c r="A77" s="31">
        <v>45869</v>
      </c>
      <c r="B77" t="s">
        <v>368</v>
      </c>
      <c r="C77" t="s">
        <v>192</v>
      </c>
      <c r="D77" t="s">
        <v>373</v>
      </c>
      <c r="E77" s="4">
        <v>157732.81</v>
      </c>
      <c r="F77" s="4">
        <v>20121.349999999999</v>
      </c>
      <c r="G77" s="4">
        <v>137611.46</v>
      </c>
      <c r="H77" s="6">
        <v>0.87239999999999995</v>
      </c>
      <c r="I77" s="6">
        <v>0.3</v>
      </c>
      <c r="J77" s="4">
        <v>41283.437999999987</v>
      </c>
      <c r="K77" s="6">
        <f t="shared" si="1"/>
        <v>3.0000000000000001E-3</v>
      </c>
    </row>
    <row r="78" spans="1:11" x14ac:dyDescent="0.3">
      <c r="A78" s="31">
        <v>45869</v>
      </c>
      <c r="B78" t="s">
        <v>368</v>
      </c>
      <c r="C78" t="s">
        <v>192</v>
      </c>
      <c r="D78" t="s">
        <v>372</v>
      </c>
      <c r="E78" s="4">
        <v>201141.24</v>
      </c>
      <c r="F78" s="4">
        <v>25658.79</v>
      </c>
      <c r="G78" s="4">
        <v>175482.45</v>
      </c>
      <c r="H78" s="6">
        <v>0.87239999999999995</v>
      </c>
      <c r="I78" s="6">
        <v>0.2</v>
      </c>
      <c r="J78" s="4">
        <v>35096.490000000013</v>
      </c>
      <c r="K78" s="6">
        <f t="shared" si="1"/>
        <v>2E-3</v>
      </c>
    </row>
    <row r="79" spans="1:11" x14ac:dyDescent="0.3">
      <c r="A79" s="31">
        <v>45869</v>
      </c>
      <c r="B79" t="s">
        <v>368</v>
      </c>
      <c r="C79" t="s">
        <v>192</v>
      </c>
      <c r="D79" t="s">
        <v>371</v>
      </c>
      <c r="E79" s="4">
        <v>62532.06</v>
      </c>
      <c r="F79" s="4">
        <v>7976.97</v>
      </c>
      <c r="G79" s="4">
        <v>54555.09</v>
      </c>
      <c r="H79" s="6">
        <v>0.87239999999999995</v>
      </c>
      <c r="I79" s="6">
        <v>0.2</v>
      </c>
      <c r="J79" s="4">
        <v>10911.018</v>
      </c>
      <c r="K79" s="6">
        <f t="shared" si="1"/>
        <v>2E-3</v>
      </c>
    </row>
    <row r="80" spans="1:11" x14ac:dyDescent="0.3">
      <c r="A80" s="31">
        <v>45869</v>
      </c>
      <c r="B80" t="s">
        <v>368</v>
      </c>
      <c r="C80" t="s">
        <v>192</v>
      </c>
      <c r="D80" t="s">
        <v>370</v>
      </c>
      <c r="E80" s="4">
        <v>141279.72</v>
      </c>
      <c r="F80" s="4">
        <v>18022.490000000002</v>
      </c>
      <c r="G80" s="4">
        <v>123257.22</v>
      </c>
      <c r="H80" s="6">
        <v>0.87239999999999995</v>
      </c>
      <c r="I80" s="6">
        <v>0.15</v>
      </c>
      <c r="J80" s="4">
        <v>18488.582999999999</v>
      </c>
      <c r="K80" s="6">
        <f t="shared" si="1"/>
        <v>1.5E-3</v>
      </c>
    </row>
    <row r="81" spans="1:11" x14ac:dyDescent="0.3">
      <c r="A81" s="31">
        <v>45869</v>
      </c>
      <c r="B81" t="s">
        <v>368</v>
      </c>
      <c r="C81" t="s">
        <v>192</v>
      </c>
      <c r="D81" t="s">
        <v>369</v>
      </c>
      <c r="E81" s="4">
        <v>123559.45</v>
      </c>
      <c r="F81" s="4">
        <v>15761.99</v>
      </c>
      <c r="G81" s="4">
        <v>107797.45</v>
      </c>
      <c r="H81" s="6">
        <v>0.87239999999999995</v>
      </c>
      <c r="I81" s="6">
        <v>0.15</v>
      </c>
      <c r="J81" s="4">
        <v>16169.6175</v>
      </c>
      <c r="K81" s="6">
        <f t="shared" si="1"/>
        <v>1.5E-3</v>
      </c>
    </row>
    <row r="82" spans="1:11" x14ac:dyDescent="0.3">
      <c r="A82" s="31">
        <v>45900</v>
      </c>
      <c r="B82" t="s">
        <v>368</v>
      </c>
      <c r="C82" t="s">
        <v>192</v>
      </c>
      <c r="D82" t="s">
        <v>378</v>
      </c>
      <c r="E82" s="4">
        <v>449135.45</v>
      </c>
      <c r="F82" s="4">
        <v>95124.25</v>
      </c>
      <c r="G82" s="4">
        <v>354011.2</v>
      </c>
      <c r="H82" s="6">
        <v>0.78820000000000001</v>
      </c>
      <c r="I82" s="6">
        <v>0.55000000000000004</v>
      </c>
      <c r="J82" s="4">
        <v>194706.16</v>
      </c>
      <c r="K82" s="6">
        <f t="shared" si="1"/>
        <v>5.5000000000000005E-3</v>
      </c>
    </row>
    <row r="83" spans="1:11" x14ac:dyDescent="0.3">
      <c r="A83" s="31">
        <v>45900</v>
      </c>
      <c r="B83" t="s">
        <v>368</v>
      </c>
      <c r="C83" t="s">
        <v>192</v>
      </c>
      <c r="D83" t="s">
        <v>377</v>
      </c>
      <c r="E83" s="4">
        <v>666406.99</v>
      </c>
      <c r="F83" s="4">
        <v>141141.09</v>
      </c>
      <c r="G83" s="4">
        <v>525265.9</v>
      </c>
      <c r="H83" s="6">
        <v>0.78820000000000001</v>
      </c>
      <c r="I83" s="6">
        <v>0.55000000000000004</v>
      </c>
      <c r="J83" s="4">
        <v>288896.24500000011</v>
      </c>
      <c r="K83" s="6">
        <f t="shared" si="1"/>
        <v>5.5000000000000005E-3</v>
      </c>
    </row>
    <row r="84" spans="1:11" x14ac:dyDescent="0.3">
      <c r="A84" s="31">
        <v>45900</v>
      </c>
      <c r="B84" t="s">
        <v>368</v>
      </c>
      <c r="C84" t="s">
        <v>192</v>
      </c>
      <c r="D84" t="s">
        <v>376</v>
      </c>
      <c r="E84" s="4">
        <v>210336.41</v>
      </c>
      <c r="F84" s="4">
        <v>44548.02</v>
      </c>
      <c r="G84" s="4">
        <v>165788.4</v>
      </c>
      <c r="H84" s="6">
        <v>0.78820000000000001</v>
      </c>
      <c r="I84" s="6">
        <v>0.5</v>
      </c>
      <c r="J84" s="4">
        <v>82894.2</v>
      </c>
      <c r="K84" s="6">
        <f t="shared" si="1"/>
        <v>5.0000000000000001E-3</v>
      </c>
    </row>
    <row r="85" spans="1:11" x14ac:dyDescent="0.3">
      <c r="A85" s="31">
        <v>45900</v>
      </c>
      <c r="B85" t="s">
        <v>368</v>
      </c>
      <c r="C85" t="s">
        <v>192</v>
      </c>
      <c r="D85" t="s">
        <v>375</v>
      </c>
      <c r="E85" s="4">
        <v>201399.81</v>
      </c>
      <c r="F85" s="4">
        <v>42655.3</v>
      </c>
      <c r="G85" s="4">
        <v>158744.51</v>
      </c>
      <c r="H85" s="6">
        <v>0.78820000000000001</v>
      </c>
      <c r="I85" s="6">
        <v>0.4</v>
      </c>
      <c r="J85" s="4">
        <v>63497.803999999996</v>
      </c>
      <c r="K85" s="6">
        <f t="shared" si="1"/>
        <v>4.0000000000000001E-3</v>
      </c>
    </row>
    <row r="86" spans="1:11" x14ac:dyDescent="0.3">
      <c r="A86" s="31">
        <v>45900</v>
      </c>
      <c r="B86" t="s">
        <v>368</v>
      </c>
      <c r="C86" t="s">
        <v>192</v>
      </c>
      <c r="D86" t="s">
        <v>374</v>
      </c>
      <c r="E86" s="4">
        <v>243041.81</v>
      </c>
      <c r="F86" s="4">
        <v>51474.83</v>
      </c>
      <c r="G86" s="4">
        <v>191566.98</v>
      </c>
      <c r="H86" s="6">
        <v>0.78820000000000001</v>
      </c>
      <c r="I86" s="6">
        <v>0.35</v>
      </c>
      <c r="J86" s="4">
        <v>67048.442999999999</v>
      </c>
      <c r="K86" s="6">
        <f t="shared" si="1"/>
        <v>3.4999999999999996E-3</v>
      </c>
    </row>
    <row r="87" spans="1:11" x14ac:dyDescent="0.3">
      <c r="A87" s="31">
        <v>45900</v>
      </c>
      <c r="B87" t="s">
        <v>368</v>
      </c>
      <c r="C87" t="s">
        <v>192</v>
      </c>
      <c r="D87" t="s">
        <v>373</v>
      </c>
      <c r="E87" s="4">
        <v>176270.21</v>
      </c>
      <c r="F87" s="4">
        <v>37333</v>
      </c>
      <c r="G87" s="4">
        <v>138937.22</v>
      </c>
      <c r="H87" s="6">
        <v>0.78820000000000001</v>
      </c>
      <c r="I87" s="6">
        <v>0.3</v>
      </c>
      <c r="J87" s="4">
        <v>41681.165999999997</v>
      </c>
      <c r="K87" s="6">
        <f t="shared" si="1"/>
        <v>3.0000000000000001E-3</v>
      </c>
    </row>
    <row r="88" spans="1:11" x14ac:dyDescent="0.3">
      <c r="A88" s="31">
        <v>45900</v>
      </c>
      <c r="B88" t="s">
        <v>368</v>
      </c>
      <c r="C88" t="s">
        <v>192</v>
      </c>
      <c r="D88" t="s">
        <v>372</v>
      </c>
      <c r="E88" s="4">
        <v>267660.31</v>
      </c>
      <c r="F88" s="4">
        <v>56688.88</v>
      </c>
      <c r="G88" s="4">
        <v>210971.43</v>
      </c>
      <c r="H88" s="6">
        <v>0.78820000000000001</v>
      </c>
      <c r="I88" s="6">
        <v>0.2</v>
      </c>
      <c r="J88" s="4">
        <v>42194.286</v>
      </c>
      <c r="K88" s="6">
        <f t="shared" si="1"/>
        <v>2E-3</v>
      </c>
    </row>
    <row r="89" spans="1:11" x14ac:dyDescent="0.3">
      <c r="A89" s="31">
        <v>45900</v>
      </c>
      <c r="B89" t="s">
        <v>368</v>
      </c>
      <c r="C89" t="s">
        <v>192</v>
      </c>
      <c r="D89" t="s">
        <v>371</v>
      </c>
      <c r="E89" s="4">
        <v>89379.36</v>
      </c>
      <c r="F89" s="4">
        <v>18930.02</v>
      </c>
      <c r="G89" s="4">
        <v>70449.34</v>
      </c>
      <c r="H89" s="6">
        <v>0.78820000000000001</v>
      </c>
      <c r="I89" s="6">
        <v>0.2</v>
      </c>
      <c r="J89" s="4">
        <v>14089.868</v>
      </c>
      <c r="K89" s="6">
        <f t="shared" si="1"/>
        <v>2E-3</v>
      </c>
    </row>
    <row r="90" spans="1:11" x14ac:dyDescent="0.3">
      <c r="A90" s="31">
        <v>45900</v>
      </c>
      <c r="B90" t="s">
        <v>368</v>
      </c>
      <c r="C90" t="s">
        <v>192</v>
      </c>
      <c r="D90" t="s">
        <v>370</v>
      </c>
      <c r="E90" s="4">
        <v>118834.18</v>
      </c>
      <c r="F90" s="4">
        <v>25168.38</v>
      </c>
      <c r="G90" s="4">
        <v>93665.8</v>
      </c>
      <c r="H90" s="6">
        <v>0.78820000000000001</v>
      </c>
      <c r="I90" s="6">
        <v>0.15</v>
      </c>
      <c r="J90" s="4">
        <v>14049.87</v>
      </c>
      <c r="K90" s="6">
        <f t="shared" si="1"/>
        <v>1.5E-3</v>
      </c>
    </row>
    <row r="91" spans="1:11" x14ac:dyDescent="0.3">
      <c r="A91" s="31">
        <v>45900</v>
      </c>
      <c r="B91" t="s">
        <v>368</v>
      </c>
      <c r="C91" t="s">
        <v>192</v>
      </c>
      <c r="D91" t="s">
        <v>369</v>
      </c>
      <c r="E91" s="4">
        <v>117693.88</v>
      </c>
      <c r="F91" s="4">
        <v>24926.86</v>
      </c>
      <c r="G91" s="4">
        <v>92767</v>
      </c>
      <c r="H91" s="6">
        <v>0.78820000000000001</v>
      </c>
      <c r="I91" s="6">
        <v>0.15</v>
      </c>
      <c r="J91" s="4">
        <v>13915.05</v>
      </c>
      <c r="K91" s="6">
        <f t="shared" si="1"/>
        <v>1.5E-3</v>
      </c>
    </row>
    <row r="92" spans="1:11" x14ac:dyDescent="0.3">
      <c r="A92" s="31">
        <v>45930</v>
      </c>
      <c r="B92" t="s">
        <v>368</v>
      </c>
      <c r="C92" t="s">
        <v>192</v>
      </c>
      <c r="D92" t="s">
        <v>378</v>
      </c>
      <c r="E92" s="4">
        <v>520106.37</v>
      </c>
      <c r="F92" s="4">
        <v>108490.99</v>
      </c>
      <c r="G92" s="4">
        <v>411615.37</v>
      </c>
      <c r="H92" s="6">
        <v>0.79139999999999999</v>
      </c>
      <c r="I92" s="6">
        <v>0.55000000000000004</v>
      </c>
      <c r="J92" s="4">
        <v>226388.4535</v>
      </c>
      <c r="K92" s="6">
        <f t="shared" si="1"/>
        <v>5.5000000000000005E-3</v>
      </c>
    </row>
    <row r="93" spans="1:11" x14ac:dyDescent="0.3">
      <c r="A93" s="31">
        <v>45930</v>
      </c>
      <c r="B93" t="s">
        <v>368</v>
      </c>
      <c r="C93" t="s">
        <v>192</v>
      </c>
      <c r="D93" t="s">
        <v>377</v>
      </c>
      <c r="E93" s="4">
        <v>646683.41</v>
      </c>
      <c r="F93" s="4">
        <v>134894.19</v>
      </c>
      <c r="G93" s="4">
        <v>511789.22</v>
      </c>
      <c r="H93" s="6">
        <v>0.79139999999999999</v>
      </c>
      <c r="I93" s="6">
        <v>0.55000000000000004</v>
      </c>
      <c r="J93" s="4">
        <v>281484.071</v>
      </c>
      <c r="K93" s="6">
        <f t="shared" si="1"/>
        <v>5.5000000000000005E-3</v>
      </c>
    </row>
    <row r="94" spans="1:11" x14ac:dyDescent="0.3">
      <c r="A94" s="31">
        <v>45930</v>
      </c>
      <c r="B94" t="s">
        <v>368</v>
      </c>
      <c r="C94" t="s">
        <v>192</v>
      </c>
      <c r="D94" t="s">
        <v>376</v>
      </c>
      <c r="E94" s="4">
        <v>274237.5</v>
      </c>
      <c r="F94" s="4">
        <v>57204.26</v>
      </c>
      <c r="G94" s="4">
        <v>217033.24</v>
      </c>
      <c r="H94" s="6">
        <v>0.79139999999999999</v>
      </c>
      <c r="I94" s="6">
        <v>0.5</v>
      </c>
      <c r="J94" s="4">
        <v>108516.62</v>
      </c>
      <c r="K94" s="6">
        <f t="shared" si="1"/>
        <v>5.0000000000000001E-3</v>
      </c>
    </row>
    <row r="95" spans="1:11" x14ac:dyDescent="0.3">
      <c r="A95" s="31">
        <v>45930</v>
      </c>
      <c r="B95" t="s">
        <v>368</v>
      </c>
      <c r="C95" t="s">
        <v>192</v>
      </c>
      <c r="D95" t="s">
        <v>375</v>
      </c>
      <c r="E95" s="4">
        <v>170629.24</v>
      </c>
      <c r="F95" s="4">
        <v>35592.21</v>
      </c>
      <c r="G95" s="4">
        <v>135037.03</v>
      </c>
      <c r="H95" s="6">
        <v>0.79139999999999999</v>
      </c>
      <c r="I95" s="6">
        <v>0.4</v>
      </c>
      <c r="J95" s="4">
        <v>54014.812000000013</v>
      </c>
      <c r="K95" s="6">
        <f t="shared" si="1"/>
        <v>4.0000000000000001E-3</v>
      </c>
    </row>
    <row r="96" spans="1:11" x14ac:dyDescent="0.3">
      <c r="A96" s="31">
        <v>45930</v>
      </c>
      <c r="B96" t="s">
        <v>368</v>
      </c>
      <c r="C96" t="s">
        <v>192</v>
      </c>
      <c r="D96" t="s">
        <v>374</v>
      </c>
      <c r="E96" s="4">
        <v>177517.74</v>
      </c>
      <c r="F96" s="4">
        <v>37029.11</v>
      </c>
      <c r="G96" s="4">
        <v>140488.63</v>
      </c>
      <c r="H96" s="6">
        <v>0.79139999999999999</v>
      </c>
      <c r="I96" s="6">
        <v>0.35</v>
      </c>
      <c r="J96" s="4">
        <v>49171.020499999999</v>
      </c>
      <c r="K96" s="6">
        <f t="shared" si="1"/>
        <v>3.4999999999999996E-3</v>
      </c>
    </row>
    <row r="97" spans="1:11" x14ac:dyDescent="0.3">
      <c r="A97" s="31">
        <v>45930</v>
      </c>
      <c r="B97" t="s">
        <v>368</v>
      </c>
      <c r="C97" t="s">
        <v>192</v>
      </c>
      <c r="D97" t="s">
        <v>373</v>
      </c>
      <c r="E97" s="4">
        <v>39904.980000000003</v>
      </c>
      <c r="F97" s="4">
        <v>8323.93</v>
      </c>
      <c r="G97" s="4">
        <v>31581.05</v>
      </c>
      <c r="H97" s="6">
        <v>0.79139999999999999</v>
      </c>
      <c r="I97" s="6">
        <v>0.3</v>
      </c>
      <c r="J97" s="4">
        <v>9474.3149999999987</v>
      </c>
      <c r="K97" s="6">
        <f t="shared" si="1"/>
        <v>3.0000000000000001E-3</v>
      </c>
    </row>
    <row r="98" spans="1:11" x14ac:dyDescent="0.3">
      <c r="A98" s="31">
        <v>45930</v>
      </c>
      <c r="B98" t="s">
        <v>368</v>
      </c>
      <c r="C98" t="s">
        <v>192</v>
      </c>
      <c r="D98" t="s">
        <v>372</v>
      </c>
      <c r="E98" s="4">
        <v>220353.27</v>
      </c>
      <c r="F98" s="4">
        <v>45964.34</v>
      </c>
      <c r="G98" s="4">
        <v>174388.93</v>
      </c>
      <c r="H98" s="6">
        <v>0.79139999999999999</v>
      </c>
      <c r="I98" s="6">
        <v>0.2</v>
      </c>
      <c r="J98" s="4">
        <v>34877.786</v>
      </c>
      <c r="K98" s="6">
        <f t="shared" si="1"/>
        <v>2E-3</v>
      </c>
    </row>
    <row r="99" spans="1:11" x14ac:dyDescent="0.3">
      <c r="A99" s="31">
        <v>45930</v>
      </c>
      <c r="B99" t="s">
        <v>368</v>
      </c>
      <c r="C99" t="s">
        <v>192</v>
      </c>
      <c r="D99" t="s">
        <v>371</v>
      </c>
      <c r="E99" s="4">
        <v>260289.33</v>
      </c>
      <c r="F99" s="4">
        <v>54294.75</v>
      </c>
      <c r="G99" s="4">
        <v>205994.58</v>
      </c>
      <c r="H99" s="6">
        <v>0.79139999999999999</v>
      </c>
      <c r="I99" s="6">
        <v>0.2</v>
      </c>
      <c r="J99" s="4">
        <v>41198.915999999997</v>
      </c>
      <c r="K99" s="6">
        <f t="shared" si="1"/>
        <v>2E-3</v>
      </c>
    </row>
    <row r="100" spans="1:11" x14ac:dyDescent="0.3">
      <c r="A100" s="31">
        <v>45930</v>
      </c>
      <c r="B100" t="s">
        <v>368</v>
      </c>
      <c r="C100" t="s">
        <v>192</v>
      </c>
      <c r="D100" t="s">
        <v>370</v>
      </c>
      <c r="E100" s="4">
        <v>247387.31</v>
      </c>
      <c r="F100" s="4">
        <v>51603.47</v>
      </c>
      <c r="G100" s="4">
        <v>195783.83</v>
      </c>
      <c r="H100" s="6">
        <v>0.79139999999999999</v>
      </c>
      <c r="I100" s="6">
        <v>0.15</v>
      </c>
      <c r="J100" s="4">
        <v>29367.574499999999</v>
      </c>
      <c r="K100" s="6">
        <f t="shared" si="1"/>
        <v>1.5E-3</v>
      </c>
    </row>
    <row r="101" spans="1:11" x14ac:dyDescent="0.3">
      <c r="A101" s="31">
        <v>45930</v>
      </c>
      <c r="B101" t="s">
        <v>368</v>
      </c>
      <c r="C101" t="s">
        <v>192</v>
      </c>
      <c r="D101" t="s">
        <v>369</v>
      </c>
      <c r="E101" s="4">
        <v>142825.60999999999</v>
      </c>
      <c r="F101" s="4">
        <v>29792.55</v>
      </c>
      <c r="G101" s="4">
        <v>113033.07</v>
      </c>
      <c r="H101" s="6">
        <v>0.79139999999999999</v>
      </c>
      <c r="I101" s="6">
        <v>0.15</v>
      </c>
      <c r="J101" s="4">
        <v>16954.960500000001</v>
      </c>
      <c r="K101" s="6">
        <f t="shared" si="1"/>
        <v>1.5E-3</v>
      </c>
    </row>
    <row r="102" spans="1:11" x14ac:dyDescent="0.3">
      <c r="A102" s="31">
        <v>45961</v>
      </c>
      <c r="B102" t="s">
        <v>368</v>
      </c>
      <c r="C102" t="s">
        <v>192</v>
      </c>
      <c r="D102" t="s">
        <v>378</v>
      </c>
      <c r="E102" s="4">
        <v>321000.09999999998</v>
      </c>
      <c r="F102" s="4">
        <v>73350.350000000006</v>
      </c>
      <c r="G102" s="4">
        <v>247649.75</v>
      </c>
      <c r="H102" s="6">
        <v>0.77149999999999996</v>
      </c>
      <c r="I102" s="6">
        <v>0.55000000000000004</v>
      </c>
      <c r="J102" s="4">
        <v>136207.36249999999</v>
      </c>
      <c r="K102" s="6">
        <f t="shared" si="1"/>
        <v>5.5000000000000005E-3</v>
      </c>
    </row>
    <row r="103" spans="1:11" x14ac:dyDescent="0.3">
      <c r="A103" s="31">
        <v>45961</v>
      </c>
      <c r="B103" t="s">
        <v>368</v>
      </c>
      <c r="C103" t="s">
        <v>192</v>
      </c>
      <c r="D103" t="s">
        <v>377</v>
      </c>
      <c r="E103" s="4">
        <v>512228.76</v>
      </c>
      <c r="F103" s="4">
        <v>117047.19</v>
      </c>
      <c r="G103" s="4">
        <v>395181.58</v>
      </c>
      <c r="H103" s="6">
        <v>0.77149999999999996</v>
      </c>
      <c r="I103" s="6">
        <v>0.55000000000000004</v>
      </c>
      <c r="J103" s="4">
        <v>217349.86900000001</v>
      </c>
      <c r="K103" s="6">
        <f t="shared" si="1"/>
        <v>5.5000000000000005E-3</v>
      </c>
    </row>
    <row r="104" spans="1:11" x14ac:dyDescent="0.3">
      <c r="A104" s="31">
        <v>45961</v>
      </c>
      <c r="B104" t="s">
        <v>368</v>
      </c>
      <c r="C104" t="s">
        <v>192</v>
      </c>
      <c r="D104" t="s">
        <v>376</v>
      </c>
      <c r="E104" s="4">
        <v>343715.24</v>
      </c>
      <c r="F104" s="4">
        <v>78540.89</v>
      </c>
      <c r="G104" s="4">
        <v>265174.34999999998</v>
      </c>
      <c r="H104" s="6">
        <v>0.77149999999999996</v>
      </c>
      <c r="I104" s="6">
        <v>0.5</v>
      </c>
      <c r="J104" s="4">
        <v>132587.17499999999</v>
      </c>
      <c r="K104" s="6">
        <f t="shared" si="1"/>
        <v>5.0000000000000001E-3</v>
      </c>
    </row>
    <row r="105" spans="1:11" x14ac:dyDescent="0.3">
      <c r="A105" s="31">
        <v>45961</v>
      </c>
      <c r="B105" t="s">
        <v>368</v>
      </c>
      <c r="C105" t="s">
        <v>192</v>
      </c>
      <c r="D105" t="s">
        <v>375</v>
      </c>
      <c r="E105" s="4">
        <v>200804.91</v>
      </c>
      <c r="F105" s="4">
        <v>45885.07</v>
      </c>
      <c r="G105" s="4">
        <v>154919.85</v>
      </c>
      <c r="H105" s="6">
        <v>0.77149999999999996</v>
      </c>
      <c r="I105" s="6">
        <v>0.4</v>
      </c>
      <c r="J105" s="4">
        <v>61967.94</v>
      </c>
      <c r="K105" s="6">
        <f t="shared" si="1"/>
        <v>4.0000000000000001E-3</v>
      </c>
    </row>
    <row r="106" spans="1:11" x14ac:dyDescent="0.3">
      <c r="A106" s="31">
        <v>45961</v>
      </c>
      <c r="B106" t="s">
        <v>368</v>
      </c>
      <c r="C106" t="s">
        <v>192</v>
      </c>
      <c r="D106" t="s">
        <v>374</v>
      </c>
      <c r="E106" s="4">
        <v>227514.71</v>
      </c>
      <c r="F106" s="4">
        <v>51988.41</v>
      </c>
      <c r="G106" s="4">
        <v>175526.3</v>
      </c>
      <c r="H106" s="6">
        <v>0.77149999999999996</v>
      </c>
      <c r="I106" s="6">
        <v>0.35</v>
      </c>
      <c r="J106" s="4">
        <v>61434.204999999987</v>
      </c>
      <c r="K106" s="6">
        <f t="shared" si="1"/>
        <v>3.4999999999999996E-3</v>
      </c>
    </row>
    <row r="107" spans="1:11" x14ac:dyDescent="0.3">
      <c r="A107" s="31">
        <v>45961</v>
      </c>
      <c r="B107" t="s">
        <v>368</v>
      </c>
      <c r="C107" t="s">
        <v>192</v>
      </c>
      <c r="D107" t="s">
        <v>373</v>
      </c>
      <c r="E107" s="4">
        <v>178290.41</v>
      </c>
      <c r="F107" s="4">
        <v>40740.370000000003</v>
      </c>
      <c r="G107" s="4">
        <v>137550.04</v>
      </c>
      <c r="H107" s="6">
        <v>0.77149999999999996</v>
      </c>
      <c r="I107" s="6">
        <v>0.3</v>
      </c>
      <c r="J107" s="4">
        <v>41265.012000000002</v>
      </c>
      <c r="K107" s="6">
        <f t="shared" si="1"/>
        <v>3.0000000000000001E-3</v>
      </c>
    </row>
    <row r="108" spans="1:11" x14ac:dyDescent="0.3">
      <c r="A108" s="31">
        <v>45961</v>
      </c>
      <c r="B108" t="s">
        <v>368</v>
      </c>
      <c r="C108" t="s">
        <v>192</v>
      </c>
      <c r="D108" t="s">
        <v>372</v>
      </c>
      <c r="E108" s="4">
        <v>339262.12</v>
      </c>
      <c r="F108" s="4">
        <v>77523.320000000007</v>
      </c>
      <c r="G108" s="4">
        <v>261738.79</v>
      </c>
      <c r="H108" s="6">
        <v>0.77149999999999996</v>
      </c>
      <c r="I108" s="6">
        <v>0.2</v>
      </c>
      <c r="J108" s="4">
        <v>52347.758000000002</v>
      </c>
      <c r="K108" s="6">
        <f t="shared" si="1"/>
        <v>2E-3</v>
      </c>
    </row>
    <row r="109" spans="1:11" x14ac:dyDescent="0.3">
      <c r="A109" s="31">
        <v>45961</v>
      </c>
      <c r="B109" t="s">
        <v>368</v>
      </c>
      <c r="C109" t="s">
        <v>192</v>
      </c>
      <c r="D109" t="s">
        <v>371</v>
      </c>
      <c r="E109" s="4">
        <v>156508.17000000001</v>
      </c>
      <c r="F109" s="4">
        <v>35763.01</v>
      </c>
      <c r="G109" s="4">
        <v>120745.16</v>
      </c>
      <c r="H109" s="6">
        <v>0.77149999999999996</v>
      </c>
      <c r="I109" s="6">
        <v>0.2</v>
      </c>
      <c r="J109" s="4">
        <v>24149.031999999999</v>
      </c>
      <c r="K109" s="6">
        <f t="shared" si="1"/>
        <v>2E-3</v>
      </c>
    </row>
    <row r="110" spans="1:11" x14ac:dyDescent="0.3">
      <c r="A110" s="31">
        <v>45961</v>
      </c>
      <c r="B110" t="s">
        <v>368</v>
      </c>
      <c r="C110" t="s">
        <v>192</v>
      </c>
      <c r="D110" t="s">
        <v>370</v>
      </c>
      <c r="E110" s="4">
        <v>198294.62</v>
      </c>
      <c r="F110" s="4">
        <v>45311.45</v>
      </c>
      <c r="G110" s="4">
        <v>152983.17000000001</v>
      </c>
      <c r="H110" s="6">
        <v>0.77149999999999996</v>
      </c>
      <c r="I110" s="6">
        <v>0.15</v>
      </c>
      <c r="J110" s="4">
        <v>22947.4755</v>
      </c>
      <c r="K110" s="6">
        <f t="shared" si="1"/>
        <v>1.5E-3</v>
      </c>
    </row>
    <row r="111" spans="1:11" x14ac:dyDescent="0.3">
      <c r="A111" s="31">
        <v>45961</v>
      </c>
      <c r="B111" t="s">
        <v>368</v>
      </c>
      <c r="C111" t="s">
        <v>192</v>
      </c>
      <c r="D111" t="s">
        <v>369</v>
      </c>
      <c r="E111" s="4">
        <v>209166.15</v>
      </c>
      <c r="F111" s="4">
        <v>47795.64</v>
      </c>
      <c r="G111" s="4">
        <v>161370.49</v>
      </c>
      <c r="H111" s="6">
        <v>0.77149999999999996</v>
      </c>
      <c r="I111" s="6">
        <v>0.15</v>
      </c>
      <c r="J111" s="4">
        <v>24205.573499999999</v>
      </c>
      <c r="K111" s="6">
        <f t="shared" si="1"/>
        <v>1.5E-3</v>
      </c>
    </row>
    <row r="112" spans="1:11" x14ac:dyDescent="0.3">
      <c r="A112" s="31">
        <v>45991</v>
      </c>
      <c r="B112" t="s">
        <v>368</v>
      </c>
      <c r="C112" t="s">
        <v>192</v>
      </c>
      <c r="D112" t="s">
        <v>378</v>
      </c>
      <c r="E112" s="4">
        <v>509606.38</v>
      </c>
      <c r="F112" s="4">
        <v>102764.28</v>
      </c>
      <c r="G112" s="4">
        <v>406842.1</v>
      </c>
      <c r="H112" s="6">
        <v>0.79830000000000001</v>
      </c>
      <c r="I112" s="6">
        <v>0.55000000000000004</v>
      </c>
      <c r="J112" s="4">
        <v>223763.155</v>
      </c>
      <c r="K112" s="6">
        <f t="shared" si="1"/>
        <v>5.5000000000000005E-3</v>
      </c>
    </row>
    <row r="113" spans="1:11" x14ac:dyDescent="0.3">
      <c r="A113" s="31">
        <v>45991</v>
      </c>
      <c r="B113" t="s">
        <v>368</v>
      </c>
      <c r="C113" t="s">
        <v>192</v>
      </c>
      <c r="D113" t="s">
        <v>377</v>
      </c>
      <c r="E113" s="4">
        <v>540013.75</v>
      </c>
      <c r="F113" s="4">
        <v>108896.05</v>
      </c>
      <c r="G113" s="4">
        <v>431117.7</v>
      </c>
      <c r="H113" s="6">
        <v>0.79830000000000001</v>
      </c>
      <c r="I113" s="6">
        <v>0.55000000000000004</v>
      </c>
      <c r="J113" s="4">
        <v>237114.73499999999</v>
      </c>
      <c r="K113" s="6">
        <f t="shared" si="1"/>
        <v>5.5000000000000005E-3</v>
      </c>
    </row>
    <row r="114" spans="1:11" x14ac:dyDescent="0.3">
      <c r="A114" s="31">
        <v>45991</v>
      </c>
      <c r="B114" t="s">
        <v>368</v>
      </c>
      <c r="C114" t="s">
        <v>192</v>
      </c>
      <c r="D114" t="s">
        <v>376</v>
      </c>
      <c r="E114" s="4">
        <v>280709.58</v>
      </c>
      <c r="F114" s="4">
        <v>56606.27</v>
      </c>
      <c r="G114" s="4">
        <v>224103.31</v>
      </c>
      <c r="H114" s="6">
        <v>0.79830000000000001</v>
      </c>
      <c r="I114" s="6">
        <v>0.5</v>
      </c>
      <c r="J114" s="4">
        <v>112051.655</v>
      </c>
      <c r="K114" s="6">
        <f t="shared" si="1"/>
        <v>5.0000000000000001E-3</v>
      </c>
    </row>
    <row r="115" spans="1:11" x14ac:dyDescent="0.3">
      <c r="A115" s="31">
        <v>45991</v>
      </c>
      <c r="B115" t="s">
        <v>368</v>
      </c>
      <c r="C115" t="s">
        <v>192</v>
      </c>
      <c r="D115" t="s">
        <v>375</v>
      </c>
      <c r="E115" s="4">
        <v>282324.46999999997</v>
      </c>
      <c r="F115" s="4">
        <v>56931.92</v>
      </c>
      <c r="G115" s="4">
        <v>225392.55</v>
      </c>
      <c r="H115" s="6">
        <v>0.79830000000000001</v>
      </c>
      <c r="I115" s="6">
        <v>0.4</v>
      </c>
      <c r="J115" s="4">
        <v>90157.02</v>
      </c>
      <c r="K115" s="6">
        <f t="shared" si="1"/>
        <v>4.0000000000000001E-3</v>
      </c>
    </row>
    <row r="116" spans="1:11" x14ac:dyDescent="0.3">
      <c r="A116" s="31">
        <v>45991</v>
      </c>
      <c r="B116" t="s">
        <v>368</v>
      </c>
      <c r="C116" t="s">
        <v>192</v>
      </c>
      <c r="D116" t="s">
        <v>374</v>
      </c>
      <c r="E116" s="4">
        <v>56074.51</v>
      </c>
      <c r="F116" s="4">
        <v>11307.66</v>
      </c>
      <c r="G116" s="4">
        <v>44766.84</v>
      </c>
      <c r="H116" s="6">
        <v>0.79830000000000001</v>
      </c>
      <c r="I116" s="6">
        <v>0.35</v>
      </c>
      <c r="J116" s="4">
        <v>15668.394</v>
      </c>
      <c r="K116" s="6">
        <f t="shared" si="1"/>
        <v>3.4999999999999996E-3</v>
      </c>
    </row>
    <row r="117" spans="1:11" x14ac:dyDescent="0.3">
      <c r="A117" s="31">
        <v>45991</v>
      </c>
      <c r="B117" t="s">
        <v>368</v>
      </c>
      <c r="C117" t="s">
        <v>192</v>
      </c>
      <c r="D117" t="s">
        <v>373</v>
      </c>
      <c r="E117" s="4">
        <v>94064.29</v>
      </c>
      <c r="F117" s="4">
        <v>18968.46</v>
      </c>
      <c r="G117" s="4">
        <v>75095.83</v>
      </c>
      <c r="H117" s="6">
        <v>0.79830000000000001</v>
      </c>
      <c r="I117" s="6">
        <v>0.3</v>
      </c>
      <c r="J117" s="4">
        <v>22528.749</v>
      </c>
      <c r="K117" s="6">
        <f t="shared" si="1"/>
        <v>3.0000000000000001E-3</v>
      </c>
    </row>
    <row r="118" spans="1:11" x14ac:dyDescent="0.3">
      <c r="A118" s="31">
        <v>45991</v>
      </c>
      <c r="B118" t="s">
        <v>368</v>
      </c>
      <c r="C118" t="s">
        <v>192</v>
      </c>
      <c r="D118" t="s">
        <v>372</v>
      </c>
      <c r="E118" s="4">
        <v>350140.75</v>
      </c>
      <c r="F118" s="4">
        <v>70607.360000000001</v>
      </c>
      <c r="G118" s="4">
        <v>279533.39</v>
      </c>
      <c r="H118" s="6">
        <v>0.79830000000000001</v>
      </c>
      <c r="I118" s="6">
        <v>0.2</v>
      </c>
      <c r="J118" s="4">
        <v>55906.678000000007</v>
      </c>
      <c r="K118" s="6">
        <f t="shared" si="1"/>
        <v>2E-3</v>
      </c>
    </row>
    <row r="119" spans="1:11" x14ac:dyDescent="0.3">
      <c r="A119" s="31">
        <v>45991</v>
      </c>
      <c r="B119" t="s">
        <v>368</v>
      </c>
      <c r="C119" t="s">
        <v>192</v>
      </c>
      <c r="D119" t="s">
        <v>371</v>
      </c>
      <c r="E119" s="4">
        <v>26346.89</v>
      </c>
      <c r="F119" s="4">
        <v>5312.96</v>
      </c>
      <c r="G119" s="4">
        <v>21033.93</v>
      </c>
      <c r="H119" s="6">
        <v>0.79830000000000001</v>
      </c>
      <c r="I119" s="6">
        <v>0.2</v>
      </c>
      <c r="J119" s="4">
        <v>4206.7860000000001</v>
      </c>
      <c r="K119" s="6">
        <f t="shared" si="1"/>
        <v>2E-3</v>
      </c>
    </row>
    <row r="120" spans="1:11" x14ac:dyDescent="0.3">
      <c r="A120" s="31">
        <v>45991</v>
      </c>
      <c r="B120" t="s">
        <v>368</v>
      </c>
      <c r="C120" t="s">
        <v>192</v>
      </c>
      <c r="D120" t="s">
        <v>370</v>
      </c>
      <c r="E120" s="4">
        <v>305714.75</v>
      </c>
      <c r="F120" s="4">
        <v>61648.67</v>
      </c>
      <c r="G120" s="4">
        <v>244066.08</v>
      </c>
      <c r="H120" s="6">
        <v>0.79830000000000001</v>
      </c>
      <c r="I120" s="6">
        <v>0.15</v>
      </c>
      <c r="J120" s="4">
        <v>36609.911999999997</v>
      </c>
      <c r="K120" s="6">
        <f t="shared" si="1"/>
        <v>1.5E-3</v>
      </c>
    </row>
    <row r="121" spans="1:11" x14ac:dyDescent="0.3">
      <c r="A121" s="31">
        <v>45991</v>
      </c>
      <c r="B121" t="s">
        <v>368</v>
      </c>
      <c r="C121" t="s">
        <v>192</v>
      </c>
      <c r="D121" t="s">
        <v>369</v>
      </c>
      <c r="E121" s="4">
        <v>220447.68</v>
      </c>
      <c r="F121" s="4">
        <v>44454.22</v>
      </c>
      <c r="G121" s="4">
        <v>175993.47</v>
      </c>
      <c r="H121" s="6">
        <v>0.79830000000000001</v>
      </c>
      <c r="I121" s="6">
        <v>0.15</v>
      </c>
      <c r="J121" s="4">
        <v>26399.020499999999</v>
      </c>
      <c r="K121" s="6">
        <f t="shared" si="1"/>
        <v>1.5E-3</v>
      </c>
    </row>
    <row r="122" spans="1:11" x14ac:dyDescent="0.3">
      <c r="A122" s="31">
        <v>45657</v>
      </c>
      <c r="B122" t="s">
        <v>368</v>
      </c>
      <c r="C122" t="s">
        <v>191</v>
      </c>
      <c r="D122" t="s">
        <v>378</v>
      </c>
      <c r="E122" s="4">
        <v>220035.42</v>
      </c>
      <c r="F122" s="4">
        <v>41127.85</v>
      </c>
      <c r="G122" s="4">
        <v>178907.58</v>
      </c>
      <c r="H122" s="6">
        <v>0.81310000000000004</v>
      </c>
      <c r="I122" s="6">
        <v>0.55000000000000004</v>
      </c>
      <c r="J122" s="4">
        <v>98399.168999999994</v>
      </c>
      <c r="K122" s="6">
        <f t="shared" si="1"/>
        <v>5.5000000000000005E-3</v>
      </c>
    </row>
    <row r="123" spans="1:11" x14ac:dyDescent="0.3">
      <c r="A123" s="31">
        <v>45657</v>
      </c>
      <c r="B123" t="s">
        <v>368</v>
      </c>
      <c r="C123" t="s">
        <v>191</v>
      </c>
      <c r="D123" t="s">
        <v>377</v>
      </c>
      <c r="E123" s="4">
        <v>255597.41</v>
      </c>
      <c r="F123" s="4">
        <v>47774.9</v>
      </c>
      <c r="G123" s="4">
        <v>207822.5</v>
      </c>
      <c r="H123" s="6">
        <v>0.81310000000000004</v>
      </c>
      <c r="I123" s="6">
        <v>0.55000000000000004</v>
      </c>
      <c r="J123" s="4">
        <v>114302.375</v>
      </c>
      <c r="K123" s="6">
        <f t="shared" si="1"/>
        <v>5.5000000000000005E-3</v>
      </c>
    </row>
    <row r="124" spans="1:11" x14ac:dyDescent="0.3">
      <c r="A124" s="31">
        <v>45657</v>
      </c>
      <c r="B124" t="s">
        <v>368</v>
      </c>
      <c r="C124" t="s">
        <v>191</v>
      </c>
      <c r="D124" t="s">
        <v>376</v>
      </c>
      <c r="E124" s="4">
        <v>94645.24</v>
      </c>
      <c r="F124" s="4">
        <v>17690.580000000002</v>
      </c>
      <c r="G124" s="4">
        <v>76954.66</v>
      </c>
      <c r="H124" s="6">
        <v>0.81310000000000004</v>
      </c>
      <c r="I124" s="6">
        <v>0.5</v>
      </c>
      <c r="J124" s="4">
        <v>38477.33</v>
      </c>
      <c r="K124" s="6">
        <f t="shared" si="1"/>
        <v>5.0000000000000001E-3</v>
      </c>
    </row>
    <row r="125" spans="1:11" x14ac:dyDescent="0.3">
      <c r="A125" s="31">
        <v>45657</v>
      </c>
      <c r="B125" t="s">
        <v>368</v>
      </c>
      <c r="C125" t="s">
        <v>191</v>
      </c>
      <c r="D125" t="s">
        <v>375</v>
      </c>
      <c r="E125" s="4">
        <v>161770.37</v>
      </c>
      <c r="F125" s="4">
        <v>30237.26</v>
      </c>
      <c r="G125" s="4">
        <v>131533.12</v>
      </c>
      <c r="H125" s="6">
        <v>0.81310000000000004</v>
      </c>
      <c r="I125" s="6">
        <v>0.4</v>
      </c>
      <c r="J125" s="4">
        <v>52613.248</v>
      </c>
      <c r="K125" s="6">
        <f t="shared" si="1"/>
        <v>4.0000000000000001E-3</v>
      </c>
    </row>
    <row r="126" spans="1:11" x14ac:dyDescent="0.3">
      <c r="A126" s="31">
        <v>45657</v>
      </c>
      <c r="B126" t="s">
        <v>368</v>
      </c>
      <c r="C126" t="s">
        <v>191</v>
      </c>
      <c r="D126" t="s">
        <v>374</v>
      </c>
      <c r="E126" s="4">
        <v>117553.18</v>
      </c>
      <c r="F126" s="4">
        <v>21972.41</v>
      </c>
      <c r="G126" s="4">
        <v>95580.77</v>
      </c>
      <c r="H126" s="6">
        <v>0.81310000000000004</v>
      </c>
      <c r="I126" s="6">
        <v>0.35</v>
      </c>
      <c r="J126" s="4">
        <v>33453.269500000002</v>
      </c>
      <c r="K126" s="6">
        <f t="shared" si="1"/>
        <v>3.4999999999999996E-3</v>
      </c>
    </row>
    <row r="127" spans="1:11" x14ac:dyDescent="0.3">
      <c r="A127" s="31">
        <v>45657</v>
      </c>
      <c r="B127" t="s">
        <v>368</v>
      </c>
      <c r="C127" t="s">
        <v>191</v>
      </c>
      <c r="D127" t="s">
        <v>373</v>
      </c>
      <c r="E127" s="4">
        <v>11816.71</v>
      </c>
      <c r="F127" s="4">
        <v>2208.7199999999998</v>
      </c>
      <c r="G127" s="4">
        <v>9607.99</v>
      </c>
      <c r="H127" s="6">
        <v>0.81310000000000004</v>
      </c>
      <c r="I127" s="6">
        <v>0.3</v>
      </c>
      <c r="J127" s="4">
        <v>2882.3969999999999</v>
      </c>
      <c r="K127" s="6">
        <f t="shared" si="1"/>
        <v>3.0000000000000001E-3</v>
      </c>
    </row>
    <row r="128" spans="1:11" x14ac:dyDescent="0.3">
      <c r="A128" s="31">
        <v>45657</v>
      </c>
      <c r="B128" t="s">
        <v>368</v>
      </c>
      <c r="C128" t="s">
        <v>191</v>
      </c>
      <c r="D128" t="s">
        <v>372</v>
      </c>
      <c r="E128" s="4">
        <v>115352.18</v>
      </c>
      <c r="F128" s="4">
        <v>21561.01</v>
      </c>
      <c r="G128" s="4">
        <v>93791.16</v>
      </c>
      <c r="H128" s="6">
        <v>0.81310000000000004</v>
      </c>
      <c r="I128" s="6">
        <v>0.2</v>
      </c>
      <c r="J128" s="4">
        <v>18758.232</v>
      </c>
      <c r="K128" s="6">
        <f t="shared" si="1"/>
        <v>2E-3</v>
      </c>
    </row>
    <row r="129" spans="1:11" x14ac:dyDescent="0.3">
      <c r="A129" s="31">
        <v>45657</v>
      </c>
      <c r="B129" t="s">
        <v>368</v>
      </c>
      <c r="C129" t="s">
        <v>191</v>
      </c>
      <c r="D129" t="s">
        <v>371</v>
      </c>
      <c r="E129" s="4">
        <v>87244.12</v>
      </c>
      <c r="F129" s="4">
        <v>16307.21</v>
      </c>
      <c r="G129" s="4">
        <v>70936.92</v>
      </c>
      <c r="H129" s="6">
        <v>0.81310000000000004</v>
      </c>
      <c r="I129" s="6">
        <v>0.2</v>
      </c>
      <c r="J129" s="4">
        <v>14187.384</v>
      </c>
      <c r="K129" s="6">
        <f t="shared" si="1"/>
        <v>2E-3</v>
      </c>
    </row>
    <row r="130" spans="1:11" x14ac:dyDescent="0.3">
      <c r="A130" s="31">
        <v>45657</v>
      </c>
      <c r="B130" t="s">
        <v>368</v>
      </c>
      <c r="C130" t="s">
        <v>191</v>
      </c>
      <c r="D130" t="s">
        <v>370</v>
      </c>
      <c r="E130" s="4">
        <v>109286.79</v>
      </c>
      <c r="F130" s="4">
        <v>20427.3</v>
      </c>
      <c r="G130" s="4">
        <v>88859.48</v>
      </c>
      <c r="H130" s="6">
        <v>0.81310000000000004</v>
      </c>
      <c r="I130" s="6">
        <v>0.15</v>
      </c>
      <c r="J130" s="4">
        <v>13328.922</v>
      </c>
      <c r="K130" s="6">
        <f t="shared" ref="K130:K193" si="2">LEFT(I130,4)/100</f>
        <v>1.5E-3</v>
      </c>
    </row>
    <row r="131" spans="1:11" x14ac:dyDescent="0.3">
      <c r="A131" s="31">
        <v>45657</v>
      </c>
      <c r="B131" t="s">
        <v>368</v>
      </c>
      <c r="C131" t="s">
        <v>191</v>
      </c>
      <c r="D131" t="s">
        <v>369</v>
      </c>
      <c r="E131" s="4">
        <v>33269.75</v>
      </c>
      <c r="F131" s="4">
        <v>6218.61</v>
      </c>
      <c r="G131" s="4">
        <v>27051.14</v>
      </c>
      <c r="H131" s="6">
        <v>0.81310000000000004</v>
      </c>
      <c r="I131" s="6">
        <v>0.15</v>
      </c>
      <c r="J131" s="4">
        <v>4057.6709999999998</v>
      </c>
      <c r="K131" s="6">
        <f t="shared" si="2"/>
        <v>1.5E-3</v>
      </c>
    </row>
    <row r="132" spans="1:11" x14ac:dyDescent="0.3">
      <c r="A132" s="31">
        <v>45688</v>
      </c>
      <c r="B132" t="s">
        <v>368</v>
      </c>
      <c r="C132" t="s">
        <v>191</v>
      </c>
      <c r="D132" t="s">
        <v>378</v>
      </c>
      <c r="E132" s="4">
        <v>275672.83</v>
      </c>
      <c r="F132" s="4">
        <v>36721.99</v>
      </c>
      <c r="G132" s="4">
        <v>238950.84</v>
      </c>
      <c r="H132" s="6">
        <v>0.86680000000000001</v>
      </c>
      <c r="I132" s="6">
        <v>0.55000000000000004</v>
      </c>
      <c r="J132" s="4">
        <v>131422.962</v>
      </c>
      <c r="K132" s="6">
        <f t="shared" si="2"/>
        <v>5.5000000000000005E-3</v>
      </c>
    </row>
    <row r="133" spans="1:11" x14ac:dyDescent="0.3">
      <c r="A133" s="31">
        <v>45688</v>
      </c>
      <c r="B133" t="s">
        <v>368</v>
      </c>
      <c r="C133" t="s">
        <v>191</v>
      </c>
      <c r="D133" t="s">
        <v>377</v>
      </c>
      <c r="E133" s="4">
        <v>252475.96</v>
      </c>
      <c r="F133" s="4">
        <v>33631.97</v>
      </c>
      <c r="G133" s="4">
        <v>218843.99</v>
      </c>
      <c r="H133" s="6">
        <v>0.86680000000000001</v>
      </c>
      <c r="I133" s="6">
        <v>0.55000000000000004</v>
      </c>
      <c r="J133" s="4">
        <v>120364.1945</v>
      </c>
      <c r="K133" s="6">
        <f t="shared" si="2"/>
        <v>5.5000000000000005E-3</v>
      </c>
    </row>
    <row r="134" spans="1:11" x14ac:dyDescent="0.3">
      <c r="A134" s="31">
        <v>45688</v>
      </c>
      <c r="B134" t="s">
        <v>368</v>
      </c>
      <c r="C134" t="s">
        <v>191</v>
      </c>
      <c r="D134" t="s">
        <v>376</v>
      </c>
      <c r="E134" s="4">
        <v>63125.98</v>
      </c>
      <c r="F134" s="4">
        <v>8408.92</v>
      </c>
      <c r="G134" s="4">
        <v>54717.06</v>
      </c>
      <c r="H134" s="6">
        <v>0.86680000000000001</v>
      </c>
      <c r="I134" s="6">
        <v>0.5</v>
      </c>
      <c r="J134" s="4">
        <v>27358.53</v>
      </c>
      <c r="K134" s="6">
        <f t="shared" si="2"/>
        <v>5.0000000000000001E-3</v>
      </c>
    </row>
    <row r="135" spans="1:11" x14ac:dyDescent="0.3">
      <c r="A135" s="31">
        <v>45688</v>
      </c>
      <c r="B135" t="s">
        <v>368</v>
      </c>
      <c r="C135" t="s">
        <v>191</v>
      </c>
      <c r="D135" t="s">
        <v>375</v>
      </c>
      <c r="E135" s="4">
        <v>65479.07</v>
      </c>
      <c r="F135" s="4">
        <v>8722.3799999999992</v>
      </c>
      <c r="G135" s="4">
        <v>56756.7</v>
      </c>
      <c r="H135" s="6">
        <v>0.86680000000000001</v>
      </c>
      <c r="I135" s="6">
        <v>0.4</v>
      </c>
      <c r="J135" s="4">
        <v>22702.68</v>
      </c>
      <c r="K135" s="6">
        <f t="shared" si="2"/>
        <v>4.0000000000000001E-3</v>
      </c>
    </row>
    <row r="136" spans="1:11" x14ac:dyDescent="0.3">
      <c r="A136" s="31">
        <v>45688</v>
      </c>
      <c r="B136" t="s">
        <v>368</v>
      </c>
      <c r="C136" t="s">
        <v>191</v>
      </c>
      <c r="D136" t="s">
        <v>374</v>
      </c>
      <c r="E136" s="4">
        <v>63806.26</v>
      </c>
      <c r="F136" s="4">
        <v>8499.5400000000009</v>
      </c>
      <c r="G136" s="4">
        <v>55306.720000000001</v>
      </c>
      <c r="H136" s="6">
        <v>0.86680000000000001</v>
      </c>
      <c r="I136" s="6">
        <v>0.35</v>
      </c>
      <c r="J136" s="4">
        <v>19357.351999999999</v>
      </c>
      <c r="K136" s="6">
        <f t="shared" si="2"/>
        <v>3.4999999999999996E-3</v>
      </c>
    </row>
    <row r="137" spans="1:11" x14ac:dyDescent="0.3">
      <c r="A137" s="31">
        <v>45688</v>
      </c>
      <c r="B137" t="s">
        <v>368</v>
      </c>
      <c r="C137" t="s">
        <v>191</v>
      </c>
      <c r="D137" t="s">
        <v>373</v>
      </c>
      <c r="E137" s="4">
        <v>68835.27</v>
      </c>
      <c r="F137" s="4">
        <v>9169.4500000000007</v>
      </c>
      <c r="G137" s="4">
        <v>59665.82</v>
      </c>
      <c r="H137" s="6">
        <v>0.86680000000000001</v>
      </c>
      <c r="I137" s="6">
        <v>0.3</v>
      </c>
      <c r="J137" s="4">
        <v>17899.745999999999</v>
      </c>
      <c r="K137" s="6">
        <f t="shared" si="2"/>
        <v>3.0000000000000001E-3</v>
      </c>
    </row>
    <row r="138" spans="1:11" x14ac:dyDescent="0.3">
      <c r="A138" s="31">
        <v>45688</v>
      </c>
      <c r="B138" t="s">
        <v>368</v>
      </c>
      <c r="C138" t="s">
        <v>191</v>
      </c>
      <c r="D138" t="s">
        <v>372</v>
      </c>
      <c r="E138" s="4">
        <v>95230.48</v>
      </c>
      <c r="F138" s="4">
        <v>12685.52</v>
      </c>
      <c r="G138" s="4">
        <v>82544.960000000006</v>
      </c>
      <c r="H138" s="6">
        <v>0.86680000000000001</v>
      </c>
      <c r="I138" s="6">
        <v>0.2</v>
      </c>
      <c r="J138" s="4">
        <v>16508.991999999998</v>
      </c>
      <c r="K138" s="6">
        <f t="shared" si="2"/>
        <v>2E-3</v>
      </c>
    </row>
    <row r="139" spans="1:11" x14ac:dyDescent="0.3">
      <c r="A139" s="31">
        <v>45688</v>
      </c>
      <c r="B139" t="s">
        <v>368</v>
      </c>
      <c r="C139" t="s">
        <v>191</v>
      </c>
      <c r="D139" t="s">
        <v>371</v>
      </c>
      <c r="E139" s="4">
        <v>128414.43</v>
      </c>
      <c r="F139" s="4">
        <v>17105.91</v>
      </c>
      <c r="G139" s="4">
        <v>111308.52</v>
      </c>
      <c r="H139" s="6">
        <v>0.86680000000000001</v>
      </c>
      <c r="I139" s="6">
        <v>0.2</v>
      </c>
      <c r="J139" s="4">
        <v>22261.704000000002</v>
      </c>
      <c r="K139" s="6">
        <f t="shared" si="2"/>
        <v>2E-3</v>
      </c>
    </row>
    <row r="140" spans="1:11" x14ac:dyDescent="0.3">
      <c r="A140" s="31">
        <v>45688</v>
      </c>
      <c r="B140" t="s">
        <v>368</v>
      </c>
      <c r="C140" t="s">
        <v>191</v>
      </c>
      <c r="D140" t="s">
        <v>370</v>
      </c>
      <c r="E140" s="4">
        <v>124159.51</v>
      </c>
      <c r="F140" s="4">
        <v>16539.11</v>
      </c>
      <c r="G140" s="4">
        <v>107620.4</v>
      </c>
      <c r="H140" s="6">
        <v>0.86680000000000001</v>
      </c>
      <c r="I140" s="6">
        <v>0.15</v>
      </c>
      <c r="J140" s="4">
        <v>16143.06</v>
      </c>
      <c r="K140" s="6">
        <f t="shared" si="2"/>
        <v>1.5E-3</v>
      </c>
    </row>
    <row r="141" spans="1:11" x14ac:dyDescent="0.3">
      <c r="A141" s="31">
        <v>45688</v>
      </c>
      <c r="B141" t="s">
        <v>368</v>
      </c>
      <c r="C141" t="s">
        <v>191</v>
      </c>
      <c r="D141" t="s">
        <v>369</v>
      </c>
      <c r="E141" s="4">
        <v>86364.29</v>
      </c>
      <c r="F141" s="4">
        <v>11504.46</v>
      </c>
      <c r="G141" s="4">
        <v>74859.820000000007</v>
      </c>
      <c r="H141" s="6">
        <v>0.86680000000000001</v>
      </c>
      <c r="I141" s="6">
        <v>0.15</v>
      </c>
      <c r="J141" s="4">
        <v>11228.973</v>
      </c>
      <c r="K141" s="6">
        <f t="shared" si="2"/>
        <v>1.5E-3</v>
      </c>
    </row>
    <row r="142" spans="1:11" x14ac:dyDescent="0.3">
      <c r="A142" s="31">
        <v>45716</v>
      </c>
      <c r="B142" t="s">
        <v>368</v>
      </c>
      <c r="C142" t="s">
        <v>191</v>
      </c>
      <c r="D142" t="s">
        <v>378</v>
      </c>
      <c r="E142" s="4">
        <v>272422.71999999997</v>
      </c>
      <c r="F142" s="4">
        <v>55401.85</v>
      </c>
      <c r="G142" s="4">
        <v>217020.87</v>
      </c>
      <c r="H142" s="6">
        <v>0.79659999999999997</v>
      </c>
      <c r="I142" s="6">
        <v>0.55000000000000004</v>
      </c>
      <c r="J142" s="4">
        <v>119361.4785</v>
      </c>
      <c r="K142" s="6">
        <f t="shared" si="2"/>
        <v>5.5000000000000005E-3</v>
      </c>
    </row>
    <row r="143" spans="1:11" x14ac:dyDescent="0.3">
      <c r="A143" s="31">
        <v>45716</v>
      </c>
      <c r="B143" t="s">
        <v>368</v>
      </c>
      <c r="C143" t="s">
        <v>191</v>
      </c>
      <c r="D143" t="s">
        <v>377</v>
      </c>
      <c r="E143" s="4">
        <v>205572.37</v>
      </c>
      <c r="F143" s="4">
        <v>41806.68</v>
      </c>
      <c r="G143" s="4">
        <v>163765.69</v>
      </c>
      <c r="H143" s="6">
        <v>0.79659999999999997</v>
      </c>
      <c r="I143" s="6">
        <v>0.55000000000000004</v>
      </c>
      <c r="J143" s="4">
        <v>90071.12950000001</v>
      </c>
      <c r="K143" s="6">
        <f t="shared" si="2"/>
        <v>5.5000000000000005E-3</v>
      </c>
    </row>
    <row r="144" spans="1:11" x14ac:dyDescent="0.3">
      <c r="A144" s="31">
        <v>45716</v>
      </c>
      <c r="B144" t="s">
        <v>368</v>
      </c>
      <c r="C144" t="s">
        <v>191</v>
      </c>
      <c r="D144" t="s">
        <v>376</v>
      </c>
      <c r="E144" s="4">
        <v>96253.05</v>
      </c>
      <c r="F144" s="4">
        <v>19574.72</v>
      </c>
      <c r="G144" s="4">
        <v>76678.34</v>
      </c>
      <c r="H144" s="6">
        <v>0.79659999999999997</v>
      </c>
      <c r="I144" s="6">
        <v>0.5</v>
      </c>
      <c r="J144" s="4">
        <v>38339.17</v>
      </c>
      <c r="K144" s="6">
        <f t="shared" si="2"/>
        <v>5.0000000000000001E-3</v>
      </c>
    </row>
    <row r="145" spans="1:11" x14ac:dyDescent="0.3">
      <c r="A145" s="31">
        <v>45716</v>
      </c>
      <c r="B145" t="s">
        <v>368</v>
      </c>
      <c r="C145" t="s">
        <v>191</v>
      </c>
      <c r="D145" t="s">
        <v>375</v>
      </c>
      <c r="E145" s="4">
        <v>171139.55</v>
      </c>
      <c r="F145" s="4">
        <v>34804.18</v>
      </c>
      <c r="G145" s="4">
        <v>136335.38</v>
      </c>
      <c r="H145" s="6">
        <v>0.79659999999999997</v>
      </c>
      <c r="I145" s="6">
        <v>0.4</v>
      </c>
      <c r="J145" s="4">
        <v>54534.152000000002</v>
      </c>
      <c r="K145" s="6">
        <f t="shared" si="2"/>
        <v>4.0000000000000001E-3</v>
      </c>
    </row>
    <row r="146" spans="1:11" x14ac:dyDescent="0.3">
      <c r="A146" s="31">
        <v>45716</v>
      </c>
      <c r="B146" t="s">
        <v>368</v>
      </c>
      <c r="C146" t="s">
        <v>191</v>
      </c>
      <c r="D146" t="s">
        <v>374</v>
      </c>
      <c r="E146" s="4">
        <v>88884.68</v>
      </c>
      <c r="F146" s="4">
        <v>18076.23</v>
      </c>
      <c r="G146" s="4">
        <v>70808.45</v>
      </c>
      <c r="H146" s="6">
        <v>0.79659999999999997</v>
      </c>
      <c r="I146" s="6">
        <v>0.35</v>
      </c>
      <c r="J146" s="4">
        <v>24782.9575</v>
      </c>
      <c r="K146" s="6">
        <f t="shared" si="2"/>
        <v>3.4999999999999996E-3</v>
      </c>
    </row>
    <row r="147" spans="1:11" x14ac:dyDescent="0.3">
      <c r="A147" s="31">
        <v>45716</v>
      </c>
      <c r="B147" t="s">
        <v>368</v>
      </c>
      <c r="C147" t="s">
        <v>191</v>
      </c>
      <c r="D147" t="s">
        <v>373</v>
      </c>
      <c r="E147" s="4">
        <v>84519.8</v>
      </c>
      <c r="F147" s="4">
        <v>17188.560000000001</v>
      </c>
      <c r="G147" s="4">
        <v>67331.25</v>
      </c>
      <c r="H147" s="6">
        <v>0.79659999999999997</v>
      </c>
      <c r="I147" s="6">
        <v>0.3</v>
      </c>
      <c r="J147" s="4">
        <v>20199.375</v>
      </c>
      <c r="K147" s="6">
        <f t="shared" si="2"/>
        <v>3.0000000000000001E-3</v>
      </c>
    </row>
    <row r="148" spans="1:11" x14ac:dyDescent="0.3">
      <c r="A148" s="31">
        <v>45716</v>
      </c>
      <c r="B148" t="s">
        <v>368</v>
      </c>
      <c r="C148" t="s">
        <v>191</v>
      </c>
      <c r="D148" t="s">
        <v>372</v>
      </c>
      <c r="E148" s="4">
        <v>91459.82</v>
      </c>
      <c r="F148" s="4">
        <v>18599.93</v>
      </c>
      <c r="G148" s="4">
        <v>72859.89</v>
      </c>
      <c r="H148" s="6">
        <v>0.79659999999999997</v>
      </c>
      <c r="I148" s="6">
        <v>0.2</v>
      </c>
      <c r="J148" s="4">
        <v>14571.977999999999</v>
      </c>
      <c r="K148" s="6">
        <f t="shared" si="2"/>
        <v>2E-3</v>
      </c>
    </row>
    <row r="149" spans="1:11" x14ac:dyDescent="0.3">
      <c r="A149" s="31">
        <v>45716</v>
      </c>
      <c r="B149" t="s">
        <v>368</v>
      </c>
      <c r="C149" t="s">
        <v>191</v>
      </c>
      <c r="D149" t="s">
        <v>371</v>
      </c>
      <c r="E149" s="4">
        <v>63761.35</v>
      </c>
      <c r="F149" s="4">
        <v>12966.97</v>
      </c>
      <c r="G149" s="4">
        <v>50794.38</v>
      </c>
      <c r="H149" s="6">
        <v>0.79659999999999997</v>
      </c>
      <c r="I149" s="6">
        <v>0.2</v>
      </c>
      <c r="J149" s="4">
        <v>10158.876</v>
      </c>
      <c r="K149" s="6">
        <f t="shared" si="2"/>
        <v>2E-3</v>
      </c>
    </row>
    <row r="150" spans="1:11" x14ac:dyDescent="0.3">
      <c r="A150" s="31">
        <v>45716</v>
      </c>
      <c r="B150" t="s">
        <v>368</v>
      </c>
      <c r="C150" t="s">
        <v>191</v>
      </c>
      <c r="D150" t="s">
        <v>370</v>
      </c>
      <c r="E150" s="4">
        <v>112056.05</v>
      </c>
      <c r="F150" s="4">
        <v>22788.53</v>
      </c>
      <c r="G150" s="4">
        <v>89267.520000000004</v>
      </c>
      <c r="H150" s="6">
        <v>0.79659999999999997</v>
      </c>
      <c r="I150" s="6">
        <v>0.15</v>
      </c>
      <c r="J150" s="4">
        <v>13390.128000000001</v>
      </c>
      <c r="K150" s="6">
        <f t="shared" si="2"/>
        <v>1.5E-3</v>
      </c>
    </row>
    <row r="151" spans="1:11" x14ac:dyDescent="0.3">
      <c r="A151" s="31">
        <v>45716</v>
      </c>
      <c r="B151" t="s">
        <v>368</v>
      </c>
      <c r="C151" t="s">
        <v>191</v>
      </c>
      <c r="D151" t="s">
        <v>369</v>
      </c>
      <c r="E151" s="4">
        <v>76961.149999999994</v>
      </c>
      <c r="F151" s="4">
        <v>15651.36</v>
      </c>
      <c r="G151" s="4">
        <v>61309.760000000002</v>
      </c>
      <c r="H151" s="6">
        <v>0.79659999999999997</v>
      </c>
      <c r="I151" s="6">
        <v>0.15</v>
      </c>
      <c r="J151" s="4">
        <v>9196.4639999999999</v>
      </c>
      <c r="K151" s="6">
        <f t="shared" si="2"/>
        <v>1.5E-3</v>
      </c>
    </row>
    <row r="152" spans="1:11" x14ac:dyDescent="0.3">
      <c r="A152" s="31">
        <v>45747</v>
      </c>
      <c r="B152" t="s">
        <v>368</v>
      </c>
      <c r="C152" t="s">
        <v>191</v>
      </c>
      <c r="D152" t="s">
        <v>378</v>
      </c>
      <c r="E152" s="4">
        <v>226394.49</v>
      </c>
      <c r="F152" s="4">
        <v>41652.370000000003</v>
      </c>
      <c r="G152" s="4">
        <v>184742.12</v>
      </c>
      <c r="H152" s="6">
        <v>0.81599999999999995</v>
      </c>
      <c r="I152" s="6">
        <v>0.55000000000000004</v>
      </c>
      <c r="J152" s="4">
        <v>101608.166</v>
      </c>
      <c r="K152" s="6">
        <f t="shared" si="2"/>
        <v>5.5000000000000005E-3</v>
      </c>
    </row>
    <row r="153" spans="1:11" x14ac:dyDescent="0.3">
      <c r="A153" s="31">
        <v>45747</v>
      </c>
      <c r="B153" t="s">
        <v>368</v>
      </c>
      <c r="C153" t="s">
        <v>191</v>
      </c>
      <c r="D153" t="s">
        <v>377</v>
      </c>
      <c r="E153" s="4">
        <v>242212.27</v>
      </c>
      <c r="F153" s="4">
        <v>44562.55</v>
      </c>
      <c r="G153" s="4">
        <v>197649.72</v>
      </c>
      <c r="H153" s="6">
        <v>0.81599999999999995</v>
      </c>
      <c r="I153" s="6">
        <v>0.55000000000000004</v>
      </c>
      <c r="J153" s="4">
        <v>108707.34600000001</v>
      </c>
      <c r="K153" s="6">
        <f t="shared" si="2"/>
        <v>5.5000000000000005E-3</v>
      </c>
    </row>
    <row r="154" spans="1:11" x14ac:dyDescent="0.3">
      <c r="A154" s="31">
        <v>45747</v>
      </c>
      <c r="B154" t="s">
        <v>368</v>
      </c>
      <c r="C154" t="s">
        <v>191</v>
      </c>
      <c r="D154" t="s">
        <v>376</v>
      </c>
      <c r="E154" s="4">
        <v>65052.52</v>
      </c>
      <c r="F154" s="4">
        <v>11968.45</v>
      </c>
      <c r="G154" s="4">
        <v>53084.07</v>
      </c>
      <c r="H154" s="6">
        <v>0.81599999999999995</v>
      </c>
      <c r="I154" s="6">
        <v>0.5</v>
      </c>
      <c r="J154" s="4">
        <v>26542.035</v>
      </c>
      <c r="K154" s="6">
        <f t="shared" si="2"/>
        <v>5.0000000000000001E-3</v>
      </c>
    </row>
    <row r="155" spans="1:11" x14ac:dyDescent="0.3">
      <c r="A155" s="31">
        <v>45747</v>
      </c>
      <c r="B155" t="s">
        <v>368</v>
      </c>
      <c r="C155" t="s">
        <v>191</v>
      </c>
      <c r="D155" t="s">
        <v>375</v>
      </c>
      <c r="E155" s="4">
        <v>167699.67000000001</v>
      </c>
      <c r="F155" s="4">
        <v>30853.62</v>
      </c>
      <c r="G155" s="4">
        <v>136846.04999999999</v>
      </c>
      <c r="H155" s="6">
        <v>0.81599999999999995</v>
      </c>
      <c r="I155" s="6">
        <v>0.4</v>
      </c>
      <c r="J155" s="4">
        <v>54738.42</v>
      </c>
      <c r="K155" s="6">
        <f t="shared" si="2"/>
        <v>4.0000000000000001E-3</v>
      </c>
    </row>
    <row r="156" spans="1:11" x14ac:dyDescent="0.3">
      <c r="A156" s="31">
        <v>45747</v>
      </c>
      <c r="B156" t="s">
        <v>368</v>
      </c>
      <c r="C156" t="s">
        <v>191</v>
      </c>
      <c r="D156" t="s">
        <v>374</v>
      </c>
      <c r="E156" s="4">
        <v>76791.259999999995</v>
      </c>
      <c r="F156" s="4">
        <v>14128.16</v>
      </c>
      <c r="G156" s="4">
        <v>62663.1</v>
      </c>
      <c r="H156" s="6">
        <v>0.81599999999999995</v>
      </c>
      <c r="I156" s="6">
        <v>0.35</v>
      </c>
      <c r="J156" s="4">
        <v>21932.084999999999</v>
      </c>
      <c r="K156" s="6">
        <f t="shared" si="2"/>
        <v>3.4999999999999996E-3</v>
      </c>
    </row>
    <row r="157" spans="1:11" x14ac:dyDescent="0.3">
      <c r="A157" s="31">
        <v>45747</v>
      </c>
      <c r="B157" t="s">
        <v>368</v>
      </c>
      <c r="C157" t="s">
        <v>191</v>
      </c>
      <c r="D157" t="s">
        <v>373</v>
      </c>
      <c r="E157" s="4">
        <v>117488.35</v>
      </c>
      <c r="F157" s="4">
        <v>21615.67</v>
      </c>
      <c r="G157" s="4">
        <v>95872.68</v>
      </c>
      <c r="H157" s="6">
        <v>0.81599999999999995</v>
      </c>
      <c r="I157" s="6">
        <v>0.3</v>
      </c>
      <c r="J157" s="4">
        <v>28761.804</v>
      </c>
      <c r="K157" s="6">
        <f t="shared" si="2"/>
        <v>3.0000000000000001E-3</v>
      </c>
    </row>
    <row r="158" spans="1:11" x14ac:dyDescent="0.3">
      <c r="A158" s="31">
        <v>45747</v>
      </c>
      <c r="B158" t="s">
        <v>368</v>
      </c>
      <c r="C158" t="s">
        <v>191</v>
      </c>
      <c r="D158" t="s">
        <v>372</v>
      </c>
      <c r="E158" s="4">
        <v>158013.98000000001</v>
      </c>
      <c r="F158" s="4">
        <v>29071.63</v>
      </c>
      <c r="G158" s="4">
        <v>128942.35</v>
      </c>
      <c r="H158" s="6">
        <v>0.81599999999999995</v>
      </c>
      <c r="I158" s="6">
        <v>0.2</v>
      </c>
      <c r="J158" s="4">
        <v>25788.47</v>
      </c>
      <c r="K158" s="6">
        <f t="shared" si="2"/>
        <v>2E-3</v>
      </c>
    </row>
    <row r="159" spans="1:11" x14ac:dyDescent="0.3">
      <c r="A159" s="31">
        <v>45747</v>
      </c>
      <c r="B159" t="s">
        <v>368</v>
      </c>
      <c r="C159" t="s">
        <v>191</v>
      </c>
      <c r="D159" t="s">
        <v>371</v>
      </c>
      <c r="E159" s="4">
        <v>97383.52</v>
      </c>
      <c r="F159" s="4">
        <v>17916.759999999998</v>
      </c>
      <c r="G159" s="4">
        <v>79466.759999999995</v>
      </c>
      <c r="H159" s="6">
        <v>0.81599999999999995</v>
      </c>
      <c r="I159" s="6">
        <v>0.2</v>
      </c>
      <c r="J159" s="4">
        <v>15893.352000000001</v>
      </c>
      <c r="K159" s="6">
        <f t="shared" si="2"/>
        <v>2E-3</v>
      </c>
    </row>
    <row r="160" spans="1:11" x14ac:dyDescent="0.3">
      <c r="A160" s="31">
        <v>45747</v>
      </c>
      <c r="B160" t="s">
        <v>368</v>
      </c>
      <c r="C160" t="s">
        <v>191</v>
      </c>
      <c r="D160" t="s">
        <v>370</v>
      </c>
      <c r="E160" s="4">
        <v>75008.789999999994</v>
      </c>
      <c r="F160" s="4">
        <v>13800.22</v>
      </c>
      <c r="G160" s="4">
        <v>61208.57</v>
      </c>
      <c r="H160" s="6">
        <v>0.81599999999999995</v>
      </c>
      <c r="I160" s="6">
        <v>0.15</v>
      </c>
      <c r="J160" s="4">
        <v>9181.2855</v>
      </c>
      <c r="K160" s="6">
        <f t="shared" si="2"/>
        <v>1.5E-3</v>
      </c>
    </row>
    <row r="161" spans="1:11" x14ac:dyDescent="0.3">
      <c r="A161" s="31">
        <v>45747</v>
      </c>
      <c r="B161" t="s">
        <v>368</v>
      </c>
      <c r="C161" t="s">
        <v>191</v>
      </c>
      <c r="D161" t="s">
        <v>369</v>
      </c>
      <c r="E161" s="4">
        <v>12554.51</v>
      </c>
      <c r="F161" s="4">
        <v>2309.81</v>
      </c>
      <c r="G161" s="4">
        <v>10244.700000000001</v>
      </c>
      <c r="H161" s="6">
        <v>0.81599999999999995</v>
      </c>
      <c r="I161" s="6">
        <v>0.15</v>
      </c>
      <c r="J161" s="4">
        <v>1536.7049999999999</v>
      </c>
      <c r="K161" s="6">
        <f t="shared" si="2"/>
        <v>1.5E-3</v>
      </c>
    </row>
    <row r="162" spans="1:11" x14ac:dyDescent="0.3">
      <c r="A162" s="31">
        <v>45777</v>
      </c>
      <c r="B162" t="s">
        <v>368</v>
      </c>
      <c r="C162" t="s">
        <v>191</v>
      </c>
      <c r="D162" t="s">
        <v>378</v>
      </c>
      <c r="E162" s="4">
        <v>193736.66</v>
      </c>
      <c r="F162" s="4">
        <v>40279.85</v>
      </c>
      <c r="G162" s="4">
        <v>153456.79999999999</v>
      </c>
      <c r="H162" s="6">
        <v>0.79210000000000003</v>
      </c>
      <c r="I162" s="6">
        <v>0.55000000000000004</v>
      </c>
      <c r="J162" s="4">
        <v>84401.24</v>
      </c>
      <c r="K162" s="6">
        <f t="shared" si="2"/>
        <v>5.5000000000000005E-3</v>
      </c>
    </row>
    <row r="163" spans="1:11" x14ac:dyDescent="0.3">
      <c r="A163" s="31">
        <v>45777</v>
      </c>
      <c r="B163" t="s">
        <v>368</v>
      </c>
      <c r="C163" t="s">
        <v>191</v>
      </c>
      <c r="D163" t="s">
        <v>377</v>
      </c>
      <c r="E163" s="4">
        <v>197399.16</v>
      </c>
      <c r="F163" s="4">
        <v>41041.32</v>
      </c>
      <c r="G163" s="4">
        <v>156357.84</v>
      </c>
      <c r="H163" s="6">
        <v>0.79210000000000003</v>
      </c>
      <c r="I163" s="6">
        <v>0.55000000000000004</v>
      </c>
      <c r="J163" s="4">
        <v>85996.812000000005</v>
      </c>
      <c r="K163" s="6">
        <f t="shared" si="2"/>
        <v>5.5000000000000005E-3</v>
      </c>
    </row>
    <row r="164" spans="1:11" x14ac:dyDescent="0.3">
      <c r="A164" s="31">
        <v>45777</v>
      </c>
      <c r="B164" t="s">
        <v>368</v>
      </c>
      <c r="C164" t="s">
        <v>191</v>
      </c>
      <c r="D164" t="s">
        <v>376</v>
      </c>
      <c r="E164" s="4">
        <v>150865.65</v>
      </c>
      <c r="F164" s="4">
        <v>31366.53</v>
      </c>
      <c r="G164" s="4">
        <v>119499.12</v>
      </c>
      <c r="H164" s="6">
        <v>0.79210000000000003</v>
      </c>
      <c r="I164" s="6">
        <v>0.5</v>
      </c>
      <c r="J164" s="4">
        <v>59749.56</v>
      </c>
      <c r="K164" s="6">
        <f t="shared" si="2"/>
        <v>5.0000000000000001E-3</v>
      </c>
    </row>
    <row r="165" spans="1:11" x14ac:dyDescent="0.3">
      <c r="A165" s="31">
        <v>45777</v>
      </c>
      <c r="B165" t="s">
        <v>368</v>
      </c>
      <c r="C165" t="s">
        <v>191</v>
      </c>
      <c r="D165" t="s">
        <v>375</v>
      </c>
      <c r="E165" s="4">
        <v>128638.3</v>
      </c>
      <c r="F165" s="4">
        <v>26745.23</v>
      </c>
      <c r="G165" s="4">
        <v>101893.07</v>
      </c>
      <c r="H165" s="6">
        <v>0.79210000000000003</v>
      </c>
      <c r="I165" s="6">
        <v>0.4</v>
      </c>
      <c r="J165" s="4">
        <v>40757.228000000003</v>
      </c>
      <c r="K165" s="6">
        <f t="shared" si="2"/>
        <v>4.0000000000000001E-3</v>
      </c>
    </row>
    <row r="166" spans="1:11" x14ac:dyDescent="0.3">
      <c r="A166" s="31">
        <v>45777</v>
      </c>
      <c r="B166" t="s">
        <v>368</v>
      </c>
      <c r="C166" t="s">
        <v>191</v>
      </c>
      <c r="D166" t="s">
        <v>374</v>
      </c>
      <c r="E166" s="4">
        <v>101553.51</v>
      </c>
      <c r="F166" s="4">
        <v>21114.02</v>
      </c>
      <c r="G166" s="4">
        <v>80439.490000000005</v>
      </c>
      <c r="H166" s="6">
        <v>0.79210000000000003</v>
      </c>
      <c r="I166" s="6">
        <v>0.35</v>
      </c>
      <c r="J166" s="4">
        <v>28153.821499999998</v>
      </c>
      <c r="K166" s="6">
        <f t="shared" si="2"/>
        <v>3.4999999999999996E-3</v>
      </c>
    </row>
    <row r="167" spans="1:11" x14ac:dyDescent="0.3">
      <c r="A167" s="31">
        <v>45777</v>
      </c>
      <c r="B167" t="s">
        <v>368</v>
      </c>
      <c r="C167" t="s">
        <v>191</v>
      </c>
      <c r="D167" t="s">
        <v>373</v>
      </c>
      <c r="E167" s="4">
        <v>12431.86</v>
      </c>
      <c r="F167" s="4">
        <v>2584.71</v>
      </c>
      <c r="G167" s="4">
        <v>9847.14</v>
      </c>
      <c r="H167" s="6">
        <v>0.79210000000000003</v>
      </c>
      <c r="I167" s="6">
        <v>0.3</v>
      </c>
      <c r="J167" s="4">
        <v>2954.1419999999998</v>
      </c>
      <c r="K167" s="6">
        <f t="shared" si="2"/>
        <v>3.0000000000000001E-3</v>
      </c>
    </row>
    <row r="168" spans="1:11" x14ac:dyDescent="0.3">
      <c r="A168" s="31">
        <v>45777</v>
      </c>
      <c r="B168" t="s">
        <v>368</v>
      </c>
      <c r="C168" t="s">
        <v>191</v>
      </c>
      <c r="D168" t="s">
        <v>372</v>
      </c>
      <c r="E168" s="4">
        <v>54776.01</v>
      </c>
      <c r="F168" s="4">
        <v>11388.5</v>
      </c>
      <c r="G168" s="4">
        <v>43387.51</v>
      </c>
      <c r="H168" s="6">
        <v>0.79210000000000003</v>
      </c>
      <c r="I168" s="6">
        <v>0.2</v>
      </c>
      <c r="J168" s="4">
        <v>8677.5020000000004</v>
      </c>
      <c r="K168" s="6">
        <f t="shared" si="2"/>
        <v>2E-3</v>
      </c>
    </row>
    <row r="169" spans="1:11" x14ac:dyDescent="0.3">
      <c r="A169" s="31">
        <v>45777</v>
      </c>
      <c r="B169" t="s">
        <v>368</v>
      </c>
      <c r="C169" t="s">
        <v>191</v>
      </c>
      <c r="D169" t="s">
        <v>371</v>
      </c>
      <c r="E169" s="4">
        <v>132538.99</v>
      </c>
      <c r="F169" s="4">
        <v>27556.22</v>
      </c>
      <c r="G169" s="4">
        <v>104982.76</v>
      </c>
      <c r="H169" s="6">
        <v>0.79210000000000003</v>
      </c>
      <c r="I169" s="6">
        <v>0.2</v>
      </c>
      <c r="J169" s="4">
        <v>20996.552</v>
      </c>
      <c r="K169" s="6">
        <f t="shared" si="2"/>
        <v>2E-3</v>
      </c>
    </row>
    <row r="170" spans="1:11" x14ac:dyDescent="0.3">
      <c r="A170" s="31">
        <v>45777</v>
      </c>
      <c r="B170" t="s">
        <v>368</v>
      </c>
      <c r="C170" t="s">
        <v>191</v>
      </c>
      <c r="D170" t="s">
        <v>370</v>
      </c>
      <c r="E170" s="4">
        <v>122582.1</v>
      </c>
      <c r="F170" s="4">
        <v>25486.080000000002</v>
      </c>
      <c r="G170" s="4">
        <v>97096.02</v>
      </c>
      <c r="H170" s="6">
        <v>0.79210000000000003</v>
      </c>
      <c r="I170" s="6">
        <v>0.15</v>
      </c>
      <c r="J170" s="4">
        <v>14564.403</v>
      </c>
      <c r="K170" s="6">
        <f t="shared" si="2"/>
        <v>1.5E-3</v>
      </c>
    </row>
    <row r="171" spans="1:11" x14ac:dyDescent="0.3">
      <c r="A171" s="31">
        <v>45777</v>
      </c>
      <c r="B171" t="s">
        <v>368</v>
      </c>
      <c r="C171" t="s">
        <v>191</v>
      </c>
      <c r="D171" t="s">
        <v>369</v>
      </c>
      <c r="E171" s="4">
        <v>56669.17</v>
      </c>
      <c r="F171" s="4">
        <v>11782.12</v>
      </c>
      <c r="G171" s="4">
        <v>44887.08</v>
      </c>
      <c r="H171" s="6">
        <v>0.79210000000000003</v>
      </c>
      <c r="I171" s="6">
        <v>0.15</v>
      </c>
      <c r="J171" s="4">
        <v>6733.0619999999999</v>
      </c>
      <c r="K171" s="6">
        <f t="shared" si="2"/>
        <v>1.5E-3</v>
      </c>
    </row>
    <row r="172" spans="1:11" x14ac:dyDescent="0.3">
      <c r="A172" s="31">
        <v>45808</v>
      </c>
      <c r="B172" t="s">
        <v>368</v>
      </c>
      <c r="C172" t="s">
        <v>191</v>
      </c>
      <c r="D172" t="s">
        <v>378</v>
      </c>
      <c r="E172" s="4">
        <v>234022.41</v>
      </c>
      <c r="F172" s="4">
        <v>55923.360000000001</v>
      </c>
      <c r="G172" s="4">
        <v>178099.05</v>
      </c>
      <c r="H172" s="6">
        <v>0.76100000000000001</v>
      </c>
      <c r="I172" s="6">
        <v>0.55000000000000004</v>
      </c>
      <c r="J172" s="4">
        <v>97954.477500000008</v>
      </c>
      <c r="K172" s="6">
        <f t="shared" si="2"/>
        <v>5.5000000000000005E-3</v>
      </c>
    </row>
    <row r="173" spans="1:11" x14ac:dyDescent="0.3">
      <c r="A173" s="31">
        <v>45808</v>
      </c>
      <c r="B173" t="s">
        <v>368</v>
      </c>
      <c r="C173" t="s">
        <v>191</v>
      </c>
      <c r="D173" t="s">
        <v>377</v>
      </c>
      <c r="E173" s="4">
        <v>268680.12</v>
      </c>
      <c r="F173" s="4">
        <v>64205.37</v>
      </c>
      <c r="G173" s="4">
        <v>204474.76</v>
      </c>
      <c r="H173" s="6">
        <v>0.76100000000000001</v>
      </c>
      <c r="I173" s="6">
        <v>0.55000000000000004</v>
      </c>
      <c r="J173" s="4">
        <v>112461.118</v>
      </c>
      <c r="K173" s="6">
        <f t="shared" si="2"/>
        <v>5.5000000000000005E-3</v>
      </c>
    </row>
    <row r="174" spans="1:11" x14ac:dyDescent="0.3">
      <c r="A174" s="31">
        <v>45808</v>
      </c>
      <c r="B174" t="s">
        <v>368</v>
      </c>
      <c r="C174" t="s">
        <v>191</v>
      </c>
      <c r="D174" t="s">
        <v>376</v>
      </c>
      <c r="E174" s="4">
        <v>79144.039999999994</v>
      </c>
      <c r="F174" s="4">
        <v>18912.72</v>
      </c>
      <c r="G174" s="4">
        <v>60231.32</v>
      </c>
      <c r="H174" s="6">
        <v>0.76100000000000001</v>
      </c>
      <c r="I174" s="6">
        <v>0.5</v>
      </c>
      <c r="J174" s="4">
        <v>30115.66</v>
      </c>
      <c r="K174" s="6">
        <f t="shared" si="2"/>
        <v>5.0000000000000001E-3</v>
      </c>
    </row>
    <row r="175" spans="1:11" x14ac:dyDescent="0.3">
      <c r="A175" s="31">
        <v>45808</v>
      </c>
      <c r="B175" t="s">
        <v>368</v>
      </c>
      <c r="C175" t="s">
        <v>191</v>
      </c>
      <c r="D175" t="s">
        <v>375</v>
      </c>
      <c r="E175" s="4">
        <v>110116.55</v>
      </c>
      <c r="F175" s="4">
        <v>26314.09</v>
      </c>
      <c r="G175" s="4">
        <v>83802.45</v>
      </c>
      <c r="H175" s="6">
        <v>0.76100000000000001</v>
      </c>
      <c r="I175" s="6">
        <v>0.4</v>
      </c>
      <c r="J175" s="4">
        <v>33520.980000000003</v>
      </c>
      <c r="K175" s="6">
        <f t="shared" si="2"/>
        <v>4.0000000000000001E-3</v>
      </c>
    </row>
    <row r="176" spans="1:11" x14ac:dyDescent="0.3">
      <c r="A176" s="31">
        <v>45808</v>
      </c>
      <c r="B176" t="s">
        <v>368</v>
      </c>
      <c r="C176" t="s">
        <v>191</v>
      </c>
      <c r="D176" t="s">
        <v>374</v>
      </c>
      <c r="E176" s="4">
        <v>81742.87</v>
      </c>
      <c r="F176" s="4">
        <v>19533.75</v>
      </c>
      <c r="G176" s="4">
        <v>62209.120000000003</v>
      </c>
      <c r="H176" s="6">
        <v>0.76100000000000001</v>
      </c>
      <c r="I176" s="6">
        <v>0.35</v>
      </c>
      <c r="J176" s="4">
        <v>21773.191999999999</v>
      </c>
      <c r="K176" s="6">
        <f t="shared" si="2"/>
        <v>3.4999999999999996E-3</v>
      </c>
    </row>
    <row r="177" spans="1:11" x14ac:dyDescent="0.3">
      <c r="A177" s="31">
        <v>45808</v>
      </c>
      <c r="B177" t="s">
        <v>368</v>
      </c>
      <c r="C177" t="s">
        <v>191</v>
      </c>
      <c r="D177" t="s">
        <v>373</v>
      </c>
      <c r="E177" s="4">
        <v>131348.04999999999</v>
      </c>
      <c r="F177" s="4">
        <v>31387.7</v>
      </c>
      <c r="G177" s="4">
        <v>99960.36</v>
      </c>
      <c r="H177" s="6">
        <v>0.76100000000000001</v>
      </c>
      <c r="I177" s="6">
        <v>0.3</v>
      </c>
      <c r="J177" s="4">
        <v>29988.108</v>
      </c>
      <c r="K177" s="6">
        <f t="shared" si="2"/>
        <v>3.0000000000000001E-3</v>
      </c>
    </row>
    <row r="178" spans="1:11" x14ac:dyDescent="0.3">
      <c r="A178" s="31">
        <v>45808</v>
      </c>
      <c r="B178" t="s">
        <v>368</v>
      </c>
      <c r="C178" t="s">
        <v>191</v>
      </c>
      <c r="D178" t="s">
        <v>372</v>
      </c>
      <c r="E178" s="4">
        <v>18359.009999999998</v>
      </c>
      <c r="F178" s="4">
        <v>4387.18</v>
      </c>
      <c r="G178" s="4">
        <v>13971.83</v>
      </c>
      <c r="H178" s="6">
        <v>0.76100000000000001</v>
      </c>
      <c r="I178" s="6">
        <v>0.2</v>
      </c>
      <c r="J178" s="4">
        <v>2794.366</v>
      </c>
      <c r="K178" s="6">
        <f t="shared" si="2"/>
        <v>2E-3</v>
      </c>
    </row>
    <row r="179" spans="1:11" x14ac:dyDescent="0.3">
      <c r="A179" s="31">
        <v>45808</v>
      </c>
      <c r="B179" t="s">
        <v>368</v>
      </c>
      <c r="C179" t="s">
        <v>191</v>
      </c>
      <c r="D179" t="s">
        <v>371</v>
      </c>
      <c r="E179" s="4">
        <v>108407.42</v>
      </c>
      <c r="F179" s="4">
        <v>25905.67</v>
      </c>
      <c r="G179" s="4">
        <v>82501.75</v>
      </c>
      <c r="H179" s="6">
        <v>0.76100000000000001</v>
      </c>
      <c r="I179" s="6">
        <v>0.2</v>
      </c>
      <c r="J179" s="4">
        <v>16500.349999999999</v>
      </c>
      <c r="K179" s="6">
        <f t="shared" si="2"/>
        <v>2E-3</v>
      </c>
    </row>
    <row r="180" spans="1:11" x14ac:dyDescent="0.3">
      <c r="A180" s="31">
        <v>45808</v>
      </c>
      <c r="B180" t="s">
        <v>368</v>
      </c>
      <c r="C180" t="s">
        <v>191</v>
      </c>
      <c r="D180" t="s">
        <v>370</v>
      </c>
      <c r="E180" s="4">
        <v>93369.3</v>
      </c>
      <c r="F180" s="4">
        <v>22312.07</v>
      </c>
      <c r="G180" s="4">
        <v>71057.23</v>
      </c>
      <c r="H180" s="6">
        <v>0.76100000000000001</v>
      </c>
      <c r="I180" s="6">
        <v>0.15</v>
      </c>
      <c r="J180" s="4">
        <v>10658.584500000001</v>
      </c>
      <c r="K180" s="6">
        <f t="shared" si="2"/>
        <v>1.5E-3</v>
      </c>
    </row>
    <row r="181" spans="1:11" x14ac:dyDescent="0.3">
      <c r="A181" s="31">
        <v>45808</v>
      </c>
      <c r="B181" t="s">
        <v>368</v>
      </c>
      <c r="C181" t="s">
        <v>191</v>
      </c>
      <c r="D181" t="s">
        <v>369</v>
      </c>
      <c r="E181" s="4">
        <v>72277.399999999994</v>
      </c>
      <c r="F181" s="4">
        <v>17271.82</v>
      </c>
      <c r="G181" s="4">
        <v>55005.57</v>
      </c>
      <c r="H181" s="6">
        <v>0.76100000000000001</v>
      </c>
      <c r="I181" s="6">
        <v>0.15</v>
      </c>
      <c r="J181" s="4">
        <v>8250.8354999999992</v>
      </c>
      <c r="K181" s="6">
        <f t="shared" si="2"/>
        <v>1.5E-3</v>
      </c>
    </row>
    <row r="182" spans="1:11" x14ac:dyDescent="0.3">
      <c r="A182" s="31">
        <v>45838</v>
      </c>
      <c r="B182" t="s">
        <v>368</v>
      </c>
      <c r="C182" t="s">
        <v>191</v>
      </c>
      <c r="D182" t="s">
        <v>378</v>
      </c>
      <c r="E182" s="4">
        <v>228230.16</v>
      </c>
      <c r="F182" s="4">
        <v>43065.17</v>
      </c>
      <c r="G182" s="4">
        <v>185164.99</v>
      </c>
      <c r="H182" s="6">
        <v>0.81130000000000002</v>
      </c>
      <c r="I182" s="6">
        <v>0.55000000000000004</v>
      </c>
      <c r="J182" s="4">
        <v>101840.7445</v>
      </c>
      <c r="K182" s="6">
        <f t="shared" si="2"/>
        <v>5.5000000000000005E-3</v>
      </c>
    </row>
    <row r="183" spans="1:11" x14ac:dyDescent="0.3">
      <c r="A183" s="31">
        <v>45838</v>
      </c>
      <c r="B183" t="s">
        <v>368</v>
      </c>
      <c r="C183" t="s">
        <v>191</v>
      </c>
      <c r="D183" t="s">
        <v>377</v>
      </c>
      <c r="E183" s="4">
        <v>251337.19</v>
      </c>
      <c r="F183" s="4">
        <v>47425.27</v>
      </c>
      <c r="G183" s="4">
        <v>203911.92</v>
      </c>
      <c r="H183" s="6">
        <v>0.81130000000000002</v>
      </c>
      <c r="I183" s="6">
        <v>0.55000000000000004</v>
      </c>
      <c r="J183" s="4">
        <v>112151.556</v>
      </c>
      <c r="K183" s="6">
        <f t="shared" si="2"/>
        <v>5.5000000000000005E-3</v>
      </c>
    </row>
    <row r="184" spans="1:11" x14ac:dyDescent="0.3">
      <c r="A184" s="31">
        <v>45838</v>
      </c>
      <c r="B184" t="s">
        <v>368</v>
      </c>
      <c r="C184" t="s">
        <v>191</v>
      </c>
      <c r="D184" t="s">
        <v>376</v>
      </c>
      <c r="E184" s="4">
        <v>128297.78</v>
      </c>
      <c r="F184" s="4">
        <v>24208.74</v>
      </c>
      <c r="G184" s="4">
        <v>104089.04</v>
      </c>
      <c r="H184" s="6">
        <v>0.81130000000000002</v>
      </c>
      <c r="I184" s="6">
        <v>0.5</v>
      </c>
      <c r="J184" s="4">
        <v>52044.52</v>
      </c>
      <c r="K184" s="6">
        <f t="shared" si="2"/>
        <v>5.0000000000000001E-3</v>
      </c>
    </row>
    <row r="185" spans="1:11" x14ac:dyDescent="0.3">
      <c r="A185" s="31">
        <v>45838</v>
      </c>
      <c r="B185" t="s">
        <v>368</v>
      </c>
      <c r="C185" t="s">
        <v>191</v>
      </c>
      <c r="D185" t="s">
        <v>375</v>
      </c>
      <c r="E185" s="4">
        <v>244825.29</v>
      </c>
      <c r="F185" s="4">
        <v>46196.53</v>
      </c>
      <c r="G185" s="4">
        <v>198628.76</v>
      </c>
      <c r="H185" s="6">
        <v>0.81130000000000002</v>
      </c>
      <c r="I185" s="6">
        <v>0.4</v>
      </c>
      <c r="J185" s="4">
        <v>79451.504000000015</v>
      </c>
      <c r="K185" s="6">
        <f t="shared" si="2"/>
        <v>4.0000000000000001E-3</v>
      </c>
    </row>
    <row r="186" spans="1:11" x14ac:dyDescent="0.3">
      <c r="A186" s="31">
        <v>45838</v>
      </c>
      <c r="B186" t="s">
        <v>368</v>
      </c>
      <c r="C186" t="s">
        <v>191</v>
      </c>
      <c r="D186" t="s">
        <v>374</v>
      </c>
      <c r="E186" s="4">
        <v>119307.73</v>
      </c>
      <c r="F186" s="4">
        <v>22512.39</v>
      </c>
      <c r="G186" s="4">
        <v>96795.34</v>
      </c>
      <c r="H186" s="6">
        <v>0.81130000000000002</v>
      </c>
      <c r="I186" s="6">
        <v>0.35</v>
      </c>
      <c r="J186" s="4">
        <v>33878.368999999999</v>
      </c>
      <c r="K186" s="6">
        <f t="shared" si="2"/>
        <v>3.4999999999999996E-3</v>
      </c>
    </row>
    <row r="187" spans="1:11" x14ac:dyDescent="0.3">
      <c r="A187" s="31">
        <v>45838</v>
      </c>
      <c r="B187" t="s">
        <v>368</v>
      </c>
      <c r="C187" t="s">
        <v>191</v>
      </c>
      <c r="D187" t="s">
        <v>373</v>
      </c>
      <c r="E187" s="4">
        <v>31090.080000000002</v>
      </c>
      <c r="F187" s="4">
        <v>5866.44</v>
      </c>
      <c r="G187" s="4">
        <v>25223.64</v>
      </c>
      <c r="H187" s="6">
        <v>0.81130000000000002</v>
      </c>
      <c r="I187" s="6">
        <v>0.3</v>
      </c>
      <c r="J187" s="4">
        <v>7567.0919999999996</v>
      </c>
      <c r="K187" s="6">
        <f t="shared" si="2"/>
        <v>3.0000000000000001E-3</v>
      </c>
    </row>
    <row r="188" spans="1:11" x14ac:dyDescent="0.3">
      <c r="A188" s="31">
        <v>45838</v>
      </c>
      <c r="B188" t="s">
        <v>368</v>
      </c>
      <c r="C188" t="s">
        <v>191</v>
      </c>
      <c r="D188" t="s">
        <v>372</v>
      </c>
      <c r="E188" s="4">
        <v>85184.55</v>
      </c>
      <c r="F188" s="4">
        <v>16073.63</v>
      </c>
      <c r="G188" s="4">
        <v>69110.92</v>
      </c>
      <c r="H188" s="6">
        <v>0.81130000000000002</v>
      </c>
      <c r="I188" s="6">
        <v>0.2</v>
      </c>
      <c r="J188" s="4">
        <v>13822.183999999999</v>
      </c>
      <c r="K188" s="6">
        <f t="shared" si="2"/>
        <v>2E-3</v>
      </c>
    </row>
    <row r="189" spans="1:11" x14ac:dyDescent="0.3">
      <c r="A189" s="31">
        <v>45838</v>
      </c>
      <c r="B189" t="s">
        <v>368</v>
      </c>
      <c r="C189" t="s">
        <v>191</v>
      </c>
      <c r="D189" t="s">
        <v>371</v>
      </c>
      <c r="E189" s="4">
        <v>84058.29</v>
      </c>
      <c r="F189" s="4">
        <v>15861.11</v>
      </c>
      <c r="G189" s="4">
        <v>68197.179999999993</v>
      </c>
      <c r="H189" s="6">
        <v>0.81130000000000002</v>
      </c>
      <c r="I189" s="6">
        <v>0.2</v>
      </c>
      <c r="J189" s="4">
        <v>13639.436</v>
      </c>
      <c r="K189" s="6">
        <f t="shared" si="2"/>
        <v>2E-3</v>
      </c>
    </row>
    <row r="190" spans="1:11" x14ac:dyDescent="0.3">
      <c r="A190" s="31">
        <v>45838</v>
      </c>
      <c r="B190" t="s">
        <v>368</v>
      </c>
      <c r="C190" t="s">
        <v>191</v>
      </c>
      <c r="D190" t="s">
        <v>370</v>
      </c>
      <c r="E190" s="4">
        <v>45740.9</v>
      </c>
      <c r="F190" s="4">
        <v>8630.94</v>
      </c>
      <c r="G190" s="4">
        <v>37109.97</v>
      </c>
      <c r="H190" s="6">
        <v>0.81130000000000002</v>
      </c>
      <c r="I190" s="6">
        <v>0.15</v>
      </c>
      <c r="J190" s="4">
        <v>5566.4955</v>
      </c>
      <c r="K190" s="6">
        <f t="shared" si="2"/>
        <v>1.5E-3</v>
      </c>
    </row>
    <row r="191" spans="1:11" x14ac:dyDescent="0.3">
      <c r="A191" s="31">
        <v>45838</v>
      </c>
      <c r="B191" t="s">
        <v>368</v>
      </c>
      <c r="C191" t="s">
        <v>191</v>
      </c>
      <c r="D191" t="s">
        <v>369</v>
      </c>
      <c r="E191" s="4">
        <v>50762.559999999998</v>
      </c>
      <c r="F191" s="4">
        <v>9578.49</v>
      </c>
      <c r="G191" s="4">
        <v>41184.06</v>
      </c>
      <c r="H191" s="6">
        <v>0.81130000000000002</v>
      </c>
      <c r="I191" s="6">
        <v>0.15</v>
      </c>
      <c r="J191" s="4">
        <v>6177.6089999999986</v>
      </c>
      <c r="K191" s="6">
        <f t="shared" si="2"/>
        <v>1.5E-3</v>
      </c>
    </row>
    <row r="192" spans="1:11" x14ac:dyDescent="0.3">
      <c r="A192" s="31">
        <v>45869</v>
      </c>
      <c r="B192" t="s">
        <v>368</v>
      </c>
      <c r="C192" t="s">
        <v>191</v>
      </c>
      <c r="D192" t="s">
        <v>378</v>
      </c>
      <c r="E192" s="4">
        <v>258639.05</v>
      </c>
      <c r="F192" s="4">
        <v>40343.29</v>
      </c>
      <c r="G192" s="4">
        <v>218295.75</v>
      </c>
      <c r="H192" s="6">
        <v>0.84399999999999997</v>
      </c>
      <c r="I192" s="6">
        <v>0.55000000000000004</v>
      </c>
      <c r="J192" s="4">
        <v>120062.66250000001</v>
      </c>
      <c r="K192" s="6">
        <f t="shared" si="2"/>
        <v>5.5000000000000005E-3</v>
      </c>
    </row>
    <row r="193" spans="1:11" x14ac:dyDescent="0.3">
      <c r="A193" s="31">
        <v>45869</v>
      </c>
      <c r="B193" t="s">
        <v>368</v>
      </c>
      <c r="C193" t="s">
        <v>191</v>
      </c>
      <c r="D193" t="s">
        <v>377</v>
      </c>
      <c r="E193" s="4">
        <v>188485.02</v>
      </c>
      <c r="F193" s="4">
        <v>29400.46</v>
      </c>
      <c r="G193" s="4">
        <v>159084.56</v>
      </c>
      <c r="H193" s="6">
        <v>0.84399999999999997</v>
      </c>
      <c r="I193" s="6">
        <v>0.55000000000000004</v>
      </c>
      <c r="J193" s="4">
        <v>87496.508000000002</v>
      </c>
      <c r="K193" s="6">
        <f t="shared" si="2"/>
        <v>5.5000000000000005E-3</v>
      </c>
    </row>
    <row r="194" spans="1:11" x14ac:dyDescent="0.3">
      <c r="A194" s="31">
        <v>45869</v>
      </c>
      <c r="B194" t="s">
        <v>368</v>
      </c>
      <c r="C194" t="s">
        <v>191</v>
      </c>
      <c r="D194" t="s">
        <v>376</v>
      </c>
      <c r="E194" s="4">
        <v>129857.86</v>
      </c>
      <c r="F194" s="4">
        <v>20255.62</v>
      </c>
      <c r="G194" s="4">
        <v>109602.24000000001</v>
      </c>
      <c r="H194" s="6">
        <v>0.84399999999999997</v>
      </c>
      <c r="I194" s="6">
        <v>0.5</v>
      </c>
      <c r="J194" s="4">
        <v>54801.120000000003</v>
      </c>
      <c r="K194" s="6">
        <f t="shared" ref="K194:K257" si="3">LEFT(I194,4)/100</f>
        <v>5.0000000000000001E-3</v>
      </c>
    </row>
    <row r="195" spans="1:11" x14ac:dyDescent="0.3">
      <c r="A195" s="31">
        <v>45869</v>
      </c>
      <c r="B195" t="s">
        <v>368</v>
      </c>
      <c r="C195" t="s">
        <v>191</v>
      </c>
      <c r="D195" t="s">
        <v>375</v>
      </c>
      <c r="E195" s="4">
        <v>133561.5</v>
      </c>
      <c r="F195" s="4">
        <v>20833.32</v>
      </c>
      <c r="G195" s="4">
        <v>112728.18</v>
      </c>
      <c r="H195" s="6">
        <v>0.84399999999999997</v>
      </c>
      <c r="I195" s="6">
        <v>0.4</v>
      </c>
      <c r="J195" s="4">
        <v>45091.271999999997</v>
      </c>
      <c r="K195" s="6">
        <f t="shared" si="3"/>
        <v>4.0000000000000001E-3</v>
      </c>
    </row>
    <row r="196" spans="1:11" x14ac:dyDescent="0.3">
      <c r="A196" s="31">
        <v>45869</v>
      </c>
      <c r="B196" t="s">
        <v>368</v>
      </c>
      <c r="C196" t="s">
        <v>191</v>
      </c>
      <c r="D196" t="s">
        <v>374</v>
      </c>
      <c r="E196" s="4">
        <v>55894.31</v>
      </c>
      <c r="F196" s="4">
        <v>8718.56</v>
      </c>
      <c r="G196" s="4">
        <v>47175.75</v>
      </c>
      <c r="H196" s="6">
        <v>0.84399999999999997</v>
      </c>
      <c r="I196" s="6">
        <v>0.35</v>
      </c>
      <c r="J196" s="4">
        <v>16511.512500000001</v>
      </c>
      <c r="K196" s="6">
        <f t="shared" si="3"/>
        <v>3.4999999999999996E-3</v>
      </c>
    </row>
    <row r="197" spans="1:11" x14ac:dyDescent="0.3">
      <c r="A197" s="31">
        <v>45869</v>
      </c>
      <c r="B197" t="s">
        <v>368</v>
      </c>
      <c r="C197" t="s">
        <v>191</v>
      </c>
      <c r="D197" t="s">
        <v>373</v>
      </c>
      <c r="E197" s="4">
        <v>53309.04</v>
      </c>
      <c r="F197" s="4">
        <v>8315.2999999999993</v>
      </c>
      <c r="G197" s="4">
        <v>44993.73</v>
      </c>
      <c r="H197" s="6">
        <v>0.84399999999999997</v>
      </c>
      <c r="I197" s="6">
        <v>0.3</v>
      </c>
      <c r="J197" s="4">
        <v>13498.119000000001</v>
      </c>
      <c r="K197" s="6">
        <f t="shared" si="3"/>
        <v>3.0000000000000001E-3</v>
      </c>
    </row>
    <row r="198" spans="1:11" x14ac:dyDescent="0.3">
      <c r="A198" s="31">
        <v>45869</v>
      </c>
      <c r="B198" t="s">
        <v>368</v>
      </c>
      <c r="C198" t="s">
        <v>191</v>
      </c>
      <c r="D198" t="s">
        <v>372</v>
      </c>
      <c r="E198" s="4">
        <v>149076.72</v>
      </c>
      <c r="F198" s="4">
        <v>23253.43</v>
      </c>
      <c r="G198" s="4">
        <v>125823.29</v>
      </c>
      <c r="H198" s="6">
        <v>0.84399999999999997</v>
      </c>
      <c r="I198" s="6">
        <v>0.2</v>
      </c>
      <c r="J198" s="4">
        <v>25164.657999999999</v>
      </c>
      <c r="K198" s="6">
        <f t="shared" si="3"/>
        <v>2E-3</v>
      </c>
    </row>
    <row r="199" spans="1:11" x14ac:dyDescent="0.3">
      <c r="A199" s="31">
        <v>45869</v>
      </c>
      <c r="B199" t="s">
        <v>368</v>
      </c>
      <c r="C199" t="s">
        <v>191</v>
      </c>
      <c r="D199" t="s">
        <v>371</v>
      </c>
      <c r="E199" s="4">
        <v>118849.75</v>
      </c>
      <c r="F199" s="4">
        <v>18538.54</v>
      </c>
      <c r="G199" s="4">
        <v>100311.21</v>
      </c>
      <c r="H199" s="6">
        <v>0.84399999999999997</v>
      </c>
      <c r="I199" s="6">
        <v>0.2</v>
      </c>
      <c r="J199" s="4">
        <v>20062.241999999998</v>
      </c>
      <c r="K199" s="6">
        <f t="shared" si="3"/>
        <v>2E-3</v>
      </c>
    </row>
    <row r="200" spans="1:11" x14ac:dyDescent="0.3">
      <c r="A200" s="31">
        <v>45869</v>
      </c>
      <c r="B200" t="s">
        <v>368</v>
      </c>
      <c r="C200" t="s">
        <v>191</v>
      </c>
      <c r="D200" t="s">
        <v>370</v>
      </c>
      <c r="E200" s="4">
        <v>105167.83</v>
      </c>
      <c r="F200" s="4">
        <v>16404.39</v>
      </c>
      <c r="G200" s="4">
        <v>88763.44</v>
      </c>
      <c r="H200" s="6">
        <v>0.84399999999999997</v>
      </c>
      <c r="I200" s="6">
        <v>0.15</v>
      </c>
      <c r="J200" s="4">
        <v>13314.516</v>
      </c>
      <c r="K200" s="6">
        <f t="shared" si="3"/>
        <v>1.5E-3</v>
      </c>
    </row>
    <row r="201" spans="1:11" x14ac:dyDescent="0.3">
      <c r="A201" s="31">
        <v>45869</v>
      </c>
      <c r="B201" t="s">
        <v>368</v>
      </c>
      <c r="C201" t="s">
        <v>191</v>
      </c>
      <c r="D201" t="s">
        <v>369</v>
      </c>
      <c r="E201" s="4">
        <v>49948.12</v>
      </c>
      <c r="F201" s="4">
        <v>7791.08</v>
      </c>
      <c r="G201" s="4">
        <v>42157.06</v>
      </c>
      <c r="H201" s="6">
        <v>0.84399999999999997</v>
      </c>
      <c r="I201" s="6">
        <v>0.15</v>
      </c>
      <c r="J201" s="4">
        <v>6323.5589999999993</v>
      </c>
      <c r="K201" s="6">
        <f t="shared" si="3"/>
        <v>1.5E-3</v>
      </c>
    </row>
    <row r="202" spans="1:11" x14ac:dyDescent="0.3">
      <c r="A202" s="31">
        <v>45900</v>
      </c>
      <c r="B202" t="s">
        <v>368</v>
      </c>
      <c r="C202" t="s">
        <v>191</v>
      </c>
      <c r="D202" t="s">
        <v>378</v>
      </c>
      <c r="E202" s="4">
        <v>278493.13</v>
      </c>
      <c r="F202" s="4">
        <v>52802</v>
      </c>
      <c r="G202" s="4">
        <v>225691.13</v>
      </c>
      <c r="H202" s="6">
        <v>0.81040000000000001</v>
      </c>
      <c r="I202" s="6">
        <v>0.55000000000000004</v>
      </c>
      <c r="J202" s="4">
        <v>124130.12149999999</v>
      </c>
      <c r="K202" s="6">
        <f t="shared" si="3"/>
        <v>5.5000000000000005E-3</v>
      </c>
    </row>
    <row r="203" spans="1:11" x14ac:dyDescent="0.3">
      <c r="A203" s="31">
        <v>45900</v>
      </c>
      <c r="B203" t="s">
        <v>368</v>
      </c>
      <c r="C203" t="s">
        <v>191</v>
      </c>
      <c r="D203" t="s">
        <v>377</v>
      </c>
      <c r="E203" s="4">
        <v>254193.7</v>
      </c>
      <c r="F203" s="4">
        <v>48194.85</v>
      </c>
      <c r="G203" s="4">
        <v>205998.85</v>
      </c>
      <c r="H203" s="6">
        <v>0.81040000000000001</v>
      </c>
      <c r="I203" s="6">
        <v>0.55000000000000004</v>
      </c>
      <c r="J203" s="4">
        <v>113299.36749999999</v>
      </c>
      <c r="K203" s="6">
        <f t="shared" si="3"/>
        <v>5.5000000000000005E-3</v>
      </c>
    </row>
    <row r="204" spans="1:11" x14ac:dyDescent="0.3">
      <c r="A204" s="31">
        <v>45900</v>
      </c>
      <c r="B204" t="s">
        <v>368</v>
      </c>
      <c r="C204" t="s">
        <v>191</v>
      </c>
      <c r="D204" t="s">
        <v>376</v>
      </c>
      <c r="E204" s="4">
        <v>23206.83</v>
      </c>
      <c r="F204" s="4">
        <v>4399.99</v>
      </c>
      <c r="G204" s="4">
        <v>18806.84</v>
      </c>
      <c r="H204" s="6">
        <v>0.81040000000000001</v>
      </c>
      <c r="I204" s="6">
        <v>0.5</v>
      </c>
      <c r="J204" s="4">
        <v>9403.42</v>
      </c>
      <c r="K204" s="6">
        <f t="shared" si="3"/>
        <v>5.0000000000000001E-3</v>
      </c>
    </row>
    <row r="205" spans="1:11" x14ac:dyDescent="0.3">
      <c r="A205" s="31">
        <v>45900</v>
      </c>
      <c r="B205" t="s">
        <v>368</v>
      </c>
      <c r="C205" t="s">
        <v>191</v>
      </c>
      <c r="D205" t="s">
        <v>375</v>
      </c>
      <c r="E205" s="4">
        <v>222005.3</v>
      </c>
      <c r="F205" s="4">
        <v>42091.97</v>
      </c>
      <c r="G205" s="4">
        <v>179913.33</v>
      </c>
      <c r="H205" s="6">
        <v>0.81040000000000001</v>
      </c>
      <c r="I205" s="6">
        <v>0.4</v>
      </c>
      <c r="J205" s="4">
        <v>71965.331999999995</v>
      </c>
      <c r="K205" s="6">
        <f t="shared" si="3"/>
        <v>4.0000000000000001E-3</v>
      </c>
    </row>
    <row r="206" spans="1:11" x14ac:dyDescent="0.3">
      <c r="A206" s="31">
        <v>45900</v>
      </c>
      <c r="B206" t="s">
        <v>368</v>
      </c>
      <c r="C206" t="s">
        <v>191</v>
      </c>
      <c r="D206" t="s">
        <v>374</v>
      </c>
      <c r="E206" s="4">
        <v>102780.05</v>
      </c>
      <c r="F206" s="4">
        <v>19486.990000000002</v>
      </c>
      <c r="G206" s="4">
        <v>83293.070000000007</v>
      </c>
      <c r="H206" s="6">
        <v>0.81040000000000001</v>
      </c>
      <c r="I206" s="6">
        <v>0.35</v>
      </c>
      <c r="J206" s="4">
        <v>29152.574499999999</v>
      </c>
      <c r="K206" s="6">
        <f t="shared" si="3"/>
        <v>3.4999999999999996E-3</v>
      </c>
    </row>
    <row r="207" spans="1:11" x14ac:dyDescent="0.3">
      <c r="A207" s="31">
        <v>45900</v>
      </c>
      <c r="B207" t="s">
        <v>368</v>
      </c>
      <c r="C207" t="s">
        <v>191</v>
      </c>
      <c r="D207" t="s">
        <v>373</v>
      </c>
      <c r="E207" s="4">
        <v>85275.54</v>
      </c>
      <c r="F207" s="4">
        <v>16168.15</v>
      </c>
      <c r="G207" s="4">
        <v>69107.39</v>
      </c>
      <c r="H207" s="6">
        <v>0.81040000000000001</v>
      </c>
      <c r="I207" s="6">
        <v>0.3</v>
      </c>
      <c r="J207" s="4">
        <v>20732.217000000001</v>
      </c>
      <c r="K207" s="6">
        <f t="shared" si="3"/>
        <v>3.0000000000000001E-3</v>
      </c>
    </row>
    <row r="208" spans="1:11" x14ac:dyDescent="0.3">
      <c r="A208" s="31">
        <v>45900</v>
      </c>
      <c r="B208" t="s">
        <v>368</v>
      </c>
      <c r="C208" t="s">
        <v>191</v>
      </c>
      <c r="D208" t="s">
        <v>372</v>
      </c>
      <c r="E208" s="4">
        <v>107740.13</v>
      </c>
      <c r="F208" s="4">
        <v>20427.41</v>
      </c>
      <c r="G208" s="4">
        <v>87312.72</v>
      </c>
      <c r="H208" s="6">
        <v>0.81040000000000001</v>
      </c>
      <c r="I208" s="6">
        <v>0.2</v>
      </c>
      <c r="J208" s="4">
        <v>17462.544000000002</v>
      </c>
      <c r="K208" s="6">
        <f t="shared" si="3"/>
        <v>2E-3</v>
      </c>
    </row>
    <row r="209" spans="1:11" x14ac:dyDescent="0.3">
      <c r="A209" s="31">
        <v>45900</v>
      </c>
      <c r="B209" t="s">
        <v>368</v>
      </c>
      <c r="C209" t="s">
        <v>191</v>
      </c>
      <c r="D209" t="s">
        <v>371</v>
      </c>
      <c r="E209" s="4">
        <v>79771.820000000007</v>
      </c>
      <c r="F209" s="4">
        <v>15124.65</v>
      </c>
      <c r="G209" s="4">
        <v>64647.17</v>
      </c>
      <c r="H209" s="6">
        <v>0.81040000000000001</v>
      </c>
      <c r="I209" s="6">
        <v>0.2</v>
      </c>
      <c r="J209" s="4">
        <v>12929.433999999999</v>
      </c>
      <c r="K209" s="6">
        <f t="shared" si="3"/>
        <v>2E-3</v>
      </c>
    </row>
    <row r="210" spans="1:11" x14ac:dyDescent="0.3">
      <c r="A210" s="31">
        <v>45900</v>
      </c>
      <c r="B210" t="s">
        <v>368</v>
      </c>
      <c r="C210" t="s">
        <v>191</v>
      </c>
      <c r="D210" t="s">
        <v>370</v>
      </c>
      <c r="E210" s="4">
        <v>116219.58</v>
      </c>
      <c r="F210" s="4">
        <v>22035.11</v>
      </c>
      <c r="G210" s="4">
        <v>94184.48</v>
      </c>
      <c r="H210" s="6">
        <v>0.81040000000000001</v>
      </c>
      <c r="I210" s="6">
        <v>0.15</v>
      </c>
      <c r="J210" s="4">
        <v>14127.672</v>
      </c>
      <c r="K210" s="6">
        <f t="shared" si="3"/>
        <v>1.5E-3</v>
      </c>
    </row>
    <row r="211" spans="1:11" x14ac:dyDescent="0.3">
      <c r="A211" s="31">
        <v>45900</v>
      </c>
      <c r="B211" t="s">
        <v>368</v>
      </c>
      <c r="C211" t="s">
        <v>191</v>
      </c>
      <c r="D211" t="s">
        <v>369</v>
      </c>
      <c r="E211" s="4">
        <v>13766.48</v>
      </c>
      <c r="F211" s="4">
        <v>2610.11</v>
      </c>
      <c r="G211" s="4">
        <v>11156.35</v>
      </c>
      <c r="H211" s="6">
        <v>0.81040000000000001</v>
      </c>
      <c r="I211" s="6">
        <v>0.15</v>
      </c>
      <c r="J211" s="4">
        <v>1673.4525000000001</v>
      </c>
      <c r="K211" s="6">
        <f t="shared" si="3"/>
        <v>1.5E-3</v>
      </c>
    </row>
    <row r="212" spans="1:11" x14ac:dyDescent="0.3">
      <c r="A212" s="31">
        <v>45930</v>
      </c>
      <c r="B212" t="s">
        <v>368</v>
      </c>
      <c r="C212" t="s">
        <v>191</v>
      </c>
      <c r="D212" t="s">
        <v>378</v>
      </c>
      <c r="E212" s="4">
        <v>314297.25</v>
      </c>
      <c r="F212" s="4">
        <v>74929.66</v>
      </c>
      <c r="G212" s="4">
        <v>239367.6</v>
      </c>
      <c r="H212" s="6">
        <v>0.76160000000000005</v>
      </c>
      <c r="I212" s="6">
        <v>0.55000000000000004</v>
      </c>
      <c r="J212" s="4">
        <v>131652.18</v>
      </c>
      <c r="K212" s="6">
        <f t="shared" si="3"/>
        <v>5.5000000000000005E-3</v>
      </c>
    </row>
    <row r="213" spans="1:11" x14ac:dyDescent="0.3">
      <c r="A213" s="31">
        <v>45930</v>
      </c>
      <c r="B213" t="s">
        <v>368</v>
      </c>
      <c r="C213" t="s">
        <v>191</v>
      </c>
      <c r="D213" t="s">
        <v>377</v>
      </c>
      <c r="E213" s="4">
        <v>190894.28</v>
      </c>
      <c r="F213" s="4">
        <v>45509.919999999998</v>
      </c>
      <c r="G213" s="4">
        <v>145384.35999999999</v>
      </c>
      <c r="H213" s="6">
        <v>0.76160000000000005</v>
      </c>
      <c r="I213" s="6">
        <v>0.55000000000000004</v>
      </c>
      <c r="J213" s="4">
        <v>79961.398000000001</v>
      </c>
      <c r="K213" s="6">
        <f t="shared" si="3"/>
        <v>5.5000000000000005E-3</v>
      </c>
    </row>
    <row r="214" spans="1:11" x14ac:dyDescent="0.3">
      <c r="A214" s="31">
        <v>45930</v>
      </c>
      <c r="B214" t="s">
        <v>368</v>
      </c>
      <c r="C214" t="s">
        <v>191</v>
      </c>
      <c r="D214" t="s">
        <v>376</v>
      </c>
      <c r="E214" s="4">
        <v>57445.89</v>
      </c>
      <c r="F214" s="4">
        <v>13695.32</v>
      </c>
      <c r="G214" s="4">
        <v>43750.57</v>
      </c>
      <c r="H214" s="6">
        <v>0.76160000000000005</v>
      </c>
      <c r="I214" s="6">
        <v>0.5</v>
      </c>
      <c r="J214" s="4">
        <v>21875.285</v>
      </c>
      <c r="K214" s="6">
        <f t="shared" si="3"/>
        <v>5.0000000000000001E-3</v>
      </c>
    </row>
    <row r="215" spans="1:11" x14ac:dyDescent="0.3">
      <c r="A215" s="31">
        <v>45930</v>
      </c>
      <c r="B215" t="s">
        <v>368</v>
      </c>
      <c r="C215" t="s">
        <v>191</v>
      </c>
      <c r="D215" t="s">
        <v>375</v>
      </c>
      <c r="E215" s="4">
        <v>101667.08</v>
      </c>
      <c r="F215" s="4">
        <v>24237.82</v>
      </c>
      <c r="G215" s="4">
        <v>77429.259999999995</v>
      </c>
      <c r="H215" s="6">
        <v>0.76160000000000005</v>
      </c>
      <c r="I215" s="6">
        <v>0.4</v>
      </c>
      <c r="J215" s="4">
        <v>30971.704000000002</v>
      </c>
      <c r="K215" s="6">
        <f t="shared" si="3"/>
        <v>4.0000000000000001E-3</v>
      </c>
    </row>
    <row r="216" spans="1:11" x14ac:dyDescent="0.3">
      <c r="A216" s="31">
        <v>45930</v>
      </c>
      <c r="B216" t="s">
        <v>368</v>
      </c>
      <c r="C216" t="s">
        <v>191</v>
      </c>
      <c r="D216" t="s">
        <v>374</v>
      </c>
      <c r="E216" s="4">
        <v>127261.89</v>
      </c>
      <c r="F216" s="4">
        <v>30339.72</v>
      </c>
      <c r="G216" s="4">
        <v>96922.17</v>
      </c>
      <c r="H216" s="6">
        <v>0.76160000000000005</v>
      </c>
      <c r="I216" s="6">
        <v>0.35</v>
      </c>
      <c r="J216" s="4">
        <v>33922.7595</v>
      </c>
      <c r="K216" s="6">
        <f t="shared" si="3"/>
        <v>3.4999999999999996E-3</v>
      </c>
    </row>
    <row r="217" spans="1:11" x14ac:dyDescent="0.3">
      <c r="A217" s="31">
        <v>45930</v>
      </c>
      <c r="B217" t="s">
        <v>368</v>
      </c>
      <c r="C217" t="s">
        <v>191</v>
      </c>
      <c r="D217" t="s">
        <v>373</v>
      </c>
      <c r="E217" s="4">
        <v>59079.1</v>
      </c>
      <c r="F217" s="4">
        <v>14084.68</v>
      </c>
      <c r="G217" s="4">
        <v>44994.42</v>
      </c>
      <c r="H217" s="6">
        <v>0.76160000000000005</v>
      </c>
      <c r="I217" s="6">
        <v>0.3</v>
      </c>
      <c r="J217" s="4">
        <v>13498.325999999999</v>
      </c>
      <c r="K217" s="6">
        <f t="shared" si="3"/>
        <v>3.0000000000000001E-3</v>
      </c>
    </row>
    <row r="218" spans="1:11" x14ac:dyDescent="0.3">
      <c r="A218" s="31">
        <v>45930</v>
      </c>
      <c r="B218" t="s">
        <v>368</v>
      </c>
      <c r="C218" t="s">
        <v>191</v>
      </c>
      <c r="D218" t="s">
        <v>372</v>
      </c>
      <c r="E218" s="4">
        <v>50271.06</v>
      </c>
      <c r="F218" s="4">
        <v>11984.81</v>
      </c>
      <c r="G218" s="4">
        <v>38286.25</v>
      </c>
      <c r="H218" s="6">
        <v>0.76160000000000005</v>
      </c>
      <c r="I218" s="6">
        <v>0.2</v>
      </c>
      <c r="J218" s="4">
        <v>7657.25</v>
      </c>
      <c r="K218" s="6">
        <f t="shared" si="3"/>
        <v>2E-3</v>
      </c>
    </row>
    <row r="219" spans="1:11" x14ac:dyDescent="0.3">
      <c r="A219" s="31">
        <v>45930</v>
      </c>
      <c r="B219" t="s">
        <v>368</v>
      </c>
      <c r="C219" t="s">
        <v>191</v>
      </c>
      <c r="D219" t="s">
        <v>371</v>
      </c>
      <c r="E219" s="4">
        <v>137790.15</v>
      </c>
      <c r="F219" s="4">
        <v>32849.69</v>
      </c>
      <c r="G219" s="4">
        <v>104940.46</v>
      </c>
      <c r="H219" s="6">
        <v>0.76160000000000005</v>
      </c>
      <c r="I219" s="6">
        <v>0.2</v>
      </c>
      <c r="J219" s="4">
        <v>20988.092000000001</v>
      </c>
      <c r="K219" s="6">
        <f t="shared" si="3"/>
        <v>2E-3</v>
      </c>
    </row>
    <row r="220" spans="1:11" x14ac:dyDescent="0.3">
      <c r="A220" s="31">
        <v>45930</v>
      </c>
      <c r="B220" t="s">
        <v>368</v>
      </c>
      <c r="C220" t="s">
        <v>191</v>
      </c>
      <c r="D220" t="s">
        <v>370</v>
      </c>
      <c r="E220" s="4">
        <v>131113.1</v>
      </c>
      <c r="F220" s="4">
        <v>31257.86</v>
      </c>
      <c r="G220" s="4">
        <v>99855.24</v>
      </c>
      <c r="H220" s="6">
        <v>0.76160000000000005</v>
      </c>
      <c r="I220" s="6">
        <v>0.15</v>
      </c>
      <c r="J220" s="4">
        <v>14978.286</v>
      </c>
      <c r="K220" s="6">
        <f t="shared" si="3"/>
        <v>1.5E-3</v>
      </c>
    </row>
    <row r="221" spans="1:11" x14ac:dyDescent="0.3">
      <c r="A221" s="31">
        <v>45930</v>
      </c>
      <c r="B221" t="s">
        <v>368</v>
      </c>
      <c r="C221" t="s">
        <v>191</v>
      </c>
      <c r="D221" t="s">
        <v>369</v>
      </c>
      <c r="E221" s="4">
        <v>77490.66</v>
      </c>
      <c r="F221" s="4">
        <v>18474.060000000001</v>
      </c>
      <c r="G221" s="4">
        <v>59016.59</v>
      </c>
      <c r="H221" s="6">
        <v>0.76160000000000005</v>
      </c>
      <c r="I221" s="6">
        <v>0.15</v>
      </c>
      <c r="J221" s="4">
        <v>8852.4884999999995</v>
      </c>
      <c r="K221" s="6">
        <f t="shared" si="3"/>
        <v>1.5E-3</v>
      </c>
    </row>
    <row r="222" spans="1:11" x14ac:dyDescent="0.3">
      <c r="A222" s="31">
        <v>45961</v>
      </c>
      <c r="B222" t="s">
        <v>368</v>
      </c>
      <c r="C222" t="s">
        <v>191</v>
      </c>
      <c r="D222" t="s">
        <v>378</v>
      </c>
      <c r="E222" s="4">
        <v>237649.06</v>
      </c>
      <c r="F222" s="4">
        <v>37159.53</v>
      </c>
      <c r="G222" s="4">
        <v>200489.54</v>
      </c>
      <c r="H222" s="6">
        <v>0.84360000000000002</v>
      </c>
      <c r="I222" s="6">
        <v>0.55000000000000004</v>
      </c>
      <c r="J222" s="4">
        <v>110269.247</v>
      </c>
      <c r="K222" s="6">
        <f t="shared" si="3"/>
        <v>5.5000000000000005E-3</v>
      </c>
    </row>
    <row r="223" spans="1:11" x14ac:dyDescent="0.3">
      <c r="A223" s="31">
        <v>45961</v>
      </c>
      <c r="B223" t="s">
        <v>368</v>
      </c>
      <c r="C223" t="s">
        <v>191</v>
      </c>
      <c r="D223" t="s">
        <v>377</v>
      </c>
      <c r="E223" s="4">
        <v>291686.26</v>
      </c>
      <c r="F223" s="4">
        <v>45608.95</v>
      </c>
      <c r="G223" s="4">
        <v>246077.32</v>
      </c>
      <c r="H223" s="6">
        <v>0.84360000000000002</v>
      </c>
      <c r="I223" s="6">
        <v>0.55000000000000004</v>
      </c>
      <c r="J223" s="4">
        <v>135342.52600000001</v>
      </c>
      <c r="K223" s="6">
        <f t="shared" si="3"/>
        <v>5.5000000000000005E-3</v>
      </c>
    </row>
    <row r="224" spans="1:11" x14ac:dyDescent="0.3">
      <c r="A224" s="31">
        <v>45961</v>
      </c>
      <c r="B224" t="s">
        <v>368</v>
      </c>
      <c r="C224" t="s">
        <v>191</v>
      </c>
      <c r="D224" t="s">
        <v>376</v>
      </c>
      <c r="E224" s="4">
        <v>156184.5</v>
      </c>
      <c r="F224" s="4">
        <v>24421.48</v>
      </c>
      <c r="G224" s="4">
        <v>131763.01999999999</v>
      </c>
      <c r="H224" s="6">
        <v>0.84360000000000002</v>
      </c>
      <c r="I224" s="6">
        <v>0.5</v>
      </c>
      <c r="J224" s="4">
        <v>65881.509999999995</v>
      </c>
      <c r="K224" s="6">
        <f t="shared" si="3"/>
        <v>5.0000000000000001E-3</v>
      </c>
    </row>
    <row r="225" spans="1:11" x14ac:dyDescent="0.3">
      <c r="A225" s="31">
        <v>45961</v>
      </c>
      <c r="B225" t="s">
        <v>368</v>
      </c>
      <c r="C225" t="s">
        <v>191</v>
      </c>
      <c r="D225" t="s">
        <v>375</v>
      </c>
      <c r="E225" s="4">
        <v>85198.07</v>
      </c>
      <c r="F225" s="4">
        <v>13321.83</v>
      </c>
      <c r="G225" s="4">
        <v>71876.240000000005</v>
      </c>
      <c r="H225" s="6">
        <v>0.84360000000000002</v>
      </c>
      <c r="I225" s="6">
        <v>0.4</v>
      </c>
      <c r="J225" s="4">
        <v>28750.495999999999</v>
      </c>
      <c r="K225" s="6">
        <f t="shared" si="3"/>
        <v>4.0000000000000001E-3</v>
      </c>
    </row>
    <row r="226" spans="1:11" x14ac:dyDescent="0.3">
      <c r="A226" s="31">
        <v>45961</v>
      </c>
      <c r="B226" t="s">
        <v>368</v>
      </c>
      <c r="C226" t="s">
        <v>191</v>
      </c>
      <c r="D226" t="s">
        <v>374</v>
      </c>
      <c r="E226" s="4">
        <v>127387.99</v>
      </c>
      <c r="F226" s="4">
        <v>19918.77</v>
      </c>
      <c r="G226" s="4">
        <v>107469.22</v>
      </c>
      <c r="H226" s="6">
        <v>0.84360000000000002</v>
      </c>
      <c r="I226" s="6">
        <v>0.35</v>
      </c>
      <c r="J226" s="4">
        <v>37614.226999999999</v>
      </c>
      <c r="K226" s="6">
        <f t="shared" si="3"/>
        <v>3.4999999999999996E-3</v>
      </c>
    </row>
    <row r="227" spans="1:11" x14ac:dyDescent="0.3">
      <c r="A227" s="31">
        <v>45961</v>
      </c>
      <c r="B227" t="s">
        <v>368</v>
      </c>
      <c r="C227" t="s">
        <v>191</v>
      </c>
      <c r="D227" t="s">
        <v>373</v>
      </c>
      <c r="E227" s="4">
        <v>65986.84</v>
      </c>
      <c r="F227" s="4">
        <v>10317.9</v>
      </c>
      <c r="G227" s="4">
        <v>55668.94</v>
      </c>
      <c r="H227" s="6">
        <v>0.84360000000000002</v>
      </c>
      <c r="I227" s="6">
        <v>0.3</v>
      </c>
      <c r="J227" s="4">
        <v>16700.682000000001</v>
      </c>
      <c r="K227" s="6">
        <f t="shared" si="3"/>
        <v>3.0000000000000001E-3</v>
      </c>
    </row>
    <row r="228" spans="1:11" x14ac:dyDescent="0.3">
      <c r="A228" s="31">
        <v>45961</v>
      </c>
      <c r="B228" t="s">
        <v>368</v>
      </c>
      <c r="C228" t="s">
        <v>191</v>
      </c>
      <c r="D228" t="s">
        <v>372</v>
      </c>
      <c r="E228" s="4">
        <v>101910</v>
      </c>
      <c r="F228" s="4">
        <v>15934.96</v>
      </c>
      <c r="G228" s="4">
        <v>85975.039999999994</v>
      </c>
      <c r="H228" s="6">
        <v>0.84360000000000002</v>
      </c>
      <c r="I228" s="6">
        <v>0.2</v>
      </c>
      <c r="J228" s="4">
        <v>17195.008000000002</v>
      </c>
      <c r="K228" s="6">
        <f t="shared" si="3"/>
        <v>2E-3</v>
      </c>
    </row>
    <row r="229" spans="1:11" x14ac:dyDescent="0.3">
      <c r="A229" s="31">
        <v>45961</v>
      </c>
      <c r="B229" t="s">
        <v>368</v>
      </c>
      <c r="C229" t="s">
        <v>191</v>
      </c>
      <c r="D229" t="s">
        <v>371</v>
      </c>
      <c r="E229" s="4">
        <v>31367.07</v>
      </c>
      <c r="F229" s="4">
        <v>4904.6499999999996</v>
      </c>
      <c r="G229" s="4">
        <v>26462.42</v>
      </c>
      <c r="H229" s="6">
        <v>0.84360000000000002</v>
      </c>
      <c r="I229" s="6">
        <v>0.2</v>
      </c>
      <c r="J229" s="4">
        <v>5292.4840000000004</v>
      </c>
      <c r="K229" s="6">
        <f t="shared" si="3"/>
        <v>2E-3</v>
      </c>
    </row>
    <row r="230" spans="1:11" x14ac:dyDescent="0.3">
      <c r="A230" s="31">
        <v>45961</v>
      </c>
      <c r="B230" t="s">
        <v>368</v>
      </c>
      <c r="C230" t="s">
        <v>191</v>
      </c>
      <c r="D230" t="s">
        <v>370</v>
      </c>
      <c r="E230" s="4">
        <v>91088.95</v>
      </c>
      <c r="F230" s="4">
        <v>14242.95</v>
      </c>
      <c r="G230" s="4">
        <v>76846.009999999995</v>
      </c>
      <c r="H230" s="6">
        <v>0.84360000000000002</v>
      </c>
      <c r="I230" s="6">
        <v>0.15</v>
      </c>
      <c r="J230" s="4">
        <v>11526.9015</v>
      </c>
      <c r="K230" s="6">
        <f t="shared" si="3"/>
        <v>1.5E-3</v>
      </c>
    </row>
    <row r="231" spans="1:11" x14ac:dyDescent="0.3">
      <c r="A231" s="31">
        <v>45961</v>
      </c>
      <c r="B231" t="s">
        <v>368</v>
      </c>
      <c r="C231" t="s">
        <v>191</v>
      </c>
      <c r="D231" t="s">
        <v>369</v>
      </c>
      <c r="E231" s="4">
        <v>27486.32</v>
      </c>
      <c r="F231" s="4">
        <v>4297.84</v>
      </c>
      <c r="G231" s="4">
        <v>23188.46</v>
      </c>
      <c r="H231" s="6">
        <v>0.84360000000000002</v>
      </c>
      <c r="I231" s="6">
        <v>0.15</v>
      </c>
      <c r="J231" s="4">
        <v>3478.2689999999998</v>
      </c>
      <c r="K231" s="6">
        <f t="shared" si="3"/>
        <v>1.5E-3</v>
      </c>
    </row>
    <row r="232" spans="1:11" x14ac:dyDescent="0.3">
      <c r="A232" s="31">
        <v>45991</v>
      </c>
      <c r="B232" t="s">
        <v>368</v>
      </c>
      <c r="C232" t="s">
        <v>191</v>
      </c>
      <c r="D232" t="s">
        <v>378</v>
      </c>
      <c r="E232" s="4">
        <v>269837.78999999998</v>
      </c>
      <c r="F232" s="4">
        <v>30871.33</v>
      </c>
      <c r="G232" s="4">
        <v>238966.46</v>
      </c>
      <c r="H232" s="6">
        <v>0.88560000000000005</v>
      </c>
      <c r="I232" s="6">
        <v>0.55000000000000004</v>
      </c>
      <c r="J232" s="4">
        <v>131431.55300000001</v>
      </c>
      <c r="K232" s="6">
        <f t="shared" si="3"/>
        <v>5.5000000000000005E-3</v>
      </c>
    </row>
    <row r="233" spans="1:11" x14ac:dyDescent="0.3">
      <c r="A233" s="31">
        <v>45991</v>
      </c>
      <c r="B233" t="s">
        <v>368</v>
      </c>
      <c r="C233" t="s">
        <v>191</v>
      </c>
      <c r="D233" t="s">
        <v>377</v>
      </c>
      <c r="E233" s="4">
        <v>278587.46999999997</v>
      </c>
      <c r="F233" s="4">
        <v>31872.36</v>
      </c>
      <c r="G233" s="4">
        <v>246715.11</v>
      </c>
      <c r="H233" s="6">
        <v>0.88560000000000005</v>
      </c>
      <c r="I233" s="6">
        <v>0.55000000000000004</v>
      </c>
      <c r="J233" s="4">
        <v>135693.31049999999</v>
      </c>
      <c r="K233" s="6">
        <f t="shared" si="3"/>
        <v>5.5000000000000005E-3</v>
      </c>
    </row>
    <row r="234" spans="1:11" x14ac:dyDescent="0.3">
      <c r="A234" s="31">
        <v>45991</v>
      </c>
      <c r="B234" t="s">
        <v>368</v>
      </c>
      <c r="C234" t="s">
        <v>191</v>
      </c>
      <c r="D234" t="s">
        <v>376</v>
      </c>
      <c r="E234" s="4">
        <v>21320.68</v>
      </c>
      <c r="F234" s="4">
        <v>2439.23</v>
      </c>
      <c r="G234" s="4">
        <v>18881.439999999999</v>
      </c>
      <c r="H234" s="6">
        <v>0.88560000000000005</v>
      </c>
      <c r="I234" s="6">
        <v>0.5</v>
      </c>
      <c r="J234" s="4">
        <v>9440.7199999999993</v>
      </c>
      <c r="K234" s="6">
        <f t="shared" si="3"/>
        <v>5.0000000000000001E-3</v>
      </c>
    </row>
    <row r="235" spans="1:11" x14ac:dyDescent="0.3">
      <c r="A235" s="31">
        <v>45991</v>
      </c>
      <c r="B235" t="s">
        <v>368</v>
      </c>
      <c r="C235" t="s">
        <v>191</v>
      </c>
      <c r="D235" t="s">
        <v>375</v>
      </c>
      <c r="E235" s="4">
        <v>119218.97</v>
      </c>
      <c r="F235" s="4">
        <v>13639.49</v>
      </c>
      <c r="G235" s="4">
        <v>105579.49</v>
      </c>
      <c r="H235" s="6">
        <v>0.88560000000000005</v>
      </c>
      <c r="I235" s="6">
        <v>0.4</v>
      </c>
      <c r="J235" s="4">
        <v>42231.796000000002</v>
      </c>
      <c r="K235" s="6">
        <f t="shared" si="3"/>
        <v>4.0000000000000001E-3</v>
      </c>
    </row>
    <row r="236" spans="1:11" x14ac:dyDescent="0.3">
      <c r="A236" s="31">
        <v>45991</v>
      </c>
      <c r="B236" t="s">
        <v>368</v>
      </c>
      <c r="C236" t="s">
        <v>191</v>
      </c>
      <c r="D236" t="s">
        <v>374</v>
      </c>
      <c r="E236" s="4">
        <v>124399.77</v>
      </c>
      <c r="F236" s="4">
        <v>14232.21</v>
      </c>
      <c r="G236" s="4">
        <v>110167.57</v>
      </c>
      <c r="H236" s="6">
        <v>0.88560000000000005</v>
      </c>
      <c r="I236" s="6">
        <v>0.35</v>
      </c>
      <c r="J236" s="4">
        <v>38558.6495</v>
      </c>
      <c r="K236" s="6">
        <f t="shared" si="3"/>
        <v>3.4999999999999996E-3</v>
      </c>
    </row>
    <row r="237" spans="1:11" x14ac:dyDescent="0.3">
      <c r="A237" s="31">
        <v>45991</v>
      </c>
      <c r="B237" t="s">
        <v>368</v>
      </c>
      <c r="C237" t="s">
        <v>191</v>
      </c>
      <c r="D237" t="s">
        <v>373</v>
      </c>
      <c r="E237" s="4">
        <v>53285.02</v>
      </c>
      <c r="F237" s="4">
        <v>6096.18</v>
      </c>
      <c r="G237" s="4">
        <v>47188.84</v>
      </c>
      <c r="H237" s="6">
        <v>0.88560000000000005</v>
      </c>
      <c r="I237" s="6">
        <v>0.3</v>
      </c>
      <c r="J237" s="4">
        <v>14156.652</v>
      </c>
      <c r="K237" s="6">
        <f t="shared" si="3"/>
        <v>3.0000000000000001E-3</v>
      </c>
    </row>
    <row r="238" spans="1:11" x14ac:dyDescent="0.3">
      <c r="A238" s="31">
        <v>45991</v>
      </c>
      <c r="B238" t="s">
        <v>368</v>
      </c>
      <c r="C238" t="s">
        <v>191</v>
      </c>
      <c r="D238" t="s">
        <v>372</v>
      </c>
      <c r="E238" s="4">
        <v>122258.83</v>
      </c>
      <c r="F238" s="4">
        <v>13987.27</v>
      </c>
      <c r="G238" s="4">
        <v>108271.56</v>
      </c>
      <c r="H238" s="6">
        <v>0.88560000000000005</v>
      </c>
      <c r="I238" s="6">
        <v>0.2</v>
      </c>
      <c r="J238" s="4">
        <v>21654.312000000002</v>
      </c>
      <c r="K238" s="6">
        <f t="shared" si="3"/>
        <v>2E-3</v>
      </c>
    </row>
    <row r="239" spans="1:11" x14ac:dyDescent="0.3">
      <c r="A239" s="31">
        <v>45991</v>
      </c>
      <c r="B239" t="s">
        <v>368</v>
      </c>
      <c r="C239" t="s">
        <v>191</v>
      </c>
      <c r="D239" t="s">
        <v>371</v>
      </c>
      <c r="E239" s="4">
        <v>108653.1</v>
      </c>
      <c r="F239" s="4">
        <v>12430.68</v>
      </c>
      <c r="G239" s="4">
        <v>96222.43</v>
      </c>
      <c r="H239" s="6">
        <v>0.88560000000000005</v>
      </c>
      <c r="I239" s="6">
        <v>0.2</v>
      </c>
      <c r="J239" s="4">
        <v>19244.486000000001</v>
      </c>
      <c r="K239" s="6">
        <f t="shared" si="3"/>
        <v>2E-3</v>
      </c>
    </row>
    <row r="240" spans="1:11" x14ac:dyDescent="0.3">
      <c r="A240" s="31">
        <v>45991</v>
      </c>
      <c r="B240" t="s">
        <v>368</v>
      </c>
      <c r="C240" t="s">
        <v>191</v>
      </c>
      <c r="D240" t="s">
        <v>370</v>
      </c>
      <c r="E240" s="4">
        <v>120312.11</v>
      </c>
      <c r="F240" s="4">
        <v>13764.55</v>
      </c>
      <c r="G240" s="4">
        <v>106547.56</v>
      </c>
      <c r="H240" s="6">
        <v>0.88560000000000005</v>
      </c>
      <c r="I240" s="6">
        <v>0.15</v>
      </c>
      <c r="J240" s="4">
        <v>15982.134</v>
      </c>
      <c r="K240" s="6">
        <f t="shared" si="3"/>
        <v>1.5E-3</v>
      </c>
    </row>
    <row r="241" spans="1:11" x14ac:dyDescent="0.3">
      <c r="A241" s="31">
        <v>45991</v>
      </c>
      <c r="B241" t="s">
        <v>368</v>
      </c>
      <c r="C241" t="s">
        <v>191</v>
      </c>
      <c r="D241" t="s">
        <v>369</v>
      </c>
      <c r="E241" s="4">
        <v>50237.83</v>
      </c>
      <c r="F241" s="4">
        <v>5747.55</v>
      </c>
      <c r="G241" s="4">
        <v>44490.26</v>
      </c>
      <c r="H241" s="6">
        <v>0.88560000000000005</v>
      </c>
      <c r="I241" s="6">
        <v>0.15</v>
      </c>
      <c r="J241" s="4">
        <v>6673.5389999999998</v>
      </c>
      <c r="K241" s="6">
        <f t="shared" si="3"/>
        <v>1.5E-3</v>
      </c>
    </row>
    <row r="242" spans="1:11" x14ac:dyDescent="0.3">
      <c r="A242" s="31">
        <v>45657</v>
      </c>
      <c r="B242" t="s">
        <v>368</v>
      </c>
      <c r="C242" t="s">
        <v>193</v>
      </c>
      <c r="D242" t="s">
        <v>378</v>
      </c>
      <c r="E242" s="4">
        <v>872976.24</v>
      </c>
      <c r="F242" s="4">
        <v>96248.6</v>
      </c>
      <c r="G242" s="4">
        <v>776727.64</v>
      </c>
      <c r="H242" s="6">
        <v>0.88970000000000005</v>
      </c>
      <c r="I242" s="6">
        <v>0.55000000000000004</v>
      </c>
      <c r="J242" s="4">
        <v>427200.20199999999</v>
      </c>
      <c r="K242" s="6">
        <f t="shared" si="3"/>
        <v>5.5000000000000005E-3</v>
      </c>
    </row>
    <row r="243" spans="1:11" x14ac:dyDescent="0.3">
      <c r="A243" s="31">
        <v>45657</v>
      </c>
      <c r="B243" t="s">
        <v>368</v>
      </c>
      <c r="C243" t="s">
        <v>193</v>
      </c>
      <c r="D243" t="s">
        <v>377</v>
      </c>
      <c r="E243" s="4">
        <v>696249.89</v>
      </c>
      <c r="F243" s="4">
        <v>76763.92</v>
      </c>
      <c r="G243" s="4">
        <v>619485.97</v>
      </c>
      <c r="H243" s="6">
        <v>0.88970000000000005</v>
      </c>
      <c r="I243" s="6">
        <v>0.55000000000000004</v>
      </c>
      <c r="J243" s="4">
        <v>340717.28350000002</v>
      </c>
      <c r="K243" s="6">
        <f t="shared" si="3"/>
        <v>5.5000000000000005E-3</v>
      </c>
    </row>
    <row r="244" spans="1:11" x14ac:dyDescent="0.3">
      <c r="A244" s="31">
        <v>45657</v>
      </c>
      <c r="B244" t="s">
        <v>368</v>
      </c>
      <c r="C244" t="s">
        <v>193</v>
      </c>
      <c r="D244" t="s">
        <v>376</v>
      </c>
      <c r="E244" s="4">
        <v>576967.71</v>
      </c>
      <c r="F244" s="4">
        <v>63612.65</v>
      </c>
      <c r="G244" s="4">
        <v>513355.06</v>
      </c>
      <c r="H244" s="6">
        <v>0.88970000000000005</v>
      </c>
      <c r="I244" s="6">
        <v>0.5</v>
      </c>
      <c r="J244" s="4">
        <v>256677.53</v>
      </c>
      <c r="K244" s="6">
        <f t="shared" si="3"/>
        <v>5.0000000000000001E-3</v>
      </c>
    </row>
    <row r="245" spans="1:11" x14ac:dyDescent="0.3">
      <c r="A245" s="31">
        <v>45657</v>
      </c>
      <c r="B245" t="s">
        <v>368</v>
      </c>
      <c r="C245" t="s">
        <v>193</v>
      </c>
      <c r="D245" t="s">
        <v>375</v>
      </c>
      <c r="E245" s="4">
        <v>430933.78</v>
      </c>
      <c r="F245" s="4">
        <v>47511.92</v>
      </c>
      <c r="G245" s="4">
        <v>383421.87</v>
      </c>
      <c r="H245" s="6">
        <v>0.88970000000000005</v>
      </c>
      <c r="I245" s="6">
        <v>0.4</v>
      </c>
      <c r="J245" s="4">
        <v>153368.74799999999</v>
      </c>
      <c r="K245" s="6">
        <f t="shared" si="3"/>
        <v>4.0000000000000001E-3</v>
      </c>
    </row>
    <row r="246" spans="1:11" x14ac:dyDescent="0.3">
      <c r="A246" s="31">
        <v>45657</v>
      </c>
      <c r="B246" t="s">
        <v>368</v>
      </c>
      <c r="C246" t="s">
        <v>193</v>
      </c>
      <c r="D246" t="s">
        <v>374</v>
      </c>
      <c r="E246" s="4">
        <v>360815.44</v>
      </c>
      <c r="F246" s="4">
        <v>39781.129999999997</v>
      </c>
      <c r="G246" s="4">
        <v>321034.31</v>
      </c>
      <c r="H246" s="6">
        <v>0.88970000000000005</v>
      </c>
      <c r="I246" s="6">
        <v>0.35</v>
      </c>
      <c r="J246" s="4">
        <v>112362.0085</v>
      </c>
      <c r="K246" s="6">
        <f t="shared" si="3"/>
        <v>3.4999999999999996E-3</v>
      </c>
    </row>
    <row r="247" spans="1:11" x14ac:dyDescent="0.3">
      <c r="A247" s="31">
        <v>45657</v>
      </c>
      <c r="B247" t="s">
        <v>368</v>
      </c>
      <c r="C247" t="s">
        <v>193</v>
      </c>
      <c r="D247" t="s">
        <v>373</v>
      </c>
      <c r="E247" s="4">
        <v>177367.72</v>
      </c>
      <c r="F247" s="4">
        <v>19555.39</v>
      </c>
      <c r="G247" s="4">
        <v>157812.32999999999</v>
      </c>
      <c r="H247" s="6">
        <v>0.88970000000000005</v>
      </c>
      <c r="I247" s="6">
        <v>0.3</v>
      </c>
      <c r="J247" s="4">
        <v>47343.698999999993</v>
      </c>
      <c r="K247" s="6">
        <f t="shared" si="3"/>
        <v>3.0000000000000001E-3</v>
      </c>
    </row>
    <row r="248" spans="1:11" x14ac:dyDescent="0.3">
      <c r="A248" s="31">
        <v>45657</v>
      </c>
      <c r="B248" t="s">
        <v>368</v>
      </c>
      <c r="C248" t="s">
        <v>193</v>
      </c>
      <c r="D248" t="s">
        <v>372</v>
      </c>
      <c r="E248" s="4">
        <v>384600.51</v>
      </c>
      <c r="F248" s="4">
        <v>42403.51</v>
      </c>
      <c r="G248" s="4">
        <v>342196.99</v>
      </c>
      <c r="H248" s="6">
        <v>0.88970000000000005</v>
      </c>
      <c r="I248" s="6">
        <v>0.2</v>
      </c>
      <c r="J248" s="4">
        <v>68439.398000000001</v>
      </c>
      <c r="K248" s="6">
        <f t="shared" si="3"/>
        <v>2E-3</v>
      </c>
    </row>
    <row r="249" spans="1:11" x14ac:dyDescent="0.3">
      <c r="A249" s="31">
        <v>45657</v>
      </c>
      <c r="B249" t="s">
        <v>368</v>
      </c>
      <c r="C249" t="s">
        <v>193</v>
      </c>
      <c r="D249" t="s">
        <v>371</v>
      </c>
      <c r="E249" s="4">
        <v>482424.89</v>
      </c>
      <c r="F249" s="4">
        <v>53188.99</v>
      </c>
      <c r="G249" s="4">
        <v>429235.91</v>
      </c>
      <c r="H249" s="6">
        <v>0.88970000000000005</v>
      </c>
      <c r="I249" s="6">
        <v>0.2</v>
      </c>
      <c r="J249" s="4">
        <v>85847.182000000001</v>
      </c>
      <c r="K249" s="6">
        <f t="shared" si="3"/>
        <v>2E-3</v>
      </c>
    </row>
    <row r="250" spans="1:11" x14ac:dyDescent="0.3">
      <c r="A250" s="31">
        <v>45657</v>
      </c>
      <c r="B250" t="s">
        <v>368</v>
      </c>
      <c r="C250" t="s">
        <v>193</v>
      </c>
      <c r="D250" t="s">
        <v>370</v>
      </c>
      <c r="E250" s="4">
        <v>285165.12</v>
      </c>
      <c r="F250" s="4">
        <v>31440.42</v>
      </c>
      <c r="G250" s="4">
        <v>253724.69</v>
      </c>
      <c r="H250" s="6">
        <v>0.88970000000000005</v>
      </c>
      <c r="I250" s="6">
        <v>0.15</v>
      </c>
      <c r="J250" s="4">
        <v>38058.703500000003</v>
      </c>
      <c r="K250" s="6">
        <f t="shared" si="3"/>
        <v>1.5E-3</v>
      </c>
    </row>
    <row r="251" spans="1:11" x14ac:dyDescent="0.3">
      <c r="A251" s="31">
        <v>45657</v>
      </c>
      <c r="B251" t="s">
        <v>368</v>
      </c>
      <c r="C251" t="s">
        <v>193</v>
      </c>
      <c r="D251" t="s">
        <v>369</v>
      </c>
      <c r="E251" s="4">
        <v>47572.97</v>
      </c>
      <c r="F251" s="4">
        <v>5245.09</v>
      </c>
      <c r="G251" s="4">
        <v>42327.88</v>
      </c>
      <c r="H251" s="6">
        <v>0.88970000000000005</v>
      </c>
      <c r="I251" s="6">
        <v>0.15</v>
      </c>
      <c r="J251" s="4">
        <v>6349.1819999999998</v>
      </c>
      <c r="K251" s="6">
        <f t="shared" si="3"/>
        <v>1.5E-3</v>
      </c>
    </row>
    <row r="252" spans="1:11" x14ac:dyDescent="0.3">
      <c r="A252" s="31">
        <v>45688</v>
      </c>
      <c r="B252" t="s">
        <v>368</v>
      </c>
      <c r="C252" t="s">
        <v>193</v>
      </c>
      <c r="D252" t="s">
        <v>378</v>
      </c>
      <c r="E252" s="4">
        <v>1009337.01</v>
      </c>
      <c r="F252" s="4">
        <v>116603.49</v>
      </c>
      <c r="G252" s="4">
        <v>892733.53</v>
      </c>
      <c r="H252" s="6">
        <v>0.88449999999999995</v>
      </c>
      <c r="I252" s="6">
        <v>0.55000000000000004</v>
      </c>
      <c r="J252" s="4">
        <v>491003.44150000007</v>
      </c>
      <c r="K252" s="6">
        <f t="shared" si="3"/>
        <v>5.5000000000000005E-3</v>
      </c>
    </row>
    <row r="253" spans="1:11" x14ac:dyDescent="0.3">
      <c r="A253" s="31">
        <v>45688</v>
      </c>
      <c r="B253" t="s">
        <v>368</v>
      </c>
      <c r="C253" t="s">
        <v>193</v>
      </c>
      <c r="D253" t="s">
        <v>377</v>
      </c>
      <c r="E253" s="4">
        <v>724185.13</v>
      </c>
      <c r="F253" s="4">
        <v>83661.36</v>
      </c>
      <c r="G253" s="4">
        <v>640523.76</v>
      </c>
      <c r="H253" s="6">
        <v>0.88449999999999995</v>
      </c>
      <c r="I253" s="6">
        <v>0.55000000000000004</v>
      </c>
      <c r="J253" s="4">
        <v>352288.06800000003</v>
      </c>
      <c r="K253" s="6">
        <f t="shared" si="3"/>
        <v>5.5000000000000005E-3</v>
      </c>
    </row>
    <row r="254" spans="1:11" x14ac:dyDescent="0.3">
      <c r="A254" s="31">
        <v>45688</v>
      </c>
      <c r="B254" t="s">
        <v>368</v>
      </c>
      <c r="C254" t="s">
        <v>193</v>
      </c>
      <c r="D254" t="s">
        <v>376</v>
      </c>
      <c r="E254" s="4">
        <v>420471.96</v>
      </c>
      <c r="F254" s="4">
        <v>48574.95</v>
      </c>
      <c r="G254" s="4">
        <v>371897</v>
      </c>
      <c r="H254" s="6">
        <v>0.88449999999999995</v>
      </c>
      <c r="I254" s="6">
        <v>0.5</v>
      </c>
      <c r="J254" s="4">
        <v>185948.5</v>
      </c>
      <c r="K254" s="6">
        <f t="shared" si="3"/>
        <v>5.0000000000000001E-3</v>
      </c>
    </row>
    <row r="255" spans="1:11" x14ac:dyDescent="0.3">
      <c r="A255" s="31">
        <v>45688</v>
      </c>
      <c r="B255" t="s">
        <v>368</v>
      </c>
      <c r="C255" t="s">
        <v>193</v>
      </c>
      <c r="D255" t="s">
        <v>375</v>
      </c>
      <c r="E255" s="4">
        <v>575784.06999999995</v>
      </c>
      <c r="F255" s="4">
        <v>66517.36</v>
      </c>
      <c r="G255" s="4">
        <v>509266.71</v>
      </c>
      <c r="H255" s="6">
        <v>0.88449999999999995</v>
      </c>
      <c r="I255" s="6">
        <v>0.4</v>
      </c>
      <c r="J255" s="4">
        <v>203706.68400000001</v>
      </c>
      <c r="K255" s="6">
        <f t="shared" si="3"/>
        <v>4.0000000000000001E-3</v>
      </c>
    </row>
    <row r="256" spans="1:11" x14ac:dyDescent="0.3">
      <c r="A256" s="31">
        <v>45688</v>
      </c>
      <c r="B256" t="s">
        <v>368</v>
      </c>
      <c r="C256" t="s">
        <v>193</v>
      </c>
      <c r="D256" t="s">
        <v>374</v>
      </c>
      <c r="E256" s="4">
        <v>330669.53000000003</v>
      </c>
      <c r="F256" s="4">
        <v>38200.54</v>
      </c>
      <c r="G256" s="4">
        <v>292468.99</v>
      </c>
      <c r="H256" s="6">
        <v>0.88449999999999995</v>
      </c>
      <c r="I256" s="6">
        <v>0.35</v>
      </c>
      <c r="J256" s="4">
        <v>102364.1465</v>
      </c>
      <c r="K256" s="6">
        <f t="shared" si="3"/>
        <v>3.4999999999999996E-3</v>
      </c>
    </row>
    <row r="257" spans="1:11" x14ac:dyDescent="0.3">
      <c r="A257" s="31">
        <v>45688</v>
      </c>
      <c r="B257" t="s">
        <v>368</v>
      </c>
      <c r="C257" t="s">
        <v>193</v>
      </c>
      <c r="D257" t="s">
        <v>373</v>
      </c>
      <c r="E257" s="4">
        <v>244412.01</v>
      </c>
      <c r="F257" s="4">
        <v>28235.66</v>
      </c>
      <c r="G257" s="4">
        <v>216176.35</v>
      </c>
      <c r="H257" s="6">
        <v>0.88449999999999995</v>
      </c>
      <c r="I257" s="6">
        <v>0.3</v>
      </c>
      <c r="J257" s="4">
        <v>64852.904999999999</v>
      </c>
      <c r="K257" s="6">
        <f t="shared" si="3"/>
        <v>3.0000000000000001E-3</v>
      </c>
    </row>
    <row r="258" spans="1:11" x14ac:dyDescent="0.3">
      <c r="A258" s="31">
        <v>45688</v>
      </c>
      <c r="B258" t="s">
        <v>368</v>
      </c>
      <c r="C258" t="s">
        <v>193</v>
      </c>
      <c r="D258" t="s">
        <v>372</v>
      </c>
      <c r="E258" s="4">
        <v>227570.05</v>
      </c>
      <c r="F258" s="4">
        <v>26289.99</v>
      </c>
      <c r="G258" s="4">
        <v>201280.06</v>
      </c>
      <c r="H258" s="6">
        <v>0.88449999999999995</v>
      </c>
      <c r="I258" s="6">
        <v>0.2</v>
      </c>
      <c r="J258" s="4">
        <v>40256.012000000002</v>
      </c>
      <c r="K258" s="6">
        <f t="shared" ref="K258:K321" si="4">LEFT(I258,4)/100</f>
        <v>2E-3</v>
      </c>
    </row>
    <row r="259" spans="1:11" x14ac:dyDescent="0.3">
      <c r="A259" s="31">
        <v>45688</v>
      </c>
      <c r="B259" t="s">
        <v>368</v>
      </c>
      <c r="C259" t="s">
        <v>193</v>
      </c>
      <c r="D259" t="s">
        <v>371</v>
      </c>
      <c r="E259" s="4">
        <v>264133.11</v>
      </c>
      <c r="F259" s="4">
        <v>30513.93</v>
      </c>
      <c r="G259" s="4">
        <v>233619.18</v>
      </c>
      <c r="H259" s="6">
        <v>0.88449999999999995</v>
      </c>
      <c r="I259" s="6">
        <v>0.2</v>
      </c>
      <c r="J259" s="4">
        <v>46723.836000000003</v>
      </c>
      <c r="K259" s="6">
        <f t="shared" si="4"/>
        <v>2E-3</v>
      </c>
    </row>
    <row r="260" spans="1:11" x14ac:dyDescent="0.3">
      <c r="A260" s="31">
        <v>45688</v>
      </c>
      <c r="B260" t="s">
        <v>368</v>
      </c>
      <c r="C260" t="s">
        <v>193</v>
      </c>
      <c r="D260" t="s">
        <v>370</v>
      </c>
      <c r="E260" s="4">
        <v>367753.17</v>
      </c>
      <c r="F260" s="4">
        <v>42484.62</v>
      </c>
      <c r="G260" s="4">
        <v>325268.55</v>
      </c>
      <c r="H260" s="6">
        <v>0.88449999999999995</v>
      </c>
      <c r="I260" s="6">
        <v>0.15</v>
      </c>
      <c r="J260" s="4">
        <v>48790.282499999987</v>
      </c>
      <c r="K260" s="6">
        <f t="shared" si="4"/>
        <v>1.5E-3</v>
      </c>
    </row>
    <row r="261" spans="1:11" x14ac:dyDescent="0.3">
      <c r="A261" s="31">
        <v>45688</v>
      </c>
      <c r="B261" t="s">
        <v>368</v>
      </c>
      <c r="C261" t="s">
        <v>193</v>
      </c>
      <c r="D261" t="s">
        <v>369</v>
      </c>
      <c r="E261" s="4">
        <v>41654.85</v>
      </c>
      <c r="F261" s="4">
        <v>4812.17</v>
      </c>
      <c r="G261" s="4">
        <v>36842.69</v>
      </c>
      <c r="H261" s="6">
        <v>0.88449999999999995</v>
      </c>
      <c r="I261" s="6">
        <v>0.15</v>
      </c>
      <c r="J261" s="4">
        <v>5526.4035000000003</v>
      </c>
      <c r="K261" s="6">
        <f t="shared" si="4"/>
        <v>1.5E-3</v>
      </c>
    </row>
    <row r="262" spans="1:11" x14ac:dyDescent="0.3">
      <c r="A262" s="31">
        <v>45716</v>
      </c>
      <c r="B262" t="s">
        <v>368</v>
      </c>
      <c r="C262" t="s">
        <v>193</v>
      </c>
      <c r="D262" t="s">
        <v>378</v>
      </c>
      <c r="E262" s="4">
        <v>978012.03</v>
      </c>
      <c r="F262" s="4">
        <v>164721.57999999999</v>
      </c>
      <c r="G262" s="4">
        <v>813290.44</v>
      </c>
      <c r="H262" s="6">
        <v>0.83160000000000001</v>
      </c>
      <c r="I262" s="6">
        <v>0.55000000000000004</v>
      </c>
      <c r="J262" s="4">
        <v>447309.74200000003</v>
      </c>
      <c r="K262" s="6">
        <f t="shared" si="4"/>
        <v>5.5000000000000005E-3</v>
      </c>
    </row>
    <row r="263" spans="1:11" x14ac:dyDescent="0.3">
      <c r="A263" s="31">
        <v>45716</v>
      </c>
      <c r="B263" t="s">
        <v>368</v>
      </c>
      <c r="C263" t="s">
        <v>193</v>
      </c>
      <c r="D263" t="s">
        <v>377</v>
      </c>
      <c r="E263" s="4">
        <v>791943.95</v>
      </c>
      <c r="F263" s="4">
        <v>133383.09</v>
      </c>
      <c r="G263" s="4">
        <v>658560.87</v>
      </c>
      <c r="H263" s="6">
        <v>0.83160000000000001</v>
      </c>
      <c r="I263" s="6">
        <v>0.55000000000000004</v>
      </c>
      <c r="J263" s="4">
        <v>362208.47850000003</v>
      </c>
      <c r="K263" s="6">
        <f t="shared" si="4"/>
        <v>5.5000000000000005E-3</v>
      </c>
    </row>
    <row r="264" spans="1:11" x14ac:dyDescent="0.3">
      <c r="A264" s="31">
        <v>45716</v>
      </c>
      <c r="B264" t="s">
        <v>368</v>
      </c>
      <c r="C264" t="s">
        <v>193</v>
      </c>
      <c r="D264" t="s">
        <v>376</v>
      </c>
      <c r="E264" s="4">
        <v>438059.67</v>
      </c>
      <c r="F264" s="4">
        <v>73780.160000000003</v>
      </c>
      <c r="G264" s="4">
        <v>364279.51</v>
      </c>
      <c r="H264" s="6">
        <v>0.83160000000000001</v>
      </c>
      <c r="I264" s="6">
        <v>0.5</v>
      </c>
      <c r="J264" s="4">
        <v>182139.755</v>
      </c>
      <c r="K264" s="6">
        <f t="shared" si="4"/>
        <v>5.0000000000000001E-3</v>
      </c>
    </row>
    <row r="265" spans="1:11" x14ac:dyDescent="0.3">
      <c r="A265" s="31">
        <v>45716</v>
      </c>
      <c r="B265" t="s">
        <v>368</v>
      </c>
      <c r="C265" t="s">
        <v>193</v>
      </c>
      <c r="D265" t="s">
        <v>375</v>
      </c>
      <c r="E265" s="4">
        <v>524063.77</v>
      </c>
      <c r="F265" s="4">
        <v>88265.39</v>
      </c>
      <c r="G265" s="4">
        <v>435798.38</v>
      </c>
      <c r="H265" s="6">
        <v>0.83160000000000001</v>
      </c>
      <c r="I265" s="6">
        <v>0.4</v>
      </c>
      <c r="J265" s="4">
        <v>174319.35200000001</v>
      </c>
      <c r="K265" s="6">
        <f t="shared" si="4"/>
        <v>4.0000000000000001E-3</v>
      </c>
    </row>
    <row r="266" spans="1:11" x14ac:dyDescent="0.3">
      <c r="A266" s="31">
        <v>45716</v>
      </c>
      <c r="B266" t="s">
        <v>368</v>
      </c>
      <c r="C266" t="s">
        <v>193</v>
      </c>
      <c r="D266" t="s">
        <v>374</v>
      </c>
      <c r="E266" s="4">
        <v>389573.59</v>
      </c>
      <c r="F266" s="4">
        <v>65613.899999999994</v>
      </c>
      <c r="G266" s="4">
        <v>323959.7</v>
      </c>
      <c r="H266" s="6">
        <v>0.83160000000000001</v>
      </c>
      <c r="I266" s="6">
        <v>0.35</v>
      </c>
      <c r="J266" s="4">
        <v>113385.895</v>
      </c>
      <c r="K266" s="6">
        <f t="shared" si="4"/>
        <v>3.4999999999999996E-3</v>
      </c>
    </row>
    <row r="267" spans="1:11" x14ac:dyDescent="0.3">
      <c r="A267" s="31">
        <v>45716</v>
      </c>
      <c r="B267" t="s">
        <v>368</v>
      </c>
      <c r="C267" t="s">
        <v>193</v>
      </c>
      <c r="D267" t="s">
        <v>373</v>
      </c>
      <c r="E267" s="4">
        <v>408218.65</v>
      </c>
      <c r="F267" s="4">
        <v>68754.19</v>
      </c>
      <c r="G267" s="4">
        <v>339464.46</v>
      </c>
      <c r="H267" s="6">
        <v>0.83160000000000001</v>
      </c>
      <c r="I267" s="6">
        <v>0.3</v>
      </c>
      <c r="J267" s="4">
        <v>101839.338</v>
      </c>
      <c r="K267" s="6">
        <f t="shared" si="4"/>
        <v>3.0000000000000001E-3</v>
      </c>
    </row>
    <row r="268" spans="1:11" x14ac:dyDescent="0.3">
      <c r="A268" s="31">
        <v>45716</v>
      </c>
      <c r="B268" t="s">
        <v>368</v>
      </c>
      <c r="C268" t="s">
        <v>193</v>
      </c>
      <c r="D268" t="s">
        <v>372</v>
      </c>
      <c r="E268" s="4">
        <v>260452.23</v>
      </c>
      <c r="F268" s="4">
        <v>43866.64</v>
      </c>
      <c r="G268" s="4">
        <v>216585.59</v>
      </c>
      <c r="H268" s="6">
        <v>0.83160000000000001</v>
      </c>
      <c r="I268" s="6">
        <v>0.2</v>
      </c>
      <c r="J268" s="4">
        <v>43317.118000000002</v>
      </c>
      <c r="K268" s="6">
        <f t="shared" si="4"/>
        <v>2E-3</v>
      </c>
    </row>
    <row r="269" spans="1:11" x14ac:dyDescent="0.3">
      <c r="A269" s="31">
        <v>45716</v>
      </c>
      <c r="B269" t="s">
        <v>368</v>
      </c>
      <c r="C269" t="s">
        <v>193</v>
      </c>
      <c r="D269" t="s">
        <v>371</v>
      </c>
      <c r="E269" s="4">
        <v>320534.46999999997</v>
      </c>
      <c r="F269" s="4">
        <v>53985.99</v>
      </c>
      <c r="G269" s="4">
        <v>266548.49</v>
      </c>
      <c r="H269" s="6">
        <v>0.83160000000000001</v>
      </c>
      <c r="I269" s="6">
        <v>0.2</v>
      </c>
      <c r="J269" s="4">
        <v>53309.697999999997</v>
      </c>
      <c r="K269" s="6">
        <f t="shared" si="4"/>
        <v>2E-3</v>
      </c>
    </row>
    <row r="270" spans="1:11" x14ac:dyDescent="0.3">
      <c r="A270" s="31">
        <v>45716</v>
      </c>
      <c r="B270" t="s">
        <v>368</v>
      </c>
      <c r="C270" t="s">
        <v>193</v>
      </c>
      <c r="D270" t="s">
        <v>370</v>
      </c>
      <c r="E270" s="4">
        <v>313854.74</v>
      </c>
      <c r="F270" s="4">
        <v>52860.95</v>
      </c>
      <c r="G270" s="4">
        <v>260993.78</v>
      </c>
      <c r="H270" s="6">
        <v>0.83160000000000001</v>
      </c>
      <c r="I270" s="6">
        <v>0.15</v>
      </c>
      <c r="J270" s="4">
        <v>39149.067000000003</v>
      </c>
      <c r="K270" s="6">
        <f t="shared" si="4"/>
        <v>1.5E-3</v>
      </c>
    </row>
    <row r="271" spans="1:11" x14ac:dyDescent="0.3">
      <c r="A271" s="31">
        <v>45716</v>
      </c>
      <c r="B271" t="s">
        <v>368</v>
      </c>
      <c r="C271" t="s">
        <v>193</v>
      </c>
      <c r="D271" t="s">
        <v>369</v>
      </c>
      <c r="E271" s="4">
        <v>77550.11</v>
      </c>
      <c r="F271" s="4">
        <v>13061.37</v>
      </c>
      <c r="G271" s="4">
        <v>64488.73</v>
      </c>
      <c r="H271" s="6">
        <v>0.83160000000000001</v>
      </c>
      <c r="I271" s="6">
        <v>0.15</v>
      </c>
      <c r="J271" s="4">
        <v>9673.3094999999994</v>
      </c>
      <c r="K271" s="6">
        <f t="shared" si="4"/>
        <v>1.5E-3</v>
      </c>
    </row>
    <row r="272" spans="1:11" x14ac:dyDescent="0.3">
      <c r="A272" s="31">
        <v>45747</v>
      </c>
      <c r="B272" t="s">
        <v>368</v>
      </c>
      <c r="C272" t="s">
        <v>193</v>
      </c>
      <c r="D272" t="s">
        <v>378</v>
      </c>
      <c r="E272" s="4">
        <v>1116017.01</v>
      </c>
      <c r="F272" s="4">
        <v>113375.23</v>
      </c>
      <c r="G272" s="4">
        <v>1002641.79</v>
      </c>
      <c r="H272" s="6">
        <v>0.89839999999999998</v>
      </c>
      <c r="I272" s="6">
        <v>0.55000000000000004</v>
      </c>
      <c r="J272" s="4">
        <v>551452.98450000002</v>
      </c>
      <c r="K272" s="6">
        <f t="shared" si="4"/>
        <v>5.5000000000000005E-3</v>
      </c>
    </row>
    <row r="273" spans="1:11" x14ac:dyDescent="0.3">
      <c r="A273" s="31">
        <v>45747</v>
      </c>
      <c r="B273" t="s">
        <v>368</v>
      </c>
      <c r="C273" t="s">
        <v>193</v>
      </c>
      <c r="D273" t="s">
        <v>377</v>
      </c>
      <c r="E273" s="4">
        <v>1120735.05</v>
      </c>
      <c r="F273" s="4">
        <v>113854.53</v>
      </c>
      <c r="G273" s="4">
        <v>1006880.52</v>
      </c>
      <c r="H273" s="6">
        <v>0.89839999999999998</v>
      </c>
      <c r="I273" s="6">
        <v>0.55000000000000004</v>
      </c>
      <c r="J273" s="4">
        <v>553784.28600000008</v>
      </c>
      <c r="K273" s="6">
        <f t="shared" si="4"/>
        <v>5.5000000000000005E-3</v>
      </c>
    </row>
    <row r="274" spans="1:11" x14ac:dyDescent="0.3">
      <c r="A274" s="31">
        <v>45747</v>
      </c>
      <c r="B274" t="s">
        <v>368</v>
      </c>
      <c r="C274" t="s">
        <v>193</v>
      </c>
      <c r="D274" t="s">
        <v>376</v>
      </c>
      <c r="E274" s="4">
        <v>446470.88</v>
      </c>
      <c r="F274" s="4">
        <v>45356.6</v>
      </c>
      <c r="G274" s="4">
        <v>401114.28</v>
      </c>
      <c r="H274" s="6">
        <v>0.89839999999999998</v>
      </c>
      <c r="I274" s="6">
        <v>0.5</v>
      </c>
      <c r="J274" s="4">
        <v>200557.14</v>
      </c>
      <c r="K274" s="6">
        <f t="shared" si="4"/>
        <v>5.0000000000000001E-3</v>
      </c>
    </row>
    <row r="275" spans="1:11" x14ac:dyDescent="0.3">
      <c r="A275" s="31">
        <v>45747</v>
      </c>
      <c r="B275" t="s">
        <v>368</v>
      </c>
      <c r="C275" t="s">
        <v>193</v>
      </c>
      <c r="D275" t="s">
        <v>375</v>
      </c>
      <c r="E275" s="4">
        <v>471874.37</v>
      </c>
      <c r="F275" s="4">
        <v>47937.32</v>
      </c>
      <c r="G275" s="4">
        <v>423937.05</v>
      </c>
      <c r="H275" s="6">
        <v>0.89839999999999998</v>
      </c>
      <c r="I275" s="6">
        <v>0.4</v>
      </c>
      <c r="J275" s="4">
        <v>169574.82</v>
      </c>
      <c r="K275" s="6">
        <f t="shared" si="4"/>
        <v>4.0000000000000001E-3</v>
      </c>
    </row>
    <row r="276" spans="1:11" x14ac:dyDescent="0.3">
      <c r="A276" s="31">
        <v>45747</v>
      </c>
      <c r="B276" t="s">
        <v>368</v>
      </c>
      <c r="C276" t="s">
        <v>193</v>
      </c>
      <c r="D276" t="s">
        <v>374</v>
      </c>
      <c r="E276" s="4">
        <v>370386.86</v>
      </c>
      <c r="F276" s="4">
        <v>37627.29</v>
      </c>
      <c r="G276" s="4">
        <v>332759.57</v>
      </c>
      <c r="H276" s="6">
        <v>0.89839999999999998</v>
      </c>
      <c r="I276" s="6">
        <v>0.35</v>
      </c>
      <c r="J276" s="4">
        <v>116465.8495</v>
      </c>
      <c r="K276" s="6">
        <f t="shared" si="4"/>
        <v>3.4999999999999996E-3</v>
      </c>
    </row>
    <row r="277" spans="1:11" x14ac:dyDescent="0.3">
      <c r="A277" s="31">
        <v>45747</v>
      </c>
      <c r="B277" t="s">
        <v>368</v>
      </c>
      <c r="C277" t="s">
        <v>193</v>
      </c>
      <c r="D277" t="s">
        <v>373</v>
      </c>
      <c r="E277" s="4">
        <v>128311.63</v>
      </c>
      <c r="F277" s="4">
        <v>13035.07</v>
      </c>
      <c r="G277" s="4">
        <v>115276.56</v>
      </c>
      <c r="H277" s="6">
        <v>0.89839999999999998</v>
      </c>
      <c r="I277" s="6">
        <v>0.3</v>
      </c>
      <c r="J277" s="4">
        <v>34582.968000000001</v>
      </c>
      <c r="K277" s="6">
        <f t="shared" si="4"/>
        <v>3.0000000000000001E-3</v>
      </c>
    </row>
    <row r="278" spans="1:11" x14ac:dyDescent="0.3">
      <c r="A278" s="31">
        <v>45747</v>
      </c>
      <c r="B278" t="s">
        <v>368</v>
      </c>
      <c r="C278" t="s">
        <v>193</v>
      </c>
      <c r="D278" t="s">
        <v>372</v>
      </c>
      <c r="E278" s="4">
        <v>158758.82</v>
      </c>
      <c r="F278" s="4">
        <v>16128.17</v>
      </c>
      <c r="G278" s="4">
        <v>142630.64000000001</v>
      </c>
      <c r="H278" s="6">
        <v>0.89839999999999998</v>
      </c>
      <c r="I278" s="6">
        <v>0.2</v>
      </c>
      <c r="J278" s="4">
        <v>28526.128000000001</v>
      </c>
      <c r="K278" s="6">
        <f t="shared" si="4"/>
        <v>2E-3</v>
      </c>
    </row>
    <row r="279" spans="1:11" x14ac:dyDescent="0.3">
      <c r="A279" s="31">
        <v>45747</v>
      </c>
      <c r="B279" t="s">
        <v>368</v>
      </c>
      <c r="C279" t="s">
        <v>193</v>
      </c>
      <c r="D279" t="s">
        <v>371</v>
      </c>
      <c r="E279" s="4">
        <v>219115.31</v>
      </c>
      <c r="F279" s="4">
        <v>22259.74</v>
      </c>
      <c r="G279" s="4">
        <v>196855.57</v>
      </c>
      <c r="H279" s="6">
        <v>0.89839999999999998</v>
      </c>
      <c r="I279" s="6">
        <v>0.2</v>
      </c>
      <c r="J279" s="4">
        <v>39371.114000000001</v>
      </c>
      <c r="K279" s="6">
        <f t="shared" si="4"/>
        <v>2E-3</v>
      </c>
    </row>
    <row r="280" spans="1:11" x14ac:dyDescent="0.3">
      <c r="A280" s="31">
        <v>45747</v>
      </c>
      <c r="B280" t="s">
        <v>368</v>
      </c>
      <c r="C280" t="s">
        <v>193</v>
      </c>
      <c r="D280" t="s">
        <v>370</v>
      </c>
      <c r="E280" s="4">
        <v>126735.53</v>
      </c>
      <c r="F280" s="4">
        <v>12874.96</v>
      </c>
      <c r="G280" s="4">
        <v>113860.58</v>
      </c>
      <c r="H280" s="6">
        <v>0.89839999999999998</v>
      </c>
      <c r="I280" s="6">
        <v>0.15</v>
      </c>
      <c r="J280" s="4">
        <v>17079.087</v>
      </c>
      <c r="K280" s="6">
        <f t="shared" si="4"/>
        <v>1.5E-3</v>
      </c>
    </row>
    <row r="281" spans="1:11" x14ac:dyDescent="0.3">
      <c r="A281" s="31">
        <v>45747</v>
      </c>
      <c r="B281" t="s">
        <v>368</v>
      </c>
      <c r="C281" t="s">
        <v>193</v>
      </c>
      <c r="D281" t="s">
        <v>369</v>
      </c>
      <c r="E281" s="4">
        <v>453800.24</v>
      </c>
      <c r="F281" s="4">
        <v>46101.18</v>
      </c>
      <c r="G281" s="4">
        <v>407699.05</v>
      </c>
      <c r="H281" s="6">
        <v>0.89839999999999998</v>
      </c>
      <c r="I281" s="6">
        <v>0.15</v>
      </c>
      <c r="J281" s="4">
        <v>61154.857499999998</v>
      </c>
      <c r="K281" s="6">
        <f t="shared" si="4"/>
        <v>1.5E-3</v>
      </c>
    </row>
    <row r="282" spans="1:11" x14ac:dyDescent="0.3">
      <c r="A282" s="31">
        <v>45777</v>
      </c>
      <c r="B282" t="s">
        <v>368</v>
      </c>
      <c r="C282" t="s">
        <v>193</v>
      </c>
      <c r="D282" t="s">
        <v>378</v>
      </c>
      <c r="E282" s="4">
        <v>933820.21</v>
      </c>
      <c r="F282" s="4">
        <v>224123.11</v>
      </c>
      <c r="G282" s="4">
        <v>709697.1</v>
      </c>
      <c r="H282" s="6">
        <v>0.76</v>
      </c>
      <c r="I282" s="6">
        <v>0.55000000000000004</v>
      </c>
      <c r="J282" s="4">
        <v>390333.40500000003</v>
      </c>
      <c r="K282" s="6">
        <f t="shared" si="4"/>
        <v>5.5000000000000005E-3</v>
      </c>
    </row>
    <row r="283" spans="1:11" x14ac:dyDescent="0.3">
      <c r="A283" s="31">
        <v>45777</v>
      </c>
      <c r="B283" t="s">
        <v>368</v>
      </c>
      <c r="C283" t="s">
        <v>193</v>
      </c>
      <c r="D283" t="s">
        <v>377</v>
      </c>
      <c r="E283" s="4">
        <v>731467.34</v>
      </c>
      <c r="F283" s="4">
        <v>175557.06</v>
      </c>
      <c r="G283" s="4">
        <v>555910.27</v>
      </c>
      <c r="H283" s="6">
        <v>0.76</v>
      </c>
      <c r="I283" s="6">
        <v>0.55000000000000004</v>
      </c>
      <c r="J283" s="4">
        <v>305750.64850000001</v>
      </c>
      <c r="K283" s="6">
        <f t="shared" si="4"/>
        <v>5.5000000000000005E-3</v>
      </c>
    </row>
    <row r="284" spans="1:11" x14ac:dyDescent="0.3">
      <c r="A284" s="31">
        <v>45777</v>
      </c>
      <c r="B284" t="s">
        <v>368</v>
      </c>
      <c r="C284" t="s">
        <v>193</v>
      </c>
      <c r="D284" t="s">
        <v>376</v>
      </c>
      <c r="E284" s="4">
        <v>546262.36</v>
      </c>
      <c r="F284" s="4">
        <v>131106.63</v>
      </c>
      <c r="G284" s="4">
        <v>415155.73</v>
      </c>
      <c r="H284" s="6">
        <v>0.76</v>
      </c>
      <c r="I284" s="6">
        <v>0.5</v>
      </c>
      <c r="J284" s="4">
        <v>207577.86499999999</v>
      </c>
      <c r="K284" s="6">
        <f t="shared" si="4"/>
        <v>5.0000000000000001E-3</v>
      </c>
    </row>
    <row r="285" spans="1:11" x14ac:dyDescent="0.3">
      <c r="A285" s="31">
        <v>45777</v>
      </c>
      <c r="B285" t="s">
        <v>368</v>
      </c>
      <c r="C285" t="s">
        <v>193</v>
      </c>
      <c r="D285" t="s">
        <v>375</v>
      </c>
      <c r="E285" s="4">
        <v>242988.7</v>
      </c>
      <c r="F285" s="4">
        <v>58318.92</v>
      </c>
      <c r="G285" s="4">
        <v>184669.78</v>
      </c>
      <c r="H285" s="6">
        <v>0.76</v>
      </c>
      <c r="I285" s="6">
        <v>0.4</v>
      </c>
      <c r="J285" s="4">
        <v>73867.911999999997</v>
      </c>
      <c r="K285" s="6">
        <f t="shared" si="4"/>
        <v>4.0000000000000001E-3</v>
      </c>
    </row>
    <row r="286" spans="1:11" x14ac:dyDescent="0.3">
      <c r="A286" s="31">
        <v>45777</v>
      </c>
      <c r="B286" t="s">
        <v>368</v>
      </c>
      <c r="C286" t="s">
        <v>193</v>
      </c>
      <c r="D286" t="s">
        <v>374</v>
      </c>
      <c r="E286" s="4">
        <v>245777.1</v>
      </c>
      <c r="F286" s="4">
        <v>58988.15</v>
      </c>
      <c r="G286" s="4">
        <v>186788.95</v>
      </c>
      <c r="H286" s="6">
        <v>0.76</v>
      </c>
      <c r="I286" s="6">
        <v>0.35</v>
      </c>
      <c r="J286" s="4">
        <v>65376.1325</v>
      </c>
      <c r="K286" s="6">
        <f t="shared" si="4"/>
        <v>3.4999999999999996E-3</v>
      </c>
    </row>
    <row r="287" spans="1:11" x14ac:dyDescent="0.3">
      <c r="A287" s="31">
        <v>45777</v>
      </c>
      <c r="B287" t="s">
        <v>368</v>
      </c>
      <c r="C287" t="s">
        <v>193</v>
      </c>
      <c r="D287" t="s">
        <v>373</v>
      </c>
      <c r="E287" s="4">
        <v>224422.85</v>
      </c>
      <c r="F287" s="4">
        <v>53862.99</v>
      </c>
      <c r="G287" s="4">
        <v>170559.86</v>
      </c>
      <c r="H287" s="6">
        <v>0.76</v>
      </c>
      <c r="I287" s="6">
        <v>0.3</v>
      </c>
      <c r="J287" s="4">
        <v>51167.957999999991</v>
      </c>
      <c r="K287" s="6">
        <f t="shared" si="4"/>
        <v>3.0000000000000001E-3</v>
      </c>
    </row>
    <row r="288" spans="1:11" x14ac:dyDescent="0.3">
      <c r="A288" s="31">
        <v>45777</v>
      </c>
      <c r="B288" t="s">
        <v>368</v>
      </c>
      <c r="C288" t="s">
        <v>193</v>
      </c>
      <c r="D288" t="s">
        <v>372</v>
      </c>
      <c r="E288" s="4">
        <v>521201.08</v>
      </c>
      <c r="F288" s="4">
        <v>125091.75</v>
      </c>
      <c r="G288" s="4">
        <v>396109.32</v>
      </c>
      <c r="H288" s="6">
        <v>0.76</v>
      </c>
      <c r="I288" s="6">
        <v>0.2</v>
      </c>
      <c r="J288" s="4">
        <v>79221.864000000001</v>
      </c>
      <c r="K288" s="6">
        <f t="shared" si="4"/>
        <v>2E-3</v>
      </c>
    </row>
    <row r="289" spans="1:11" x14ac:dyDescent="0.3">
      <c r="A289" s="31">
        <v>45777</v>
      </c>
      <c r="B289" t="s">
        <v>368</v>
      </c>
      <c r="C289" t="s">
        <v>193</v>
      </c>
      <c r="D289" t="s">
        <v>371</v>
      </c>
      <c r="E289" s="4">
        <v>366765.79</v>
      </c>
      <c r="F289" s="4">
        <v>88026.25</v>
      </c>
      <c r="G289" s="4">
        <v>278739.53999999998</v>
      </c>
      <c r="H289" s="6">
        <v>0.76</v>
      </c>
      <c r="I289" s="6">
        <v>0.2</v>
      </c>
      <c r="J289" s="4">
        <v>55747.908000000003</v>
      </c>
      <c r="K289" s="6">
        <f t="shared" si="4"/>
        <v>2E-3</v>
      </c>
    </row>
    <row r="290" spans="1:11" x14ac:dyDescent="0.3">
      <c r="A290" s="31">
        <v>45777</v>
      </c>
      <c r="B290" t="s">
        <v>368</v>
      </c>
      <c r="C290" t="s">
        <v>193</v>
      </c>
      <c r="D290" t="s">
        <v>370</v>
      </c>
      <c r="E290" s="4">
        <v>333988.65999999997</v>
      </c>
      <c r="F290" s="4">
        <v>80159.520000000004</v>
      </c>
      <c r="G290" s="4">
        <v>253829.15</v>
      </c>
      <c r="H290" s="6">
        <v>0.76</v>
      </c>
      <c r="I290" s="6">
        <v>0.15</v>
      </c>
      <c r="J290" s="4">
        <v>38074.372499999998</v>
      </c>
      <c r="K290" s="6">
        <f t="shared" si="4"/>
        <v>1.5E-3</v>
      </c>
    </row>
    <row r="291" spans="1:11" x14ac:dyDescent="0.3">
      <c r="A291" s="31">
        <v>45777</v>
      </c>
      <c r="B291" t="s">
        <v>368</v>
      </c>
      <c r="C291" t="s">
        <v>193</v>
      </c>
      <c r="D291" t="s">
        <v>369</v>
      </c>
      <c r="E291" s="4">
        <v>225722.42</v>
      </c>
      <c r="F291" s="4">
        <v>54174.89</v>
      </c>
      <c r="G291" s="4">
        <v>171547.53</v>
      </c>
      <c r="H291" s="6">
        <v>0.76</v>
      </c>
      <c r="I291" s="6">
        <v>0.15</v>
      </c>
      <c r="J291" s="4">
        <v>25732.129499999999</v>
      </c>
      <c r="K291" s="6">
        <f t="shared" si="4"/>
        <v>1.5E-3</v>
      </c>
    </row>
    <row r="292" spans="1:11" x14ac:dyDescent="0.3">
      <c r="A292" s="31">
        <v>45808</v>
      </c>
      <c r="B292" t="s">
        <v>368</v>
      </c>
      <c r="C292" t="s">
        <v>193</v>
      </c>
      <c r="D292" t="s">
        <v>378</v>
      </c>
      <c r="E292" s="4">
        <v>1031213.52</v>
      </c>
      <c r="F292" s="4">
        <v>141929.62</v>
      </c>
      <c r="G292" s="4">
        <v>889283.9</v>
      </c>
      <c r="H292" s="6">
        <v>0.86240000000000006</v>
      </c>
      <c r="I292" s="6">
        <v>0.55000000000000004</v>
      </c>
      <c r="J292" s="4">
        <v>489106.14500000008</v>
      </c>
      <c r="K292" s="6">
        <f t="shared" si="4"/>
        <v>5.5000000000000005E-3</v>
      </c>
    </row>
    <row r="293" spans="1:11" x14ac:dyDescent="0.3">
      <c r="A293" s="31">
        <v>45808</v>
      </c>
      <c r="B293" t="s">
        <v>368</v>
      </c>
      <c r="C293" t="s">
        <v>193</v>
      </c>
      <c r="D293" t="s">
        <v>377</v>
      </c>
      <c r="E293" s="4">
        <v>826943.96</v>
      </c>
      <c r="F293" s="4">
        <v>113815.26</v>
      </c>
      <c r="G293" s="4">
        <v>713128.69</v>
      </c>
      <c r="H293" s="6">
        <v>0.86240000000000006</v>
      </c>
      <c r="I293" s="6">
        <v>0.55000000000000004</v>
      </c>
      <c r="J293" s="4">
        <v>392220.7795</v>
      </c>
      <c r="K293" s="6">
        <f t="shared" si="4"/>
        <v>5.5000000000000005E-3</v>
      </c>
    </row>
    <row r="294" spans="1:11" x14ac:dyDescent="0.3">
      <c r="A294" s="31">
        <v>45808</v>
      </c>
      <c r="B294" t="s">
        <v>368</v>
      </c>
      <c r="C294" t="s">
        <v>193</v>
      </c>
      <c r="D294" t="s">
        <v>376</v>
      </c>
      <c r="E294" s="4">
        <v>307135.94</v>
      </c>
      <c r="F294" s="4">
        <v>42272.22</v>
      </c>
      <c r="G294" s="4">
        <v>264863.71999999997</v>
      </c>
      <c r="H294" s="6">
        <v>0.86240000000000006</v>
      </c>
      <c r="I294" s="6">
        <v>0.5</v>
      </c>
      <c r="J294" s="4">
        <v>132431.85999999999</v>
      </c>
      <c r="K294" s="6">
        <f t="shared" si="4"/>
        <v>5.0000000000000001E-3</v>
      </c>
    </row>
    <row r="295" spans="1:11" x14ac:dyDescent="0.3">
      <c r="A295" s="31">
        <v>45808</v>
      </c>
      <c r="B295" t="s">
        <v>368</v>
      </c>
      <c r="C295" t="s">
        <v>193</v>
      </c>
      <c r="D295" t="s">
        <v>375</v>
      </c>
      <c r="E295" s="4">
        <v>406171.85</v>
      </c>
      <c r="F295" s="4">
        <v>55902.89</v>
      </c>
      <c r="G295" s="4">
        <v>350268.96</v>
      </c>
      <c r="H295" s="6">
        <v>0.86240000000000006</v>
      </c>
      <c r="I295" s="6">
        <v>0.4</v>
      </c>
      <c r="J295" s="4">
        <v>140107.584</v>
      </c>
      <c r="K295" s="6">
        <f t="shared" si="4"/>
        <v>4.0000000000000001E-3</v>
      </c>
    </row>
    <row r="296" spans="1:11" x14ac:dyDescent="0.3">
      <c r="A296" s="31">
        <v>45808</v>
      </c>
      <c r="B296" t="s">
        <v>368</v>
      </c>
      <c r="C296" t="s">
        <v>193</v>
      </c>
      <c r="D296" t="s">
        <v>374</v>
      </c>
      <c r="E296" s="4">
        <v>212411.69</v>
      </c>
      <c r="F296" s="4">
        <v>29234.98</v>
      </c>
      <c r="G296" s="4">
        <v>183176.7</v>
      </c>
      <c r="H296" s="6">
        <v>0.86240000000000006</v>
      </c>
      <c r="I296" s="6">
        <v>0.35</v>
      </c>
      <c r="J296" s="4">
        <v>64111.845000000001</v>
      </c>
      <c r="K296" s="6">
        <f t="shared" si="4"/>
        <v>3.4999999999999996E-3</v>
      </c>
    </row>
    <row r="297" spans="1:11" x14ac:dyDescent="0.3">
      <c r="A297" s="31">
        <v>45808</v>
      </c>
      <c r="B297" t="s">
        <v>368</v>
      </c>
      <c r="C297" t="s">
        <v>193</v>
      </c>
      <c r="D297" t="s">
        <v>373</v>
      </c>
      <c r="E297" s="4">
        <v>233049.27</v>
      </c>
      <c r="F297" s="4">
        <v>32075.41</v>
      </c>
      <c r="G297" s="4">
        <v>200973.86</v>
      </c>
      <c r="H297" s="6">
        <v>0.86240000000000006</v>
      </c>
      <c r="I297" s="6">
        <v>0.3</v>
      </c>
      <c r="J297" s="4">
        <v>60292.158000000003</v>
      </c>
      <c r="K297" s="6">
        <f t="shared" si="4"/>
        <v>3.0000000000000001E-3</v>
      </c>
    </row>
    <row r="298" spans="1:11" x14ac:dyDescent="0.3">
      <c r="A298" s="31">
        <v>45808</v>
      </c>
      <c r="B298" t="s">
        <v>368</v>
      </c>
      <c r="C298" t="s">
        <v>193</v>
      </c>
      <c r="D298" t="s">
        <v>372</v>
      </c>
      <c r="E298" s="4">
        <v>335936.73</v>
      </c>
      <c r="F298" s="4">
        <v>46236.18</v>
      </c>
      <c r="G298" s="4">
        <v>289700.55</v>
      </c>
      <c r="H298" s="6">
        <v>0.86240000000000006</v>
      </c>
      <c r="I298" s="6">
        <v>0.2</v>
      </c>
      <c r="J298" s="4">
        <v>57940.11</v>
      </c>
      <c r="K298" s="6">
        <f t="shared" si="4"/>
        <v>2E-3</v>
      </c>
    </row>
    <row r="299" spans="1:11" x14ac:dyDescent="0.3">
      <c r="A299" s="31">
        <v>45808</v>
      </c>
      <c r="B299" t="s">
        <v>368</v>
      </c>
      <c r="C299" t="s">
        <v>193</v>
      </c>
      <c r="D299" t="s">
        <v>371</v>
      </c>
      <c r="E299" s="4">
        <v>649740.04</v>
      </c>
      <c r="F299" s="4">
        <v>89426.05</v>
      </c>
      <c r="G299" s="4">
        <v>560313.99</v>
      </c>
      <c r="H299" s="6">
        <v>0.86240000000000006</v>
      </c>
      <c r="I299" s="6">
        <v>0.2</v>
      </c>
      <c r="J299" s="4">
        <v>112062.798</v>
      </c>
      <c r="K299" s="6">
        <f t="shared" si="4"/>
        <v>2E-3</v>
      </c>
    </row>
    <row r="300" spans="1:11" x14ac:dyDescent="0.3">
      <c r="A300" s="31">
        <v>45808</v>
      </c>
      <c r="B300" t="s">
        <v>368</v>
      </c>
      <c r="C300" t="s">
        <v>193</v>
      </c>
      <c r="D300" t="s">
        <v>370</v>
      </c>
      <c r="E300" s="4">
        <v>305812.90000000002</v>
      </c>
      <c r="F300" s="4">
        <v>42090.13</v>
      </c>
      <c r="G300" s="4">
        <v>263722.78000000003</v>
      </c>
      <c r="H300" s="6">
        <v>0.86240000000000006</v>
      </c>
      <c r="I300" s="6">
        <v>0.15</v>
      </c>
      <c r="J300" s="4">
        <v>39558.417000000001</v>
      </c>
      <c r="K300" s="6">
        <f t="shared" si="4"/>
        <v>1.5E-3</v>
      </c>
    </row>
    <row r="301" spans="1:11" x14ac:dyDescent="0.3">
      <c r="A301" s="31">
        <v>45808</v>
      </c>
      <c r="B301" t="s">
        <v>368</v>
      </c>
      <c r="C301" t="s">
        <v>193</v>
      </c>
      <c r="D301" t="s">
        <v>369</v>
      </c>
      <c r="E301" s="4">
        <v>44447.5</v>
      </c>
      <c r="F301" s="4">
        <v>6117.47</v>
      </c>
      <c r="G301" s="4">
        <v>38330.03</v>
      </c>
      <c r="H301" s="6">
        <v>0.86240000000000006</v>
      </c>
      <c r="I301" s="6">
        <v>0.15</v>
      </c>
      <c r="J301" s="4">
        <v>5749.5045</v>
      </c>
      <c r="K301" s="6">
        <f t="shared" si="4"/>
        <v>1.5E-3</v>
      </c>
    </row>
    <row r="302" spans="1:11" x14ac:dyDescent="0.3">
      <c r="A302" s="31">
        <v>45838</v>
      </c>
      <c r="B302" t="s">
        <v>368</v>
      </c>
      <c r="C302" t="s">
        <v>193</v>
      </c>
      <c r="D302" t="s">
        <v>378</v>
      </c>
      <c r="E302" s="4">
        <v>1026161.04</v>
      </c>
      <c r="F302" s="4">
        <v>202106.46</v>
      </c>
      <c r="G302" s="4">
        <v>824054.58</v>
      </c>
      <c r="H302" s="6">
        <v>0.80300000000000005</v>
      </c>
      <c r="I302" s="6">
        <v>0.55000000000000004</v>
      </c>
      <c r="J302" s="4">
        <v>453230.01899999997</v>
      </c>
      <c r="K302" s="6">
        <f t="shared" si="4"/>
        <v>5.5000000000000005E-3</v>
      </c>
    </row>
    <row r="303" spans="1:11" x14ac:dyDescent="0.3">
      <c r="A303" s="31">
        <v>45838</v>
      </c>
      <c r="B303" t="s">
        <v>368</v>
      </c>
      <c r="C303" t="s">
        <v>193</v>
      </c>
      <c r="D303" t="s">
        <v>377</v>
      </c>
      <c r="E303" s="4">
        <v>929263.74</v>
      </c>
      <c r="F303" s="4">
        <v>183022.16</v>
      </c>
      <c r="G303" s="4">
        <v>746241.58</v>
      </c>
      <c r="H303" s="6">
        <v>0.80300000000000005</v>
      </c>
      <c r="I303" s="6">
        <v>0.55000000000000004</v>
      </c>
      <c r="J303" s="4">
        <v>410432.86900000001</v>
      </c>
      <c r="K303" s="6">
        <f t="shared" si="4"/>
        <v>5.5000000000000005E-3</v>
      </c>
    </row>
    <row r="304" spans="1:11" x14ac:dyDescent="0.3">
      <c r="A304" s="31">
        <v>45838</v>
      </c>
      <c r="B304" t="s">
        <v>368</v>
      </c>
      <c r="C304" t="s">
        <v>193</v>
      </c>
      <c r="D304" t="s">
        <v>376</v>
      </c>
      <c r="E304" s="4">
        <v>713650.29</v>
      </c>
      <c r="F304" s="4">
        <v>140556.24</v>
      </c>
      <c r="G304" s="4">
        <v>573094.05000000005</v>
      </c>
      <c r="H304" s="6">
        <v>0.80300000000000005</v>
      </c>
      <c r="I304" s="6">
        <v>0.5</v>
      </c>
      <c r="J304" s="4">
        <v>286547.02500000002</v>
      </c>
      <c r="K304" s="6">
        <f t="shared" si="4"/>
        <v>5.0000000000000001E-3</v>
      </c>
    </row>
    <row r="305" spans="1:11" x14ac:dyDescent="0.3">
      <c r="A305" s="31">
        <v>45838</v>
      </c>
      <c r="B305" t="s">
        <v>368</v>
      </c>
      <c r="C305" t="s">
        <v>193</v>
      </c>
      <c r="D305" t="s">
        <v>375</v>
      </c>
      <c r="E305" s="4">
        <v>343597.36</v>
      </c>
      <c r="F305" s="4">
        <v>67672.86</v>
      </c>
      <c r="G305" s="4">
        <v>275924.51</v>
      </c>
      <c r="H305" s="6">
        <v>0.80300000000000005</v>
      </c>
      <c r="I305" s="6">
        <v>0.4</v>
      </c>
      <c r="J305" s="4">
        <v>110369.804</v>
      </c>
      <c r="K305" s="6">
        <f t="shared" si="4"/>
        <v>4.0000000000000001E-3</v>
      </c>
    </row>
    <row r="306" spans="1:11" x14ac:dyDescent="0.3">
      <c r="A306" s="31">
        <v>45838</v>
      </c>
      <c r="B306" t="s">
        <v>368</v>
      </c>
      <c r="C306" t="s">
        <v>193</v>
      </c>
      <c r="D306" t="s">
        <v>374</v>
      </c>
      <c r="E306" s="4">
        <v>154546.44</v>
      </c>
      <c r="F306" s="4">
        <v>30438.53</v>
      </c>
      <c r="G306" s="4">
        <v>124107.91</v>
      </c>
      <c r="H306" s="6">
        <v>0.80300000000000005</v>
      </c>
      <c r="I306" s="6">
        <v>0.35</v>
      </c>
      <c r="J306" s="4">
        <v>43437.768499999998</v>
      </c>
      <c r="K306" s="6">
        <f t="shared" si="4"/>
        <v>3.4999999999999996E-3</v>
      </c>
    </row>
    <row r="307" spans="1:11" x14ac:dyDescent="0.3">
      <c r="A307" s="31">
        <v>45838</v>
      </c>
      <c r="B307" t="s">
        <v>368</v>
      </c>
      <c r="C307" t="s">
        <v>193</v>
      </c>
      <c r="D307" t="s">
        <v>373</v>
      </c>
      <c r="E307" s="4">
        <v>353996.46</v>
      </c>
      <c r="F307" s="4">
        <v>69721</v>
      </c>
      <c r="G307" s="4">
        <v>284275.46000000002</v>
      </c>
      <c r="H307" s="6">
        <v>0.80300000000000005</v>
      </c>
      <c r="I307" s="6">
        <v>0.3</v>
      </c>
      <c r="J307" s="4">
        <v>85282.638000000006</v>
      </c>
      <c r="K307" s="6">
        <f t="shared" si="4"/>
        <v>3.0000000000000001E-3</v>
      </c>
    </row>
    <row r="308" spans="1:11" x14ac:dyDescent="0.3">
      <c r="A308" s="31">
        <v>45838</v>
      </c>
      <c r="B308" t="s">
        <v>368</v>
      </c>
      <c r="C308" t="s">
        <v>193</v>
      </c>
      <c r="D308" t="s">
        <v>372</v>
      </c>
      <c r="E308" s="4">
        <v>230828.06</v>
      </c>
      <c r="F308" s="4">
        <v>45462.5</v>
      </c>
      <c r="G308" s="4">
        <v>185365.56</v>
      </c>
      <c r="H308" s="6">
        <v>0.80300000000000005</v>
      </c>
      <c r="I308" s="6">
        <v>0.2</v>
      </c>
      <c r="J308" s="4">
        <v>37073.112000000001</v>
      </c>
      <c r="K308" s="6">
        <f t="shared" si="4"/>
        <v>2E-3</v>
      </c>
    </row>
    <row r="309" spans="1:11" x14ac:dyDescent="0.3">
      <c r="A309" s="31">
        <v>45838</v>
      </c>
      <c r="B309" t="s">
        <v>368</v>
      </c>
      <c r="C309" t="s">
        <v>193</v>
      </c>
      <c r="D309" t="s">
        <v>371</v>
      </c>
      <c r="E309" s="4">
        <v>270422.09000000003</v>
      </c>
      <c r="F309" s="4">
        <v>53260.7</v>
      </c>
      <c r="G309" s="4">
        <v>217161.39</v>
      </c>
      <c r="H309" s="6">
        <v>0.80300000000000005</v>
      </c>
      <c r="I309" s="6">
        <v>0.2</v>
      </c>
      <c r="J309" s="4">
        <v>43432.278000000013</v>
      </c>
      <c r="K309" s="6">
        <f t="shared" si="4"/>
        <v>2E-3</v>
      </c>
    </row>
    <row r="310" spans="1:11" x14ac:dyDescent="0.3">
      <c r="A310" s="31">
        <v>45838</v>
      </c>
      <c r="B310" t="s">
        <v>368</v>
      </c>
      <c r="C310" t="s">
        <v>193</v>
      </c>
      <c r="D310" t="s">
        <v>370</v>
      </c>
      <c r="E310" s="4">
        <v>295870.31</v>
      </c>
      <c r="F310" s="4">
        <v>58272.82</v>
      </c>
      <c r="G310" s="4">
        <v>237597.48</v>
      </c>
      <c r="H310" s="6">
        <v>0.80300000000000005</v>
      </c>
      <c r="I310" s="6">
        <v>0.15</v>
      </c>
      <c r="J310" s="4">
        <v>35639.622000000003</v>
      </c>
      <c r="K310" s="6">
        <f t="shared" si="4"/>
        <v>1.5E-3</v>
      </c>
    </row>
    <row r="311" spans="1:11" x14ac:dyDescent="0.3">
      <c r="A311" s="31">
        <v>45838</v>
      </c>
      <c r="B311" t="s">
        <v>368</v>
      </c>
      <c r="C311" t="s">
        <v>193</v>
      </c>
      <c r="D311" t="s">
        <v>369</v>
      </c>
      <c r="E311" s="4">
        <v>227639.72</v>
      </c>
      <c r="F311" s="4">
        <v>44834.53</v>
      </c>
      <c r="G311" s="4">
        <v>182805.19</v>
      </c>
      <c r="H311" s="6">
        <v>0.80300000000000005</v>
      </c>
      <c r="I311" s="6">
        <v>0.15</v>
      </c>
      <c r="J311" s="4">
        <v>27420.7785</v>
      </c>
      <c r="K311" s="6">
        <f t="shared" si="4"/>
        <v>1.5E-3</v>
      </c>
    </row>
    <row r="312" spans="1:11" x14ac:dyDescent="0.3">
      <c r="A312" s="31">
        <v>45869</v>
      </c>
      <c r="B312" t="s">
        <v>368</v>
      </c>
      <c r="C312" t="s">
        <v>193</v>
      </c>
      <c r="D312" t="s">
        <v>378</v>
      </c>
      <c r="E312" s="4">
        <v>997892.15</v>
      </c>
      <c r="F312" s="4">
        <v>208933.81</v>
      </c>
      <c r="G312" s="4">
        <v>788958.35</v>
      </c>
      <c r="H312" s="6">
        <v>0.79059999999999997</v>
      </c>
      <c r="I312" s="6">
        <v>0.55000000000000004</v>
      </c>
      <c r="J312" s="4">
        <v>433927.09250000003</v>
      </c>
      <c r="K312" s="6">
        <f t="shared" si="4"/>
        <v>5.5000000000000005E-3</v>
      </c>
    </row>
    <row r="313" spans="1:11" x14ac:dyDescent="0.3">
      <c r="A313" s="31">
        <v>45869</v>
      </c>
      <c r="B313" t="s">
        <v>368</v>
      </c>
      <c r="C313" t="s">
        <v>193</v>
      </c>
      <c r="D313" t="s">
        <v>377</v>
      </c>
      <c r="E313" s="4">
        <v>661285.27</v>
      </c>
      <c r="F313" s="4">
        <v>138456.69</v>
      </c>
      <c r="G313" s="4">
        <v>522828.58</v>
      </c>
      <c r="H313" s="6">
        <v>0.79059999999999997</v>
      </c>
      <c r="I313" s="6">
        <v>0.55000000000000004</v>
      </c>
      <c r="J313" s="4">
        <v>287555.71899999998</v>
      </c>
      <c r="K313" s="6">
        <f t="shared" si="4"/>
        <v>5.5000000000000005E-3</v>
      </c>
    </row>
    <row r="314" spans="1:11" x14ac:dyDescent="0.3">
      <c r="A314" s="31">
        <v>45869</v>
      </c>
      <c r="B314" t="s">
        <v>368</v>
      </c>
      <c r="C314" t="s">
        <v>193</v>
      </c>
      <c r="D314" t="s">
        <v>376</v>
      </c>
      <c r="E314" s="4">
        <v>380574.1</v>
      </c>
      <c r="F314" s="4">
        <v>79682.75</v>
      </c>
      <c r="G314" s="4">
        <v>300891.34999999998</v>
      </c>
      <c r="H314" s="6">
        <v>0.79059999999999997</v>
      </c>
      <c r="I314" s="6">
        <v>0.5</v>
      </c>
      <c r="J314" s="4">
        <v>150445.67499999999</v>
      </c>
      <c r="K314" s="6">
        <f t="shared" si="4"/>
        <v>5.0000000000000001E-3</v>
      </c>
    </row>
    <row r="315" spans="1:11" x14ac:dyDescent="0.3">
      <c r="A315" s="31">
        <v>45869</v>
      </c>
      <c r="B315" t="s">
        <v>368</v>
      </c>
      <c r="C315" t="s">
        <v>193</v>
      </c>
      <c r="D315" t="s">
        <v>375</v>
      </c>
      <c r="E315" s="4">
        <v>371385.11</v>
      </c>
      <c r="F315" s="4">
        <v>77758.81</v>
      </c>
      <c r="G315" s="4">
        <v>293626.3</v>
      </c>
      <c r="H315" s="6">
        <v>0.79059999999999997</v>
      </c>
      <c r="I315" s="6">
        <v>0.4</v>
      </c>
      <c r="J315" s="4">
        <v>117450.52</v>
      </c>
      <c r="K315" s="6">
        <f t="shared" si="4"/>
        <v>4.0000000000000001E-3</v>
      </c>
    </row>
    <row r="316" spans="1:11" x14ac:dyDescent="0.3">
      <c r="A316" s="31">
        <v>45869</v>
      </c>
      <c r="B316" t="s">
        <v>368</v>
      </c>
      <c r="C316" t="s">
        <v>193</v>
      </c>
      <c r="D316" t="s">
        <v>374</v>
      </c>
      <c r="E316" s="4">
        <v>350305.91</v>
      </c>
      <c r="F316" s="4">
        <v>73345.350000000006</v>
      </c>
      <c r="G316" s="4">
        <v>276960.56</v>
      </c>
      <c r="H316" s="6">
        <v>0.79059999999999997</v>
      </c>
      <c r="I316" s="6">
        <v>0.35</v>
      </c>
      <c r="J316" s="4">
        <v>96936.195999999996</v>
      </c>
      <c r="K316" s="6">
        <f t="shared" si="4"/>
        <v>3.4999999999999996E-3</v>
      </c>
    </row>
    <row r="317" spans="1:11" x14ac:dyDescent="0.3">
      <c r="A317" s="31">
        <v>45869</v>
      </c>
      <c r="B317" t="s">
        <v>368</v>
      </c>
      <c r="C317" t="s">
        <v>193</v>
      </c>
      <c r="D317" t="s">
        <v>373</v>
      </c>
      <c r="E317" s="4">
        <v>219479.59</v>
      </c>
      <c r="F317" s="4">
        <v>45953.57</v>
      </c>
      <c r="G317" s="4">
        <v>173526.02</v>
      </c>
      <c r="H317" s="6">
        <v>0.79059999999999997</v>
      </c>
      <c r="I317" s="6">
        <v>0.3</v>
      </c>
      <c r="J317" s="4">
        <v>52057.805999999997</v>
      </c>
      <c r="K317" s="6">
        <f t="shared" si="4"/>
        <v>3.0000000000000001E-3</v>
      </c>
    </row>
    <row r="318" spans="1:11" x14ac:dyDescent="0.3">
      <c r="A318" s="31">
        <v>45869</v>
      </c>
      <c r="B318" t="s">
        <v>368</v>
      </c>
      <c r="C318" t="s">
        <v>193</v>
      </c>
      <c r="D318" t="s">
        <v>372</v>
      </c>
      <c r="E318" s="4">
        <v>427393.47</v>
      </c>
      <c r="F318" s="4">
        <v>89485.57</v>
      </c>
      <c r="G318" s="4">
        <v>337907.91</v>
      </c>
      <c r="H318" s="6">
        <v>0.79059999999999997</v>
      </c>
      <c r="I318" s="6">
        <v>0.2</v>
      </c>
      <c r="J318" s="4">
        <v>67581.581999999995</v>
      </c>
      <c r="K318" s="6">
        <f t="shared" si="4"/>
        <v>2E-3</v>
      </c>
    </row>
    <row r="319" spans="1:11" x14ac:dyDescent="0.3">
      <c r="A319" s="31">
        <v>45869</v>
      </c>
      <c r="B319" t="s">
        <v>368</v>
      </c>
      <c r="C319" t="s">
        <v>193</v>
      </c>
      <c r="D319" t="s">
        <v>371</v>
      </c>
      <c r="E319" s="4">
        <v>395198.1</v>
      </c>
      <c r="F319" s="4">
        <v>82744.649999999994</v>
      </c>
      <c r="G319" s="4">
        <v>312453.44</v>
      </c>
      <c r="H319" s="6">
        <v>0.79059999999999997</v>
      </c>
      <c r="I319" s="6">
        <v>0.2</v>
      </c>
      <c r="J319" s="4">
        <v>62490.688000000002</v>
      </c>
      <c r="K319" s="6">
        <f t="shared" si="4"/>
        <v>2E-3</v>
      </c>
    </row>
    <row r="320" spans="1:11" x14ac:dyDescent="0.3">
      <c r="A320" s="31">
        <v>45869</v>
      </c>
      <c r="B320" t="s">
        <v>368</v>
      </c>
      <c r="C320" t="s">
        <v>193</v>
      </c>
      <c r="D320" t="s">
        <v>370</v>
      </c>
      <c r="E320" s="4">
        <v>339074.14</v>
      </c>
      <c r="F320" s="4">
        <v>70993.69</v>
      </c>
      <c r="G320" s="4">
        <v>268080.45</v>
      </c>
      <c r="H320" s="6">
        <v>0.79059999999999997</v>
      </c>
      <c r="I320" s="6">
        <v>0.15</v>
      </c>
      <c r="J320" s="4">
        <v>40212.067499999997</v>
      </c>
      <c r="K320" s="6">
        <f t="shared" si="4"/>
        <v>1.5E-3</v>
      </c>
    </row>
    <row r="321" spans="1:11" x14ac:dyDescent="0.3">
      <c r="A321" s="31">
        <v>45869</v>
      </c>
      <c r="B321" t="s">
        <v>368</v>
      </c>
      <c r="C321" t="s">
        <v>193</v>
      </c>
      <c r="D321" t="s">
        <v>369</v>
      </c>
      <c r="E321" s="4">
        <v>263731.21000000002</v>
      </c>
      <c r="F321" s="4">
        <v>55218.76</v>
      </c>
      <c r="G321" s="4">
        <v>208512.45</v>
      </c>
      <c r="H321" s="6">
        <v>0.79059999999999997</v>
      </c>
      <c r="I321" s="6">
        <v>0.15</v>
      </c>
      <c r="J321" s="4">
        <v>31276.8675</v>
      </c>
      <c r="K321" s="6">
        <f t="shared" si="4"/>
        <v>1.5E-3</v>
      </c>
    </row>
    <row r="322" spans="1:11" x14ac:dyDescent="0.3">
      <c r="A322" s="31">
        <v>45900</v>
      </c>
      <c r="B322" t="s">
        <v>368</v>
      </c>
      <c r="C322" t="s">
        <v>193</v>
      </c>
      <c r="D322" t="s">
        <v>378</v>
      </c>
      <c r="E322" s="4">
        <v>814385.26</v>
      </c>
      <c r="F322" s="4">
        <v>84704</v>
      </c>
      <c r="G322" s="4">
        <v>729681.26</v>
      </c>
      <c r="H322" s="6">
        <v>0.89600000000000002</v>
      </c>
      <c r="I322" s="6">
        <v>0.55000000000000004</v>
      </c>
      <c r="J322" s="4">
        <v>401324.69300000003</v>
      </c>
      <c r="K322" s="6">
        <f t="shared" ref="K322:K385" si="5">LEFT(I322,4)/100</f>
        <v>5.5000000000000005E-3</v>
      </c>
    </row>
    <row r="323" spans="1:11" x14ac:dyDescent="0.3">
      <c r="A323" s="31">
        <v>45900</v>
      </c>
      <c r="B323" t="s">
        <v>368</v>
      </c>
      <c r="C323" t="s">
        <v>193</v>
      </c>
      <c r="D323" t="s">
        <v>377</v>
      </c>
      <c r="E323" s="4">
        <v>856741.76</v>
      </c>
      <c r="F323" s="4">
        <v>89109.49</v>
      </c>
      <c r="G323" s="4">
        <v>767632.27</v>
      </c>
      <c r="H323" s="6">
        <v>0.89600000000000002</v>
      </c>
      <c r="I323" s="6">
        <v>0.55000000000000004</v>
      </c>
      <c r="J323" s="4">
        <v>422197.74849999999</v>
      </c>
      <c r="K323" s="6">
        <f t="shared" si="5"/>
        <v>5.5000000000000005E-3</v>
      </c>
    </row>
    <row r="324" spans="1:11" x14ac:dyDescent="0.3">
      <c r="A324" s="31">
        <v>45900</v>
      </c>
      <c r="B324" t="s">
        <v>368</v>
      </c>
      <c r="C324" t="s">
        <v>193</v>
      </c>
      <c r="D324" t="s">
        <v>376</v>
      </c>
      <c r="E324" s="4">
        <v>539916.87</v>
      </c>
      <c r="F324" s="4">
        <v>56156.62</v>
      </c>
      <c r="G324" s="4">
        <v>483760.26</v>
      </c>
      <c r="H324" s="6">
        <v>0.89600000000000002</v>
      </c>
      <c r="I324" s="6">
        <v>0.5</v>
      </c>
      <c r="J324" s="4">
        <v>241880.13</v>
      </c>
      <c r="K324" s="6">
        <f t="shared" si="5"/>
        <v>5.0000000000000001E-3</v>
      </c>
    </row>
    <row r="325" spans="1:11" x14ac:dyDescent="0.3">
      <c r="A325" s="31">
        <v>45900</v>
      </c>
      <c r="B325" t="s">
        <v>368</v>
      </c>
      <c r="C325" t="s">
        <v>193</v>
      </c>
      <c r="D325" t="s">
        <v>375</v>
      </c>
      <c r="E325" s="4">
        <v>528036.26</v>
      </c>
      <c r="F325" s="4">
        <v>54920.92</v>
      </c>
      <c r="G325" s="4">
        <v>473115.35</v>
      </c>
      <c r="H325" s="6">
        <v>0.89600000000000002</v>
      </c>
      <c r="I325" s="6">
        <v>0.4</v>
      </c>
      <c r="J325" s="4">
        <v>189246.14</v>
      </c>
      <c r="K325" s="6">
        <f t="shared" si="5"/>
        <v>4.0000000000000001E-3</v>
      </c>
    </row>
    <row r="326" spans="1:11" x14ac:dyDescent="0.3">
      <c r="A326" s="31">
        <v>45900</v>
      </c>
      <c r="B326" t="s">
        <v>368</v>
      </c>
      <c r="C326" t="s">
        <v>193</v>
      </c>
      <c r="D326" t="s">
        <v>374</v>
      </c>
      <c r="E326" s="4">
        <v>279572.76</v>
      </c>
      <c r="F326" s="4">
        <v>29078.29</v>
      </c>
      <c r="G326" s="4">
        <v>250494.47</v>
      </c>
      <c r="H326" s="6">
        <v>0.89600000000000002</v>
      </c>
      <c r="I326" s="6">
        <v>0.35</v>
      </c>
      <c r="J326" s="4">
        <v>87673.064499999993</v>
      </c>
      <c r="K326" s="6">
        <f t="shared" si="5"/>
        <v>3.4999999999999996E-3</v>
      </c>
    </row>
    <row r="327" spans="1:11" x14ac:dyDescent="0.3">
      <c r="A327" s="31">
        <v>45900</v>
      </c>
      <c r="B327" t="s">
        <v>368</v>
      </c>
      <c r="C327" t="s">
        <v>193</v>
      </c>
      <c r="D327" t="s">
        <v>373</v>
      </c>
      <c r="E327" s="4">
        <v>142684.95000000001</v>
      </c>
      <c r="F327" s="4">
        <v>14840.63</v>
      </c>
      <c r="G327" s="4">
        <v>127844.33</v>
      </c>
      <c r="H327" s="6">
        <v>0.89600000000000002</v>
      </c>
      <c r="I327" s="6">
        <v>0.3</v>
      </c>
      <c r="J327" s="4">
        <v>38353.298999999999</v>
      </c>
      <c r="K327" s="6">
        <f t="shared" si="5"/>
        <v>3.0000000000000001E-3</v>
      </c>
    </row>
    <row r="328" spans="1:11" x14ac:dyDescent="0.3">
      <c r="A328" s="31">
        <v>45900</v>
      </c>
      <c r="B328" t="s">
        <v>368</v>
      </c>
      <c r="C328" t="s">
        <v>193</v>
      </c>
      <c r="D328" t="s">
        <v>372</v>
      </c>
      <c r="E328" s="4">
        <v>343519.18</v>
      </c>
      <c r="F328" s="4">
        <v>35729.339999999997</v>
      </c>
      <c r="G328" s="4">
        <v>307789.84000000003</v>
      </c>
      <c r="H328" s="6">
        <v>0.89600000000000002</v>
      </c>
      <c r="I328" s="6">
        <v>0.2</v>
      </c>
      <c r="J328" s="4">
        <v>61557.968000000008</v>
      </c>
      <c r="K328" s="6">
        <f t="shared" si="5"/>
        <v>2E-3</v>
      </c>
    </row>
    <row r="329" spans="1:11" x14ac:dyDescent="0.3">
      <c r="A329" s="31">
        <v>45900</v>
      </c>
      <c r="B329" t="s">
        <v>368</v>
      </c>
      <c r="C329" t="s">
        <v>193</v>
      </c>
      <c r="D329" t="s">
        <v>371</v>
      </c>
      <c r="E329" s="4">
        <v>406370.21</v>
      </c>
      <c r="F329" s="4">
        <v>42266.46</v>
      </c>
      <c r="G329" s="4">
        <v>364103.75</v>
      </c>
      <c r="H329" s="6">
        <v>0.89600000000000002</v>
      </c>
      <c r="I329" s="6">
        <v>0.2</v>
      </c>
      <c r="J329" s="4">
        <v>72820.75</v>
      </c>
      <c r="K329" s="6">
        <f t="shared" si="5"/>
        <v>2E-3</v>
      </c>
    </row>
    <row r="330" spans="1:11" x14ac:dyDescent="0.3">
      <c r="A330" s="31">
        <v>45900</v>
      </c>
      <c r="B330" t="s">
        <v>368</v>
      </c>
      <c r="C330" t="s">
        <v>193</v>
      </c>
      <c r="D330" t="s">
        <v>370</v>
      </c>
      <c r="E330" s="4">
        <v>476813.98</v>
      </c>
      <c r="F330" s="4">
        <v>49593.3</v>
      </c>
      <c r="G330" s="4">
        <v>427220.69</v>
      </c>
      <c r="H330" s="6">
        <v>0.89600000000000002</v>
      </c>
      <c r="I330" s="6">
        <v>0.15</v>
      </c>
      <c r="J330" s="4">
        <v>64083.103499999997</v>
      </c>
      <c r="K330" s="6">
        <f t="shared" si="5"/>
        <v>1.5E-3</v>
      </c>
    </row>
    <row r="331" spans="1:11" x14ac:dyDescent="0.3">
      <c r="A331" s="31">
        <v>45900</v>
      </c>
      <c r="B331" t="s">
        <v>368</v>
      </c>
      <c r="C331" t="s">
        <v>193</v>
      </c>
      <c r="D331" t="s">
        <v>369</v>
      </c>
      <c r="E331" s="4">
        <v>178309.8</v>
      </c>
      <c r="F331" s="4">
        <v>18545.95</v>
      </c>
      <c r="G331" s="4">
        <v>159763.82</v>
      </c>
      <c r="H331" s="6">
        <v>0.89600000000000002</v>
      </c>
      <c r="I331" s="6">
        <v>0.15</v>
      </c>
      <c r="J331" s="4">
        <v>23964.573</v>
      </c>
      <c r="K331" s="6">
        <f t="shared" si="5"/>
        <v>1.5E-3</v>
      </c>
    </row>
    <row r="332" spans="1:11" x14ac:dyDescent="0.3">
      <c r="A332" s="31">
        <v>45930</v>
      </c>
      <c r="B332" t="s">
        <v>368</v>
      </c>
      <c r="C332" t="s">
        <v>193</v>
      </c>
      <c r="D332" t="s">
        <v>378</v>
      </c>
      <c r="E332" s="4">
        <v>1041435.76</v>
      </c>
      <c r="F332" s="4">
        <v>179234.38</v>
      </c>
      <c r="G332" s="4">
        <v>862201.38</v>
      </c>
      <c r="H332" s="6">
        <v>0.82789999999999997</v>
      </c>
      <c r="I332" s="6">
        <v>0.55000000000000004</v>
      </c>
      <c r="J332" s="4">
        <v>474210.75900000002</v>
      </c>
      <c r="K332" s="6">
        <f t="shared" si="5"/>
        <v>5.5000000000000005E-3</v>
      </c>
    </row>
    <row r="333" spans="1:11" x14ac:dyDescent="0.3">
      <c r="A333" s="31">
        <v>45930</v>
      </c>
      <c r="B333" t="s">
        <v>368</v>
      </c>
      <c r="C333" t="s">
        <v>193</v>
      </c>
      <c r="D333" t="s">
        <v>377</v>
      </c>
      <c r="E333" s="4">
        <v>773811.68</v>
      </c>
      <c r="F333" s="4">
        <v>133175.43</v>
      </c>
      <c r="G333" s="4">
        <v>640636.25</v>
      </c>
      <c r="H333" s="6">
        <v>0.82789999999999997</v>
      </c>
      <c r="I333" s="6">
        <v>0.55000000000000004</v>
      </c>
      <c r="J333" s="4">
        <v>352349.9375</v>
      </c>
      <c r="K333" s="6">
        <f t="shared" si="5"/>
        <v>5.5000000000000005E-3</v>
      </c>
    </row>
    <row r="334" spans="1:11" x14ac:dyDescent="0.3">
      <c r="A334" s="31">
        <v>45930</v>
      </c>
      <c r="B334" t="s">
        <v>368</v>
      </c>
      <c r="C334" t="s">
        <v>193</v>
      </c>
      <c r="D334" t="s">
        <v>376</v>
      </c>
      <c r="E334" s="4">
        <v>405520.81</v>
      </c>
      <c r="F334" s="4">
        <v>69791.41</v>
      </c>
      <c r="G334" s="4">
        <v>335729.4</v>
      </c>
      <c r="H334" s="6">
        <v>0.82789999999999997</v>
      </c>
      <c r="I334" s="6">
        <v>0.5</v>
      </c>
      <c r="J334" s="4">
        <v>167864.7</v>
      </c>
      <c r="K334" s="6">
        <f t="shared" si="5"/>
        <v>5.0000000000000001E-3</v>
      </c>
    </row>
    <row r="335" spans="1:11" x14ac:dyDescent="0.3">
      <c r="A335" s="31">
        <v>45930</v>
      </c>
      <c r="B335" t="s">
        <v>368</v>
      </c>
      <c r="C335" t="s">
        <v>193</v>
      </c>
      <c r="D335" t="s">
        <v>375</v>
      </c>
      <c r="E335" s="4">
        <v>352391.7</v>
      </c>
      <c r="F335" s="4">
        <v>60647.72</v>
      </c>
      <c r="G335" s="4">
        <v>291743.98</v>
      </c>
      <c r="H335" s="6">
        <v>0.82789999999999997</v>
      </c>
      <c r="I335" s="6">
        <v>0.4</v>
      </c>
      <c r="J335" s="4">
        <v>116697.592</v>
      </c>
      <c r="K335" s="6">
        <f t="shared" si="5"/>
        <v>4.0000000000000001E-3</v>
      </c>
    </row>
    <row r="336" spans="1:11" x14ac:dyDescent="0.3">
      <c r="A336" s="31">
        <v>45930</v>
      </c>
      <c r="B336" t="s">
        <v>368</v>
      </c>
      <c r="C336" t="s">
        <v>193</v>
      </c>
      <c r="D336" t="s">
        <v>374</v>
      </c>
      <c r="E336" s="4">
        <v>431329</v>
      </c>
      <c r="F336" s="4">
        <v>74233.08</v>
      </c>
      <c r="G336" s="4">
        <v>357095.92</v>
      </c>
      <c r="H336" s="6">
        <v>0.82789999999999997</v>
      </c>
      <c r="I336" s="6">
        <v>0.35</v>
      </c>
      <c r="J336" s="4">
        <v>124983.572</v>
      </c>
      <c r="K336" s="6">
        <f t="shared" si="5"/>
        <v>3.4999999999999996E-3</v>
      </c>
    </row>
    <row r="337" spans="1:11" x14ac:dyDescent="0.3">
      <c r="A337" s="31">
        <v>45930</v>
      </c>
      <c r="B337" t="s">
        <v>368</v>
      </c>
      <c r="C337" t="s">
        <v>193</v>
      </c>
      <c r="D337" t="s">
        <v>373</v>
      </c>
      <c r="E337" s="4">
        <v>251755.88</v>
      </c>
      <c r="F337" s="4">
        <v>43327.98</v>
      </c>
      <c r="G337" s="4">
        <v>208427.9</v>
      </c>
      <c r="H337" s="6">
        <v>0.82789999999999997</v>
      </c>
      <c r="I337" s="6">
        <v>0.3</v>
      </c>
      <c r="J337" s="4">
        <v>62528.37</v>
      </c>
      <c r="K337" s="6">
        <f t="shared" si="5"/>
        <v>3.0000000000000001E-3</v>
      </c>
    </row>
    <row r="338" spans="1:11" x14ac:dyDescent="0.3">
      <c r="A338" s="31">
        <v>45930</v>
      </c>
      <c r="B338" t="s">
        <v>368</v>
      </c>
      <c r="C338" t="s">
        <v>193</v>
      </c>
      <c r="D338" t="s">
        <v>372</v>
      </c>
      <c r="E338" s="4">
        <v>666695.31999999995</v>
      </c>
      <c r="F338" s="4">
        <v>114740.37</v>
      </c>
      <c r="G338" s="4">
        <v>551954.94999999995</v>
      </c>
      <c r="H338" s="6">
        <v>0.82789999999999997</v>
      </c>
      <c r="I338" s="6">
        <v>0.2</v>
      </c>
      <c r="J338" s="4">
        <v>110390.99</v>
      </c>
      <c r="K338" s="6">
        <f t="shared" si="5"/>
        <v>2E-3</v>
      </c>
    </row>
    <row r="339" spans="1:11" x14ac:dyDescent="0.3">
      <c r="A339" s="31">
        <v>45930</v>
      </c>
      <c r="B339" t="s">
        <v>368</v>
      </c>
      <c r="C339" t="s">
        <v>193</v>
      </c>
      <c r="D339" t="s">
        <v>371</v>
      </c>
      <c r="E339" s="4">
        <v>187164.69</v>
      </c>
      <c r="F339" s="4">
        <v>32211.63</v>
      </c>
      <c r="G339" s="4">
        <v>154953.06</v>
      </c>
      <c r="H339" s="6">
        <v>0.82789999999999997</v>
      </c>
      <c r="I339" s="6">
        <v>0.2</v>
      </c>
      <c r="J339" s="4">
        <v>30990.612000000001</v>
      </c>
      <c r="K339" s="6">
        <f t="shared" si="5"/>
        <v>2E-3</v>
      </c>
    </row>
    <row r="340" spans="1:11" x14ac:dyDescent="0.3">
      <c r="A340" s="31">
        <v>45930</v>
      </c>
      <c r="B340" t="s">
        <v>368</v>
      </c>
      <c r="C340" t="s">
        <v>193</v>
      </c>
      <c r="D340" t="s">
        <v>370</v>
      </c>
      <c r="E340" s="4">
        <v>360330.04</v>
      </c>
      <c r="F340" s="4">
        <v>62013.94</v>
      </c>
      <c r="G340" s="4">
        <v>298316.11</v>
      </c>
      <c r="H340" s="6">
        <v>0.82789999999999997</v>
      </c>
      <c r="I340" s="6">
        <v>0.15</v>
      </c>
      <c r="J340" s="4">
        <v>44747.416499999999</v>
      </c>
      <c r="K340" s="6">
        <f t="shared" si="5"/>
        <v>1.5E-3</v>
      </c>
    </row>
    <row r="341" spans="1:11" x14ac:dyDescent="0.3">
      <c r="A341" s="31">
        <v>45930</v>
      </c>
      <c r="B341" t="s">
        <v>368</v>
      </c>
      <c r="C341" t="s">
        <v>193</v>
      </c>
      <c r="D341" t="s">
        <v>369</v>
      </c>
      <c r="E341" s="4">
        <v>143739.23000000001</v>
      </c>
      <c r="F341" s="4">
        <v>24737.98</v>
      </c>
      <c r="G341" s="4">
        <v>119001.24</v>
      </c>
      <c r="H341" s="6">
        <v>0.82789999999999997</v>
      </c>
      <c r="I341" s="6">
        <v>0.15</v>
      </c>
      <c r="J341" s="4">
        <v>17850.186000000002</v>
      </c>
      <c r="K341" s="6">
        <f t="shared" si="5"/>
        <v>1.5E-3</v>
      </c>
    </row>
    <row r="342" spans="1:11" x14ac:dyDescent="0.3">
      <c r="A342" s="31">
        <v>45961</v>
      </c>
      <c r="B342" t="s">
        <v>368</v>
      </c>
      <c r="C342" t="s">
        <v>193</v>
      </c>
      <c r="D342" t="s">
        <v>378</v>
      </c>
      <c r="E342" s="4">
        <v>955931.43</v>
      </c>
      <c r="F342" s="4">
        <v>216300.65</v>
      </c>
      <c r="G342" s="4">
        <v>739630.78</v>
      </c>
      <c r="H342" s="6">
        <v>0.77370000000000005</v>
      </c>
      <c r="I342" s="6">
        <v>0.55000000000000004</v>
      </c>
      <c r="J342" s="4">
        <v>406796.92900000012</v>
      </c>
      <c r="K342" s="6">
        <f t="shared" si="5"/>
        <v>5.5000000000000005E-3</v>
      </c>
    </row>
    <row r="343" spans="1:11" x14ac:dyDescent="0.3">
      <c r="A343" s="31">
        <v>45961</v>
      </c>
      <c r="B343" t="s">
        <v>368</v>
      </c>
      <c r="C343" t="s">
        <v>193</v>
      </c>
      <c r="D343" t="s">
        <v>377</v>
      </c>
      <c r="E343" s="4">
        <v>885699.15</v>
      </c>
      <c r="F343" s="4">
        <v>200409.04</v>
      </c>
      <c r="G343" s="4">
        <v>685290.11</v>
      </c>
      <c r="H343" s="6">
        <v>0.77370000000000005</v>
      </c>
      <c r="I343" s="6">
        <v>0.55000000000000004</v>
      </c>
      <c r="J343" s="4">
        <v>376909.56050000002</v>
      </c>
      <c r="K343" s="6">
        <f t="shared" si="5"/>
        <v>5.5000000000000005E-3</v>
      </c>
    </row>
    <row r="344" spans="1:11" x14ac:dyDescent="0.3">
      <c r="A344" s="31">
        <v>45961</v>
      </c>
      <c r="B344" t="s">
        <v>368</v>
      </c>
      <c r="C344" t="s">
        <v>193</v>
      </c>
      <c r="D344" t="s">
        <v>376</v>
      </c>
      <c r="E344" s="4">
        <v>513260.19</v>
      </c>
      <c r="F344" s="4">
        <v>116136.48</v>
      </c>
      <c r="G344" s="4">
        <v>397123.71</v>
      </c>
      <c r="H344" s="6">
        <v>0.77370000000000005</v>
      </c>
      <c r="I344" s="6">
        <v>0.5</v>
      </c>
      <c r="J344" s="4">
        <v>198561.85500000001</v>
      </c>
      <c r="K344" s="6">
        <f t="shared" si="5"/>
        <v>5.0000000000000001E-3</v>
      </c>
    </row>
    <row r="345" spans="1:11" x14ac:dyDescent="0.3">
      <c r="A345" s="31">
        <v>45961</v>
      </c>
      <c r="B345" t="s">
        <v>368</v>
      </c>
      <c r="C345" t="s">
        <v>193</v>
      </c>
      <c r="D345" t="s">
        <v>375</v>
      </c>
      <c r="E345" s="4">
        <v>875205.38</v>
      </c>
      <c r="F345" s="4">
        <v>198034.59</v>
      </c>
      <c r="G345" s="4">
        <v>677170.78</v>
      </c>
      <c r="H345" s="6">
        <v>0.77370000000000005</v>
      </c>
      <c r="I345" s="6">
        <v>0.4</v>
      </c>
      <c r="J345" s="4">
        <v>270868.31199999998</v>
      </c>
      <c r="K345" s="6">
        <f t="shared" si="5"/>
        <v>4.0000000000000001E-3</v>
      </c>
    </row>
    <row r="346" spans="1:11" x14ac:dyDescent="0.3">
      <c r="A346" s="31">
        <v>45961</v>
      </c>
      <c r="B346" t="s">
        <v>368</v>
      </c>
      <c r="C346" t="s">
        <v>193</v>
      </c>
      <c r="D346" t="s">
        <v>374</v>
      </c>
      <c r="E346" s="4">
        <v>367126.04</v>
      </c>
      <c r="F346" s="4">
        <v>83070.39</v>
      </c>
      <c r="G346" s="4">
        <v>284055.64</v>
      </c>
      <c r="H346" s="6">
        <v>0.77370000000000005</v>
      </c>
      <c r="I346" s="6">
        <v>0.35</v>
      </c>
      <c r="J346" s="4">
        <v>99419.474000000002</v>
      </c>
      <c r="K346" s="6">
        <f t="shared" si="5"/>
        <v>3.4999999999999996E-3</v>
      </c>
    </row>
    <row r="347" spans="1:11" x14ac:dyDescent="0.3">
      <c r="A347" s="31">
        <v>45961</v>
      </c>
      <c r="B347" t="s">
        <v>368</v>
      </c>
      <c r="C347" t="s">
        <v>193</v>
      </c>
      <c r="D347" t="s">
        <v>373</v>
      </c>
      <c r="E347" s="4">
        <v>79338.179999999993</v>
      </c>
      <c r="F347" s="4">
        <v>17952.02</v>
      </c>
      <c r="G347" s="4">
        <v>61386.16</v>
      </c>
      <c r="H347" s="6">
        <v>0.77370000000000005</v>
      </c>
      <c r="I347" s="6">
        <v>0.3</v>
      </c>
      <c r="J347" s="4">
        <v>18415.848000000002</v>
      </c>
      <c r="K347" s="6">
        <f t="shared" si="5"/>
        <v>3.0000000000000001E-3</v>
      </c>
    </row>
    <row r="348" spans="1:11" x14ac:dyDescent="0.3">
      <c r="A348" s="31">
        <v>45961</v>
      </c>
      <c r="B348" t="s">
        <v>368</v>
      </c>
      <c r="C348" t="s">
        <v>193</v>
      </c>
      <c r="D348" t="s">
        <v>372</v>
      </c>
      <c r="E348" s="4">
        <v>484027.13</v>
      </c>
      <c r="F348" s="4">
        <v>109521.86</v>
      </c>
      <c r="G348" s="4">
        <v>374505.28</v>
      </c>
      <c r="H348" s="6">
        <v>0.77370000000000005</v>
      </c>
      <c r="I348" s="6">
        <v>0.2</v>
      </c>
      <c r="J348" s="4">
        <v>74901.056000000011</v>
      </c>
      <c r="K348" s="6">
        <f t="shared" si="5"/>
        <v>2E-3</v>
      </c>
    </row>
    <row r="349" spans="1:11" x14ac:dyDescent="0.3">
      <c r="A349" s="31">
        <v>45961</v>
      </c>
      <c r="B349" t="s">
        <v>368</v>
      </c>
      <c r="C349" t="s">
        <v>193</v>
      </c>
      <c r="D349" t="s">
        <v>371</v>
      </c>
      <c r="E349" s="4">
        <v>49294.79</v>
      </c>
      <c r="F349" s="4">
        <v>11154.04</v>
      </c>
      <c r="G349" s="4">
        <v>38140.75</v>
      </c>
      <c r="H349" s="6">
        <v>0.77370000000000005</v>
      </c>
      <c r="I349" s="6">
        <v>0.2</v>
      </c>
      <c r="J349" s="4">
        <v>7628.1500000000005</v>
      </c>
      <c r="K349" s="6">
        <f t="shared" si="5"/>
        <v>2E-3</v>
      </c>
    </row>
    <row r="350" spans="1:11" x14ac:dyDescent="0.3">
      <c r="A350" s="31">
        <v>45961</v>
      </c>
      <c r="B350" t="s">
        <v>368</v>
      </c>
      <c r="C350" t="s">
        <v>193</v>
      </c>
      <c r="D350" t="s">
        <v>370</v>
      </c>
      <c r="E350" s="4">
        <v>331464.56</v>
      </c>
      <c r="F350" s="4">
        <v>75001.2</v>
      </c>
      <c r="G350" s="4">
        <v>256463.37</v>
      </c>
      <c r="H350" s="6">
        <v>0.77370000000000005</v>
      </c>
      <c r="I350" s="6">
        <v>0.15</v>
      </c>
      <c r="J350" s="4">
        <v>38469.505499999999</v>
      </c>
      <c r="K350" s="6">
        <f t="shared" si="5"/>
        <v>1.5E-3</v>
      </c>
    </row>
    <row r="351" spans="1:11" x14ac:dyDescent="0.3">
      <c r="A351" s="31">
        <v>45961</v>
      </c>
      <c r="B351" t="s">
        <v>368</v>
      </c>
      <c r="C351" t="s">
        <v>193</v>
      </c>
      <c r="D351" t="s">
        <v>369</v>
      </c>
      <c r="E351" s="4">
        <v>248843.84</v>
      </c>
      <c r="F351" s="4">
        <v>56306.43</v>
      </c>
      <c r="G351" s="4">
        <v>192537.41</v>
      </c>
      <c r="H351" s="6">
        <v>0.77370000000000005</v>
      </c>
      <c r="I351" s="6">
        <v>0.15</v>
      </c>
      <c r="J351" s="4">
        <v>28880.611499999999</v>
      </c>
      <c r="K351" s="6">
        <f t="shared" si="5"/>
        <v>1.5E-3</v>
      </c>
    </row>
    <row r="352" spans="1:11" x14ac:dyDescent="0.3">
      <c r="A352" s="31">
        <v>45991</v>
      </c>
      <c r="B352" t="s">
        <v>368</v>
      </c>
      <c r="C352" t="s">
        <v>193</v>
      </c>
      <c r="D352" t="s">
        <v>378</v>
      </c>
      <c r="E352" s="4">
        <v>1210333.03</v>
      </c>
      <c r="F352" s="4">
        <v>228595.84</v>
      </c>
      <c r="G352" s="4">
        <v>981737.19</v>
      </c>
      <c r="H352" s="6">
        <v>0.81110000000000004</v>
      </c>
      <c r="I352" s="6">
        <v>0.55000000000000004</v>
      </c>
      <c r="J352" s="4">
        <v>539955.45449999999</v>
      </c>
      <c r="K352" s="6">
        <f t="shared" si="5"/>
        <v>5.5000000000000005E-3</v>
      </c>
    </row>
    <row r="353" spans="1:11" x14ac:dyDescent="0.3">
      <c r="A353" s="31">
        <v>45991</v>
      </c>
      <c r="B353" t="s">
        <v>368</v>
      </c>
      <c r="C353" t="s">
        <v>193</v>
      </c>
      <c r="D353" t="s">
        <v>377</v>
      </c>
      <c r="E353" s="4">
        <v>1038444.17</v>
      </c>
      <c r="F353" s="4">
        <v>196131.16</v>
      </c>
      <c r="G353" s="4">
        <v>842313.01</v>
      </c>
      <c r="H353" s="6">
        <v>0.81110000000000004</v>
      </c>
      <c r="I353" s="6">
        <v>0.55000000000000004</v>
      </c>
      <c r="J353" s="4">
        <v>463272.15550000011</v>
      </c>
      <c r="K353" s="6">
        <f t="shared" si="5"/>
        <v>5.5000000000000005E-3</v>
      </c>
    </row>
    <row r="354" spans="1:11" x14ac:dyDescent="0.3">
      <c r="A354" s="31">
        <v>45991</v>
      </c>
      <c r="B354" t="s">
        <v>368</v>
      </c>
      <c r="C354" t="s">
        <v>193</v>
      </c>
      <c r="D354" t="s">
        <v>376</v>
      </c>
      <c r="E354" s="4">
        <v>421380.96</v>
      </c>
      <c r="F354" s="4">
        <v>79586.31</v>
      </c>
      <c r="G354" s="4">
        <v>341794.65</v>
      </c>
      <c r="H354" s="6">
        <v>0.81110000000000004</v>
      </c>
      <c r="I354" s="6">
        <v>0.5</v>
      </c>
      <c r="J354" s="4">
        <v>170897.32500000001</v>
      </c>
      <c r="K354" s="6">
        <f t="shared" si="5"/>
        <v>5.0000000000000001E-3</v>
      </c>
    </row>
    <row r="355" spans="1:11" x14ac:dyDescent="0.3">
      <c r="A355" s="31">
        <v>45991</v>
      </c>
      <c r="B355" t="s">
        <v>368</v>
      </c>
      <c r="C355" t="s">
        <v>193</v>
      </c>
      <c r="D355" t="s">
        <v>375</v>
      </c>
      <c r="E355" s="4">
        <v>424302.92</v>
      </c>
      <c r="F355" s="4">
        <v>80138.179999999993</v>
      </c>
      <c r="G355" s="4">
        <v>344164.74</v>
      </c>
      <c r="H355" s="6">
        <v>0.81110000000000004</v>
      </c>
      <c r="I355" s="6">
        <v>0.4</v>
      </c>
      <c r="J355" s="4">
        <v>137665.89600000001</v>
      </c>
      <c r="K355" s="6">
        <f t="shared" si="5"/>
        <v>4.0000000000000001E-3</v>
      </c>
    </row>
    <row r="356" spans="1:11" x14ac:dyDescent="0.3">
      <c r="A356" s="31">
        <v>45991</v>
      </c>
      <c r="B356" t="s">
        <v>368</v>
      </c>
      <c r="C356" t="s">
        <v>193</v>
      </c>
      <c r="D356" t="s">
        <v>374</v>
      </c>
      <c r="E356" s="4">
        <v>283010.84999999998</v>
      </c>
      <c r="F356" s="4">
        <v>53452.32</v>
      </c>
      <c r="G356" s="4">
        <v>229558.53</v>
      </c>
      <c r="H356" s="6">
        <v>0.81110000000000004</v>
      </c>
      <c r="I356" s="6">
        <v>0.35</v>
      </c>
      <c r="J356" s="4">
        <v>80345.485499999995</v>
      </c>
      <c r="K356" s="6">
        <f t="shared" si="5"/>
        <v>3.4999999999999996E-3</v>
      </c>
    </row>
    <row r="357" spans="1:11" x14ac:dyDescent="0.3">
      <c r="A357" s="31">
        <v>45991</v>
      </c>
      <c r="B357" t="s">
        <v>368</v>
      </c>
      <c r="C357" t="s">
        <v>193</v>
      </c>
      <c r="D357" t="s">
        <v>373</v>
      </c>
      <c r="E357" s="4">
        <v>80203.7</v>
      </c>
      <c r="F357" s="4">
        <v>15148.09</v>
      </c>
      <c r="G357" s="4">
        <v>65055.61</v>
      </c>
      <c r="H357" s="6">
        <v>0.81110000000000004</v>
      </c>
      <c r="I357" s="6">
        <v>0.3</v>
      </c>
      <c r="J357" s="4">
        <v>19516.683000000001</v>
      </c>
      <c r="K357" s="6">
        <f t="shared" si="5"/>
        <v>3.0000000000000001E-3</v>
      </c>
    </row>
    <row r="358" spans="1:11" x14ac:dyDescent="0.3">
      <c r="A358" s="31">
        <v>45991</v>
      </c>
      <c r="B358" t="s">
        <v>368</v>
      </c>
      <c r="C358" t="s">
        <v>193</v>
      </c>
      <c r="D358" t="s">
        <v>372</v>
      </c>
      <c r="E358" s="4">
        <v>492877.42</v>
      </c>
      <c r="F358" s="4">
        <v>93089.86</v>
      </c>
      <c r="G358" s="4">
        <v>399787.56</v>
      </c>
      <c r="H358" s="6">
        <v>0.81110000000000004</v>
      </c>
      <c r="I358" s="6">
        <v>0.2</v>
      </c>
      <c r="J358" s="4">
        <v>79957.512000000002</v>
      </c>
      <c r="K358" s="6">
        <f t="shared" si="5"/>
        <v>2E-3</v>
      </c>
    </row>
    <row r="359" spans="1:11" x14ac:dyDescent="0.3">
      <c r="A359" s="31">
        <v>45991</v>
      </c>
      <c r="B359" t="s">
        <v>368</v>
      </c>
      <c r="C359" t="s">
        <v>193</v>
      </c>
      <c r="D359" t="s">
        <v>371</v>
      </c>
      <c r="E359" s="4">
        <v>157807.35999999999</v>
      </c>
      <c r="F359" s="4">
        <v>29805.11</v>
      </c>
      <c r="G359" s="4">
        <v>128002.25</v>
      </c>
      <c r="H359" s="6">
        <v>0.81110000000000004</v>
      </c>
      <c r="I359" s="6">
        <v>0.2</v>
      </c>
      <c r="J359" s="4">
        <v>25600.45</v>
      </c>
      <c r="K359" s="6">
        <f t="shared" si="5"/>
        <v>2E-3</v>
      </c>
    </row>
    <row r="360" spans="1:11" x14ac:dyDescent="0.3">
      <c r="A360" s="31">
        <v>45991</v>
      </c>
      <c r="B360" t="s">
        <v>368</v>
      </c>
      <c r="C360" t="s">
        <v>193</v>
      </c>
      <c r="D360" t="s">
        <v>370</v>
      </c>
      <c r="E360" s="4">
        <v>285715.15000000002</v>
      </c>
      <c r="F360" s="4">
        <v>53963.08</v>
      </c>
      <c r="G360" s="4">
        <v>231752.07</v>
      </c>
      <c r="H360" s="6">
        <v>0.81110000000000004</v>
      </c>
      <c r="I360" s="6">
        <v>0.15</v>
      </c>
      <c r="J360" s="4">
        <v>34762.8105</v>
      </c>
      <c r="K360" s="6">
        <f t="shared" si="5"/>
        <v>1.5E-3</v>
      </c>
    </row>
    <row r="361" spans="1:11" x14ac:dyDescent="0.3">
      <c r="A361" s="31">
        <v>45991</v>
      </c>
      <c r="B361" t="s">
        <v>368</v>
      </c>
      <c r="C361" t="s">
        <v>193</v>
      </c>
      <c r="D361" t="s">
        <v>369</v>
      </c>
      <c r="E361" s="4">
        <v>99992.17</v>
      </c>
      <c r="F361" s="4">
        <v>18885.53</v>
      </c>
      <c r="G361" s="4">
        <v>81106.64</v>
      </c>
      <c r="H361" s="6">
        <v>0.81110000000000004</v>
      </c>
      <c r="I361" s="6">
        <v>0.15</v>
      </c>
      <c r="J361" s="4">
        <v>12165.995999999999</v>
      </c>
      <c r="K361" s="6">
        <f t="shared" si="5"/>
        <v>1.5E-3</v>
      </c>
    </row>
    <row r="362" spans="1:11" x14ac:dyDescent="0.3">
      <c r="A362" s="31">
        <v>45657</v>
      </c>
      <c r="B362" t="s">
        <v>368</v>
      </c>
      <c r="C362" t="s">
        <v>186</v>
      </c>
      <c r="D362" t="s">
        <v>378</v>
      </c>
      <c r="E362" s="4">
        <v>1775510.33</v>
      </c>
      <c r="F362" s="4">
        <v>230510.69</v>
      </c>
      <c r="G362" s="4">
        <v>1544999.64</v>
      </c>
      <c r="H362" s="6">
        <v>0.87019999999999997</v>
      </c>
      <c r="I362" s="6">
        <v>0.55000000000000004</v>
      </c>
      <c r="J362" s="4">
        <v>849749.80200000003</v>
      </c>
      <c r="K362" s="6">
        <f t="shared" si="5"/>
        <v>5.5000000000000005E-3</v>
      </c>
    </row>
    <row r="363" spans="1:11" x14ac:dyDescent="0.3">
      <c r="A363" s="31">
        <v>45657</v>
      </c>
      <c r="B363" t="s">
        <v>368</v>
      </c>
      <c r="C363" t="s">
        <v>186</v>
      </c>
      <c r="D363" t="s">
        <v>377</v>
      </c>
      <c r="E363" s="4">
        <v>2083490.07</v>
      </c>
      <c r="F363" s="4">
        <v>270495.03999999998</v>
      </c>
      <c r="G363" s="4">
        <v>1812995.03</v>
      </c>
      <c r="H363" s="6">
        <v>0.87019999999999997</v>
      </c>
      <c r="I363" s="6">
        <v>0.55000000000000004</v>
      </c>
      <c r="J363" s="4">
        <v>997147.26650000014</v>
      </c>
      <c r="K363" s="6">
        <f t="shared" si="5"/>
        <v>5.5000000000000005E-3</v>
      </c>
    </row>
    <row r="364" spans="1:11" x14ac:dyDescent="0.3">
      <c r="A364" s="31">
        <v>45657</v>
      </c>
      <c r="B364" t="s">
        <v>368</v>
      </c>
      <c r="C364" t="s">
        <v>186</v>
      </c>
      <c r="D364" t="s">
        <v>376</v>
      </c>
      <c r="E364" s="4">
        <v>499890.52</v>
      </c>
      <c r="F364" s="4">
        <v>64899.71</v>
      </c>
      <c r="G364" s="4">
        <v>434990.81</v>
      </c>
      <c r="H364" s="6">
        <v>0.87019999999999997</v>
      </c>
      <c r="I364" s="6">
        <v>0.5</v>
      </c>
      <c r="J364" s="4">
        <v>217495.405</v>
      </c>
      <c r="K364" s="6">
        <f t="shared" si="5"/>
        <v>5.0000000000000001E-3</v>
      </c>
    </row>
    <row r="365" spans="1:11" x14ac:dyDescent="0.3">
      <c r="A365" s="31">
        <v>45657</v>
      </c>
      <c r="B365" t="s">
        <v>368</v>
      </c>
      <c r="C365" t="s">
        <v>186</v>
      </c>
      <c r="D365" t="s">
        <v>375</v>
      </c>
      <c r="E365" s="4">
        <v>364216.59</v>
      </c>
      <c r="F365" s="4">
        <v>47285.46</v>
      </c>
      <c r="G365" s="4">
        <v>316931.13</v>
      </c>
      <c r="H365" s="6">
        <v>0.87019999999999997</v>
      </c>
      <c r="I365" s="6">
        <v>0.4</v>
      </c>
      <c r="J365" s="4">
        <v>126772.452</v>
      </c>
      <c r="K365" s="6">
        <f t="shared" si="5"/>
        <v>4.0000000000000001E-3</v>
      </c>
    </row>
    <row r="366" spans="1:11" x14ac:dyDescent="0.3">
      <c r="A366" s="31">
        <v>45657</v>
      </c>
      <c r="B366" t="s">
        <v>368</v>
      </c>
      <c r="C366" t="s">
        <v>186</v>
      </c>
      <c r="D366" t="s">
        <v>374</v>
      </c>
      <c r="E366" s="4">
        <v>543366.05000000005</v>
      </c>
      <c r="F366" s="4">
        <v>70544.05</v>
      </c>
      <c r="G366" s="4">
        <v>472822</v>
      </c>
      <c r="H366" s="6">
        <v>0.87019999999999997</v>
      </c>
      <c r="I366" s="6">
        <v>0.35</v>
      </c>
      <c r="J366" s="4">
        <v>165487.70000000001</v>
      </c>
      <c r="K366" s="6">
        <f t="shared" si="5"/>
        <v>3.4999999999999996E-3</v>
      </c>
    </row>
    <row r="367" spans="1:11" x14ac:dyDescent="0.3">
      <c r="A367" s="31">
        <v>45657</v>
      </c>
      <c r="B367" t="s">
        <v>368</v>
      </c>
      <c r="C367" t="s">
        <v>186</v>
      </c>
      <c r="D367" t="s">
        <v>373</v>
      </c>
      <c r="E367" s="4">
        <v>413928.86</v>
      </c>
      <c r="F367" s="4">
        <v>53739.49</v>
      </c>
      <c r="G367" s="4">
        <v>360189.37</v>
      </c>
      <c r="H367" s="6">
        <v>0.87019999999999997</v>
      </c>
      <c r="I367" s="6">
        <v>0.3</v>
      </c>
      <c r="J367" s="4">
        <v>108056.811</v>
      </c>
      <c r="K367" s="6">
        <f t="shared" si="5"/>
        <v>3.0000000000000001E-3</v>
      </c>
    </row>
    <row r="368" spans="1:11" x14ac:dyDescent="0.3">
      <c r="A368" s="31">
        <v>45657</v>
      </c>
      <c r="B368" t="s">
        <v>368</v>
      </c>
      <c r="C368" t="s">
        <v>186</v>
      </c>
      <c r="D368" t="s">
        <v>372</v>
      </c>
      <c r="E368" s="4">
        <v>791918.76</v>
      </c>
      <c r="F368" s="4">
        <v>102813.11</v>
      </c>
      <c r="G368" s="4">
        <v>689105.65</v>
      </c>
      <c r="H368" s="6">
        <v>0.87019999999999997</v>
      </c>
      <c r="I368" s="6">
        <v>0.2</v>
      </c>
      <c r="J368" s="4">
        <v>137821.13</v>
      </c>
      <c r="K368" s="6">
        <f t="shared" si="5"/>
        <v>2E-3</v>
      </c>
    </row>
    <row r="369" spans="1:11" x14ac:dyDescent="0.3">
      <c r="A369" s="31">
        <v>45657</v>
      </c>
      <c r="B369" t="s">
        <v>368</v>
      </c>
      <c r="C369" t="s">
        <v>186</v>
      </c>
      <c r="D369" t="s">
        <v>371</v>
      </c>
      <c r="E369" s="4">
        <v>464280.53</v>
      </c>
      <c r="F369" s="4">
        <v>60276.54</v>
      </c>
      <c r="G369" s="4">
        <v>404003.99</v>
      </c>
      <c r="H369" s="6">
        <v>0.87019999999999997</v>
      </c>
      <c r="I369" s="6">
        <v>0.2</v>
      </c>
      <c r="J369" s="4">
        <v>80800.79800000001</v>
      </c>
      <c r="K369" s="6">
        <f t="shared" si="5"/>
        <v>2E-3</v>
      </c>
    </row>
    <row r="370" spans="1:11" x14ac:dyDescent="0.3">
      <c r="A370" s="31">
        <v>45657</v>
      </c>
      <c r="B370" t="s">
        <v>368</v>
      </c>
      <c r="C370" t="s">
        <v>186</v>
      </c>
      <c r="D370" t="s">
        <v>370</v>
      </c>
      <c r="E370" s="4">
        <v>524727.93000000005</v>
      </c>
      <c r="F370" s="4">
        <v>68124.3</v>
      </c>
      <c r="G370" s="4">
        <v>456603.63</v>
      </c>
      <c r="H370" s="6">
        <v>0.87019999999999997</v>
      </c>
      <c r="I370" s="6">
        <v>0.15</v>
      </c>
      <c r="J370" s="4">
        <v>68490.544500000004</v>
      </c>
      <c r="K370" s="6">
        <f t="shared" si="5"/>
        <v>1.5E-3</v>
      </c>
    </row>
    <row r="371" spans="1:11" x14ac:dyDescent="0.3">
      <c r="A371" s="31">
        <v>45657</v>
      </c>
      <c r="B371" t="s">
        <v>368</v>
      </c>
      <c r="C371" t="s">
        <v>186</v>
      </c>
      <c r="D371" t="s">
        <v>369</v>
      </c>
      <c r="E371" s="4">
        <v>500488.82</v>
      </c>
      <c r="F371" s="4">
        <v>64977.39</v>
      </c>
      <c r="G371" s="4">
        <v>435511.42</v>
      </c>
      <c r="H371" s="6">
        <v>0.87019999999999997</v>
      </c>
      <c r="I371" s="6">
        <v>0.15</v>
      </c>
      <c r="J371" s="4">
        <v>65326.713000000003</v>
      </c>
      <c r="K371" s="6">
        <f t="shared" si="5"/>
        <v>1.5E-3</v>
      </c>
    </row>
    <row r="372" spans="1:11" x14ac:dyDescent="0.3">
      <c r="A372" s="31">
        <v>45688</v>
      </c>
      <c r="B372" t="s">
        <v>368</v>
      </c>
      <c r="C372" t="s">
        <v>186</v>
      </c>
      <c r="D372" t="s">
        <v>378</v>
      </c>
      <c r="E372" s="4">
        <v>1923022.19</v>
      </c>
      <c r="F372" s="4">
        <v>303219.83</v>
      </c>
      <c r="G372" s="4">
        <v>1619802.36</v>
      </c>
      <c r="H372" s="6">
        <v>0.84230000000000005</v>
      </c>
      <c r="I372" s="6">
        <v>0.55000000000000004</v>
      </c>
      <c r="J372" s="4">
        <v>890891.29800000018</v>
      </c>
      <c r="K372" s="6">
        <f t="shared" si="5"/>
        <v>5.5000000000000005E-3</v>
      </c>
    </row>
    <row r="373" spans="1:11" x14ac:dyDescent="0.3">
      <c r="A373" s="31">
        <v>45688</v>
      </c>
      <c r="B373" t="s">
        <v>368</v>
      </c>
      <c r="C373" t="s">
        <v>186</v>
      </c>
      <c r="D373" t="s">
        <v>377</v>
      </c>
      <c r="E373" s="4">
        <v>1175610.6200000001</v>
      </c>
      <c r="F373" s="4">
        <v>185368.87</v>
      </c>
      <c r="G373" s="4">
        <v>990241.75</v>
      </c>
      <c r="H373" s="6">
        <v>0.84230000000000005</v>
      </c>
      <c r="I373" s="6">
        <v>0.55000000000000004</v>
      </c>
      <c r="J373" s="4">
        <v>544632.96250000002</v>
      </c>
      <c r="K373" s="6">
        <f t="shared" si="5"/>
        <v>5.5000000000000005E-3</v>
      </c>
    </row>
    <row r="374" spans="1:11" x14ac:dyDescent="0.3">
      <c r="A374" s="31">
        <v>45688</v>
      </c>
      <c r="B374" t="s">
        <v>368</v>
      </c>
      <c r="C374" t="s">
        <v>186</v>
      </c>
      <c r="D374" t="s">
        <v>376</v>
      </c>
      <c r="E374" s="4">
        <v>739655.26</v>
      </c>
      <c r="F374" s="4">
        <v>116627.95</v>
      </c>
      <c r="G374" s="4">
        <v>623027.30000000005</v>
      </c>
      <c r="H374" s="6">
        <v>0.84230000000000005</v>
      </c>
      <c r="I374" s="6">
        <v>0.5</v>
      </c>
      <c r="J374" s="4">
        <v>311513.65000000002</v>
      </c>
      <c r="K374" s="6">
        <f t="shared" si="5"/>
        <v>5.0000000000000001E-3</v>
      </c>
    </row>
    <row r="375" spans="1:11" x14ac:dyDescent="0.3">
      <c r="A375" s="31">
        <v>45688</v>
      </c>
      <c r="B375" t="s">
        <v>368</v>
      </c>
      <c r="C375" t="s">
        <v>186</v>
      </c>
      <c r="D375" t="s">
        <v>375</v>
      </c>
      <c r="E375" s="4">
        <v>885058.6</v>
      </c>
      <c r="F375" s="4">
        <v>139554.98000000001</v>
      </c>
      <c r="G375" s="4">
        <v>745503.63</v>
      </c>
      <c r="H375" s="6">
        <v>0.84230000000000005</v>
      </c>
      <c r="I375" s="6">
        <v>0.4</v>
      </c>
      <c r="J375" s="4">
        <v>298201.45199999999</v>
      </c>
      <c r="K375" s="6">
        <f t="shared" si="5"/>
        <v>4.0000000000000001E-3</v>
      </c>
    </row>
    <row r="376" spans="1:11" x14ac:dyDescent="0.3">
      <c r="A376" s="31">
        <v>45688</v>
      </c>
      <c r="B376" t="s">
        <v>368</v>
      </c>
      <c r="C376" t="s">
        <v>186</v>
      </c>
      <c r="D376" t="s">
        <v>374</v>
      </c>
      <c r="E376" s="4">
        <v>353150.24</v>
      </c>
      <c r="F376" s="4">
        <v>55684.31</v>
      </c>
      <c r="G376" s="4">
        <v>297465.93</v>
      </c>
      <c r="H376" s="6">
        <v>0.84230000000000005</v>
      </c>
      <c r="I376" s="6">
        <v>0.35</v>
      </c>
      <c r="J376" s="4">
        <v>104113.07550000001</v>
      </c>
      <c r="K376" s="6">
        <f t="shared" si="5"/>
        <v>3.4999999999999996E-3</v>
      </c>
    </row>
    <row r="377" spans="1:11" x14ac:dyDescent="0.3">
      <c r="A377" s="31">
        <v>45688</v>
      </c>
      <c r="B377" t="s">
        <v>368</v>
      </c>
      <c r="C377" t="s">
        <v>186</v>
      </c>
      <c r="D377" t="s">
        <v>373</v>
      </c>
      <c r="E377" s="4">
        <v>847804.84</v>
      </c>
      <c r="F377" s="4">
        <v>133680.85</v>
      </c>
      <c r="G377" s="4">
        <v>714123.99</v>
      </c>
      <c r="H377" s="6">
        <v>0.84230000000000005</v>
      </c>
      <c r="I377" s="6">
        <v>0.3</v>
      </c>
      <c r="J377" s="4">
        <v>214237.19699999999</v>
      </c>
      <c r="K377" s="6">
        <f t="shared" si="5"/>
        <v>3.0000000000000001E-3</v>
      </c>
    </row>
    <row r="378" spans="1:11" x14ac:dyDescent="0.3">
      <c r="A378" s="31">
        <v>45688</v>
      </c>
      <c r="B378" t="s">
        <v>368</v>
      </c>
      <c r="C378" t="s">
        <v>186</v>
      </c>
      <c r="D378" t="s">
        <v>372</v>
      </c>
      <c r="E378" s="4">
        <v>589996.32999999996</v>
      </c>
      <c r="F378" s="4">
        <v>93029.91</v>
      </c>
      <c r="G378" s="4">
        <v>496966.42</v>
      </c>
      <c r="H378" s="6">
        <v>0.84230000000000005</v>
      </c>
      <c r="I378" s="6">
        <v>0.2</v>
      </c>
      <c r="J378" s="4">
        <v>99393.284</v>
      </c>
      <c r="K378" s="6">
        <f t="shared" si="5"/>
        <v>2E-3</v>
      </c>
    </row>
    <row r="379" spans="1:11" x14ac:dyDescent="0.3">
      <c r="A379" s="31">
        <v>45688</v>
      </c>
      <c r="B379" t="s">
        <v>368</v>
      </c>
      <c r="C379" t="s">
        <v>186</v>
      </c>
      <c r="D379" t="s">
        <v>371</v>
      </c>
      <c r="E379" s="4">
        <v>571894.28</v>
      </c>
      <c r="F379" s="4">
        <v>90175.6</v>
      </c>
      <c r="G379" s="4">
        <v>481718.68</v>
      </c>
      <c r="H379" s="6">
        <v>0.84230000000000005</v>
      </c>
      <c r="I379" s="6">
        <v>0.2</v>
      </c>
      <c r="J379" s="4">
        <v>96343.736000000004</v>
      </c>
      <c r="K379" s="6">
        <f t="shared" si="5"/>
        <v>2E-3</v>
      </c>
    </row>
    <row r="380" spans="1:11" x14ac:dyDescent="0.3">
      <c r="A380" s="31">
        <v>45688</v>
      </c>
      <c r="B380" t="s">
        <v>368</v>
      </c>
      <c r="C380" t="s">
        <v>186</v>
      </c>
      <c r="D380" t="s">
        <v>370</v>
      </c>
      <c r="E380" s="4">
        <v>720932.17</v>
      </c>
      <c r="F380" s="4">
        <v>113675.72</v>
      </c>
      <c r="G380" s="4">
        <v>607256.44999999995</v>
      </c>
      <c r="H380" s="6">
        <v>0.84230000000000005</v>
      </c>
      <c r="I380" s="6">
        <v>0.15</v>
      </c>
      <c r="J380" s="4">
        <v>91088.467499999984</v>
      </c>
      <c r="K380" s="6">
        <f t="shared" si="5"/>
        <v>1.5E-3</v>
      </c>
    </row>
    <row r="381" spans="1:11" x14ac:dyDescent="0.3">
      <c r="A381" s="31">
        <v>45688</v>
      </c>
      <c r="B381" t="s">
        <v>368</v>
      </c>
      <c r="C381" t="s">
        <v>186</v>
      </c>
      <c r="D381" t="s">
        <v>369</v>
      </c>
      <c r="E381" s="4">
        <v>268321.91999999998</v>
      </c>
      <c r="F381" s="4">
        <v>42308.68</v>
      </c>
      <c r="G381" s="4">
        <v>226013.24</v>
      </c>
      <c r="H381" s="6">
        <v>0.84230000000000005</v>
      </c>
      <c r="I381" s="6">
        <v>0.15</v>
      </c>
      <c r="J381" s="4">
        <v>33901.985999999997</v>
      </c>
      <c r="K381" s="6">
        <f t="shared" si="5"/>
        <v>1.5E-3</v>
      </c>
    </row>
    <row r="382" spans="1:11" x14ac:dyDescent="0.3">
      <c r="A382" s="31">
        <v>45716</v>
      </c>
      <c r="B382" t="s">
        <v>368</v>
      </c>
      <c r="C382" t="s">
        <v>186</v>
      </c>
      <c r="D382" t="s">
        <v>378</v>
      </c>
      <c r="E382" s="4">
        <v>1255890.3600000001</v>
      </c>
      <c r="F382" s="4">
        <v>217445.02</v>
      </c>
      <c r="G382" s="4">
        <v>1038445.34</v>
      </c>
      <c r="H382" s="6">
        <v>0.82689999999999997</v>
      </c>
      <c r="I382" s="6">
        <v>0.55000000000000004</v>
      </c>
      <c r="J382" s="4">
        <v>571144.93700000003</v>
      </c>
      <c r="K382" s="6">
        <f t="shared" si="5"/>
        <v>5.5000000000000005E-3</v>
      </c>
    </row>
    <row r="383" spans="1:11" x14ac:dyDescent="0.3">
      <c r="A383" s="31">
        <v>45716</v>
      </c>
      <c r="B383" t="s">
        <v>368</v>
      </c>
      <c r="C383" t="s">
        <v>186</v>
      </c>
      <c r="D383" t="s">
        <v>377</v>
      </c>
      <c r="E383" s="4">
        <v>1625333.44</v>
      </c>
      <c r="F383" s="4">
        <v>281410.44</v>
      </c>
      <c r="G383" s="4">
        <v>1343923</v>
      </c>
      <c r="H383" s="6">
        <v>0.82689999999999997</v>
      </c>
      <c r="I383" s="6">
        <v>0.55000000000000004</v>
      </c>
      <c r="J383" s="4">
        <v>739157.65</v>
      </c>
      <c r="K383" s="6">
        <f t="shared" si="5"/>
        <v>5.5000000000000005E-3</v>
      </c>
    </row>
    <row r="384" spans="1:11" x14ac:dyDescent="0.3">
      <c r="A384" s="31">
        <v>45716</v>
      </c>
      <c r="B384" t="s">
        <v>368</v>
      </c>
      <c r="C384" t="s">
        <v>186</v>
      </c>
      <c r="D384" t="s">
        <v>376</v>
      </c>
      <c r="E384" s="4">
        <v>1136734.29</v>
      </c>
      <c r="F384" s="4">
        <v>196814.32</v>
      </c>
      <c r="G384" s="4">
        <v>939919.97</v>
      </c>
      <c r="H384" s="6">
        <v>0.82689999999999997</v>
      </c>
      <c r="I384" s="6">
        <v>0.5</v>
      </c>
      <c r="J384" s="4">
        <v>469959.98499999999</v>
      </c>
      <c r="K384" s="6">
        <f t="shared" si="5"/>
        <v>5.0000000000000001E-3</v>
      </c>
    </row>
    <row r="385" spans="1:11" x14ac:dyDescent="0.3">
      <c r="A385" s="31">
        <v>45716</v>
      </c>
      <c r="B385" t="s">
        <v>368</v>
      </c>
      <c r="C385" t="s">
        <v>186</v>
      </c>
      <c r="D385" t="s">
        <v>375</v>
      </c>
      <c r="E385" s="4">
        <v>780731.28</v>
      </c>
      <c r="F385" s="4">
        <v>135175.91</v>
      </c>
      <c r="G385" s="4">
        <v>645555.37</v>
      </c>
      <c r="H385" s="6">
        <v>0.82689999999999997</v>
      </c>
      <c r="I385" s="6">
        <v>0.4</v>
      </c>
      <c r="J385" s="4">
        <v>258222.14799999999</v>
      </c>
      <c r="K385" s="6">
        <f t="shared" si="5"/>
        <v>4.0000000000000001E-3</v>
      </c>
    </row>
    <row r="386" spans="1:11" x14ac:dyDescent="0.3">
      <c r="A386" s="31">
        <v>45716</v>
      </c>
      <c r="B386" t="s">
        <v>368</v>
      </c>
      <c r="C386" t="s">
        <v>186</v>
      </c>
      <c r="D386" t="s">
        <v>374</v>
      </c>
      <c r="E386" s="4">
        <v>387416.16</v>
      </c>
      <c r="F386" s="4">
        <v>67077.279999999999</v>
      </c>
      <c r="G386" s="4">
        <v>320338.88</v>
      </c>
      <c r="H386" s="6">
        <v>0.82689999999999997</v>
      </c>
      <c r="I386" s="6">
        <v>0.35</v>
      </c>
      <c r="J386" s="4">
        <v>112118.60799999999</v>
      </c>
      <c r="K386" s="6">
        <f t="shared" ref="K386:K449" si="6">LEFT(I386,4)/100</f>
        <v>3.4999999999999996E-3</v>
      </c>
    </row>
    <row r="387" spans="1:11" x14ac:dyDescent="0.3">
      <c r="A387" s="31">
        <v>45716</v>
      </c>
      <c r="B387" t="s">
        <v>368</v>
      </c>
      <c r="C387" t="s">
        <v>186</v>
      </c>
      <c r="D387" t="s">
        <v>373</v>
      </c>
      <c r="E387" s="4">
        <v>675441.94</v>
      </c>
      <c r="F387" s="4">
        <v>116946.1</v>
      </c>
      <c r="G387" s="4">
        <v>558495.84</v>
      </c>
      <c r="H387" s="6">
        <v>0.82689999999999997</v>
      </c>
      <c r="I387" s="6">
        <v>0.3</v>
      </c>
      <c r="J387" s="4">
        <v>167548.75200000001</v>
      </c>
      <c r="K387" s="6">
        <f t="shared" si="6"/>
        <v>3.0000000000000001E-3</v>
      </c>
    </row>
    <row r="388" spans="1:11" x14ac:dyDescent="0.3">
      <c r="A388" s="31">
        <v>45716</v>
      </c>
      <c r="B388" t="s">
        <v>368</v>
      </c>
      <c r="C388" t="s">
        <v>186</v>
      </c>
      <c r="D388" t="s">
        <v>372</v>
      </c>
      <c r="E388" s="4">
        <v>695474.89</v>
      </c>
      <c r="F388" s="4">
        <v>120414.61</v>
      </c>
      <c r="G388" s="4">
        <v>575060.28</v>
      </c>
      <c r="H388" s="6">
        <v>0.82689999999999997</v>
      </c>
      <c r="I388" s="6">
        <v>0.2</v>
      </c>
      <c r="J388" s="4">
        <v>115012.056</v>
      </c>
      <c r="K388" s="6">
        <f t="shared" si="6"/>
        <v>2E-3</v>
      </c>
    </row>
    <row r="389" spans="1:11" x14ac:dyDescent="0.3">
      <c r="A389" s="31">
        <v>45716</v>
      </c>
      <c r="B389" t="s">
        <v>368</v>
      </c>
      <c r="C389" t="s">
        <v>186</v>
      </c>
      <c r="D389" t="s">
        <v>371</v>
      </c>
      <c r="E389" s="4">
        <v>475033.26</v>
      </c>
      <c r="F389" s="4">
        <v>82247.320000000007</v>
      </c>
      <c r="G389" s="4">
        <v>392785.94</v>
      </c>
      <c r="H389" s="6">
        <v>0.82689999999999997</v>
      </c>
      <c r="I389" s="6">
        <v>0.2</v>
      </c>
      <c r="J389" s="4">
        <v>78557.188000000009</v>
      </c>
      <c r="K389" s="6">
        <f t="shared" si="6"/>
        <v>2E-3</v>
      </c>
    </row>
    <row r="390" spans="1:11" x14ac:dyDescent="0.3">
      <c r="A390" s="31">
        <v>45716</v>
      </c>
      <c r="B390" t="s">
        <v>368</v>
      </c>
      <c r="C390" t="s">
        <v>186</v>
      </c>
      <c r="D390" t="s">
        <v>370</v>
      </c>
      <c r="E390" s="4">
        <v>646898.49</v>
      </c>
      <c r="F390" s="4">
        <v>112004.09</v>
      </c>
      <c r="G390" s="4">
        <v>534894.41</v>
      </c>
      <c r="H390" s="6">
        <v>0.82689999999999997</v>
      </c>
      <c r="I390" s="6">
        <v>0.15</v>
      </c>
      <c r="J390" s="4">
        <v>80234.161500000002</v>
      </c>
      <c r="K390" s="6">
        <f t="shared" si="6"/>
        <v>1.5E-3</v>
      </c>
    </row>
    <row r="391" spans="1:11" x14ac:dyDescent="0.3">
      <c r="A391" s="31">
        <v>45716</v>
      </c>
      <c r="B391" t="s">
        <v>368</v>
      </c>
      <c r="C391" t="s">
        <v>186</v>
      </c>
      <c r="D391" t="s">
        <v>369</v>
      </c>
      <c r="E391" s="4">
        <v>635076.54</v>
      </c>
      <c r="F391" s="4">
        <v>109957.24</v>
      </c>
      <c r="G391" s="4">
        <v>525119.29</v>
      </c>
      <c r="H391" s="6">
        <v>0.82689999999999997</v>
      </c>
      <c r="I391" s="6">
        <v>0.15</v>
      </c>
      <c r="J391" s="4">
        <v>78767.893500000006</v>
      </c>
      <c r="K391" s="6">
        <f t="shared" si="6"/>
        <v>1.5E-3</v>
      </c>
    </row>
    <row r="392" spans="1:11" x14ac:dyDescent="0.3">
      <c r="A392" s="31">
        <v>45747</v>
      </c>
      <c r="B392" t="s">
        <v>368</v>
      </c>
      <c r="C392" t="s">
        <v>186</v>
      </c>
      <c r="D392" t="s">
        <v>378</v>
      </c>
      <c r="E392" s="4">
        <v>2114113.98</v>
      </c>
      <c r="F392" s="4">
        <v>325053.89</v>
      </c>
      <c r="G392" s="4">
        <v>1789060.09</v>
      </c>
      <c r="H392" s="6">
        <v>0.84619999999999995</v>
      </c>
      <c r="I392" s="6">
        <v>0.55000000000000004</v>
      </c>
      <c r="J392" s="4">
        <v>983983.04950000008</v>
      </c>
      <c r="K392" s="6">
        <f t="shared" si="6"/>
        <v>5.5000000000000005E-3</v>
      </c>
    </row>
    <row r="393" spans="1:11" x14ac:dyDescent="0.3">
      <c r="A393" s="31">
        <v>45747</v>
      </c>
      <c r="B393" t="s">
        <v>368</v>
      </c>
      <c r="C393" t="s">
        <v>186</v>
      </c>
      <c r="D393" t="s">
        <v>377</v>
      </c>
      <c r="E393" s="4">
        <v>1750917.21</v>
      </c>
      <c r="F393" s="4">
        <v>269210.86</v>
      </c>
      <c r="G393" s="4">
        <v>1481706.35</v>
      </c>
      <c r="H393" s="6">
        <v>0.84619999999999995</v>
      </c>
      <c r="I393" s="6">
        <v>0.55000000000000004</v>
      </c>
      <c r="J393" s="4">
        <v>814938.49250000017</v>
      </c>
      <c r="K393" s="6">
        <f t="shared" si="6"/>
        <v>5.5000000000000005E-3</v>
      </c>
    </row>
    <row r="394" spans="1:11" x14ac:dyDescent="0.3">
      <c r="A394" s="31">
        <v>45747</v>
      </c>
      <c r="B394" t="s">
        <v>368</v>
      </c>
      <c r="C394" t="s">
        <v>186</v>
      </c>
      <c r="D394" t="s">
        <v>376</v>
      </c>
      <c r="E394" s="4">
        <v>1049810.05</v>
      </c>
      <c r="F394" s="4">
        <v>161412.70000000001</v>
      </c>
      <c r="G394" s="4">
        <v>888397.36</v>
      </c>
      <c r="H394" s="6">
        <v>0.84619999999999995</v>
      </c>
      <c r="I394" s="6">
        <v>0.5</v>
      </c>
      <c r="J394" s="4">
        <v>444198.68</v>
      </c>
      <c r="K394" s="6">
        <f t="shared" si="6"/>
        <v>5.0000000000000001E-3</v>
      </c>
    </row>
    <row r="395" spans="1:11" x14ac:dyDescent="0.3">
      <c r="A395" s="31">
        <v>45747</v>
      </c>
      <c r="B395" t="s">
        <v>368</v>
      </c>
      <c r="C395" t="s">
        <v>186</v>
      </c>
      <c r="D395" t="s">
        <v>375</v>
      </c>
      <c r="E395" s="4">
        <v>660601.81999999995</v>
      </c>
      <c r="F395" s="4">
        <v>101570.3</v>
      </c>
      <c r="G395" s="4">
        <v>559031.52</v>
      </c>
      <c r="H395" s="6">
        <v>0.84619999999999995</v>
      </c>
      <c r="I395" s="6">
        <v>0.4</v>
      </c>
      <c r="J395" s="4">
        <v>223612.60800000001</v>
      </c>
      <c r="K395" s="6">
        <f t="shared" si="6"/>
        <v>4.0000000000000001E-3</v>
      </c>
    </row>
    <row r="396" spans="1:11" x14ac:dyDescent="0.3">
      <c r="A396" s="31">
        <v>45747</v>
      </c>
      <c r="B396" t="s">
        <v>368</v>
      </c>
      <c r="C396" t="s">
        <v>186</v>
      </c>
      <c r="D396" t="s">
        <v>374</v>
      </c>
      <c r="E396" s="4">
        <v>305483.46000000002</v>
      </c>
      <c r="F396" s="4">
        <v>46969.36</v>
      </c>
      <c r="G396" s="4">
        <v>258514.1</v>
      </c>
      <c r="H396" s="6">
        <v>0.84619999999999995</v>
      </c>
      <c r="I396" s="6">
        <v>0.35</v>
      </c>
      <c r="J396" s="4">
        <v>90479.934999999998</v>
      </c>
      <c r="K396" s="6">
        <f t="shared" si="6"/>
        <v>3.4999999999999996E-3</v>
      </c>
    </row>
    <row r="397" spans="1:11" x14ac:dyDescent="0.3">
      <c r="A397" s="31">
        <v>45747</v>
      </c>
      <c r="B397" t="s">
        <v>368</v>
      </c>
      <c r="C397" t="s">
        <v>186</v>
      </c>
      <c r="D397" t="s">
        <v>373</v>
      </c>
      <c r="E397" s="4">
        <v>403972.73</v>
      </c>
      <c r="F397" s="4">
        <v>62112.5</v>
      </c>
      <c r="G397" s="4">
        <v>341860.23</v>
      </c>
      <c r="H397" s="6">
        <v>0.84619999999999995</v>
      </c>
      <c r="I397" s="6">
        <v>0.3</v>
      </c>
      <c r="J397" s="4">
        <v>102558.069</v>
      </c>
      <c r="K397" s="6">
        <f t="shared" si="6"/>
        <v>3.0000000000000001E-3</v>
      </c>
    </row>
    <row r="398" spans="1:11" x14ac:dyDescent="0.3">
      <c r="A398" s="31">
        <v>45747</v>
      </c>
      <c r="B398" t="s">
        <v>368</v>
      </c>
      <c r="C398" t="s">
        <v>186</v>
      </c>
      <c r="D398" t="s">
        <v>372</v>
      </c>
      <c r="E398" s="4">
        <v>725976.5</v>
      </c>
      <c r="F398" s="4">
        <v>111621.93</v>
      </c>
      <c r="G398" s="4">
        <v>614354.56999999995</v>
      </c>
      <c r="H398" s="6">
        <v>0.84619999999999995</v>
      </c>
      <c r="I398" s="6">
        <v>0.2</v>
      </c>
      <c r="J398" s="4">
        <v>122870.914</v>
      </c>
      <c r="K398" s="6">
        <f t="shared" si="6"/>
        <v>2E-3</v>
      </c>
    </row>
    <row r="399" spans="1:11" x14ac:dyDescent="0.3">
      <c r="A399" s="31">
        <v>45747</v>
      </c>
      <c r="B399" t="s">
        <v>368</v>
      </c>
      <c r="C399" t="s">
        <v>186</v>
      </c>
      <c r="D399" t="s">
        <v>371</v>
      </c>
      <c r="E399" s="4">
        <v>293183.28000000003</v>
      </c>
      <c r="F399" s="4">
        <v>45078.16</v>
      </c>
      <c r="G399" s="4">
        <v>248105.12</v>
      </c>
      <c r="H399" s="6">
        <v>0.84619999999999995</v>
      </c>
      <c r="I399" s="6">
        <v>0.2</v>
      </c>
      <c r="J399" s="4">
        <v>49621.023999999998</v>
      </c>
      <c r="K399" s="6">
        <f t="shared" si="6"/>
        <v>2E-3</v>
      </c>
    </row>
    <row r="400" spans="1:11" x14ac:dyDescent="0.3">
      <c r="A400" s="31">
        <v>45747</v>
      </c>
      <c r="B400" t="s">
        <v>368</v>
      </c>
      <c r="C400" t="s">
        <v>186</v>
      </c>
      <c r="D400" t="s">
        <v>370</v>
      </c>
      <c r="E400" s="4">
        <v>504216.21</v>
      </c>
      <c r="F400" s="4">
        <v>77525.36</v>
      </c>
      <c r="G400" s="4">
        <v>426690.86</v>
      </c>
      <c r="H400" s="6">
        <v>0.84619999999999995</v>
      </c>
      <c r="I400" s="6">
        <v>0.15</v>
      </c>
      <c r="J400" s="4">
        <v>64003.628999999994</v>
      </c>
      <c r="K400" s="6">
        <f t="shared" si="6"/>
        <v>1.5E-3</v>
      </c>
    </row>
    <row r="401" spans="1:11" x14ac:dyDescent="0.3">
      <c r="A401" s="31">
        <v>45747</v>
      </c>
      <c r="B401" t="s">
        <v>368</v>
      </c>
      <c r="C401" t="s">
        <v>186</v>
      </c>
      <c r="D401" t="s">
        <v>369</v>
      </c>
      <c r="E401" s="4">
        <v>482708.08</v>
      </c>
      <c r="F401" s="4">
        <v>74218.38</v>
      </c>
      <c r="G401" s="4">
        <v>408489.68</v>
      </c>
      <c r="H401" s="6">
        <v>0.84619999999999995</v>
      </c>
      <c r="I401" s="6">
        <v>0.15</v>
      </c>
      <c r="J401" s="4">
        <v>61273.451999999997</v>
      </c>
      <c r="K401" s="6">
        <f t="shared" si="6"/>
        <v>1.5E-3</v>
      </c>
    </row>
    <row r="402" spans="1:11" x14ac:dyDescent="0.3">
      <c r="A402" s="31">
        <v>45777</v>
      </c>
      <c r="B402" t="s">
        <v>368</v>
      </c>
      <c r="C402" t="s">
        <v>186</v>
      </c>
      <c r="D402" t="s">
        <v>378</v>
      </c>
      <c r="E402" s="4">
        <v>1724283.72</v>
      </c>
      <c r="F402" s="4">
        <v>347038.74</v>
      </c>
      <c r="G402" s="4">
        <v>1377244.98</v>
      </c>
      <c r="H402" s="6">
        <v>0.79869999999999997</v>
      </c>
      <c r="I402" s="6">
        <v>0.55000000000000004</v>
      </c>
      <c r="J402" s="4">
        <v>757484.73900000006</v>
      </c>
      <c r="K402" s="6">
        <f t="shared" si="6"/>
        <v>5.5000000000000005E-3</v>
      </c>
    </row>
    <row r="403" spans="1:11" x14ac:dyDescent="0.3">
      <c r="A403" s="31">
        <v>45777</v>
      </c>
      <c r="B403" t="s">
        <v>368</v>
      </c>
      <c r="C403" t="s">
        <v>186</v>
      </c>
      <c r="D403" t="s">
        <v>377</v>
      </c>
      <c r="E403" s="4">
        <v>1759592.21</v>
      </c>
      <c r="F403" s="4">
        <v>354145.11</v>
      </c>
      <c r="G403" s="4">
        <v>1405447.09</v>
      </c>
      <c r="H403" s="6">
        <v>0.79869999999999997</v>
      </c>
      <c r="I403" s="6">
        <v>0.55000000000000004</v>
      </c>
      <c r="J403" s="4">
        <v>772995.89950000006</v>
      </c>
      <c r="K403" s="6">
        <f t="shared" si="6"/>
        <v>5.5000000000000005E-3</v>
      </c>
    </row>
    <row r="404" spans="1:11" x14ac:dyDescent="0.3">
      <c r="A404" s="31">
        <v>45777</v>
      </c>
      <c r="B404" t="s">
        <v>368</v>
      </c>
      <c r="C404" t="s">
        <v>186</v>
      </c>
      <c r="D404" t="s">
        <v>376</v>
      </c>
      <c r="E404" s="4">
        <v>889321.86</v>
      </c>
      <c r="F404" s="4">
        <v>178989.76</v>
      </c>
      <c r="G404" s="4">
        <v>710332.1</v>
      </c>
      <c r="H404" s="6">
        <v>0.79869999999999997</v>
      </c>
      <c r="I404" s="6">
        <v>0.5</v>
      </c>
      <c r="J404" s="4">
        <v>355166.05</v>
      </c>
      <c r="K404" s="6">
        <f t="shared" si="6"/>
        <v>5.0000000000000001E-3</v>
      </c>
    </row>
    <row r="405" spans="1:11" x14ac:dyDescent="0.3">
      <c r="A405" s="31">
        <v>45777</v>
      </c>
      <c r="B405" t="s">
        <v>368</v>
      </c>
      <c r="C405" t="s">
        <v>186</v>
      </c>
      <c r="D405" t="s">
        <v>375</v>
      </c>
      <c r="E405" s="4">
        <v>693517</v>
      </c>
      <c r="F405" s="4">
        <v>139581.01</v>
      </c>
      <c r="G405" s="4">
        <v>553935.99</v>
      </c>
      <c r="H405" s="6">
        <v>0.79869999999999997</v>
      </c>
      <c r="I405" s="6">
        <v>0.4</v>
      </c>
      <c r="J405" s="4">
        <v>221574.39600000001</v>
      </c>
      <c r="K405" s="6">
        <f t="shared" si="6"/>
        <v>4.0000000000000001E-3</v>
      </c>
    </row>
    <row r="406" spans="1:11" x14ac:dyDescent="0.3">
      <c r="A406" s="31">
        <v>45777</v>
      </c>
      <c r="B406" t="s">
        <v>368</v>
      </c>
      <c r="C406" t="s">
        <v>186</v>
      </c>
      <c r="D406" t="s">
        <v>374</v>
      </c>
      <c r="E406" s="4">
        <v>446448.18</v>
      </c>
      <c r="F406" s="4">
        <v>89854.59</v>
      </c>
      <c r="G406" s="4">
        <v>356593.59</v>
      </c>
      <c r="H406" s="6">
        <v>0.79869999999999997</v>
      </c>
      <c r="I406" s="6">
        <v>0.35</v>
      </c>
      <c r="J406" s="4">
        <v>124807.7565</v>
      </c>
      <c r="K406" s="6">
        <f t="shared" si="6"/>
        <v>3.4999999999999996E-3</v>
      </c>
    </row>
    <row r="407" spans="1:11" x14ac:dyDescent="0.3">
      <c r="A407" s="31">
        <v>45777</v>
      </c>
      <c r="B407" t="s">
        <v>368</v>
      </c>
      <c r="C407" t="s">
        <v>186</v>
      </c>
      <c r="D407" t="s">
        <v>373</v>
      </c>
      <c r="E407" s="4">
        <v>114766.89</v>
      </c>
      <c r="F407" s="4">
        <v>23098.61</v>
      </c>
      <c r="G407" s="4">
        <v>91668.28</v>
      </c>
      <c r="H407" s="6">
        <v>0.79869999999999997</v>
      </c>
      <c r="I407" s="6">
        <v>0.3</v>
      </c>
      <c r="J407" s="4">
        <v>27500.484</v>
      </c>
      <c r="K407" s="6">
        <f t="shared" si="6"/>
        <v>3.0000000000000001E-3</v>
      </c>
    </row>
    <row r="408" spans="1:11" x14ac:dyDescent="0.3">
      <c r="A408" s="31">
        <v>45777</v>
      </c>
      <c r="B408" t="s">
        <v>368</v>
      </c>
      <c r="C408" t="s">
        <v>186</v>
      </c>
      <c r="D408" t="s">
        <v>372</v>
      </c>
      <c r="E408" s="4">
        <v>1174077.01</v>
      </c>
      <c r="F408" s="4">
        <v>236301.14</v>
      </c>
      <c r="G408" s="4">
        <v>937775.88</v>
      </c>
      <c r="H408" s="6">
        <v>0.79869999999999997</v>
      </c>
      <c r="I408" s="6">
        <v>0.2</v>
      </c>
      <c r="J408" s="4">
        <v>187555.17600000001</v>
      </c>
      <c r="K408" s="6">
        <f t="shared" si="6"/>
        <v>2E-3</v>
      </c>
    </row>
    <row r="409" spans="1:11" x14ac:dyDescent="0.3">
      <c r="A409" s="31">
        <v>45777</v>
      </c>
      <c r="B409" t="s">
        <v>368</v>
      </c>
      <c r="C409" t="s">
        <v>186</v>
      </c>
      <c r="D409" t="s">
        <v>371</v>
      </c>
      <c r="E409" s="4">
        <v>575848.35</v>
      </c>
      <c r="F409" s="4">
        <v>115898.38</v>
      </c>
      <c r="G409" s="4">
        <v>459949.97</v>
      </c>
      <c r="H409" s="6">
        <v>0.79869999999999997</v>
      </c>
      <c r="I409" s="6">
        <v>0.2</v>
      </c>
      <c r="J409" s="4">
        <v>91989.994000000006</v>
      </c>
      <c r="K409" s="6">
        <f t="shared" si="6"/>
        <v>2E-3</v>
      </c>
    </row>
    <row r="410" spans="1:11" x14ac:dyDescent="0.3">
      <c r="A410" s="31">
        <v>45777</v>
      </c>
      <c r="B410" t="s">
        <v>368</v>
      </c>
      <c r="C410" t="s">
        <v>186</v>
      </c>
      <c r="D410" t="s">
        <v>370</v>
      </c>
      <c r="E410" s="4">
        <v>517374.01</v>
      </c>
      <c r="F410" s="4">
        <v>104129.51</v>
      </c>
      <c r="G410" s="4">
        <v>413244.49</v>
      </c>
      <c r="H410" s="6">
        <v>0.79869999999999997</v>
      </c>
      <c r="I410" s="6">
        <v>0.15</v>
      </c>
      <c r="J410" s="4">
        <v>61986.673499999997</v>
      </c>
      <c r="K410" s="6">
        <f t="shared" si="6"/>
        <v>1.5E-3</v>
      </c>
    </row>
    <row r="411" spans="1:11" x14ac:dyDescent="0.3">
      <c r="A411" s="31">
        <v>45777</v>
      </c>
      <c r="B411" t="s">
        <v>368</v>
      </c>
      <c r="C411" t="s">
        <v>186</v>
      </c>
      <c r="D411" t="s">
        <v>369</v>
      </c>
      <c r="E411" s="4">
        <v>181057.95</v>
      </c>
      <c r="F411" s="4">
        <v>36440.71</v>
      </c>
      <c r="G411" s="4">
        <v>144617.24</v>
      </c>
      <c r="H411" s="6">
        <v>0.79869999999999997</v>
      </c>
      <c r="I411" s="6">
        <v>0.15</v>
      </c>
      <c r="J411" s="4">
        <v>21692.585999999999</v>
      </c>
      <c r="K411" s="6">
        <f t="shared" si="6"/>
        <v>1.5E-3</v>
      </c>
    </row>
    <row r="412" spans="1:11" x14ac:dyDescent="0.3">
      <c r="A412" s="31">
        <v>45808</v>
      </c>
      <c r="B412" t="s">
        <v>368</v>
      </c>
      <c r="C412" t="s">
        <v>186</v>
      </c>
      <c r="D412" t="s">
        <v>378</v>
      </c>
      <c r="E412" s="4">
        <v>2046223.49</v>
      </c>
      <c r="F412" s="4">
        <v>321471.82</v>
      </c>
      <c r="G412" s="4">
        <v>1724751.66</v>
      </c>
      <c r="H412" s="6">
        <v>0.84289999999999998</v>
      </c>
      <c r="I412" s="6">
        <v>0.55000000000000004</v>
      </c>
      <c r="J412" s="4">
        <v>948613.41300000006</v>
      </c>
      <c r="K412" s="6">
        <f t="shared" si="6"/>
        <v>5.5000000000000005E-3</v>
      </c>
    </row>
    <row r="413" spans="1:11" x14ac:dyDescent="0.3">
      <c r="A413" s="31">
        <v>45808</v>
      </c>
      <c r="B413" t="s">
        <v>368</v>
      </c>
      <c r="C413" t="s">
        <v>186</v>
      </c>
      <c r="D413" t="s">
        <v>377</v>
      </c>
      <c r="E413" s="4">
        <v>1191921.8899999999</v>
      </c>
      <c r="F413" s="4">
        <v>187256.82</v>
      </c>
      <c r="G413" s="4">
        <v>1004665.07</v>
      </c>
      <c r="H413" s="6">
        <v>0.84289999999999998</v>
      </c>
      <c r="I413" s="6">
        <v>0.55000000000000004</v>
      </c>
      <c r="J413" s="4">
        <v>552565.78850000002</v>
      </c>
      <c r="K413" s="6">
        <f t="shared" si="6"/>
        <v>5.5000000000000005E-3</v>
      </c>
    </row>
    <row r="414" spans="1:11" x14ac:dyDescent="0.3">
      <c r="A414" s="31">
        <v>45808</v>
      </c>
      <c r="B414" t="s">
        <v>368</v>
      </c>
      <c r="C414" t="s">
        <v>186</v>
      </c>
      <c r="D414" t="s">
        <v>376</v>
      </c>
      <c r="E414" s="4">
        <v>618936.19999999995</v>
      </c>
      <c r="F414" s="4">
        <v>97237.94</v>
      </c>
      <c r="G414" s="4">
        <v>521698.26</v>
      </c>
      <c r="H414" s="6">
        <v>0.84289999999999998</v>
      </c>
      <c r="I414" s="6">
        <v>0.5</v>
      </c>
      <c r="J414" s="4">
        <v>260849.13</v>
      </c>
      <c r="K414" s="6">
        <f t="shared" si="6"/>
        <v>5.0000000000000001E-3</v>
      </c>
    </row>
    <row r="415" spans="1:11" x14ac:dyDescent="0.3">
      <c r="A415" s="31">
        <v>45808</v>
      </c>
      <c r="B415" t="s">
        <v>368</v>
      </c>
      <c r="C415" t="s">
        <v>186</v>
      </c>
      <c r="D415" t="s">
        <v>375</v>
      </c>
      <c r="E415" s="4">
        <v>798935.72</v>
      </c>
      <c r="F415" s="4">
        <v>125516.75</v>
      </c>
      <c r="G415" s="4">
        <v>673418.96</v>
      </c>
      <c r="H415" s="6">
        <v>0.84289999999999998</v>
      </c>
      <c r="I415" s="6">
        <v>0.4</v>
      </c>
      <c r="J415" s="4">
        <v>269367.58399999997</v>
      </c>
      <c r="K415" s="6">
        <f t="shared" si="6"/>
        <v>4.0000000000000001E-3</v>
      </c>
    </row>
    <row r="416" spans="1:11" x14ac:dyDescent="0.3">
      <c r="A416" s="31">
        <v>45808</v>
      </c>
      <c r="B416" t="s">
        <v>368</v>
      </c>
      <c r="C416" t="s">
        <v>186</v>
      </c>
      <c r="D416" t="s">
        <v>374</v>
      </c>
      <c r="E416" s="4">
        <v>625128.98</v>
      </c>
      <c r="F416" s="4">
        <v>98210.85</v>
      </c>
      <c r="G416" s="4">
        <v>526918.12</v>
      </c>
      <c r="H416" s="6">
        <v>0.84289999999999998</v>
      </c>
      <c r="I416" s="6">
        <v>0.35</v>
      </c>
      <c r="J416" s="4">
        <v>184421.342</v>
      </c>
      <c r="K416" s="6">
        <f t="shared" si="6"/>
        <v>3.4999999999999996E-3</v>
      </c>
    </row>
    <row r="417" spans="1:11" x14ac:dyDescent="0.3">
      <c r="A417" s="31">
        <v>45808</v>
      </c>
      <c r="B417" t="s">
        <v>368</v>
      </c>
      <c r="C417" t="s">
        <v>186</v>
      </c>
      <c r="D417" t="s">
        <v>373</v>
      </c>
      <c r="E417" s="4">
        <v>559293.27</v>
      </c>
      <c r="F417" s="4">
        <v>87867.74</v>
      </c>
      <c r="G417" s="4">
        <v>471425.54</v>
      </c>
      <c r="H417" s="6">
        <v>0.84289999999999998</v>
      </c>
      <c r="I417" s="6">
        <v>0.3</v>
      </c>
      <c r="J417" s="4">
        <v>141427.66200000001</v>
      </c>
      <c r="K417" s="6">
        <f t="shared" si="6"/>
        <v>3.0000000000000001E-3</v>
      </c>
    </row>
    <row r="418" spans="1:11" x14ac:dyDescent="0.3">
      <c r="A418" s="31">
        <v>45808</v>
      </c>
      <c r="B418" t="s">
        <v>368</v>
      </c>
      <c r="C418" t="s">
        <v>186</v>
      </c>
      <c r="D418" t="s">
        <v>372</v>
      </c>
      <c r="E418" s="4">
        <v>1024485.41</v>
      </c>
      <c r="F418" s="4">
        <v>160951.72</v>
      </c>
      <c r="G418" s="4">
        <v>863533.69</v>
      </c>
      <c r="H418" s="6">
        <v>0.84289999999999998</v>
      </c>
      <c r="I418" s="6">
        <v>0.2</v>
      </c>
      <c r="J418" s="4">
        <v>172706.73800000001</v>
      </c>
      <c r="K418" s="6">
        <f t="shared" si="6"/>
        <v>2E-3</v>
      </c>
    </row>
    <row r="419" spans="1:11" x14ac:dyDescent="0.3">
      <c r="A419" s="31">
        <v>45808</v>
      </c>
      <c r="B419" t="s">
        <v>368</v>
      </c>
      <c r="C419" t="s">
        <v>186</v>
      </c>
      <c r="D419" t="s">
        <v>371</v>
      </c>
      <c r="E419" s="4">
        <v>605086.1</v>
      </c>
      <c r="F419" s="4">
        <v>95062.02</v>
      </c>
      <c r="G419" s="4">
        <v>510024.08</v>
      </c>
      <c r="H419" s="6">
        <v>0.84289999999999998</v>
      </c>
      <c r="I419" s="6">
        <v>0.2</v>
      </c>
      <c r="J419" s="4">
        <v>102004.81600000001</v>
      </c>
      <c r="K419" s="6">
        <f t="shared" si="6"/>
        <v>2E-3</v>
      </c>
    </row>
    <row r="420" spans="1:11" x14ac:dyDescent="0.3">
      <c r="A420" s="31">
        <v>45808</v>
      </c>
      <c r="B420" t="s">
        <v>368</v>
      </c>
      <c r="C420" t="s">
        <v>186</v>
      </c>
      <c r="D420" t="s">
        <v>370</v>
      </c>
      <c r="E420" s="4">
        <v>272188.93</v>
      </c>
      <c r="F420" s="4">
        <v>42762.23</v>
      </c>
      <c r="G420" s="4">
        <v>229426.7</v>
      </c>
      <c r="H420" s="6">
        <v>0.84289999999999998</v>
      </c>
      <c r="I420" s="6">
        <v>0.15</v>
      </c>
      <c r="J420" s="4">
        <v>34414.004999999997</v>
      </c>
      <c r="K420" s="6">
        <f t="shared" si="6"/>
        <v>1.5E-3</v>
      </c>
    </row>
    <row r="421" spans="1:11" x14ac:dyDescent="0.3">
      <c r="A421" s="31">
        <v>45808</v>
      </c>
      <c r="B421" t="s">
        <v>368</v>
      </c>
      <c r="C421" t="s">
        <v>186</v>
      </c>
      <c r="D421" t="s">
        <v>369</v>
      </c>
      <c r="E421" s="4">
        <v>300406.98</v>
      </c>
      <c r="F421" s="4">
        <v>47195.41</v>
      </c>
      <c r="G421" s="4">
        <v>253211.57</v>
      </c>
      <c r="H421" s="6">
        <v>0.84289999999999998</v>
      </c>
      <c r="I421" s="6">
        <v>0.15</v>
      </c>
      <c r="J421" s="4">
        <v>37981.735500000003</v>
      </c>
      <c r="K421" s="6">
        <f t="shared" si="6"/>
        <v>1.5E-3</v>
      </c>
    </row>
    <row r="422" spans="1:11" x14ac:dyDescent="0.3">
      <c r="A422" s="31">
        <v>45838</v>
      </c>
      <c r="B422" t="s">
        <v>368</v>
      </c>
      <c r="C422" t="s">
        <v>186</v>
      </c>
      <c r="D422" t="s">
        <v>378</v>
      </c>
      <c r="E422" s="4">
        <v>1578730.65</v>
      </c>
      <c r="F422" s="4">
        <v>294607.84999999998</v>
      </c>
      <c r="G422" s="4">
        <v>1284122.8</v>
      </c>
      <c r="H422" s="6">
        <v>0.81340000000000001</v>
      </c>
      <c r="I422" s="6">
        <v>0.55000000000000004</v>
      </c>
      <c r="J422" s="4">
        <v>706267.54</v>
      </c>
      <c r="K422" s="6">
        <f t="shared" si="6"/>
        <v>5.5000000000000005E-3</v>
      </c>
    </row>
    <row r="423" spans="1:11" x14ac:dyDescent="0.3">
      <c r="A423" s="31">
        <v>45838</v>
      </c>
      <c r="B423" t="s">
        <v>368</v>
      </c>
      <c r="C423" t="s">
        <v>186</v>
      </c>
      <c r="D423" t="s">
        <v>377</v>
      </c>
      <c r="E423" s="4">
        <v>1977209.08</v>
      </c>
      <c r="F423" s="4">
        <v>368968.14</v>
      </c>
      <c r="G423" s="4">
        <v>1608240.94</v>
      </c>
      <c r="H423" s="6">
        <v>0.81340000000000001</v>
      </c>
      <c r="I423" s="6">
        <v>0.55000000000000004</v>
      </c>
      <c r="J423" s="4">
        <v>884532.51699999999</v>
      </c>
      <c r="K423" s="6">
        <f t="shared" si="6"/>
        <v>5.5000000000000005E-3</v>
      </c>
    </row>
    <row r="424" spans="1:11" x14ac:dyDescent="0.3">
      <c r="A424" s="31">
        <v>45838</v>
      </c>
      <c r="B424" t="s">
        <v>368</v>
      </c>
      <c r="C424" t="s">
        <v>186</v>
      </c>
      <c r="D424" t="s">
        <v>376</v>
      </c>
      <c r="E424" s="4">
        <v>438121.38</v>
      </c>
      <c r="F424" s="4">
        <v>81758.09</v>
      </c>
      <c r="G424" s="4">
        <v>356363.29</v>
      </c>
      <c r="H424" s="6">
        <v>0.81340000000000001</v>
      </c>
      <c r="I424" s="6">
        <v>0.5</v>
      </c>
      <c r="J424" s="4">
        <v>178181.64499999999</v>
      </c>
      <c r="K424" s="6">
        <f t="shared" si="6"/>
        <v>5.0000000000000001E-3</v>
      </c>
    </row>
    <row r="425" spans="1:11" x14ac:dyDescent="0.3">
      <c r="A425" s="31">
        <v>45838</v>
      </c>
      <c r="B425" t="s">
        <v>368</v>
      </c>
      <c r="C425" t="s">
        <v>186</v>
      </c>
      <c r="D425" t="s">
        <v>375</v>
      </c>
      <c r="E425" s="4">
        <v>1026737.52</v>
      </c>
      <c r="F425" s="4">
        <v>191600.09</v>
      </c>
      <c r="G425" s="4">
        <v>835137.44</v>
      </c>
      <c r="H425" s="6">
        <v>0.81340000000000001</v>
      </c>
      <c r="I425" s="6">
        <v>0.4</v>
      </c>
      <c r="J425" s="4">
        <v>334054.97600000002</v>
      </c>
      <c r="K425" s="6">
        <f t="shared" si="6"/>
        <v>4.0000000000000001E-3</v>
      </c>
    </row>
    <row r="426" spans="1:11" x14ac:dyDescent="0.3">
      <c r="A426" s="31">
        <v>45838</v>
      </c>
      <c r="B426" t="s">
        <v>368</v>
      </c>
      <c r="C426" t="s">
        <v>186</v>
      </c>
      <c r="D426" t="s">
        <v>374</v>
      </c>
      <c r="E426" s="4">
        <v>568892.64</v>
      </c>
      <c r="F426" s="4">
        <v>106161.39</v>
      </c>
      <c r="G426" s="4">
        <v>462731.25</v>
      </c>
      <c r="H426" s="6">
        <v>0.81340000000000001</v>
      </c>
      <c r="I426" s="6">
        <v>0.35</v>
      </c>
      <c r="J426" s="4">
        <v>161955.9375</v>
      </c>
      <c r="K426" s="6">
        <f t="shared" si="6"/>
        <v>3.4999999999999996E-3</v>
      </c>
    </row>
    <row r="427" spans="1:11" x14ac:dyDescent="0.3">
      <c r="A427" s="31">
        <v>45838</v>
      </c>
      <c r="B427" t="s">
        <v>368</v>
      </c>
      <c r="C427" t="s">
        <v>186</v>
      </c>
      <c r="D427" t="s">
        <v>373</v>
      </c>
      <c r="E427" s="4">
        <v>566911.9</v>
      </c>
      <c r="F427" s="4">
        <v>105791.76</v>
      </c>
      <c r="G427" s="4">
        <v>461120.14</v>
      </c>
      <c r="H427" s="6">
        <v>0.81340000000000001</v>
      </c>
      <c r="I427" s="6">
        <v>0.3</v>
      </c>
      <c r="J427" s="4">
        <v>138336.04199999999</v>
      </c>
      <c r="K427" s="6">
        <f t="shared" si="6"/>
        <v>3.0000000000000001E-3</v>
      </c>
    </row>
    <row r="428" spans="1:11" x14ac:dyDescent="0.3">
      <c r="A428" s="31">
        <v>45838</v>
      </c>
      <c r="B428" t="s">
        <v>368</v>
      </c>
      <c r="C428" t="s">
        <v>186</v>
      </c>
      <c r="D428" t="s">
        <v>372</v>
      </c>
      <c r="E428" s="4">
        <v>655985.43000000005</v>
      </c>
      <c r="F428" s="4">
        <v>122413.82</v>
      </c>
      <c r="G428" s="4">
        <v>533571.61</v>
      </c>
      <c r="H428" s="6">
        <v>0.81340000000000001</v>
      </c>
      <c r="I428" s="6">
        <v>0.2</v>
      </c>
      <c r="J428" s="4">
        <v>106714.322</v>
      </c>
      <c r="K428" s="6">
        <f t="shared" si="6"/>
        <v>2E-3</v>
      </c>
    </row>
    <row r="429" spans="1:11" x14ac:dyDescent="0.3">
      <c r="A429" s="31">
        <v>45838</v>
      </c>
      <c r="B429" t="s">
        <v>368</v>
      </c>
      <c r="C429" t="s">
        <v>186</v>
      </c>
      <c r="D429" t="s">
        <v>371</v>
      </c>
      <c r="E429" s="4">
        <v>337476.66</v>
      </c>
      <c r="F429" s="4">
        <v>62976.72</v>
      </c>
      <c r="G429" s="4">
        <v>274499.94</v>
      </c>
      <c r="H429" s="6">
        <v>0.81340000000000001</v>
      </c>
      <c r="I429" s="6">
        <v>0.2</v>
      </c>
      <c r="J429" s="4">
        <v>54899.987999999998</v>
      </c>
      <c r="K429" s="6">
        <f t="shared" si="6"/>
        <v>2E-3</v>
      </c>
    </row>
    <row r="430" spans="1:11" x14ac:dyDescent="0.3">
      <c r="A430" s="31">
        <v>45838</v>
      </c>
      <c r="B430" t="s">
        <v>368</v>
      </c>
      <c r="C430" t="s">
        <v>186</v>
      </c>
      <c r="D430" t="s">
        <v>370</v>
      </c>
      <c r="E430" s="4">
        <v>698133.4</v>
      </c>
      <c r="F430" s="4">
        <v>130279.08</v>
      </c>
      <c r="G430" s="4">
        <v>567854.31999999995</v>
      </c>
      <c r="H430" s="6">
        <v>0.81340000000000001</v>
      </c>
      <c r="I430" s="6">
        <v>0.15</v>
      </c>
      <c r="J430" s="4">
        <v>85178.147999999986</v>
      </c>
      <c r="K430" s="6">
        <f t="shared" si="6"/>
        <v>1.5E-3</v>
      </c>
    </row>
    <row r="431" spans="1:11" x14ac:dyDescent="0.3">
      <c r="A431" s="31">
        <v>45838</v>
      </c>
      <c r="B431" t="s">
        <v>368</v>
      </c>
      <c r="C431" t="s">
        <v>186</v>
      </c>
      <c r="D431" t="s">
        <v>369</v>
      </c>
      <c r="E431" s="4">
        <v>525398.03</v>
      </c>
      <c r="F431" s="4">
        <v>98044.82</v>
      </c>
      <c r="G431" s="4">
        <v>427353.2</v>
      </c>
      <c r="H431" s="6">
        <v>0.81340000000000001</v>
      </c>
      <c r="I431" s="6">
        <v>0.15</v>
      </c>
      <c r="J431" s="4">
        <v>64102.98</v>
      </c>
      <c r="K431" s="6">
        <f t="shared" si="6"/>
        <v>1.5E-3</v>
      </c>
    </row>
    <row r="432" spans="1:11" x14ac:dyDescent="0.3">
      <c r="A432" s="31">
        <v>45869</v>
      </c>
      <c r="B432" t="s">
        <v>368</v>
      </c>
      <c r="C432" t="s">
        <v>186</v>
      </c>
      <c r="D432" t="s">
        <v>378</v>
      </c>
      <c r="E432" s="4">
        <v>2095309.14</v>
      </c>
      <c r="F432" s="4">
        <v>367826.54</v>
      </c>
      <c r="G432" s="4">
        <v>1727482.6</v>
      </c>
      <c r="H432" s="6">
        <v>0.82450000000000001</v>
      </c>
      <c r="I432" s="6">
        <v>0.55000000000000004</v>
      </c>
      <c r="J432" s="4">
        <v>950115.43000000017</v>
      </c>
      <c r="K432" s="6">
        <f t="shared" si="6"/>
        <v>5.5000000000000005E-3</v>
      </c>
    </row>
    <row r="433" spans="1:11" x14ac:dyDescent="0.3">
      <c r="A433" s="31">
        <v>45869</v>
      </c>
      <c r="B433" t="s">
        <v>368</v>
      </c>
      <c r="C433" t="s">
        <v>186</v>
      </c>
      <c r="D433" t="s">
        <v>377</v>
      </c>
      <c r="E433" s="4">
        <v>1825023.52</v>
      </c>
      <c r="F433" s="4">
        <v>320378.53999999998</v>
      </c>
      <c r="G433" s="4">
        <v>1504644.97</v>
      </c>
      <c r="H433" s="6">
        <v>0.82450000000000001</v>
      </c>
      <c r="I433" s="6">
        <v>0.55000000000000004</v>
      </c>
      <c r="J433" s="4">
        <v>827554.73350000009</v>
      </c>
      <c r="K433" s="6">
        <f t="shared" si="6"/>
        <v>5.5000000000000005E-3</v>
      </c>
    </row>
    <row r="434" spans="1:11" x14ac:dyDescent="0.3">
      <c r="A434" s="31">
        <v>45869</v>
      </c>
      <c r="B434" t="s">
        <v>368</v>
      </c>
      <c r="C434" t="s">
        <v>186</v>
      </c>
      <c r="D434" t="s">
        <v>376</v>
      </c>
      <c r="E434" s="4">
        <v>749804.75</v>
      </c>
      <c r="F434" s="4">
        <v>131626.44</v>
      </c>
      <c r="G434" s="4">
        <v>618178.30000000005</v>
      </c>
      <c r="H434" s="6">
        <v>0.82450000000000001</v>
      </c>
      <c r="I434" s="6">
        <v>0.5</v>
      </c>
      <c r="J434" s="4">
        <v>309089.15000000002</v>
      </c>
      <c r="K434" s="6">
        <f t="shared" si="6"/>
        <v>5.0000000000000001E-3</v>
      </c>
    </row>
    <row r="435" spans="1:11" x14ac:dyDescent="0.3">
      <c r="A435" s="31">
        <v>45869</v>
      </c>
      <c r="B435" t="s">
        <v>368</v>
      </c>
      <c r="C435" t="s">
        <v>186</v>
      </c>
      <c r="D435" t="s">
        <v>375</v>
      </c>
      <c r="E435" s="4">
        <v>486759.74</v>
      </c>
      <c r="F435" s="4">
        <v>85449.52</v>
      </c>
      <c r="G435" s="4">
        <v>401310.23</v>
      </c>
      <c r="H435" s="6">
        <v>0.82450000000000001</v>
      </c>
      <c r="I435" s="6">
        <v>0.4</v>
      </c>
      <c r="J435" s="4">
        <v>160524.092</v>
      </c>
      <c r="K435" s="6">
        <f t="shared" si="6"/>
        <v>4.0000000000000001E-3</v>
      </c>
    </row>
    <row r="436" spans="1:11" x14ac:dyDescent="0.3">
      <c r="A436" s="31">
        <v>45869</v>
      </c>
      <c r="B436" t="s">
        <v>368</v>
      </c>
      <c r="C436" t="s">
        <v>186</v>
      </c>
      <c r="D436" t="s">
        <v>374</v>
      </c>
      <c r="E436" s="4">
        <v>864790.41</v>
      </c>
      <c r="F436" s="4">
        <v>151811.9</v>
      </c>
      <c r="G436" s="4">
        <v>712978.51</v>
      </c>
      <c r="H436" s="6">
        <v>0.82450000000000001</v>
      </c>
      <c r="I436" s="6">
        <v>0.35</v>
      </c>
      <c r="J436" s="4">
        <v>249542.4785</v>
      </c>
      <c r="K436" s="6">
        <f t="shared" si="6"/>
        <v>3.4999999999999996E-3</v>
      </c>
    </row>
    <row r="437" spans="1:11" x14ac:dyDescent="0.3">
      <c r="A437" s="31">
        <v>45869</v>
      </c>
      <c r="B437" t="s">
        <v>368</v>
      </c>
      <c r="C437" t="s">
        <v>186</v>
      </c>
      <c r="D437" t="s">
        <v>373</v>
      </c>
      <c r="E437" s="4">
        <v>573441.53</v>
      </c>
      <c r="F437" s="4">
        <v>100666.3</v>
      </c>
      <c r="G437" s="4">
        <v>472775.24</v>
      </c>
      <c r="H437" s="6">
        <v>0.82450000000000001</v>
      </c>
      <c r="I437" s="6">
        <v>0.3</v>
      </c>
      <c r="J437" s="4">
        <v>141832.57199999999</v>
      </c>
      <c r="K437" s="6">
        <f t="shared" si="6"/>
        <v>3.0000000000000001E-3</v>
      </c>
    </row>
    <row r="438" spans="1:11" x14ac:dyDescent="0.3">
      <c r="A438" s="31">
        <v>45869</v>
      </c>
      <c r="B438" t="s">
        <v>368</v>
      </c>
      <c r="C438" t="s">
        <v>186</v>
      </c>
      <c r="D438" t="s">
        <v>372</v>
      </c>
      <c r="E438" s="4">
        <v>557987.75</v>
      </c>
      <c r="F438" s="4">
        <v>97953.42</v>
      </c>
      <c r="G438" s="4">
        <v>460034.33</v>
      </c>
      <c r="H438" s="6">
        <v>0.82450000000000001</v>
      </c>
      <c r="I438" s="6">
        <v>0.2</v>
      </c>
      <c r="J438" s="4">
        <v>92006.866000000009</v>
      </c>
      <c r="K438" s="6">
        <f t="shared" si="6"/>
        <v>2E-3</v>
      </c>
    </row>
    <row r="439" spans="1:11" x14ac:dyDescent="0.3">
      <c r="A439" s="31">
        <v>45869</v>
      </c>
      <c r="B439" t="s">
        <v>368</v>
      </c>
      <c r="C439" t="s">
        <v>186</v>
      </c>
      <c r="D439" t="s">
        <v>371</v>
      </c>
      <c r="E439" s="4">
        <v>492304.28</v>
      </c>
      <c r="F439" s="4">
        <v>86422.85</v>
      </c>
      <c r="G439" s="4">
        <v>405881.43</v>
      </c>
      <c r="H439" s="6">
        <v>0.82450000000000001</v>
      </c>
      <c r="I439" s="6">
        <v>0.2</v>
      </c>
      <c r="J439" s="4">
        <v>81176.286000000007</v>
      </c>
      <c r="K439" s="6">
        <f t="shared" si="6"/>
        <v>2E-3</v>
      </c>
    </row>
    <row r="440" spans="1:11" x14ac:dyDescent="0.3">
      <c r="A440" s="31">
        <v>45869</v>
      </c>
      <c r="B440" t="s">
        <v>368</v>
      </c>
      <c r="C440" t="s">
        <v>186</v>
      </c>
      <c r="D440" t="s">
        <v>370</v>
      </c>
      <c r="E440" s="4">
        <v>512003.16</v>
      </c>
      <c r="F440" s="4">
        <v>89880.94</v>
      </c>
      <c r="G440" s="4">
        <v>422122.22</v>
      </c>
      <c r="H440" s="6">
        <v>0.82450000000000001</v>
      </c>
      <c r="I440" s="6">
        <v>0.15</v>
      </c>
      <c r="J440" s="4">
        <v>63318.332999999991</v>
      </c>
      <c r="K440" s="6">
        <f t="shared" si="6"/>
        <v>1.5E-3</v>
      </c>
    </row>
    <row r="441" spans="1:11" x14ac:dyDescent="0.3">
      <c r="A441" s="31">
        <v>45869</v>
      </c>
      <c r="B441" t="s">
        <v>368</v>
      </c>
      <c r="C441" t="s">
        <v>186</v>
      </c>
      <c r="D441" t="s">
        <v>369</v>
      </c>
      <c r="E441" s="4">
        <v>91433.65</v>
      </c>
      <c r="F441" s="4">
        <v>16050.96</v>
      </c>
      <c r="G441" s="4">
        <v>75382.69</v>
      </c>
      <c r="H441" s="6">
        <v>0.82450000000000001</v>
      </c>
      <c r="I441" s="6">
        <v>0.15</v>
      </c>
      <c r="J441" s="4">
        <v>11307.4035</v>
      </c>
      <c r="K441" s="6">
        <f t="shared" si="6"/>
        <v>1.5E-3</v>
      </c>
    </row>
    <row r="442" spans="1:11" x14ac:dyDescent="0.3">
      <c r="A442" s="31">
        <v>45900</v>
      </c>
      <c r="B442" t="s">
        <v>368</v>
      </c>
      <c r="C442" t="s">
        <v>186</v>
      </c>
      <c r="D442" t="s">
        <v>378</v>
      </c>
      <c r="E442" s="4">
        <v>1543671.46</v>
      </c>
      <c r="F442" s="4">
        <v>231142.73</v>
      </c>
      <c r="G442" s="4">
        <v>1312528.73</v>
      </c>
      <c r="H442" s="6">
        <v>0.85029999999999994</v>
      </c>
      <c r="I442" s="6">
        <v>0.55000000000000004</v>
      </c>
      <c r="J442" s="4">
        <v>721890.80150000006</v>
      </c>
      <c r="K442" s="6">
        <f t="shared" si="6"/>
        <v>5.5000000000000005E-3</v>
      </c>
    </row>
    <row r="443" spans="1:11" x14ac:dyDescent="0.3">
      <c r="A443" s="31">
        <v>45900</v>
      </c>
      <c r="B443" t="s">
        <v>368</v>
      </c>
      <c r="C443" t="s">
        <v>186</v>
      </c>
      <c r="D443" t="s">
        <v>377</v>
      </c>
      <c r="E443" s="4">
        <v>1460233.29</v>
      </c>
      <c r="F443" s="4">
        <v>218649.06</v>
      </c>
      <c r="G443" s="4">
        <v>1241584.23</v>
      </c>
      <c r="H443" s="6">
        <v>0.85029999999999994</v>
      </c>
      <c r="I443" s="6">
        <v>0.55000000000000004</v>
      </c>
      <c r="J443" s="4">
        <v>682871.32650000008</v>
      </c>
      <c r="K443" s="6">
        <f t="shared" si="6"/>
        <v>5.5000000000000005E-3</v>
      </c>
    </row>
    <row r="444" spans="1:11" x14ac:dyDescent="0.3">
      <c r="A444" s="31">
        <v>45900</v>
      </c>
      <c r="B444" t="s">
        <v>368</v>
      </c>
      <c r="C444" t="s">
        <v>186</v>
      </c>
      <c r="D444" t="s">
        <v>376</v>
      </c>
      <c r="E444" s="4">
        <v>770875.64</v>
      </c>
      <c r="F444" s="4">
        <v>115427.61</v>
      </c>
      <c r="G444" s="4">
        <v>655448.03</v>
      </c>
      <c r="H444" s="6">
        <v>0.85029999999999994</v>
      </c>
      <c r="I444" s="6">
        <v>0.5</v>
      </c>
      <c r="J444" s="4">
        <v>327724.01500000001</v>
      </c>
      <c r="K444" s="6">
        <f t="shared" si="6"/>
        <v>5.0000000000000001E-3</v>
      </c>
    </row>
    <row r="445" spans="1:11" x14ac:dyDescent="0.3">
      <c r="A445" s="31">
        <v>45900</v>
      </c>
      <c r="B445" t="s">
        <v>368</v>
      </c>
      <c r="C445" t="s">
        <v>186</v>
      </c>
      <c r="D445" t="s">
        <v>375</v>
      </c>
      <c r="E445" s="4">
        <v>684779.63</v>
      </c>
      <c r="F445" s="4">
        <v>102535.96</v>
      </c>
      <c r="G445" s="4">
        <v>582243.67000000004</v>
      </c>
      <c r="H445" s="6">
        <v>0.85029999999999994</v>
      </c>
      <c r="I445" s="6">
        <v>0.4</v>
      </c>
      <c r="J445" s="4">
        <v>232897.46799999999</v>
      </c>
      <c r="K445" s="6">
        <f t="shared" si="6"/>
        <v>4.0000000000000001E-3</v>
      </c>
    </row>
    <row r="446" spans="1:11" x14ac:dyDescent="0.3">
      <c r="A446" s="31">
        <v>45900</v>
      </c>
      <c r="B446" t="s">
        <v>368</v>
      </c>
      <c r="C446" t="s">
        <v>186</v>
      </c>
      <c r="D446" t="s">
        <v>374</v>
      </c>
      <c r="E446" s="4">
        <v>186415.1</v>
      </c>
      <c r="F446" s="4">
        <v>27913</v>
      </c>
      <c r="G446" s="4">
        <v>158502.10999999999</v>
      </c>
      <c r="H446" s="6">
        <v>0.85029999999999994</v>
      </c>
      <c r="I446" s="6">
        <v>0.35</v>
      </c>
      <c r="J446" s="4">
        <v>55475.738499999992</v>
      </c>
      <c r="K446" s="6">
        <f t="shared" si="6"/>
        <v>3.4999999999999996E-3</v>
      </c>
    </row>
    <row r="447" spans="1:11" x14ac:dyDescent="0.3">
      <c r="A447" s="31">
        <v>45900</v>
      </c>
      <c r="B447" t="s">
        <v>368</v>
      </c>
      <c r="C447" t="s">
        <v>186</v>
      </c>
      <c r="D447" t="s">
        <v>373</v>
      </c>
      <c r="E447" s="4">
        <v>973673.43</v>
      </c>
      <c r="F447" s="4">
        <v>145793.68</v>
      </c>
      <c r="G447" s="4">
        <v>827879.76</v>
      </c>
      <c r="H447" s="6">
        <v>0.85029999999999994</v>
      </c>
      <c r="I447" s="6">
        <v>0.3</v>
      </c>
      <c r="J447" s="4">
        <v>248363.92800000001</v>
      </c>
      <c r="K447" s="6">
        <f t="shared" si="6"/>
        <v>3.0000000000000001E-3</v>
      </c>
    </row>
    <row r="448" spans="1:11" x14ac:dyDescent="0.3">
      <c r="A448" s="31">
        <v>45900</v>
      </c>
      <c r="B448" t="s">
        <v>368</v>
      </c>
      <c r="C448" t="s">
        <v>186</v>
      </c>
      <c r="D448" t="s">
        <v>372</v>
      </c>
      <c r="E448" s="4">
        <v>1122336.03</v>
      </c>
      <c r="F448" s="4">
        <v>168053.77</v>
      </c>
      <c r="G448" s="4">
        <v>954282.26</v>
      </c>
      <c r="H448" s="6">
        <v>0.85029999999999994</v>
      </c>
      <c r="I448" s="6">
        <v>0.2</v>
      </c>
      <c r="J448" s="4">
        <v>190856.45199999999</v>
      </c>
      <c r="K448" s="6">
        <f t="shared" si="6"/>
        <v>2E-3</v>
      </c>
    </row>
    <row r="449" spans="1:11" x14ac:dyDescent="0.3">
      <c r="A449" s="31">
        <v>45900</v>
      </c>
      <c r="B449" t="s">
        <v>368</v>
      </c>
      <c r="C449" t="s">
        <v>186</v>
      </c>
      <c r="D449" t="s">
        <v>371</v>
      </c>
      <c r="E449" s="4">
        <v>410216.53</v>
      </c>
      <c r="F449" s="4">
        <v>61424.06</v>
      </c>
      <c r="G449" s="4">
        <v>348792.47</v>
      </c>
      <c r="H449" s="6">
        <v>0.85029999999999994</v>
      </c>
      <c r="I449" s="6">
        <v>0.2</v>
      </c>
      <c r="J449" s="4">
        <v>69758.493999999992</v>
      </c>
      <c r="K449" s="6">
        <f t="shared" si="6"/>
        <v>2E-3</v>
      </c>
    </row>
    <row r="450" spans="1:11" x14ac:dyDescent="0.3">
      <c r="A450" s="31">
        <v>45900</v>
      </c>
      <c r="B450" t="s">
        <v>368</v>
      </c>
      <c r="C450" t="s">
        <v>186</v>
      </c>
      <c r="D450" t="s">
        <v>370</v>
      </c>
      <c r="E450" s="4">
        <v>687714.15</v>
      </c>
      <c r="F450" s="4">
        <v>102975.36</v>
      </c>
      <c r="G450" s="4">
        <v>584738.79</v>
      </c>
      <c r="H450" s="6">
        <v>0.85029999999999994</v>
      </c>
      <c r="I450" s="6">
        <v>0.15</v>
      </c>
      <c r="J450" s="4">
        <v>87710.818500000008</v>
      </c>
      <c r="K450" s="6">
        <f t="shared" ref="K450:K481" si="7">LEFT(I450,4)/100</f>
        <v>1.5E-3</v>
      </c>
    </row>
    <row r="451" spans="1:11" x14ac:dyDescent="0.3">
      <c r="A451" s="31">
        <v>45900</v>
      </c>
      <c r="B451" t="s">
        <v>368</v>
      </c>
      <c r="C451" t="s">
        <v>186</v>
      </c>
      <c r="D451" t="s">
        <v>369</v>
      </c>
      <c r="E451" s="4">
        <v>550046.74</v>
      </c>
      <c r="F451" s="4">
        <v>82361.63</v>
      </c>
      <c r="G451" s="4">
        <v>467685.1</v>
      </c>
      <c r="H451" s="6">
        <v>0.85029999999999994</v>
      </c>
      <c r="I451" s="6">
        <v>0.15</v>
      </c>
      <c r="J451" s="4">
        <v>70152.764999999999</v>
      </c>
      <c r="K451" s="6">
        <f t="shared" si="7"/>
        <v>1.5E-3</v>
      </c>
    </row>
    <row r="452" spans="1:11" x14ac:dyDescent="0.3">
      <c r="A452" s="31">
        <v>45930</v>
      </c>
      <c r="B452" t="s">
        <v>368</v>
      </c>
      <c r="C452" t="s">
        <v>186</v>
      </c>
      <c r="D452" t="s">
        <v>378</v>
      </c>
      <c r="E452" s="4">
        <v>1817409.74</v>
      </c>
      <c r="F452" s="4">
        <v>351251.15</v>
      </c>
      <c r="G452" s="4">
        <v>1466158.58</v>
      </c>
      <c r="H452" s="6">
        <v>0.80669999999999997</v>
      </c>
      <c r="I452" s="6">
        <v>0.55000000000000004</v>
      </c>
      <c r="J452" s="4">
        <v>806387.21900000016</v>
      </c>
      <c r="K452" s="6">
        <f t="shared" si="7"/>
        <v>5.5000000000000005E-3</v>
      </c>
    </row>
    <row r="453" spans="1:11" x14ac:dyDescent="0.3">
      <c r="A453" s="31">
        <v>45930</v>
      </c>
      <c r="B453" t="s">
        <v>368</v>
      </c>
      <c r="C453" t="s">
        <v>186</v>
      </c>
      <c r="D453" t="s">
        <v>377</v>
      </c>
      <c r="E453" s="4">
        <v>1352590.85</v>
      </c>
      <c r="F453" s="4">
        <v>261415.51</v>
      </c>
      <c r="G453" s="4">
        <v>1091175.3400000001</v>
      </c>
      <c r="H453" s="6">
        <v>0.80669999999999997</v>
      </c>
      <c r="I453" s="6">
        <v>0.55000000000000004</v>
      </c>
      <c r="J453" s="4">
        <v>600146.43700000015</v>
      </c>
      <c r="K453" s="6">
        <f t="shared" si="7"/>
        <v>5.5000000000000005E-3</v>
      </c>
    </row>
    <row r="454" spans="1:11" x14ac:dyDescent="0.3">
      <c r="A454" s="31">
        <v>45930</v>
      </c>
      <c r="B454" t="s">
        <v>368</v>
      </c>
      <c r="C454" t="s">
        <v>186</v>
      </c>
      <c r="D454" t="s">
        <v>376</v>
      </c>
      <c r="E454" s="4">
        <v>1023554.5</v>
      </c>
      <c r="F454" s="4">
        <v>197822.59</v>
      </c>
      <c r="G454" s="4">
        <v>825731.91</v>
      </c>
      <c r="H454" s="6">
        <v>0.80669999999999997</v>
      </c>
      <c r="I454" s="6">
        <v>0.5</v>
      </c>
      <c r="J454" s="4">
        <v>412865.95500000002</v>
      </c>
      <c r="K454" s="6">
        <f t="shared" si="7"/>
        <v>5.0000000000000001E-3</v>
      </c>
    </row>
    <row r="455" spans="1:11" x14ac:dyDescent="0.3">
      <c r="A455" s="31">
        <v>45930</v>
      </c>
      <c r="B455" t="s">
        <v>368</v>
      </c>
      <c r="C455" t="s">
        <v>186</v>
      </c>
      <c r="D455" t="s">
        <v>375</v>
      </c>
      <c r="E455" s="4">
        <v>644238.16</v>
      </c>
      <c r="F455" s="4">
        <v>124512.04</v>
      </c>
      <c r="G455" s="4">
        <v>519726.12</v>
      </c>
      <c r="H455" s="6">
        <v>0.80669999999999997</v>
      </c>
      <c r="I455" s="6">
        <v>0.4</v>
      </c>
      <c r="J455" s="4">
        <v>207890.448</v>
      </c>
      <c r="K455" s="6">
        <f t="shared" si="7"/>
        <v>4.0000000000000001E-3</v>
      </c>
    </row>
    <row r="456" spans="1:11" x14ac:dyDescent="0.3">
      <c r="A456" s="31">
        <v>45930</v>
      </c>
      <c r="B456" t="s">
        <v>368</v>
      </c>
      <c r="C456" t="s">
        <v>186</v>
      </c>
      <c r="D456" t="s">
        <v>374</v>
      </c>
      <c r="E456" s="4">
        <v>230703.8</v>
      </c>
      <c r="F456" s="4">
        <v>44588.17</v>
      </c>
      <c r="G456" s="4">
        <v>186115.63</v>
      </c>
      <c r="H456" s="6">
        <v>0.80669999999999997</v>
      </c>
      <c r="I456" s="6">
        <v>0.35</v>
      </c>
      <c r="J456" s="4">
        <v>65140.470500000003</v>
      </c>
      <c r="K456" s="6">
        <f t="shared" si="7"/>
        <v>3.4999999999999996E-3</v>
      </c>
    </row>
    <row r="457" spans="1:11" x14ac:dyDescent="0.3">
      <c r="A457" s="31">
        <v>45930</v>
      </c>
      <c r="B457" t="s">
        <v>368</v>
      </c>
      <c r="C457" t="s">
        <v>186</v>
      </c>
      <c r="D457" t="s">
        <v>373</v>
      </c>
      <c r="E457" s="4">
        <v>552965.88</v>
      </c>
      <c r="F457" s="4">
        <v>106871.83</v>
      </c>
      <c r="G457" s="4">
        <v>446094.05</v>
      </c>
      <c r="H457" s="6">
        <v>0.80669999999999997</v>
      </c>
      <c r="I457" s="6">
        <v>0.3</v>
      </c>
      <c r="J457" s="4">
        <v>133828.215</v>
      </c>
      <c r="K457" s="6">
        <f t="shared" si="7"/>
        <v>3.0000000000000001E-3</v>
      </c>
    </row>
    <row r="458" spans="1:11" x14ac:dyDescent="0.3">
      <c r="A458" s="31">
        <v>45930</v>
      </c>
      <c r="B458" t="s">
        <v>368</v>
      </c>
      <c r="C458" t="s">
        <v>186</v>
      </c>
      <c r="D458" t="s">
        <v>372</v>
      </c>
      <c r="E458" s="4">
        <v>992404.14</v>
      </c>
      <c r="F458" s="4">
        <v>191802.15</v>
      </c>
      <c r="G458" s="4">
        <v>800601.99</v>
      </c>
      <c r="H458" s="6">
        <v>0.80669999999999997</v>
      </c>
      <c r="I458" s="6">
        <v>0.2</v>
      </c>
      <c r="J458" s="4">
        <v>160120.39799999999</v>
      </c>
      <c r="K458" s="6">
        <f t="shared" si="7"/>
        <v>2E-3</v>
      </c>
    </row>
    <row r="459" spans="1:11" x14ac:dyDescent="0.3">
      <c r="A459" s="31">
        <v>45930</v>
      </c>
      <c r="B459" t="s">
        <v>368</v>
      </c>
      <c r="C459" t="s">
        <v>186</v>
      </c>
      <c r="D459" t="s">
        <v>371</v>
      </c>
      <c r="E459" s="4">
        <v>1138227.97</v>
      </c>
      <c r="F459" s="4">
        <v>219985.55</v>
      </c>
      <c r="G459" s="4">
        <v>918242.41</v>
      </c>
      <c r="H459" s="6">
        <v>0.80669999999999997</v>
      </c>
      <c r="I459" s="6">
        <v>0.2</v>
      </c>
      <c r="J459" s="4">
        <v>183648.48199999999</v>
      </c>
      <c r="K459" s="6">
        <f t="shared" si="7"/>
        <v>2E-3</v>
      </c>
    </row>
    <row r="460" spans="1:11" x14ac:dyDescent="0.3">
      <c r="A460" s="31">
        <v>45930</v>
      </c>
      <c r="B460" t="s">
        <v>368</v>
      </c>
      <c r="C460" t="s">
        <v>186</v>
      </c>
      <c r="D460" t="s">
        <v>370</v>
      </c>
      <c r="E460" s="4">
        <v>262190.78999999998</v>
      </c>
      <c r="F460" s="4">
        <v>50673.67</v>
      </c>
      <c r="G460" s="4">
        <v>211517.12</v>
      </c>
      <c r="H460" s="6">
        <v>0.80669999999999997</v>
      </c>
      <c r="I460" s="6">
        <v>0.15</v>
      </c>
      <c r="J460" s="4">
        <v>31727.567999999999</v>
      </c>
      <c r="K460" s="6">
        <f t="shared" si="7"/>
        <v>1.5E-3</v>
      </c>
    </row>
    <row r="461" spans="1:11" x14ac:dyDescent="0.3">
      <c r="A461" s="31">
        <v>45930</v>
      </c>
      <c r="B461" t="s">
        <v>368</v>
      </c>
      <c r="C461" t="s">
        <v>186</v>
      </c>
      <c r="D461" t="s">
        <v>369</v>
      </c>
      <c r="E461" s="4">
        <v>547133.5</v>
      </c>
      <c r="F461" s="4">
        <v>105744.6</v>
      </c>
      <c r="G461" s="4">
        <v>441388.91</v>
      </c>
      <c r="H461" s="6">
        <v>0.80669999999999997</v>
      </c>
      <c r="I461" s="6">
        <v>0.15</v>
      </c>
      <c r="J461" s="4">
        <v>66208.33649999999</v>
      </c>
      <c r="K461" s="6">
        <f t="shared" si="7"/>
        <v>1.5E-3</v>
      </c>
    </row>
    <row r="462" spans="1:11" x14ac:dyDescent="0.3">
      <c r="A462" s="31">
        <v>45961</v>
      </c>
      <c r="B462" t="s">
        <v>368</v>
      </c>
      <c r="C462" t="s">
        <v>186</v>
      </c>
      <c r="D462" t="s">
        <v>378</v>
      </c>
      <c r="E462" s="4">
        <v>1703898.8</v>
      </c>
      <c r="F462" s="4">
        <v>370059.15</v>
      </c>
      <c r="G462" s="4">
        <v>1333839.6499999999</v>
      </c>
      <c r="H462" s="6">
        <v>0.78280000000000005</v>
      </c>
      <c r="I462" s="6">
        <v>0.55000000000000004</v>
      </c>
      <c r="J462" s="4">
        <v>733611.8075</v>
      </c>
      <c r="K462" s="6">
        <f t="shared" si="7"/>
        <v>5.5000000000000005E-3</v>
      </c>
    </row>
    <row r="463" spans="1:11" x14ac:dyDescent="0.3">
      <c r="A463" s="31">
        <v>45961</v>
      </c>
      <c r="B463" t="s">
        <v>368</v>
      </c>
      <c r="C463" t="s">
        <v>186</v>
      </c>
      <c r="D463" t="s">
        <v>377</v>
      </c>
      <c r="E463" s="4">
        <v>2028825.69</v>
      </c>
      <c r="F463" s="4">
        <v>440627.99</v>
      </c>
      <c r="G463" s="4">
        <v>1588197.7</v>
      </c>
      <c r="H463" s="6">
        <v>0.78280000000000005</v>
      </c>
      <c r="I463" s="6">
        <v>0.55000000000000004</v>
      </c>
      <c r="J463" s="4">
        <v>873508.7350000001</v>
      </c>
      <c r="K463" s="6">
        <f t="shared" si="7"/>
        <v>5.5000000000000005E-3</v>
      </c>
    </row>
    <row r="464" spans="1:11" x14ac:dyDescent="0.3">
      <c r="A464" s="31">
        <v>45961</v>
      </c>
      <c r="B464" t="s">
        <v>368</v>
      </c>
      <c r="C464" t="s">
        <v>186</v>
      </c>
      <c r="D464" t="s">
        <v>376</v>
      </c>
      <c r="E464" s="4">
        <v>507298.32</v>
      </c>
      <c r="F464" s="4">
        <v>110176.96000000001</v>
      </c>
      <c r="G464" s="4">
        <v>397121.36</v>
      </c>
      <c r="H464" s="6">
        <v>0.78280000000000005</v>
      </c>
      <c r="I464" s="6">
        <v>0.5</v>
      </c>
      <c r="J464" s="4">
        <v>198560.68</v>
      </c>
      <c r="K464" s="6">
        <f t="shared" si="7"/>
        <v>5.0000000000000001E-3</v>
      </c>
    </row>
    <row r="465" spans="1:16" x14ac:dyDescent="0.3">
      <c r="A465" s="31">
        <v>45961</v>
      </c>
      <c r="B465" t="s">
        <v>368</v>
      </c>
      <c r="C465" t="s">
        <v>186</v>
      </c>
      <c r="D465" t="s">
        <v>375</v>
      </c>
      <c r="E465" s="4">
        <v>563865.54</v>
      </c>
      <c r="F465" s="4">
        <v>122462.44</v>
      </c>
      <c r="G465" s="4">
        <v>441403.1</v>
      </c>
      <c r="H465" s="6">
        <v>0.78280000000000005</v>
      </c>
      <c r="I465" s="6">
        <v>0.4</v>
      </c>
      <c r="J465" s="4">
        <v>176561.24</v>
      </c>
      <c r="K465" s="6">
        <f t="shared" si="7"/>
        <v>4.0000000000000001E-3</v>
      </c>
    </row>
    <row r="466" spans="1:16" x14ac:dyDescent="0.3">
      <c r="A466" s="31">
        <v>45961</v>
      </c>
      <c r="B466" t="s">
        <v>368</v>
      </c>
      <c r="C466" t="s">
        <v>186</v>
      </c>
      <c r="D466" t="s">
        <v>374</v>
      </c>
      <c r="E466" s="4">
        <v>424134.37</v>
      </c>
      <c r="F466" s="4">
        <v>92115.1</v>
      </c>
      <c r="G466" s="4">
        <v>332019.27</v>
      </c>
      <c r="H466" s="6">
        <v>0.78280000000000005</v>
      </c>
      <c r="I466" s="6">
        <v>0.35</v>
      </c>
      <c r="J466" s="4">
        <v>116206.7445</v>
      </c>
      <c r="K466" s="6">
        <f t="shared" si="7"/>
        <v>3.4999999999999996E-3</v>
      </c>
    </row>
    <row r="467" spans="1:16" x14ac:dyDescent="0.3">
      <c r="A467" s="31">
        <v>45961</v>
      </c>
      <c r="B467" t="s">
        <v>368</v>
      </c>
      <c r="C467" t="s">
        <v>186</v>
      </c>
      <c r="D467" t="s">
        <v>373</v>
      </c>
      <c r="E467" s="4">
        <v>475378.31</v>
      </c>
      <c r="F467" s="4">
        <v>103244.45</v>
      </c>
      <c r="G467" s="4">
        <v>372133.86</v>
      </c>
      <c r="H467" s="6">
        <v>0.78280000000000005</v>
      </c>
      <c r="I467" s="6">
        <v>0.3</v>
      </c>
      <c r="J467" s="4">
        <v>111640.158</v>
      </c>
      <c r="K467" s="6">
        <f t="shared" si="7"/>
        <v>3.0000000000000001E-3</v>
      </c>
    </row>
    <row r="468" spans="1:16" x14ac:dyDescent="0.3">
      <c r="A468" s="31">
        <v>45961</v>
      </c>
      <c r="B468" t="s">
        <v>368</v>
      </c>
      <c r="C468" t="s">
        <v>186</v>
      </c>
      <c r="D468" t="s">
        <v>372</v>
      </c>
      <c r="E468" s="4">
        <v>642391.76</v>
      </c>
      <c r="F468" s="4">
        <v>139517.06</v>
      </c>
      <c r="G468" s="4">
        <v>502874.7</v>
      </c>
      <c r="H468" s="6">
        <v>0.78280000000000005</v>
      </c>
      <c r="I468" s="6">
        <v>0.2</v>
      </c>
      <c r="J468" s="4">
        <v>100574.94</v>
      </c>
      <c r="K468" s="6">
        <f t="shared" si="7"/>
        <v>2E-3</v>
      </c>
    </row>
    <row r="469" spans="1:16" x14ac:dyDescent="0.3">
      <c r="A469" s="31">
        <v>45961</v>
      </c>
      <c r="B469" t="s">
        <v>368</v>
      </c>
      <c r="C469" t="s">
        <v>186</v>
      </c>
      <c r="D469" t="s">
        <v>371</v>
      </c>
      <c r="E469" s="4">
        <v>814900.98</v>
      </c>
      <c r="F469" s="4">
        <v>176983.26</v>
      </c>
      <c r="G469" s="4">
        <v>637917.72</v>
      </c>
      <c r="H469" s="6">
        <v>0.78280000000000005</v>
      </c>
      <c r="I469" s="6">
        <v>0.2</v>
      </c>
      <c r="J469" s="4">
        <v>127583.54399999999</v>
      </c>
      <c r="K469" s="6">
        <f t="shared" si="7"/>
        <v>2E-3</v>
      </c>
    </row>
    <row r="470" spans="1:16" x14ac:dyDescent="0.3">
      <c r="A470" s="31">
        <v>45961</v>
      </c>
      <c r="B470" t="s">
        <v>368</v>
      </c>
      <c r="C470" t="s">
        <v>186</v>
      </c>
      <c r="D470" t="s">
        <v>370</v>
      </c>
      <c r="E470" s="4">
        <v>915072.96</v>
      </c>
      <c r="F470" s="4">
        <v>198738.99</v>
      </c>
      <c r="G470" s="4">
        <v>716333.98</v>
      </c>
      <c r="H470" s="6">
        <v>0.78280000000000005</v>
      </c>
      <c r="I470" s="6">
        <v>0.15</v>
      </c>
      <c r="J470" s="4">
        <v>107450.09699999999</v>
      </c>
      <c r="K470" s="6">
        <f t="shared" si="7"/>
        <v>1.5E-3</v>
      </c>
    </row>
    <row r="471" spans="1:16" x14ac:dyDescent="0.3">
      <c r="A471" s="31">
        <v>45961</v>
      </c>
      <c r="B471" t="s">
        <v>368</v>
      </c>
      <c r="C471" t="s">
        <v>186</v>
      </c>
      <c r="D471" t="s">
        <v>369</v>
      </c>
      <c r="E471" s="4">
        <v>617154.21</v>
      </c>
      <c r="F471" s="4">
        <v>134035.85999999999</v>
      </c>
      <c r="G471" s="4">
        <v>483118.34</v>
      </c>
      <c r="H471" s="6">
        <v>0.78280000000000005</v>
      </c>
      <c r="I471" s="6">
        <v>0.15</v>
      </c>
      <c r="J471" s="4">
        <v>72467.751000000004</v>
      </c>
      <c r="K471" s="6">
        <f t="shared" si="7"/>
        <v>1.5E-3</v>
      </c>
    </row>
    <row r="472" spans="1:16" x14ac:dyDescent="0.3">
      <c r="A472" s="41">
        <v>45991</v>
      </c>
      <c r="B472" s="1" t="s">
        <v>368</v>
      </c>
      <c r="C472" s="1" t="s">
        <v>186</v>
      </c>
      <c r="D472" s="1" t="s">
        <v>378</v>
      </c>
      <c r="E472" s="33">
        <v>1970515.59</v>
      </c>
      <c r="F472" s="33">
        <v>358060.27</v>
      </c>
      <c r="G472" s="33">
        <v>1612455.32</v>
      </c>
      <c r="H472" s="37">
        <v>0.81830000000000003</v>
      </c>
      <c r="I472" s="37">
        <v>0.55000000000000004</v>
      </c>
      <c r="J472" s="33">
        <v>886850.42600000009</v>
      </c>
      <c r="K472" s="37">
        <f t="shared" si="7"/>
        <v>5.5000000000000005E-3</v>
      </c>
    </row>
    <row r="473" spans="1:16" x14ac:dyDescent="0.3">
      <c r="A473" s="31">
        <v>45991</v>
      </c>
      <c r="B473" t="s">
        <v>368</v>
      </c>
      <c r="C473" t="s">
        <v>186</v>
      </c>
      <c r="D473" t="s">
        <v>377</v>
      </c>
      <c r="E473" s="4">
        <v>1684417.41</v>
      </c>
      <c r="F473" s="4">
        <v>306073.67</v>
      </c>
      <c r="G473" s="4">
        <v>1378343.73</v>
      </c>
      <c r="H473" s="6">
        <v>0.81830000000000003</v>
      </c>
      <c r="I473" s="6">
        <v>0.55000000000000004</v>
      </c>
      <c r="J473" s="4">
        <v>758089.05150000006</v>
      </c>
      <c r="K473" s="6">
        <f t="shared" si="7"/>
        <v>5.5000000000000005E-3</v>
      </c>
      <c r="N473" s="11"/>
      <c r="O473" s="11"/>
      <c r="P473" s="11"/>
    </row>
    <row r="474" spans="1:16" x14ac:dyDescent="0.3">
      <c r="A474" s="31">
        <v>45991</v>
      </c>
      <c r="B474" t="s">
        <v>368</v>
      </c>
      <c r="C474" t="s">
        <v>186</v>
      </c>
      <c r="D474" t="s">
        <v>376</v>
      </c>
      <c r="E474" s="4">
        <v>503348.54</v>
      </c>
      <c r="F474" s="4">
        <v>91462.92</v>
      </c>
      <c r="G474" s="4">
        <v>411885.62</v>
      </c>
      <c r="H474" s="6">
        <v>0.81830000000000003</v>
      </c>
      <c r="I474" s="6">
        <v>0.5</v>
      </c>
      <c r="J474" s="4">
        <v>205942.81</v>
      </c>
      <c r="K474" s="6">
        <f t="shared" si="7"/>
        <v>5.0000000000000001E-3</v>
      </c>
    </row>
    <row r="475" spans="1:16" x14ac:dyDescent="0.3">
      <c r="A475" s="31">
        <v>45991</v>
      </c>
      <c r="B475" t="s">
        <v>368</v>
      </c>
      <c r="C475" t="s">
        <v>186</v>
      </c>
      <c r="D475" t="s">
        <v>375</v>
      </c>
      <c r="E475" s="4">
        <v>1117010.56</v>
      </c>
      <c r="F475" s="4">
        <v>202970.79</v>
      </c>
      <c r="G475" s="4">
        <v>914039.78</v>
      </c>
      <c r="H475" s="6">
        <v>0.81830000000000003</v>
      </c>
      <c r="I475" s="6">
        <v>0.4</v>
      </c>
      <c r="J475" s="4">
        <v>365615.91200000001</v>
      </c>
      <c r="K475" s="6">
        <f t="shared" si="7"/>
        <v>4.0000000000000001E-3</v>
      </c>
    </row>
    <row r="476" spans="1:16" x14ac:dyDescent="0.3">
      <c r="A476" s="31">
        <v>45991</v>
      </c>
      <c r="B476" t="s">
        <v>368</v>
      </c>
      <c r="C476" t="s">
        <v>186</v>
      </c>
      <c r="D476" t="s">
        <v>374</v>
      </c>
      <c r="E476" s="4">
        <v>411009.44</v>
      </c>
      <c r="F476" s="4">
        <v>74684.08</v>
      </c>
      <c r="G476" s="4">
        <v>336325.36</v>
      </c>
      <c r="H476" s="6">
        <v>0.81830000000000003</v>
      </c>
      <c r="I476" s="6">
        <v>0.35</v>
      </c>
      <c r="J476" s="4">
        <v>117713.876</v>
      </c>
      <c r="K476" s="6">
        <f t="shared" si="7"/>
        <v>3.4999999999999996E-3</v>
      </c>
    </row>
    <row r="477" spans="1:16" x14ac:dyDescent="0.3">
      <c r="A477" s="31">
        <v>45991</v>
      </c>
      <c r="B477" t="s">
        <v>368</v>
      </c>
      <c r="C477" t="s">
        <v>186</v>
      </c>
      <c r="D477" t="s">
        <v>373</v>
      </c>
      <c r="E477" s="4">
        <v>612903.81000000006</v>
      </c>
      <c r="F477" s="4">
        <v>111370.09</v>
      </c>
      <c r="G477" s="4">
        <v>501533.72</v>
      </c>
      <c r="H477" s="6">
        <v>0.81830000000000003</v>
      </c>
      <c r="I477" s="6">
        <v>0.3</v>
      </c>
      <c r="J477" s="4">
        <v>150460.11600000001</v>
      </c>
      <c r="K477" s="6">
        <f t="shared" si="7"/>
        <v>3.0000000000000001E-3</v>
      </c>
    </row>
    <row r="478" spans="1:16" x14ac:dyDescent="0.3">
      <c r="A478" s="31">
        <v>45991</v>
      </c>
      <c r="B478" t="s">
        <v>368</v>
      </c>
      <c r="C478" t="s">
        <v>186</v>
      </c>
      <c r="D478" t="s">
        <v>372</v>
      </c>
      <c r="E478" s="4">
        <v>1087763.48</v>
      </c>
      <c r="F478" s="4">
        <v>197656.33</v>
      </c>
      <c r="G478" s="4">
        <v>890107.15</v>
      </c>
      <c r="H478" s="6">
        <v>0.81830000000000003</v>
      </c>
      <c r="I478" s="6">
        <v>0.2</v>
      </c>
      <c r="J478" s="4">
        <v>178021.43</v>
      </c>
      <c r="K478" s="6">
        <f t="shared" si="7"/>
        <v>2E-3</v>
      </c>
    </row>
    <row r="479" spans="1:16" x14ac:dyDescent="0.3">
      <c r="A479" s="31">
        <v>45991</v>
      </c>
      <c r="B479" t="s">
        <v>368</v>
      </c>
      <c r="C479" t="s">
        <v>186</v>
      </c>
      <c r="D479" t="s">
        <v>371</v>
      </c>
      <c r="E479" s="4">
        <v>663546.06000000006</v>
      </c>
      <c r="F479" s="4">
        <v>120572.24</v>
      </c>
      <c r="G479" s="4">
        <v>542973.81999999995</v>
      </c>
      <c r="H479" s="6">
        <v>0.81830000000000003</v>
      </c>
      <c r="I479" s="6">
        <v>0.2</v>
      </c>
      <c r="J479" s="4">
        <v>108594.764</v>
      </c>
      <c r="K479" s="6">
        <f t="shared" si="7"/>
        <v>2E-3</v>
      </c>
    </row>
    <row r="480" spans="1:16" x14ac:dyDescent="0.3">
      <c r="A480" s="31">
        <v>45991</v>
      </c>
      <c r="B480" t="s">
        <v>368</v>
      </c>
      <c r="C480" t="s">
        <v>186</v>
      </c>
      <c r="D480" t="s">
        <v>370</v>
      </c>
      <c r="E480" s="4">
        <v>199103.8</v>
      </c>
      <c r="F480" s="4">
        <v>36178.94</v>
      </c>
      <c r="G480" s="4">
        <v>162924.85999999999</v>
      </c>
      <c r="H480" s="6">
        <v>0.81830000000000003</v>
      </c>
      <c r="I480" s="6">
        <v>0.15</v>
      </c>
      <c r="J480" s="4">
        <v>24438.728999999999</v>
      </c>
      <c r="K480" s="6">
        <f t="shared" si="7"/>
        <v>1.5E-3</v>
      </c>
    </row>
    <row r="481" spans="1:11" x14ac:dyDescent="0.3">
      <c r="A481" s="31">
        <v>45991</v>
      </c>
      <c r="B481" t="s">
        <v>368</v>
      </c>
      <c r="C481" t="s">
        <v>186</v>
      </c>
      <c r="D481" t="s">
        <v>369</v>
      </c>
      <c r="E481" s="4">
        <v>178003.66</v>
      </c>
      <c r="F481" s="4">
        <v>32344.85</v>
      </c>
      <c r="G481" s="4">
        <v>145658.81</v>
      </c>
      <c r="H481" s="6">
        <v>0.81830000000000003</v>
      </c>
      <c r="I481" s="6">
        <v>0.15</v>
      </c>
      <c r="J481" s="4">
        <v>21848.821499999998</v>
      </c>
      <c r="K481" s="6">
        <f t="shared" si="7"/>
        <v>1.5E-3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1E76-1AD1-4D22-9AB3-9A8A42DDAC3A}">
  <sheetPr>
    <tabColor theme="4" tint="0.79998168889431442"/>
  </sheetPr>
  <dimension ref="A1:K22"/>
  <sheetViews>
    <sheetView zoomScale="64" workbookViewId="0">
      <selection activeCell="D2" sqref="D2"/>
    </sheetView>
  </sheetViews>
  <sheetFormatPr defaultRowHeight="14.4" outlineLevelCol="1" x14ac:dyDescent="0.3"/>
  <cols>
    <col min="1" max="1" width="18.33203125" bestFit="1" customWidth="1"/>
    <col min="2" max="2" width="18.33203125" customWidth="1"/>
    <col min="3" max="3" width="31.33203125" bestFit="1" customWidth="1"/>
    <col min="4" max="9" width="18.44140625" customWidth="1" outlineLevel="1"/>
    <col min="10" max="11" width="18.44140625" customWidth="1"/>
  </cols>
  <sheetData>
    <row r="1" spans="1:11" x14ac:dyDescent="0.3">
      <c r="A1" s="13" t="s">
        <v>267</v>
      </c>
      <c r="B1" s="13" t="s">
        <v>22</v>
      </c>
      <c r="C1" s="13" t="s">
        <v>589</v>
      </c>
      <c r="D1" s="13" t="s">
        <v>588</v>
      </c>
      <c r="E1" s="13" t="s">
        <v>587</v>
      </c>
      <c r="F1" s="13" t="s">
        <v>586</v>
      </c>
      <c r="G1" s="13" t="s">
        <v>585</v>
      </c>
      <c r="H1" s="13" t="s">
        <v>584</v>
      </c>
      <c r="I1" s="13" t="s">
        <v>583</v>
      </c>
      <c r="J1" s="13" t="s">
        <v>582</v>
      </c>
      <c r="K1" s="13" t="s">
        <v>581</v>
      </c>
    </row>
    <row r="2" spans="1:11" x14ac:dyDescent="0.3">
      <c r="A2" s="31">
        <v>45991</v>
      </c>
      <c r="B2" s="31" t="s">
        <v>186</v>
      </c>
      <c r="C2" t="s">
        <v>580</v>
      </c>
      <c r="D2" s="4">
        <v>15865024.33</v>
      </c>
      <c r="F2" s="4">
        <v>6896248.1699999999</v>
      </c>
      <c r="H2" s="4">
        <v>2456581.4700000002</v>
      </c>
      <c r="J2" s="4">
        <v>25217853.969999999</v>
      </c>
    </row>
    <row r="3" spans="1:11" x14ac:dyDescent="0.3">
      <c r="A3" s="31">
        <v>45991</v>
      </c>
      <c r="B3" s="31" t="s">
        <v>186</v>
      </c>
      <c r="C3" t="s">
        <v>579</v>
      </c>
      <c r="D3" s="4">
        <v>15609729.949999999</v>
      </c>
      <c r="E3" s="6">
        <f>D3/$D$2</f>
        <v>0.98390835244310015</v>
      </c>
      <c r="F3" s="4">
        <v>2817575.94</v>
      </c>
      <c r="G3" s="6">
        <f>F3/$F$2</f>
        <v>0.40856649449725357</v>
      </c>
      <c r="H3" s="4">
        <v>390297.62</v>
      </c>
      <c r="I3" s="6">
        <f>H3/$H$2</f>
        <v>0.15887835382882701</v>
      </c>
      <c r="J3" s="4">
        <v>18817603.510000002</v>
      </c>
      <c r="K3" s="6">
        <f>J3/$J$2</f>
        <v>0.7462016209779806</v>
      </c>
    </row>
    <row r="4" spans="1:11" x14ac:dyDescent="0.3">
      <c r="A4" s="31">
        <v>45991</v>
      </c>
      <c r="B4" s="31" t="s">
        <v>186</v>
      </c>
      <c r="C4" t="s">
        <v>578</v>
      </c>
      <c r="D4" s="4">
        <v>402825.80582686415</v>
      </c>
      <c r="E4" s="6">
        <f t="shared" ref="E4:G22" si="0">D4/$D$2</f>
        <v>2.5390809206963513E-2</v>
      </c>
      <c r="F4" s="4">
        <v>72710.565919103828</v>
      </c>
      <c r="G4" s="6">
        <f t="shared" ref="G4:G22" si="1">F4/$F$2</f>
        <v>1.0543496133942615E-2</v>
      </c>
      <c r="H4" s="4">
        <v>10072.048254031917</v>
      </c>
      <c r="I4" s="6">
        <f t="shared" ref="I4:I22" si="2">H4/$H$2</f>
        <v>4.1000261448816983E-3</v>
      </c>
      <c r="J4" s="4">
        <v>485608.42</v>
      </c>
      <c r="K4" s="6">
        <f t="shared" ref="K4:K22" si="3">J4/$J$2</f>
        <v>1.9256532319431145E-2</v>
      </c>
    </row>
    <row r="5" spans="1:11" x14ac:dyDescent="0.3">
      <c r="A5" s="31">
        <v>45991</v>
      </c>
      <c r="B5" s="31" t="s">
        <v>186</v>
      </c>
      <c r="C5" t="s">
        <v>577</v>
      </c>
      <c r="D5" s="4">
        <v>607546.43525010115</v>
      </c>
      <c r="E5" s="6">
        <f t="shared" si="0"/>
        <v>3.8294705549317055E-2</v>
      </c>
      <c r="F5" s="4">
        <v>109662.89768475163</v>
      </c>
      <c r="G5" s="6">
        <f t="shared" si="1"/>
        <v>1.5901820088465819E-2</v>
      </c>
      <c r="H5" s="4">
        <v>15190.777065147025</v>
      </c>
      <c r="I5" s="6">
        <f t="shared" si="2"/>
        <v>6.1837057922394184E-3</v>
      </c>
      <c r="J5" s="4">
        <v>732400.11</v>
      </c>
      <c r="K5" s="6">
        <f t="shared" si="3"/>
        <v>2.9042919784978041E-2</v>
      </c>
    </row>
    <row r="6" spans="1:11" x14ac:dyDescent="0.3">
      <c r="A6" s="31">
        <v>45991</v>
      </c>
      <c r="B6" s="31" t="s">
        <v>186</v>
      </c>
      <c r="C6" t="s">
        <v>576</v>
      </c>
      <c r="D6" s="4">
        <v>347275.78802425135</v>
      </c>
      <c r="E6" s="6">
        <f t="shared" si="0"/>
        <v>2.1889395238277036E-2</v>
      </c>
      <c r="F6" s="4">
        <v>62683.717656606277</v>
      </c>
      <c r="G6" s="6">
        <f t="shared" si="1"/>
        <v>9.0895391394544729E-3</v>
      </c>
      <c r="H6" s="4">
        <v>8683.1043191422923</v>
      </c>
      <c r="I6" s="6">
        <f t="shared" si="2"/>
        <v>3.5346290872829435E-3</v>
      </c>
      <c r="J6" s="4">
        <v>418642.61</v>
      </c>
      <c r="K6" s="6">
        <f t="shared" si="3"/>
        <v>1.6601040298592863E-2</v>
      </c>
    </row>
    <row r="7" spans="1:11" x14ac:dyDescent="0.3">
      <c r="A7" s="31">
        <v>45991</v>
      </c>
      <c r="B7" s="31" t="s">
        <v>186</v>
      </c>
      <c r="C7" t="s">
        <v>575</v>
      </c>
      <c r="D7" s="4">
        <v>126614.7733865482</v>
      </c>
      <c r="E7" s="6">
        <f t="shared" si="0"/>
        <v>7.9807487686688085E-3</v>
      </c>
      <c r="F7" s="4">
        <v>22854.126258762764</v>
      </c>
      <c r="G7" s="6">
        <f t="shared" si="1"/>
        <v>3.3139941741340733E-3</v>
      </c>
      <c r="H7" s="4">
        <v>3165.8103546890061</v>
      </c>
      <c r="I7" s="6">
        <f t="shared" si="2"/>
        <v>1.2887056233836225E-3</v>
      </c>
      <c r="J7" s="4">
        <v>152634.71</v>
      </c>
      <c r="K7" s="6">
        <f t="shared" si="3"/>
        <v>6.0526446929853482E-3</v>
      </c>
    </row>
    <row r="8" spans="1:11" x14ac:dyDescent="0.3">
      <c r="A8" s="31">
        <v>45991</v>
      </c>
      <c r="B8" s="31" t="s">
        <v>186</v>
      </c>
      <c r="C8" t="s">
        <v>574</v>
      </c>
      <c r="D8" s="4">
        <v>363872.32163118356</v>
      </c>
      <c r="E8" s="6">
        <f t="shared" si="0"/>
        <v>2.2935503536740152E-2</v>
      </c>
      <c r="F8" s="4">
        <v>65679.412901051779</v>
      </c>
      <c r="G8" s="6">
        <f t="shared" si="1"/>
        <v>9.5239340699439737E-3</v>
      </c>
      <c r="H8" s="4">
        <v>9098.0754677646073</v>
      </c>
      <c r="I8" s="6">
        <f t="shared" si="2"/>
        <v>3.7035512881909861E-3</v>
      </c>
      <c r="J8" s="4">
        <v>438649.81</v>
      </c>
      <c r="K8" s="6">
        <f t="shared" si="3"/>
        <v>1.7394414708001422E-2</v>
      </c>
    </row>
    <row r="9" spans="1:11" x14ac:dyDescent="0.3">
      <c r="A9" s="31">
        <v>45991</v>
      </c>
      <c r="B9" s="31" t="s">
        <v>186</v>
      </c>
      <c r="C9" t="s">
        <v>573</v>
      </c>
      <c r="D9" s="4">
        <v>198693.2537242898</v>
      </c>
      <c r="E9" s="6">
        <f t="shared" si="0"/>
        <v>1.2523980398099382E-2</v>
      </c>
      <c r="F9" s="4">
        <v>35864.382851407012</v>
      </c>
      <c r="G9" s="6">
        <f t="shared" si="1"/>
        <v>5.2005644181170778E-3</v>
      </c>
      <c r="H9" s="4">
        <v>4968.0234243031509</v>
      </c>
      <c r="I9" s="6">
        <f t="shared" si="2"/>
        <v>2.0223320435219069E-3</v>
      </c>
      <c r="J9" s="4">
        <v>239525.66</v>
      </c>
      <c r="K9" s="6">
        <f t="shared" si="3"/>
        <v>9.4982570794861342E-3</v>
      </c>
    </row>
    <row r="10" spans="1:11" x14ac:dyDescent="0.3">
      <c r="A10" s="31">
        <v>45991</v>
      </c>
      <c r="B10" s="31" t="s">
        <v>186</v>
      </c>
      <c r="C10" t="s">
        <v>572</v>
      </c>
      <c r="D10" s="4">
        <v>2046828.3695479578</v>
      </c>
      <c r="E10" s="6">
        <f t="shared" si="0"/>
        <v>0.12901514217520005</v>
      </c>
      <c r="F10" s="4">
        <v>369455.10177437472</v>
      </c>
      <c r="G10" s="6">
        <f t="shared" si="1"/>
        <v>5.3573347806938731E-2</v>
      </c>
      <c r="H10" s="4">
        <v>51177.838677667096</v>
      </c>
      <c r="I10" s="6">
        <f t="shared" si="2"/>
        <v>2.0832949895069872E-2</v>
      </c>
      <c r="J10" s="4">
        <v>2467461.31</v>
      </c>
      <c r="K10" s="6">
        <f t="shared" si="3"/>
        <v>9.7845808486930502E-2</v>
      </c>
    </row>
    <row r="11" spans="1:11" x14ac:dyDescent="0.3">
      <c r="A11" s="31">
        <v>45991</v>
      </c>
      <c r="B11" s="31" t="s">
        <v>186</v>
      </c>
      <c r="C11" t="s">
        <v>571</v>
      </c>
      <c r="D11" s="4">
        <v>294015.21786864143</v>
      </c>
      <c r="E11" s="6">
        <f t="shared" si="0"/>
        <v>1.8532289125625403E-2</v>
      </c>
      <c r="F11" s="4">
        <v>53070.117581409038</v>
      </c>
      <c r="G11" s="6">
        <f t="shared" si="1"/>
        <v>7.6955057696841906E-3</v>
      </c>
      <c r="H11" s="4">
        <v>7351.4045499494523</v>
      </c>
      <c r="I11" s="6">
        <f t="shared" si="2"/>
        <v>2.9925343977903781E-3</v>
      </c>
      <c r="J11" s="4">
        <v>354436.74</v>
      </c>
      <c r="K11" s="6">
        <f t="shared" si="3"/>
        <v>1.4054992166329846E-2</v>
      </c>
    </row>
    <row r="12" spans="1:11" x14ac:dyDescent="0.3">
      <c r="A12" s="31">
        <v>45991</v>
      </c>
      <c r="B12" s="31" t="s">
        <v>186</v>
      </c>
      <c r="C12" t="s">
        <v>570</v>
      </c>
      <c r="D12" s="4">
        <v>764911.8798216061</v>
      </c>
      <c r="E12" s="6">
        <f t="shared" si="0"/>
        <v>4.8213722457090366E-2</v>
      </c>
      <c r="F12" s="4">
        <v>138067.55886930184</v>
      </c>
      <c r="G12" s="6">
        <f t="shared" si="1"/>
        <v>2.0020677253165302E-2</v>
      </c>
      <c r="H12" s="4">
        <v>19125.461309091956</v>
      </c>
      <c r="I12" s="6">
        <f t="shared" si="2"/>
        <v>7.7853967159867707E-3</v>
      </c>
      <c r="J12" s="4">
        <v>922104.9</v>
      </c>
      <c r="K12" s="6">
        <f t="shared" si="3"/>
        <v>3.6565557921660059E-2</v>
      </c>
    </row>
    <row r="13" spans="1:11" x14ac:dyDescent="0.3">
      <c r="A13" s="31">
        <v>45991</v>
      </c>
      <c r="B13" s="31" t="s">
        <v>186</v>
      </c>
      <c r="C13" t="s">
        <v>569</v>
      </c>
      <c r="D13" s="4">
        <v>708945.35598496348</v>
      </c>
      <c r="E13" s="6">
        <f t="shared" si="0"/>
        <v>4.4686055390686152E-2</v>
      </c>
      <c r="F13" s="4">
        <v>127965.53074244363</v>
      </c>
      <c r="G13" s="6">
        <f t="shared" si="1"/>
        <v>1.8555818698508877E-2</v>
      </c>
      <c r="H13" s="4">
        <v>17726.103272592747</v>
      </c>
      <c r="I13" s="6">
        <f t="shared" si="2"/>
        <v>7.2157603926698774E-3</v>
      </c>
      <c r="J13" s="4">
        <v>854636.99</v>
      </c>
      <c r="K13" s="6">
        <f t="shared" si="3"/>
        <v>3.3890155404052408E-2</v>
      </c>
    </row>
    <row r="14" spans="1:11" x14ac:dyDescent="0.3">
      <c r="A14" s="31">
        <v>45991</v>
      </c>
      <c r="B14" s="31" t="s">
        <v>186</v>
      </c>
      <c r="C14" t="s">
        <v>568</v>
      </c>
      <c r="D14" s="4">
        <v>221948.92329795798</v>
      </c>
      <c r="E14" s="6">
        <f t="shared" si="0"/>
        <v>1.3989825586227637E-2</v>
      </c>
      <c r="F14" s="4">
        <v>40062.060535085162</v>
      </c>
      <c r="G14" s="6">
        <f t="shared" si="1"/>
        <v>5.8092544739562586E-3</v>
      </c>
      <c r="H14" s="4">
        <v>5549.4961669567865</v>
      </c>
      <c r="I14" s="6">
        <f t="shared" si="2"/>
        <v>2.259032006358326E-3</v>
      </c>
      <c r="J14" s="4">
        <v>267560.48</v>
      </c>
      <c r="K14" s="6">
        <f t="shared" si="3"/>
        <v>1.0609962303624204E-2</v>
      </c>
    </row>
    <row r="15" spans="1:11" x14ac:dyDescent="0.3">
      <c r="A15" s="31">
        <v>45991</v>
      </c>
      <c r="B15" s="31" t="s">
        <v>186</v>
      </c>
      <c r="C15" t="s">
        <v>567</v>
      </c>
      <c r="D15" s="4">
        <v>511862.42358821857</v>
      </c>
      <c r="E15" s="6">
        <f t="shared" si="0"/>
        <v>3.2263576338821702E-2</v>
      </c>
      <c r="F15" s="4">
        <v>92391.812921289718</v>
      </c>
      <c r="G15" s="6">
        <f t="shared" si="1"/>
        <v>1.3397402564949996E-2</v>
      </c>
      <c r="H15" s="4">
        <v>12798.343490491556</v>
      </c>
      <c r="I15" s="6">
        <f t="shared" si="2"/>
        <v>5.2098184598337602E-3</v>
      </c>
      <c r="J15" s="4">
        <v>617052.57999999996</v>
      </c>
      <c r="K15" s="6">
        <f t="shared" si="3"/>
        <v>2.4468877515670697E-2</v>
      </c>
    </row>
    <row r="16" spans="1:11" x14ac:dyDescent="0.3">
      <c r="A16" s="31">
        <v>45991</v>
      </c>
      <c r="B16" s="31" t="s">
        <v>186</v>
      </c>
      <c r="C16" t="s">
        <v>566</v>
      </c>
      <c r="D16" s="4">
        <v>159581.11399371864</v>
      </c>
      <c r="E16" s="6">
        <f t="shared" si="0"/>
        <v>1.0058674394337891E-2</v>
      </c>
      <c r="F16" s="4">
        <v>28804.592309241005</v>
      </c>
      <c r="G16" s="6">
        <f t="shared" si="1"/>
        <v>4.1768497303427245E-3</v>
      </c>
      <c r="H16" s="4">
        <v>3990.0836970403248</v>
      </c>
      <c r="I16" s="6">
        <f t="shared" si="2"/>
        <v>1.6242423651597129E-3</v>
      </c>
      <c r="J16" s="4">
        <v>192375.79</v>
      </c>
      <c r="K16" s="6">
        <f t="shared" si="3"/>
        <v>7.6285551589305211E-3</v>
      </c>
    </row>
    <row r="17" spans="1:11" x14ac:dyDescent="0.3">
      <c r="A17" s="31">
        <v>45991</v>
      </c>
      <c r="B17" s="31" t="s">
        <v>186</v>
      </c>
      <c r="C17" t="s">
        <v>565</v>
      </c>
      <c r="D17" s="4">
        <v>238313.03973577154</v>
      </c>
      <c r="E17" s="6">
        <f t="shared" si="0"/>
        <v>1.50212842274142E-2</v>
      </c>
      <c r="F17" s="4">
        <v>43015.804187424394</v>
      </c>
      <c r="G17" s="6">
        <f t="shared" si="1"/>
        <v>6.237566155834034E-3</v>
      </c>
      <c r="H17" s="4">
        <v>5958.6560768040108</v>
      </c>
      <c r="I17" s="6">
        <f t="shared" si="2"/>
        <v>2.4255886277624694E-3</v>
      </c>
      <c r="J17" s="4">
        <v>287287.5</v>
      </c>
      <c r="K17" s="6">
        <f t="shared" si="3"/>
        <v>1.139222633066901E-2</v>
      </c>
    </row>
    <row r="18" spans="1:11" x14ac:dyDescent="0.3">
      <c r="A18" s="31">
        <v>45991</v>
      </c>
      <c r="B18" s="31" t="s">
        <v>186</v>
      </c>
      <c r="C18" t="s">
        <v>564</v>
      </c>
      <c r="D18" s="4">
        <v>2605562.7281269557</v>
      </c>
      <c r="E18" s="6">
        <f t="shared" si="0"/>
        <v>0.16423313787171204</v>
      </c>
      <c r="F18" s="4">
        <v>470307.35806747718</v>
      </c>
      <c r="G18" s="6">
        <f t="shared" si="1"/>
        <v>6.81975686596379E-2</v>
      </c>
      <c r="H18" s="4">
        <v>65148.143805566477</v>
      </c>
      <c r="I18" s="6">
        <f t="shared" si="2"/>
        <v>2.6519838483340212E-2</v>
      </c>
      <c r="J18" s="4">
        <v>3141018.23</v>
      </c>
      <c r="K18" s="6">
        <f t="shared" si="3"/>
        <v>0.12455533423806245</v>
      </c>
    </row>
    <row r="19" spans="1:11" x14ac:dyDescent="0.3">
      <c r="A19" s="31">
        <v>45991</v>
      </c>
      <c r="B19" s="31" t="s">
        <v>186</v>
      </c>
      <c r="C19" t="s">
        <v>563</v>
      </c>
      <c r="D19" s="4">
        <v>191710.7096566034</v>
      </c>
      <c r="E19" s="6">
        <f t="shared" si="0"/>
        <v>1.2083858534908619E-2</v>
      </c>
      <c r="F19" s="4">
        <v>34604.02484213197</v>
      </c>
      <c r="G19" s="6">
        <f t="shared" si="1"/>
        <v>5.0178044625287851E-3</v>
      </c>
      <c r="H19" s="4">
        <v>4793.4355012646029</v>
      </c>
      <c r="I19" s="6">
        <f t="shared" si="2"/>
        <v>1.9512625816820977E-3</v>
      </c>
      <c r="J19" s="4">
        <v>231108.17</v>
      </c>
      <c r="K19" s="6">
        <f t="shared" si="3"/>
        <v>9.1644661863350477E-3</v>
      </c>
    </row>
    <row r="20" spans="1:11" x14ac:dyDescent="0.3">
      <c r="A20" s="31">
        <v>45991</v>
      </c>
      <c r="B20" s="31" t="s">
        <v>186</v>
      </c>
      <c r="C20" t="s">
        <v>562</v>
      </c>
      <c r="D20" s="4">
        <v>274890.23299286875</v>
      </c>
      <c r="E20" s="6">
        <f t="shared" si="0"/>
        <v>1.73268081583124E-2</v>
      </c>
      <c r="F20" s="4">
        <v>49618.033694535581</v>
      </c>
      <c r="G20" s="6">
        <f t="shared" si="1"/>
        <v>7.1949315731390769E-3</v>
      </c>
      <c r="H20" s="4">
        <v>6873.2133125955943</v>
      </c>
      <c r="I20" s="6">
        <f t="shared" si="2"/>
        <v>2.7978772112921594E-3</v>
      </c>
      <c r="J20" s="4">
        <v>331381.48</v>
      </c>
      <c r="K20" s="6">
        <f t="shared" si="3"/>
        <v>1.3140748629689999E-2</v>
      </c>
    </row>
    <row r="21" spans="1:11" x14ac:dyDescent="0.3">
      <c r="A21" s="31">
        <v>45991</v>
      </c>
      <c r="B21" s="31" t="s">
        <v>186</v>
      </c>
      <c r="C21" t="s">
        <v>561</v>
      </c>
      <c r="D21" s="4">
        <v>5413007.2664883081</v>
      </c>
      <c r="E21" s="6">
        <f t="shared" si="0"/>
        <v>0.34119123638862442</v>
      </c>
      <c r="F21" s="4">
        <v>977054.63745723711</v>
      </c>
      <c r="G21" s="6">
        <f t="shared" si="1"/>
        <v>0.141679158489048</v>
      </c>
      <c r="H21" s="4">
        <v>135344.03605445413</v>
      </c>
      <c r="I21" s="6">
        <f t="shared" si="2"/>
        <v>5.509446265360543E-2</v>
      </c>
      <c r="J21" s="4">
        <v>6525405.9400000004</v>
      </c>
      <c r="K21" s="6">
        <f t="shared" si="3"/>
        <v>0.25876135010389234</v>
      </c>
    </row>
    <row r="22" spans="1:11" x14ac:dyDescent="0.3">
      <c r="A22" s="31">
        <v>45991</v>
      </c>
      <c r="B22" s="31" t="s">
        <v>186</v>
      </c>
      <c r="C22" t="s">
        <v>560</v>
      </c>
      <c r="D22" s="4">
        <v>10196722.683511691</v>
      </c>
      <c r="E22" s="6">
        <f t="shared" si="0"/>
        <v>0.64271711605447568</v>
      </c>
      <c r="F22" s="4">
        <v>1840521.3025427628</v>
      </c>
      <c r="G22" s="6">
        <f t="shared" si="1"/>
        <v>0.26688733600820558</v>
      </c>
      <c r="H22" s="4">
        <v>254953.58394554586</v>
      </c>
      <c r="I22" s="6">
        <f t="shared" si="2"/>
        <v>0.10378389117522158</v>
      </c>
      <c r="J22" s="4">
        <v>12292197.57</v>
      </c>
      <c r="K22" s="6">
        <f t="shared" si="3"/>
        <v>0.4874402708740882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8F88-0A69-4D1C-ACF3-B57DC3D530AD}">
  <sheetPr>
    <tabColor theme="1"/>
  </sheetPr>
  <dimension ref="A1"/>
  <sheetViews>
    <sheetView workbookViewId="0">
      <selection activeCell="O47" sqref="O47"/>
    </sheetView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43D6-7A3F-4ACD-8534-28F1187032D8}">
  <sheetPr>
    <tabColor theme="7" tint="0.59999389629810485"/>
  </sheetPr>
  <dimension ref="A1:E577"/>
  <sheetViews>
    <sheetView workbookViewId="0">
      <selection activeCell="B1" sqref="B1"/>
    </sheetView>
  </sheetViews>
  <sheetFormatPr defaultRowHeight="14.4" x14ac:dyDescent="0.3"/>
  <cols>
    <col min="1" max="5" width="52.88671875" customWidth="1"/>
  </cols>
  <sheetData>
    <row r="1" spans="1:5" x14ac:dyDescent="0.3">
      <c r="A1" s="13" t="s">
        <v>267</v>
      </c>
      <c r="B1" s="13" t="s">
        <v>642</v>
      </c>
      <c r="C1" s="13" t="s">
        <v>641</v>
      </c>
      <c r="D1" s="13" t="s">
        <v>640</v>
      </c>
      <c r="E1" s="13" t="s">
        <v>639</v>
      </c>
    </row>
    <row r="2" spans="1:5" x14ac:dyDescent="0.3">
      <c r="A2" s="31">
        <v>45657</v>
      </c>
      <c r="B2" t="s">
        <v>35</v>
      </c>
      <c r="C2" t="s">
        <v>638</v>
      </c>
      <c r="D2">
        <v>1</v>
      </c>
      <c r="E2" t="s">
        <v>590</v>
      </c>
    </row>
    <row r="3" spans="1:5" x14ac:dyDescent="0.3">
      <c r="A3" s="31">
        <v>45657</v>
      </c>
      <c r="B3" t="s">
        <v>35</v>
      </c>
      <c r="C3" t="s">
        <v>637</v>
      </c>
      <c r="D3">
        <v>2.8</v>
      </c>
      <c r="E3" t="s">
        <v>590</v>
      </c>
    </row>
    <row r="4" spans="1:5" x14ac:dyDescent="0.3">
      <c r="A4" s="31">
        <v>45657</v>
      </c>
      <c r="B4" t="s">
        <v>35</v>
      </c>
      <c r="C4" t="s">
        <v>636</v>
      </c>
      <c r="D4">
        <v>2.1</v>
      </c>
      <c r="E4" t="s">
        <v>590</v>
      </c>
    </row>
    <row r="5" spans="1:5" x14ac:dyDescent="0.3">
      <c r="A5" s="31">
        <v>45657</v>
      </c>
      <c r="B5" t="s">
        <v>35</v>
      </c>
      <c r="C5" t="s">
        <v>275</v>
      </c>
      <c r="D5">
        <v>1.6</v>
      </c>
      <c r="E5" t="s">
        <v>590</v>
      </c>
    </row>
    <row r="6" spans="1:5" x14ac:dyDescent="0.3">
      <c r="A6" s="31">
        <v>45657</v>
      </c>
      <c r="B6" t="s">
        <v>35</v>
      </c>
      <c r="C6" t="s">
        <v>635</v>
      </c>
      <c r="D6">
        <v>2.2000000000000002</v>
      </c>
      <c r="E6" t="s">
        <v>590</v>
      </c>
    </row>
    <row r="7" spans="1:5" x14ac:dyDescent="0.3">
      <c r="A7" s="31">
        <v>45657</v>
      </c>
      <c r="B7" t="s">
        <v>35</v>
      </c>
      <c r="C7" t="s">
        <v>634</v>
      </c>
      <c r="D7">
        <v>2</v>
      </c>
      <c r="E7" t="s">
        <v>590</v>
      </c>
    </row>
    <row r="8" spans="1:5" x14ac:dyDescent="0.3">
      <c r="A8" s="31">
        <v>45657</v>
      </c>
      <c r="B8" t="s">
        <v>35</v>
      </c>
      <c r="C8" t="s">
        <v>633</v>
      </c>
      <c r="D8">
        <v>1.9</v>
      </c>
      <c r="E8" t="s">
        <v>590</v>
      </c>
    </row>
    <row r="9" spans="1:5" x14ac:dyDescent="0.3">
      <c r="A9" s="31">
        <v>45657</v>
      </c>
      <c r="B9" t="s">
        <v>35</v>
      </c>
      <c r="C9" t="s">
        <v>632</v>
      </c>
      <c r="D9">
        <v>1.6</v>
      </c>
      <c r="E9" t="s">
        <v>590</v>
      </c>
    </row>
    <row r="10" spans="1:5" x14ac:dyDescent="0.3">
      <c r="A10" s="31">
        <v>45657</v>
      </c>
      <c r="B10" t="s">
        <v>35</v>
      </c>
      <c r="C10" t="s">
        <v>631</v>
      </c>
      <c r="D10">
        <v>2.1</v>
      </c>
      <c r="E10" t="s">
        <v>590</v>
      </c>
    </row>
    <row r="11" spans="1:5" x14ac:dyDescent="0.3">
      <c r="A11" s="31">
        <v>45657</v>
      </c>
      <c r="B11" t="s">
        <v>35</v>
      </c>
      <c r="C11" t="s">
        <v>630</v>
      </c>
      <c r="D11">
        <v>1.8</v>
      </c>
      <c r="E11" t="s">
        <v>590</v>
      </c>
    </row>
    <row r="12" spans="1:5" x14ac:dyDescent="0.3">
      <c r="A12" s="31">
        <v>45657</v>
      </c>
      <c r="B12" t="s">
        <v>23</v>
      </c>
      <c r="C12" t="s">
        <v>629</v>
      </c>
      <c r="D12">
        <v>1</v>
      </c>
      <c r="E12" t="s">
        <v>590</v>
      </c>
    </row>
    <row r="13" spans="1:5" x14ac:dyDescent="0.3">
      <c r="A13" s="31">
        <v>45657</v>
      </c>
      <c r="B13" t="s">
        <v>23</v>
      </c>
      <c r="C13" t="s">
        <v>628</v>
      </c>
      <c r="D13">
        <v>5</v>
      </c>
      <c r="E13" t="s">
        <v>590</v>
      </c>
    </row>
    <row r="14" spans="1:5" x14ac:dyDescent="0.3">
      <c r="A14" s="31">
        <v>45657</v>
      </c>
      <c r="B14" t="s">
        <v>23</v>
      </c>
      <c r="C14" t="s">
        <v>627</v>
      </c>
      <c r="D14">
        <v>2.5</v>
      </c>
      <c r="E14" t="s">
        <v>590</v>
      </c>
    </row>
    <row r="15" spans="1:5" x14ac:dyDescent="0.3">
      <c r="A15" s="31">
        <v>45657</v>
      </c>
      <c r="B15" t="s">
        <v>23</v>
      </c>
      <c r="C15" t="s">
        <v>626</v>
      </c>
      <c r="D15">
        <v>2.6</v>
      </c>
      <c r="E15" t="s">
        <v>590</v>
      </c>
    </row>
    <row r="16" spans="1:5" x14ac:dyDescent="0.3">
      <c r="A16" s="31">
        <v>45657</v>
      </c>
      <c r="B16" t="s">
        <v>23</v>
      </c>
      <c r="C16" t="s">
        <v>625</v>
      </c>
      <c r="D16">
        <v>2</v>
      </c>
      <c r="E16" t="s">
        <v>590</v>
      </c>
    </row>
    <row r="17" spans="1:5" x14ac:dyDescent="0.3">
      <c r="A17" s="31">
        <v>45657</v>
      </c>
      <c r="B17" t="s">
        <v>23</v>
      </c>
      <c r="C17" t="s">
        <v>624</v>
      </c>
      <c r="D17">
        <v>2.7</v>
      </c>
      <c r="E17" t="s">
        <v>590</v>
      </c>
    </row>
    <row r="18" spans="1:5" x14ac:dyDescent="0.3">
      <c r="A18" s="31">
        <v>45657</v>
      </c>
      <c r="B18" t="s">
        <v>23</v>
      </c>
      <c r="C18" t="s">
        <v>623</v>
      </c>
      <c r="D18">
        <v>1</v>
      </c>
      <c r="E18" t="s">
        <v>590</v>
      </c>
    </row>
    <row r="19" spans="1:5" x14ac:dyDescent="0.3">
      <c r="A19" s="31">
        <v>45657</v>
      </c>
      <c r="B19" t="s">
        <v>23</v>
      </c>
      <c r="C19" t="s">
        <v>622</v>
      </c>
      <c r="D19">
        <v>2.1</v>
      </c>
      <c r="E19" t="s">
        <v>590</v>
      </c>
    </row>
    <row r="20" spans="1:5" x14ac:dyDescent="0.3">
      <c r="A20" s="31">
        <v>45657</v>
      </c>
      <c r="B20" t="s">
        <v>23</v>
      </c>
      <c r="C20" t="s">
        <v>620</v>
      </c>
      <c r="D20">
        <v>4.9000000000000004</v>
      </c>
      <c r="E20" t="s">
        <v>590</v>
      </c>
    </row>
    <row r="21" spans="1:5" x14ac:dyDescent="0.3">
      <c r="A21" s="31">
        <v>45657</v>
      </c>
      <c r="B21" t="s">
        <v>23</v>
      </c>
      <c r="C21" t="s">
        <v>619</v>
      </c>
      <c r="D21">
        <v>2.1</v>
      </c>
      <c r="E21" t="s">
        <v>590</v>
      </c>
    </row>
    <row r="22" spans="1:5" x14ac:dyDescent="0.3">
      <c r="A22" s="31">
        <v>45657</v>
      </c>
      <c r="B22" t="s">
        <v>23</v>
      </c>
      <c r="C22" t="s">
        <v>618</v>
      </c>
      <c r="D22">
        <v>2.4</v>
      </c>
      <c r="E22" t="s">
        <v>590</v>
      </c>
    </row>
    <row r="23" spans="1:5" x14ac:dyDescent="0.3">
      <c r="A23" s="31">
        <v>45657</v>
      </c>
      <c r="B23" t="s">
        <v>23</v>
      </c>
      <c r="C23" t="s">
        <v>617</v>
      </c>
      <c r="D23">
        <v>2.5</v>
      </c>
      <c r="E23" t="s">
        <v>590</v>
      </c>
    </row>
    <row r="24" spans="1:5" x14ac:dyDescent="0.3">
      <c r="A24" s="31">
        <v>45657</v>
      </c>
      <c r="B24" t="s">
        <v>23</v>
      </c>
      <c r="C24" t="s">
        <v>616</v>
      </c>
      <c r="D24">
        <v>2.1</v>
      </c>
      <c r="E24" t="s">
        <v>590</v>
      </c>
    </row>
    <row r="25" spans="1:5" x14ac:dyDescent="0.3">
      <c r="A25" s="31">
        <v>45657</v>
      </c>
      <c r="B25" t="s">
        <v>8</v>
      </c>
      <c r="C25" t="s">
        <v>615</v>
      </c>
      <c r="D25">
        <v>4.7</v>
      </c>
      <c r="E25" t="s">
        <v>590</v>
      </c>
    </row>
    <row r="26" spans="1:5" x14ac:dyDescent="0.3">
      <c r="A26" s="31">
        <v>45657</v>
      </c>
      <c r="B26" t="s">
        <v>8</v>
      </c>
      <c r="C26" t="s">
        <v>614</v>
      </c>
      <c r="D26">
        <v>3.7</v>
      </c>
      <c r="E26" t="s">
        <v>590</v>
      </c>
    </row>
    <row r="27" spans="1:5" x14ac:dyDescent="0.3">
      <c r="A27" s="31">
        <v>45657</v>
      </c>
      <c r="B27" t="s">
        <v>8</v>
      </c>
      <c r="C27" t="s">
        <v>613</v>
      </c>
      <c r="D27">
        <v>4.8</v>
      </c>
      <c r="E27" t="s">
        <v>590</v>
      </c>
    </row>
    <row r="28" spans="1:5" x14ac:dyDescent="0.3">
      <c r="A28" s="31">
        <v>45657</v>
      </c>
      <c r="B28" t="s">
        <v>8</v>
      </c>
      <c r="C28" t="s">
        <v>612</v>
      </c>
      <c r="D28">
        <v>4.2</v>
      </c>
      <c r="E28" t="s">
        <v>590</v>
      </c>
    </row>
    <row r="29" spans="1:5" x14ac:dyDescent="0.3">
      <c r="A29" s="31">
        <v>45657</v>
      </c>
      <c r="B29" t="s">
        <v>8</v>
      </c>
      <c r="C29" t="s">
        <v>611</v>
      </c>
      <c r="D29">
        <v>5</v>
      </c>
      <c r="E29" t="s">
        <v>590</v>
      </c>
    </row>
    <row r="30" spans="1:5" x14ac:dyDescent="0.3">
      <c r="A30" s="31">
        <v>45657</v>
      </c>
      <c r="B30" t="s">
        <v>8</v>
      </c>
      <c r="C30" t="s">
        <v>610</v>
      </c>
      <c r="D30">
        <v>4.5</v>
      </c>
      <c r="E30" t="s">
        <v>590</v>
      </c>
    </row>
    <row r="31" spans="1:5" x14ac:dyDescent="0.3">
      <c r="A31" s="31">
        <v>45657</v>
      </c>
      <c r="B31" t="s">
        <v>8</v>
      </c>
      <c r="C31" t="s">
        <v>609</v>
      </c>
      <c r="D31">
        <v>4.0999999999999996</v>
      </c>
      <c r="E31" t="s">
        <v>590</v>
      </c>
    </row>
    <row r="32" spans="1:5" x14ac:dyDescent="0.3">
      <c r="A32" s="31">
        <v>45657</v>
      </c>
      <c r="B32" t="s">
        <v>8</v>
      </c>
      <c r="C32" t="s">
        <v>608</v>
      </c>
      <c r="D32">
        <v>4</v>
      </c>
      <c r="E32" t="s">
        <v>590</v>
      </c>
    </row>
    <row r="33" spans="1:5" x14ac:dyDescent="0.3">
      <c r="A33" s="31">
        <v>45657</v>
      </c>
      <c r="B33" t="s">
        <v>8</v>
      </c>
      <c r="C33" t="s">
        <v>607</v>
      </c>
      <c r="D33">
        <v>4.2</v>
      </c>
      <c r="E33" t="s">
        <v>590</v>
      </c>
    </row>
    <row r="34" spans="1:5" x14ac:dyDescent="0.3">
      <c r="A34" s="31">
        <v>45657</v>
      </c>
      <c r="B34" t="s">
        <v>8</v>
      </c>
      <c r="C34" t="s">
        <v>606</v>
      </c>
      <c r="D34">
        <v>4.8</v>
      </c>
      <c r="E34" t="s">
        <v>590</v>
      </c>
    </row>
    <row r="35" spans="1:5" x14ac:dyDescent="0.3">
      <c r="A35" s="31">
        <v>45657</v>
      </c>
      <c r="B35" t="s">
        <v>8</v>
      </c>
      <c r="C35" t="s">
        <v>605</v>
      </c>
      <c r="D35">
        <v>4.4000000000000004</v>
      </c>
      <c r="E35" t="s">
        <v>590</v>
      </c>
    </row>
    <row r="36" spans="1:5" x14ac:dyDescent="0.3">
      <c r="A36" s="31">
        <v>45657</v>
      </c>
      <c r="B36" t="s">
        <v>8</v>
      </c>
      <c r="C36" t="s">
        <v>604</v>
      </c>
      <c r="D36">
        <v>4.0999999999999996</v>
      </c>
      <c r="E36" t="s">
        <v>590</v>
      </c>
    </row>
    <row r="37" spans="1:5" x14ac:dyDescent="0.3">
      <c r="A37" s="31">
        <v>45657</v>
      </c>
      <c r="B37" t="s">
        <v>8</v>
      </c>
      <c r="C37" t="s">
        <v>603</v>
      </c>
      <c r="D37">
        <v>4.5</v>
      </c>
      <c r="E37" t="s">
        <v>590</v>
      </c>
    </row>
    <row r="38" spans="1:5" x14ac:dyDescent="0.3">
      <c r="A38" s="31">
        <v>45657</v>
      </c>
      <c r="B38" t="s">
        <v>10</v>
      </c>
      <c r="C38" t="s">
        <v>602</v>
      </c>
      <c r="D38">
        <v>3.1</v>
      </c>
      <c r="E38" t="s">
        <v>590</v>
      </c>
    </row>
    <row r="39" spans="1:5" x14ac:dyDescent="0.3">
      <c r="A39" s="31">
        <v>45657</v>
      </c>
      <c r="B39" t="s">
        <v>10</v>
      </c>
      <c r="C39" t="s">
        <v>601</v>
      </c>
      <c r="D39">
        <v>3.7</v>
      </c>
      <c r="E39" t="s">
        <v>590</v>
      </c>
    </row>
    <row r="40" spans="1:5" x14ac:dyDescent="0.3">
      <c r="A40" s="31">
        <v>45657</v>
      </c>
      <c r="B40" t="s">
        <v>10</v>
      </c>
      <c r="C40" t="s">
        <v>600</v>
      </c>
      <c r="D40">
        <v>3.4</v>
      </c>
      <c r="E40" t="s">
        <v>590</v>
      </c>
    </row>
    <row r="41" spans="1:5" x14ac:dyDescent="0.3">
      <c r="A41" s="31">
        <v>45657</v>
      </c>
      <c r="B41" t="s">
        <v>10</v>
      </c>
      <c r="C41" t="s">
        <v>599</v>
      </c>
      <c r="D41">
        <v>5</v>
      </c>
      <c r="E41" t="s">
        <v>590</v>
      </c>
    </row>
    <row r="42" spans="1:5" x14ac:dyDescent="0.3">
      <c r="A42" s="31">
        <v>45657</v>
      </c>
      <c r="B42" t="s">
        <v>10</v>
      </c>
      <c r="C42" t="s">
        <v>598</v>
      </c>
      <c r="D42">
        <v>3.7</v>
      </c>
      <c r="E42" t="s">
        <v>590</v>
      </c>
    </row>
    <row r="43" spans="1:5" x14ac:dyDescent="0.3">
      <c r="A43" s="31">
        <v>45657</v>
      </c>
      <c r="B43" t="s">
        <v>10</v>
      </c>
      <c r="C43" t="s">
        <v>597</v>
      </c>
      <c r="D43">
        <v>3.4</v>
      </c>
      <c r="E43" t="s">
        <v>590</v>
      </c>
    </row>
    <row r="44" spans="1:5" x14ac:dyDescent="0.3">
      <c r="A44" s="31">
        <v>45657</v>
      </c>
      <c r="B44" t="s">
        <v>10</v>
      </c>
      <c r="C44" t="s">
        <v>596</v>
      </c>
      <c r="D44">
        <v>3.6</v>
      </c>
      <c r="E44" t="s">
        <v>590</v>
      </c>
    </row>
    <row r="45" spans="1:5" x14ac:dyDescent="0.3">
      <c r="A45" s="31">
        <v>45657</v>
      </c>
      <c r="B45" t="s">
        <v>10</v>
      </c>
      <c r="C45" t="s">
        <v>595</v>
      </c>
      <c r="D45">
        <v>3.6</v>
      </c>
      <c r="E45" t="s">
        <v>590</v>
      </c>
    </row>
    <row r="46" spans="1:5" x14ac:dyDescent="0.3">
      <c r="A46" s="31">
        <v>45657</v>
      </c>
      <c r="B46" t="s">
        <v>10</v>
      </c>
      <c r="C46" t="s">
        <v>594</v>
      </c>
      <c r="D46">
        <v>3.1</v>
      </c>
      <c r="E46" t="s">
        <v>590</v>
      </c>
    </row>
    <row r="47" spans="1:5" x14ac:dyDescent="0.3">
      <c r="A47" s="31">
        <v>45657</v>
      </c>
      <c r="B47" t="s">
        <v>10</v>
      </c>
      <c r="C47" t="s">
        <v>593</v>
      </c>
      <c r="D47">
        <v>3.5</v>
      </c>
      <c r="E47" t="s">
        <v>590</v>
      </c>
    </row>
    <row r="48" spans="1:5" x14ac:dyDescent="0.3">
      <c r="A48" s="31">
        <v>45657</v>
      </c>
      <c r="B48" t="s">
        <v>10</v>
      </c>
      <c r="C48" t="s">
        <v>592</v>
      </c>
      <c r="D48">
        <v>3.4</v>
      </c>
      <c r="E48" t="s">
        <v>590</v>
      </c>
    </row>
    <row r="49" spans="1:5" x14ac:dyDescent="0.3">
      <c r="A49" s="31">
        <v>45657</v>
      </c>
      <c r="B49" t="s">
        <v>10</v>
      </c>
      <c r="C49" t="s">
        <v>591</v>
      </c>
      <c r="D49">
        <v>3.6</v>
      </c>
      <c r="E49" t="s">
        <v>590</v>
      </c>
    </row>
    <row r="50" spans="1:5" x14ac:dyDescent="0.3">
      <c r="A50" s="31">
        <v>45688</v>
      </c>
      <c r="B50" t="s">
        <v>35</v>
      </c>
      <c r="C50" t="s">
        <v>638</v>
      </c>
      <c r="D50">
        <v>2.6</v>
      </c>
      <c r="E50" t="s">
        <v>590</v>
      </c>
    </row>
    <row r="51" spans="1:5" x14ac:dyDescent="0.3">
      <c r="A51" s="31">
        <v>45688</v>
      </c>
      <c r="B51" t="s">
        <v>35</v>
      </c>
      <c r="C51" t="s">
        <v>637</v>
      </c>
      <c r="D51">
        <v>3.7</v>
      </c>
      <c r="E51" t="s">
        <v>590</v>
      </c>
    </row>
    <row r="52" spans="1:5" x14ac:dyDescent="0.3">
      <c r="A52" s="31">
        <v>45688</v>
      </c>
      <c r="B52" t="s">
        <v>35</v>
      </c>
      <c r="C52" t="s">
        <v>636</v>
      </c>
      <c r="D52">
        <v>3</v>
      </c>
      <c r="E52" t="s">
        <v>590</v>
      </c>
    </row>
    <row r="53" spans="1:5" x14ac:dyDescent="0.3">
      <c r="A53" s="31">
        <v>45688</v>
      </c>
      <c r="B53" t="s">
        <v>35</v>
      </c>
      <c r="C53" t="s">
        <v>275</v>
      </c>
      <c r="D53">
        <v>2.9</v>
      </c>
      <c r="E53" t="s">
        <v>590</v>
      </c>
    </row>
    <row r="54" spans="1:5" x14ac:dyDescent="0.3">
      <c r="A54" s="31">
        <v>45688</v>
      </c>
      <c r="B54" t="s">
        <v>35</v>
      </c>
      <c r="C54" t="s">
        <v>635</v>
      </c>
      <c r="D54">
        <v>3.5</v>
      </c>
      <c r="E54" t="s">
        <v>590</v>
      </c>
    </row>
    <row r="55" spans="1:5" x14ac:dyDescent="0.3">
      <c r="A55" s="31">
        <v>45688</v>
      </c>
      <c r="B55" t="s">
        <v>35</v>
      </c>
      <c r="C55" t="s">
        <v>634</v>
      </c>
      <c r="D55">
        <v>3</v>
      </c>
      <c r="E55" t="s">
        <v>590</v>
      </c>
    </row>
    <row r="56" spans="1:5" x14ac:dyDescent="0.3">
      <c r="A56" s="31">
        <v>45688</v>
      </c>
      <c r="B56" t="s">
        <v>35</v>
      </c>
      <c r="C56" t="s">
        <v>633</v>
      </c>
      <c r="D56">
        <v>3.4</v>
      </c>
      <c r="E56" t="s">
        <v>590</v>
      </c>
    </row>
    <row r="57" spans="1:5" x14ac:dyDescent="0.3">
      <c r="A57" s="31">
        <v>45688</v>
      </c>
      <c r="B57" t="s">
        <v>35</v>
      </c>
      <c r="C57" t="s">
        <v>632</v>
      </c>
      <c r="D57">
        <v>3</v>
      </c>
      <c r="E57" t="s">
        <v>590</v>
      </c>
    </row>
    <row r="58" spans="1:5" x14ac:dyDescent="0.3">
      <c r="A58" s="31">
        <v>45688</v>
      </c>
      <c r="B58" t="s">
        <v>35</v>
      </c>
      <c r="C58" t="s">
        <v>631</v>
      </c>
      <c r="D58">
        <v>3.2</v>
      </c>
      <c r="E58" t="s">
        <v>590</v>
      </c>
    </row>
    <row r="59" spans="1:5" x14ac:dyDescent="0.3">
      <c r="A59" s="31">
        <v>45688</v>
      </c>
      <c r="B59" t="s">
        <v>35</v>
      </c>
      <c r="C59" t="s">
        <v>630</v>
      </c>
      <c r="D59">
        <v>2.8</v>
      </c>
      <c r="E59" t="s">
        <v>590</v>
      </c>
    </row>
    <row r="60" spans="1:5" x14ac:dyDescent="0.3">
      <c r="A60" s="31">
        <v>45688</v>
      </c>
      <c r="B60" t="s">
        <v>23</v>
      </c>
      <c r="C60" t="s">
        <v>629</v>
      </c>
      <c r="D60">
        <v>1.4</v>
      </c>
      <c r="E60" t="s">
        <v>590</v>
      </c>
    </row>
    <row r="61" spans="1:5" x14ac:dyDescent="0.3">
      <c r="A61" s="31">
        <v>45688</v>
      </c>
      <c r="B61" t="s">
        <v>23</v>
      </c>
      <c r="C61" t="s">
        <v>628</v>
      </c>
      <c r="D61">
        <v>2.2999999999999998</v>
      </c>
      <c r="E61" t="s">
        <v>621</v>
      </c>
    </row>
    <row r="62" spans="1:5" x14ac:dyDescent="0.3">
      <c r="A62" s="31">
        <v>45688</v>
      </c>
      <c r="B62" t="s">
        <v>23</v>
      </c>
      <c r="C62" t="s">
        <v>627</v>
      </c>
      <c r="D62">
        <v>2.5</v>
      </c>
      <c r="E62" t="s">
        <v>590</v>
      </c>
    </row>
    <row r="63" spans="1:5" x14ac:dyDescent="0.3">
      <c r="A63" s="31">
        <v>45688</v>
      </c>
      <c r="B63" t="s">
        <v>23</v>
      </c>
      <c r="C63" t="s">
        <v>626</v>
      </c>
      <c r="D63">
        <v>2.2999999999999998</v>
      </c>
      <c r="E63" t="s">
        <v>590</v>
      </c>
    </row>
    <row r="64" spans="1:5" x14ac:dyDescent="0.3">
      <c r="A64" s="31">
        <v>45688</v>
      </c>
      <c r="B64" t="s">
        <v>23</v>
      </c>
      <c r="C64" t="s">
        <v>625</v>
      </c>
      <c r="D64">
        <v>2</v>
      </c>
      <c r="E64" t="s">
        <v>590</v>
      </c>
    </row>
    <row r="65" spans="1:5" x14ac:dyDescent="0.3">
      <c r="A65" s="31">
        <v>45688</v>
      </c>
      <c r="B65" t="s">
        <v>23</v>
      </c>
      <c r="C65" t="s">
        <v>624</v>
      </c>
      <c r="D65">
        <v>2.6</v>
      </c>
      <c r="E65" t="s">
        <v>590</v>
      </c>
    </row>
    <row r="66" spans="1:5" x14ac:dyDescent="0.3">
      <c r="A66" s="31">
        <v>45688</v>
      </c>
      <c r="B66" t="s">
        <v>23</v>
      </c>
      <c r="C66" t="s">
        <v>623</v>
      </c>
      <c r="D66">
        <v>3.3</v>
      </c>
      <c r="E66" t="s">
        <v>621</v>
      </c>
    </row>
    <row r="67" spans="1:5" x14ac:dyDescent="0.3">
      <c r="A67" s="31">
        <v>45688</v>
      </c>
      <c r="B67" t="s">
        <v>23</v>
      </c>
      <c r="C67" t="s">
        <v>622</v>
      </c>
      <c r="D67">
        <v>2.2999999999999998</v>
      </c>
      <c r="E67" t="s">
        <v>590</v>
      </c>
    </row>
    <row r="68" spans="1:5" x14ac:dyDescent="0.3">
      <c r="A68" s="31">
        <v>45688</v>
      </c>
      <c r="B68" t="s">
        <v>23</v>
      </c>
      <c r="C68" t="s">
        <v>620</v>
      </c>
      <c r="D68">
        <v>3</v>
      </c>
      <c r="E68" t="s">
        <v>621</v>
      </c>
    </row>
    <row r="69" spans="1:5" x14ac:dyDescent="0.3">
      <c r="A69" s="31">
        <v>45688</v>
      </c>
      <c r="B69" t="s">
        <v>23</v>
      </c>
      <c r="C69" t="s">
        <v>619</v>
      </c>
      <c r="D69">
        <v>2</v>
      </c>
      <c r="E69" t="s">
        <v>590</v>
      </c>
    </row>
    <row r="70" spans="1:5" x14ac:dyDescent="0.3">
      <c r="A70" s="31">
        <v>45688</v>
      </c>
      <c r="B70" t="s">
        <v>23</v>
      </c>
      <c r="C70" t="s">
        <v>618</v>
      </c>
      <c r="D70">
        <v>2.1</v>
      </c>
      <c r="E70" t="s">
        <v>590</v>
      </c>
    </row>
    <row r="71" spans="1:5" x14ac:dyDescent="0.3">
      <c r="A71" s="31">
        <v>45688</v>
      </c>
      <c r="B71" t="s">
        <v>23</v>
      </c>
      <c r="C71" t="s">
        <v>617</v>
      </c>
      <c r="D71">
        <v>2.5</v>
      </c>
      <c r="E71" t="s">
        <v>590</v>
      </c>
    </row>
    <row r="72" spans="1:5" x14ac:dyDescent="0.3">
      <c r="A72" s="31">
        <v>45688</v>
      </c>
      <c r="B72" t="s">
        <v>23</v>
      </c>
      <c r="C72" t="s">
        <v>616</v>
      </c>
      <c r="D72">
        <v>2.1</v>
      </c>
      <c r="E72" t="s">
        <v>590</v>
      </c>
    </row>
    <row r="73" spans="1:5" x14ac:dyDescent="0.3">
      <c r="A73" s="31">
        <v>45688</v>
      </c>
      <c r="B73" t="s">
        <v>8</v>
      </c>
      <c r="C73" t="s">
        <v>615</v>
      </c>
      <c r="D73">
        <v>3.2</v>
      </c>
      <c r="E73" t="s">
        <v>590</v>
      </c>
    </row>
    <row r="74" spans="1:5" x14ac:dyDescent="0.3">
      <c r="A74" s="31">
        <v>45688</v>
      </c>
      <c r="B74" t="s">
        <v>8</v>
      </c>
      <c r="C74" t="s">
        <v>614</v>
      </c>
      <c r="D74">
        <v>1.8</v>
      </c>
      <c r="E74" t="s">
        <v>621</v>
      </c>
    </row>
    <row r="75" spans="1:5" x14ac:dyDescent="0.3">
      <c r="A75" s="31">
        <v>45688</v>
      </c>
      <c r="B75" t="s">
        <v>8</v>
      </c>
      <c r="C75" t="s">
        <v>613</v>
      </c>
      <c r="D75">
        <v>3</v>
      </c>
      <c r="E75" t="s">
        <v>590</v>
      </c>
    </row>
    <row r="76" spans="1:5" x14ac:dyDescent="0.3">
      <c r="A76" s="31">
        <v>45688</v>
      </c>
      <c r="B76" t="s">
        <v>8</v>
      </c>
      <c r="C76" t="s">
        <v>612</v>
      </c>
      <c r="D76">
        <v>3</v>
      </c>
      <c r="E76" t="s">
        <v>590</v>
      </c>
    </row>
    <row r="77" spans="1:5" x14ac:dyDescent="0.3">
      <c r="A77" s="31">
        <v>45688</v>
      </c>
      <c r="B77" t="s">
        <v>8</v>
      </c>
      <c r="C77" t="s">
        <v>611</v>
      </c>
      <c r="D77">
        <v>4.7</v>
      </c>
      <c r="E77" t="s">
        <v>590</v>
      </c>
    </row>
    <row r="78" spans="1:5" x14ac:dyDescent="0.3">
      <c r="A78" s="31">
        <v>45688</v>
      </c>
      <c r="B78" t="s">
        <v>8</v>
      </c>
      <c r="C78" t="s">
        <v>610</v>
      </c>
      <c r="D78">
        <v>3.3</v>
      </c>
      <c r="E78" t="s">
        <v>590</v>
      </c>
    </row>
    <row r="79" spans="1:5" x14ac:dyDescent="0.3">
      <c r="A79" s="31">
        <v>45688</v>
      </c>
      <c r="B79" t="s">
        <v>8</v>
      </c>
      <c r="C79" t="s">
        <v>609</v>
      </c>
      <c r="D79">
        <v>3.5</v>
      </c>
      <c r="E79" t="s">
        <v>590</v>
      </c>
    </row>
    <row r="80" spans="1:5" x14ac:dyDescent="0.3">
      <c r="A80" s="31">
        <v>45688</v>
      </c>
      <c r="B80" t="s">
        <v>8</v>
      </c>
      <c r="C80" t="s">
        <v>608</v>
      </c>
      <c r="D80">
        <v>3.5</v>
      </c>
      <c r="E80" t="s">
        <v>590</v>
      </c>
    </row>
    <row r="81" spans="1:5" x14ac:dyDescent="0.3">
      <c r="A81" s="31">
        <v>45688</v>
      </c>
      <c r="B81" t="s">
        <v>8</v>
      </c>
      <c r="C81" t="s">
        <v>607</v>
      </c>
      <c r="D81">
        <v>3.6</v>
      </c>
      <c r="E81" t="s">
        <v>590</v>
      </c>
    </row>
    <row r="82" spans="1:5" x14ac:dyDescent="0.3">
      <c r="A82" s="31">
        <v>45688</v>
      </c>
      <c r="B82" t="s">
        <v>8</v>
      </c>
      <c r="C82" t="s">
        <v>606</v>
      </c>
      <c r="D82">
        <v>2.8</v>
      </c>
      <c r="E82" t="s">
        <v>621</v>
      </c>
    </row>
    <row r="83" spans="1:5" x14ac:dyDescent="0.3">
      <c r="A83" s="31">
        <v>45688</v>
      </c>
      <c r="B83" t="s">
        <v>8</v>
      </c>
      <c r="C83" t="s">
        <v>605</v>
      </c>
      <c r="D83">
        <v>3.2</v>
      </c>
      <c r="E83" t="s">
        <v>590</v>
      </c>
    </row>
    <row r="84" spans="1:5" x14ac:dyDescent="0.3">
      <c r="A84" s="31">
        <v>45688</v>
      </c>
      <c r="B84" t="s">
        <v>8</v>
      </c>
      <c r="C84" t="s">
        <v>604</v>
      </c>
      <c r="D84">
        <v>3.4</v>
      </c>
      <c r="E84" t="s">
        <v>590</v>
      </c>
    </row>
    <row r="85" spans="1:5" x14ac:dyDescent="0.3">
      <c r="A85" s="31">
        <v>45688</v>
      </c>
      <c r="B85" t="s">
        <v>8</v>
      </c>
      <c r="C85" t="s">
        <v>603</v>
      </c>
      <c r="D85">
        <v>3.3</v>
      </c>
      <c r="E85" t="s">
        <v>590</v>
      </c>
    </row>
    <row r="86" spans="1:5" x14ac:dyDescent="0.3">
      <c r="A86" s="31">
        <v>45688</v>
      </c>
      <c r="B86" t="s">
        <v>10</v>
      </c>
      <c r="C86" t="s">
        <v>602</v>
      </c>
      <c r="D86">
        <v>3.6</v>
      </c>
      <c r="E86" t="s">
        <v>590</v>
      </c>
    </row>
    <row r="87" spans="1:5" x14ac:dyDescent="0.3">
      <c r="A87" s="31">
        <v>45688</v>
      </c>
      <c r="B87" t="s">
        <v>10</v>
      </c>
      <c r="C87" t="s">
        <v>601</v>
      </c>
      <c r="D87">
        <v>3.7</v>
      </c>
      <c r="E87" t="s">
        <v>590</v>
      </c>
    </row>
    <row r="88" spans="1:5" x14ac:dyDescent="0.3">
      <c r="A88" s="31">
        <v>45688</v>
      </c>
      <c r="B88" t="s">
        <v>10</v>
      </c>
      <c r="C88" t="s">
        <v>600</v>
      </c>
      <c r="D88">
        <v>2.9</v>
      </c>
      <c r="E88" t="s">
        <v>590</v>
      </c>
    </row>
    <row r="89" spans="1:5" x14ac:dyDescent="0.3">
      <c r="A89" s="31">
        <v>45688</v>
      </c>
      <c r="B89" t="s">
        <v>10</v>
      </c>
      <c r="C89" t="s">
        <v>599</v>
      </c>
      <c r="D89">
        <v>4.7</v>
      </c>
      <c r="E89" t="s">
        <v>590</v>
      </c>
    </row>
    <row r="90" spans="1:5" x14ac:dyDescent="0.3">
      <c r="A90" s="31">
        <v>45688</v>
      </c>
      <c r="B90" t="s">
        <v>10</v>
      </c>
      <c r="C90" t="s">
        <v>598</v>
      </c>
      <c r="D90">
        <v>3.2</v>
      </c>
      <c r="E90" t="s">
        <v>590</v>
      </c>
    </row>
    <row r="91" spans="1:5" x14ac:dyDescent="0.3">
      <c r="A91" s="31">
        <v>45688</v>
      </c>
      <c r="B91" t="s">
        <v>10</v>
      </c>
      <c r="C91" t="s">
        <v>597</v>
      </c>
      <c r="D91">
        <v>3.1</v>
      </c>
      <c r="E91" t="s">
        <v>590</v>
      </c>
    </row>
    <row r="92" spans="1:5" x14ac:dyDescent="0.3">
      <c r="A92" s="31">
        <v>45688</v>
      </c>
      <c r="B92" t="s">
        <v>10</v>
      </c>
      <c r="C92" t="s">
        <v>596</v>
      </c>
      <c r="D92">
        <v>3.5</v>
      </c>
      <c r="E92" t="s">
        <v>590</v>
      </c>
    </row>
    <row r="93" spans="1:5" x14ac:dyDescent="0.3">
      <c r="A93" s="31">
        <v>45688</v>
      </c>
      <c r="B93" t="s">
        <v>10</v>
      </c>
      <c r="C93" t="s">
        <v>595</v>
      </c>
      <c r="D93">
        <v>2.9</v>
      </c>
      <c r="E93" t="s">
        <v>590</v>
      </c>
    </row>
    <row r="94" spans="1:5" x14ac:dyDescent="0.3">
      <c r="A94" s="31">
        <v>45688</v>
      </c>
      <c r="B94" t="s">
        <v>10</v>
      </c>
      <c r="C94" t="s">
        <v>594</v>
      </c>
      <c r="D94">
        <v>3.4</v>
      </c>
      <c r="E94" t="s">
        <v>590</v>
      </c>
    </row>
    <row r="95" spans="1:5" x14ac:dyDescent="0.3">
      <c r="A95" s="31">
        <v>45688</v>
      </c>
      <c r="B95" t="s">
        <v>10</v>
      </c>
      <c r="C95" t="s">
        <v>593</v>
      </c>
      <c r="D95">
        <v>3.6</v>
      </c>
      <c r="E95" t="s">
        <v>590</v>
      </c>
    </row>
    <row r="96" spans="1:5" x14ac:dyDescent="0.3">
      <c r="A96" s="31">
        <v>45688</v>
      </c>
      <c r="B96" t="s">
        <v>10</v>
      </c>
      <c r="C96" t="s">
        <v>592</v>
      </c>
      <c r="D96">
        <v>2.9</v>
      </c>
      <c r="E96" t="s">
        <v>590</v>
      </c>
    </row>
    <row r="97" spans="1:5" x14ac:dyDescent="0.3">
      <c r="A97" s="31">
        <v>45688</v>
      </c>
      <c r="B97" t="s">
        <v>10</v>
      </c>
      <c r="C97" t="s">
        <v>591</v>
      </c>
      <c r="D97">
        <v>3.3</v>
      </c>
      <c r="E97" t="s">
        <v>590</v>
      </c>
    </row>
    <row r="98" spans="1:5" x14ac:dyDescent="0.3">
      <c r="A98" s="31">
        <v>45716</v>
      </c>
      <c r="B98" t="s">
        <v>35</v>
      </c>
      <c r="C98" t="s">
        <v>638</v>
      </c>
      <c r="D98">
        <v>3.1</v>
      </c>
      <c r="E98" t="s">
        <v>590</v>
      </c>
    </row>
    <row r="99" spans="1:5" x14ac:dyDescent="0.3">
      <c r="A99" s="31">
        <v>45716</v>
      </c>
      <c r="B99" t="s">
        <v>35</v>
      </c>
      <c r="C99" t="s">
        <v>637</v>
      </c>
      <c r="D99">
        <v>3.7</v>
      </c>
      <c r="E99" t="s">
        <v>590</v>
      </c>
    </row>
    <row r="100" spans="1:5" x14ac:dyDescent="0.3">
      <c r="A100" s="31">
        <v>45716</v>
      </c>
      <c r="B100" t="s">
        <v>35</v>
      </c>
      <c r="C100" t="s">
        <v>636</v>
      </c>
      <c r="D100">
        <v>3.6</v>
      </c>
      <c r="E100" t="s">
        <v>590</v>
      </c>
    </row>
    <row r="101" spans="1:5" x14ac:dyDescent="0.3">
      <c r="A101" s="31">
        <v>45716</v>
      </c>
      <c r="B101" t="s">
        <v>35</v>
      </c>
      <c r="C101" t="s">
        <v>275</v>
      </c>
      <c r="D101">
        <v>3.7</v>
      </c>
      <c r="E101" t="s">
        <v>590</v>
      </c>
    </row>
    <row r="102" spans="1:5" x14ac:dyDescent="0.3">
      <c r="A102" s="31">
        <v>45716</v>
      </c>
      <c r="B102" t="s">
        <v>35</v>
      </c>
      <c r="C102" t="s">
        <v>635</v>
      </c>
      <c r="D102">
        <v>3.5</v>
      </c>
      <c r="E102" t="s">
        <v>590</v>
      </c>
    </row>
    <row r="103" spans="1:5" x14ac:dyDescent="0.3">
      <c r="A103" s="31">
        <v>45716</v>
      </c>
      <c r="B103" t="s">
        <v>35</v>
      </c>
      <c r="C103" t="s">
        <v>634</v>
      </c>
      <c r="D103">
        <v>3.2</v>
      </c>
      <c r="E103" t="s">
        <v>590</v>
      </c>
    </row>
    <row r="104" spans="1:5" x14ac:dyDescent="0.3">
      <c r="A104" s="31">
        <v>45716</v>
      </c>
      <c r="B104" t="s">
        <v>35</v>
      </c>
      <c r="C104" t="s">
        <v>633</v>
      </c>
      <c r="D104">
        <v>3.1</v>
      </c>
      <c r="E104" t="s">
        <v>590</v>
      </c>
    </row>
    <row r="105" spans="1:5" x14ac:dyDescent="0.3">
      <c r="A105" s="31">
        <v>45716</v>
      </c>
      <c r="B105" t="s">
        <v>35</v>
      </c>
      <c r="C105" t="s">
        <v>632</v>
      </c>
      <c r="D105">
        <v>3.7</v>
      </c>
      <c r="E105" t="s">
        <v>590</v>
      </c>
    </row>
    <row r="106" spans="1:5" x14ac:dyDescent="0.3">
      <c r="A106" s="31">
        <v>45716</v>
      </c>
      <c r="B106" t="s">
        <v>35</v>
      </c>
      <c r="C106" t="s">
        <v>631</v>
      </c>
      <c r="D106">
        <v>3.1</v>
      </c>
      <c r="E106" t="s">
        <v>590</v>
      </c>
    </row>
    <row r="107" spans="1:5" x14ac:dyDescent="0.3">
      <c r="A107" s="31">
        <v>45716</v>
      </c>
      <c r="B107" t="s">
        <v>35</v>
      </c>
      <c r="C107" t="s">
        <v>630</v>
      </c>
      <c r="D107">
        <v>3.4</v>
      </c>
      <c r="E107" t="s">
        <v>590</v>
      </c>
    </row>
    <row r="108" spans="1:5" x14ac:dyDescent="0.3">
      <c r="A108" s="31">
        <v>45716</v>
      </c>
      <c r="B108" t="s">
        <v>23</v>
      </c>
      <c r="C108" t="s">
        <v>629</v>
      </c>
      <c r="D108">
        <v>2.8</v>
      </c>
      <c r="E108" t="s">
        <v>590</v>
      </c>
    </row>
    <row r="109" spans="1:5" x14ac:dyDescent="0.3">
      <c r="A109" s="31">
        <v>45716</v>
      </c>
      <c r="B109" t="s">
        <v>23</v>
      </c>
      <c r="C109" t="s">
        <v>628</v>
      </c>
      <c r="D109">
        <v>3.8</v>
      </c>
      <c r="E109" t="s">
        <v>590</v>
      </c>
    </row>
    <row r="110" spans="1:5" x14ac:dyDescent="0.3">
      <c r="A110" s="31">
        <v>45716</v>
      </c>
      <c r="B110" t="s">
        <v>23</v>
      </c>
      <c r="C110" t="s">
        <v>627</v>
      </c>
      <c r="D110">
        <v>2.9</v>
      </c>
      <c r="E110" t="s">
        <v>590</v>
      </c>
    </row>
    <row r="111" spans="1:5" x14ac:dyDescent="0.3">
      <c r="A111" s="31">
        <v>45716</v>
      </c>
      <c r="B111" t="s">
        <v>23</v>
      </c>
      <c r="C111" t="s">
        <v>626</v>
      </c>
      <c r="D111">
        <v>3.4</v>
      </c>
      <c r="E111" t="s">
        <v>590</v>
      </c>
    </row>
    <row r="112" spans="1:5" x14ac:dyDescent="0.3">
      <c r="A112" s="31">
        <v>45716</v>
      </c>
      <c r="B112" t="s">
        <v>23</v>
      </c>
      <c r="C112" t="s">
        <v>625</v>
      </c>
      <c r="D112">
        <v>3.1</v>
      </c>
      <c r="E112" t="s">
        <v>590</v>
      </c>
    </row>
    <row r="113" spans="1:5" x14ac:dyDescent="0.3">
      <c r="A113" s="31">
        <v>45716</v>
      </c>
      <c r="B113" t="s">
        <v>23</v>
      </c>
      <c r="C113" t="s">
        <v>624</v>
      </c>
      <c r="D113">
        <v>3.2</v>
      </c>
      <c r="E113" t="s">
        <v>590</v>
      </c>
    </row>
    <row r="114" spans="1:5" x14ac:dyDescent="0.3">
      <c r="A114" s="31">
        <v>45716</v>
      </c>
      <c r="B114" t="s">
        <v>23</v>
      </c>
      <c r="C114" t="s">
        <v>623</v>
      </c>
      <c r="D114">
        <v>3.1</v>
      </c>
      <c r="E114" t="s">
        <v>590</v>
      </c>
    </row>
    <row r="115" spans="1:5" x14ac:dyDescent="0.3">
      <c r="A115" s="31">
        <v>45716</v>
      </c>
      <c r="B115" t="s">
        <v>23</v>
      </c>
      <c r="C115" t="s">
        <v>622</v>
      </c>
      <c r="D115">
        <v>2.8</v>
      </c>
      <c r="E115" t="s">
        <v>590</v>
      </c>
    </row>
    <row r="116" spans="1:5" x14ac:dyDescent="0.3">
      <c r="A116" s="31">
        <v>45716</v>
      </c>
      <c r="B116" t="s">
        <v>23</v>
      </c>
      <c r="C116" t="s">
        <v>620</v>
      </c>
      <c r="D116">
        <v>5</v>
      </c>
      <c r="E116" t="s">
        <v>621</v>
      </c>
    </row>
    <row r="117" spans="1:5" x14ac:dyDescent="0.3">
      <c r="A117" s="31">
        <v>45716</v>
      </c>
      <c r="B117" t="s">
        <v>23</v>
      </c>
      <c r="C117" t="s">
        <v>619</v>
      </c>
      <c r="D117">
        <v>3.6</v>
      </c>
      <c r="E117" t="s">
        <v>621</v>
      </c>
    </row>
    <row r="118" spans="1:5" x14ac:dyDescent="0.3">
      <c r="A118" s="31">
        <v>45716</v>
      </c>
      <c r="B118" t="s">
        <v>23</v>
      </c>
      <c r="C118" t="s">
        <v>618</v>
      </c>
      <c r="D118">
        <v>3.3</v>
      </c>
      <c r="E118" t="s">
        <v>590</v>
      </c>
    </row>
    <row r="119" spans="1:5" x14ac:dyDescent="0.3">
      <c r="A119" s="31">
        <v>45716</v>
      </c>
      <c r="B119" t="s">
        <v>23</v>
      </c>
      <c r="C119" t="s">
        <v>617</v>
      </c>
      <c r="D119">
        <v>2.9</v>
      </c>
      <c r="E119" t="s">
        <v>590</v>
      </c>
    </row>
    <row r="120" spans="1:5" x14ac:dyDescent="0.3">
      <c r="A120" s="31">
        <v>45716</v>
      </c>
      <c r="B120" t="s">
        <v>23</v>
      </c>
      <c r="C120" t="s">
        <v>616</v>
      </c>
      <c r="D120">
        <v>3</v>
      </c>
      <c r="E120" t="s">
        <v>590</v>
      </c>
    </row>
    <row r="121" spans="1:5" x14ac:dyDescent="0.3">
      <c r="A121" s="31">
        <v>45716</v>
      </c>
      <c r="B121" t="s">
        <v>8</v>
      </c>
      <c r="C121" t="s">
        <v>615</v>
      </c>
      <c r="D121">
        <v>4.7</v>
      </c>
      <c r="E121" t="s">
        <v>590</v>
      </c>
    </row>
    <row r="122" spans="1:5" x14ac:dyDescent="0.3">
      <c r="A122" s="31">
        <v>45716</v>
      </c>
      <c r="B122" t="s">
        <v>8</v>
      </c>
      <c r="C122" t="s">
        <v>614</v>
      </c>
      <c r="D122">
        <v>5</v>
      </c>
      <c r="E122" t="s">
        <v>621</v>
      </c>
    </row>
    <row r="123" spans="1:5" x14ac:dyDescent="0.3">
      <c r="A123" s="31">
        <v>45716</v>
      </c>
      <c r="B123" t="s">
        <v>8</v>
      </c>
      <c r="C123" t="s">
        <v>613</v>
      </c>
      <c r="D123">
        <v>5</v>
      </c>
      <c r="E123" t="s">
        <v>621</v>
      </c>
    </row>
    <row r="124" spans="1:5" x14ac:dyDescent="0.3">
      <c r="A124" s="31">
        <v>45716</v>
      </c>
      <c r="B124" t="s">
        <v>8</v>
      </c>
      <c r="C124" t="s">
        <v>612</v>
      </c>
      <c r="D124">
        <v>5</v>
      </c>
      <c r="E124" t="s">
        <v>621</v>
      </c>
    </row>
    <row r="125" spans="1:5" x14ac:dyDescent="0.3">
      <c r="A125" s="31">
        <v>45716</v>
      </c>
      <c r="B125" t="s">
        <v>8</v>
      </c>
      <c r="C125" t="s">
        <v>611</v>
      </c>
      <c r="D125">
        <v>4.4000000000000004</v>
      </c>
      <c r="E125" t="s">
        <v>590</v>
      </c>
    </row>
    <row r="126" spans="1:5" x14ac:dyDescent="0.3">
      <c r="A126" s="31">
        <v>45716</v>
      </c>
      <c r="B126" t="s">
        <v>8</v>
      </c>
      <c r="C126" t="s">
        <v>610</v>
      </c>
      <c r="D126">
        <v>4.8</v>
      </c>
      <c r="E126" t="s">
        <v>590</v>
      </c>
    </row>
    <row r="127" spans="1:5" x14ac:dyDescent="0.3">
      <c r="A127" s="31">
        <v>45716</v>
      </c>
      <c r="B127" t="s">
        <v>8</v>
      </c>
      <c r="C127" t="s">
        <v>609</v>
      </c>
      <c r="D127">
        <v>5</v>
      </c>
      <c r="E127" t="s">
        <v>590</v>
      </c>
    </row>
    <row r="128" spans="1:5" x14ac:dyDescent="0.3">
      <c r="A128" s="31">
        <v>45716</v>
      </c>
      <c r="B128" t="s">
        <v>8</v>
      </c>
      <c r="C128" t="s">
        <v>608</v>
      </c>
      <c r="D128">
        <v>4.8</v>
      </c>
      <c r="E128" t="s">
        <v>590</v>
      </c>
    </row>
    <row r="129" spans="1:5" x14ac:dyDescent="0.3">
      <c r="A129" s="31">
        <v>45716</v>
      </c>
      <c r="B129" t="s">
        <v>8</v>
      </c>
      <c r="C129" t="s">
        <v>607</v>
      </c>
      <c r="D129">
        <v>4.5</v>
      </c>
      <c r="E129" t="s">
        <v>590</v>
      </c>
    </row>
    <row r="130" spans="1:5" x14ac:dyDescent="0.3">
      <c r="A130" s="31">
        <v>45716</v>
      </c>
      <c r="B130" t="s">
        <v>8</v>
      </c>
      <c r="C130" t="s">
        <v>606</v>
      </c>
      <c r="D130">
        <v>4.3</v>
      </c>
      <c r="E130" t="s">
        <v>590</v>
      </c>
    </row>
    <row r="131" spans="1:5" x14ac:dyDescent="0.3">
      <c r="A131" s="31">
        <v>45716</v>
      </c>
      <c r="B131" t="s">
        <v>8</v>
      </c>
      <c r="C131" t="s">
        <v>605</v>
      </c>
      <c r="D131">
        <v>4.7</v>
      </c>
      <c r="E131" t="s">
        <v>590</v>
      </c>
    </row>
    <row r="132" spans="1:5" x14ac:dyDescent="0.3">
      <c r="A132" s="31">
        <v>45716</v>
      </c>
      <c r="B132" t="s">
        <v>8</v>
      </c>
      <c r="C132" t="s">
        <v>604</v>
      </c>
      <c r="D132">
        <v>5</v>
      </c>
      <c r="E132" t="s">
        <v>590</v>
      </c>
    </row>
    <row r="133" spans="1:5" x14ac:dyDescent="0.3">
      <c r="A133" s="31">
        <v>45716</v>
      </c>
      <c r="B133" t="s">
        <v>8</v>
      </c>
      <c r="C133" t="s">
        <v>603</v>
      </c>
      <c r="D133">
        <v>4.5999999999999996</v>
      </c>
      <c r="E133" t="s">
        <v>590</v>
      </c>
    </row>
    <row r="134" spans="1:5" x14ac:dyDescent="0.3">
      <c r="A134" s="31">
        <v>45716</v>
      </c>
      <c r="B134" t="s">
        <v>10</v>
      </c>
      <c r="C134" t="s">
        <v>602</v>
      </c>
      <c r="D134">
        <v>3.3</v>
      </c>
      <c r="E134" t="s">
        <v>590</v>
      </c>
    </row>
    <row r="135" spans="1:5" x14ac:dyDescent="0.3">
      <c r="A135" s="31">
        <v>45716</v>
      </c>
      <c r="B135" t="s">
        <v>10</v>
      </c>
      <c r="C135" t="s">
        <v>601</v>
      </c>
      <c r="D135">
        <v>3.2</v>
      </c>
      <c r="E135" t="s">
        <v>590</v>
      </c>
    </row>
    <row r="136" spans="1:5" x14ac:dyDescent="0.3">
      <c r="A136" s="31">
        <v>45716</v>
      </c>
      <c r="B136" t="s">
        <v>10</v>
      </c>
      <c r="C136" t="s">
        <v>600</v>
      </c>
      <c r="D136">
        <v>3.4</v>
      </c>
      <c r="E136" t="s">
        <v>590</v>
      </c>
    </row>
    <row r="137" spans="1:5" x14ac:dyDescent="0.3">
      <c r="A137" s="31">
        <v>45716</v>
      </c>
      <c r="B137" t="s">
        <v>10</v>
      </c>
      <c r="C137" t="s">
        <v>599</v>
      </c>
      <c r="D137">
        <v>4.4000000000000004</v>
      </c>
      <c r="E137" t="s">
        <v>590</v>
      </c>
    </row>
    <row r="138" spans="1:5" x14ac:dyDescent="0.3">
      <c r="A138" s="31">
        <v>45716</v>
      </c>
      <c r="B138" t="s">
        <v>10</v>
      </c>
      <c r="C138" t="s">
        <v>598</v>
      </c>
      <c r="D138">
        <v>3.2</v>
      </c>
      <c r="E138" t="s">
        <v>590</v>
      </c>
    </row>
    <row r="139" spans="1:5" x14ac:dyDescent="0.3">
      <c r="A139" s="31">
        <v>45716</v>
      </c>
      <c r="B139" t="s">
        <v>10</v>
      </c>
      <c r="C139" t="s">
        <v>597</v>
      </c>
      <c r="D139">
        <v>3.5</v>
      </c>
      <c r="E139" t="s">
        <v>590</v>
      </c>
    </row>
    <row r="140" spans="1:5" x14ac:dyDescent="0.3">
      <c r="A140" s="31">
        <v>45716</v>
      </c>
      <c r="B140" t="s">
        <v>10</v>
      </c>
      <c r="C140" t="s">
        <v>596</v>
      </c>
      <c r="D140">
        <v>3.3</v>
      </c>
      <c r="E140" t="s">
        <v>590</v>
      </c>
    </row>
    <row r="141" spans="1:5" x14ac:dyDescent="0.3">
      <c r="A141" s="31">
        <v>45716</v>
      </c>
      <c r="B141" t="s">
        <v>10</v>
      </c>
      <c r="C141" t="s">
        <v>595</v>
      </c>
      <c r="D141">
        <v>3.2</v>
      </c>
      <c r="E141" t="s">
        <v>590</v>
      </c>
    </row>
    <row r="142" spans="1:5" x14ac:dyDescent="0.3">
      <c r="A142" s="31">
        <v>45716</v>
      </c>
      <c r="B142" t="s">
        <v>10</v>
      </c>
      <c r="C142" t="s">
        <v>594</v>
      </c>
      <c r="D142">
        <v>2.9</v>
      </c>
      <c r="E142" t="s">
        <v>590</v>
      </c>
    </row>
    <row r="143" spans="1:5" x14ac:dyDescent="0.3">
      <c r="A143" s="31">
        <v>45716</v>
      </c>
      <c r="B143" t="s">
        <v>10</v>
      </c>
      <c r="C143" t="s">
        <v>593</v>
      </c>
      <c r="D143">
        <v>3.5</v>
      </c>
      <c r="E143" t="s">
        <v>590</v>
      </c>
    </row>
    <row r="144" spans="1:5" x14ac:dyDescent="0.3">
      <c r="A144" s="31">
        <v>45716</v>
      </c>
      <c r="B144" t="s">
        <v>10</v>
      </c>
      <c r="C144" t="s">
        <v>592</v>
      </c>
      <c r="D144">
        <v>3.6</v>
      </c>
      <c r="E144" t="s">
        <v>590</v>
      </c>
    </row>
    <row r="145" spans="1:5" x14ac:dyDescent="0.3">
      <c r="A145" s="31">
        <v>45716</v>
      </c>
      <c r="B145" t="s">
        <v>10</v>
      </c>
      <c r="C145" t="s">
        <v>591</v>
      </c>
      <c r="D145">
        <v>3.5</v>
      </c>
      <c r="E145" t="s">
        <v>590</v>
      </c>
    </row>
    <row r="146" spans="1:5" x14ac:dyDescent="0.3">
      <c r="A146" s="31">
        <v>45747</v>
      </c>
      <c r="B146" t="s">
        <v>35</v>
      </c>
      <c r="C146" t="s">
        <v>638</v>
      </c>
      <c r="D146">
        <v>2.8</v>
      </c>
      <c r="E146" t="s">
        <v>590</v>
      </c>
    </row>
    <row r="147" spans="1:5" x14ac:dyDescent="0.3">
      <c r="A147" s="31">
        <v>45747</v>
      </c>
      <c r="B147" t="s">
        <v>35</v>
      </c>
      <c r="C147" t="s">
        <v>637</v>
      </c>
      <c r="D147">
        <v>2.2999999999999998</v>
      </c>
      <c r="E147" t="s">
        <v>621</v>
      </c>
    </row>
    <row r="148" spans="1:5" x14ac:dyDescent="0.3">
      <c r="A148" s="31">
        <v>45747</v>
      </c>
      <c r="B148" t="s">
        <v>35</v>
      </c>
      <c r="C148" t="s">
        <v>636</v>
      </c>
      <c r="D148">
        <v>2.6</v>
      </c>
      <c r="E148" t="s">
        <v>590</v>
      </c>
    </row>
    <row r="149" spans="1:5" x14ac:dyDescent="0.3">
      <c r="A149" s="31">
        <v>45747</v>
      </c>
      <c r="B149" t="s">
        <v>35</v>
      </c>
      <c r="C149" t="s">
        <v>275</v>
      </c>
      <c r="D149">
        <v>2.8</v>
      </c>
      <c r="E149" t="s">
        <v>590</v>
      </c>
    </row>
    <row r="150" spans="1:5" x14ac:dyDescent="0.3">
      <c r="A150" s="31">
        <v>45747</v>
      </c>
      <c r="B150" t="s">
        <v>35</v>
      </c>
      <c r="C150" t="s">
        <v>635</v>
      </c>
      <c r="D150">
        <v>2.4</v>
      </c>
      <c r="E150" t="s">
        <v>590</v>
      </c>
    </row>
    <row r="151" spans="1:5" x14ac:dyDescent="0.3">
      <c r="A151" s="31">
        <v>45747</v>
      </c>
      <c r="B151" t="s">
        <v>35</v>
      </c>
      <c r="C151" t="s">
        <v>634</v>
      </c>
      <c r="D151">
        <v>2.5</v>
      </c>
      <c r="E151" t="s">
        <v>590</v>
      </c>
    </row>
    <row r="152" spans="1:5" x14ac:dyDescent="0.3">
      <c r="A152" s="31">
        <v>45747</v>
      </c>
      <c r="B152" t="s">
        <v>35</v>
      </c>
      <c r="C152" t="s">
        <v>633</v>
      </c>
      <c r="D152">
        <v>2.8</v>
      </c>
      <c r="E152" t="s">
        <v>590</v>
      </c>
    </row>
    <row r="153" spans="1:5" x14ac:dyDescent="0.3">
      <c r="A153" s="31">
        <v>45747</v>
      </c>
      <c r="B153" t="s">
        <v>35</v>
      </c>
      <c r="C153" t="s">
        <v>632</v>
      </c>
      <c r="D153">
        <v>2.5</v>
      </c>
      <c r="E153" t="s">
        <v>621</v>
      </c>
    </row>
    <row r="154" spans="1:5" x14ac:dyDescent="0.3">
      <c r="A154" s="31">
        <v>45747</v>
      </c>
      <c r="B154" t="s">
        <v>35</v>
      </c>
      <c r="C154" t="s">
        <v>631</v>
      </c>
      <c r="D154">
        <v>2.2000000000000002</v>
      </c>
      <c r="E154" t="s">
        <v>590</v>
      </c>
    </row>
    <row r="155" spans="1:5" x14ac:dyDescent="0.3">
      <c r="A155" s="31">
        <v>45747</v>
      </c>
      <c r="B155" t="s">
        <v>35</v>
      </c>
      <c r="C155" t="s">
        <v>630</v>
      </c>
      <c r="D155">
        <v>2.5</v>
      </c>
      <c r="E155" t="s">
        <v>590</v>
      </c>
    </row>
    <row r="156" spans="1:5" x14ac:dyDescent="0.3">
      <c r="A156" s="31">
        <v>45747</v>
      </c>
      <c r="B156" t="s">
        <v>23</v>
      </c>
      <c r="C156" t="s">
        <v>629</v>
      </c>
      <c r="D156">
        <v>3.1</v>
      </c>
      <c r="E156" t="s">
        <v>590</v>
      </c>
    </row>
    <row r="157" spans="1:5" x14ac:dyDescent="0.3">
      <c r="A157" s="31">
        <v>45747</v>
      </c>
      <c r="B157" t="s">
        <v>23</v>
      </c>
      <c r="C157" t="s">
        <v>628</v>
      </c>
      <c r="D157">
        <v>3.5</v>
      </c>
      <c r="E157" t="s">
        <v>590</v>
      </c>
    </row>
    <row r="158" spans="1:5" x14ac:dyDescent="0.3">
      <c r="A158" s="31">
        <v>45747</v>
      </c>
      <c r="B158" t="s">
        <v>23</v>
      </c>
      <c r="C158" t="s">
        <v>627</v>
      </c>
      <c r="D158">
        <v>3.3</v>
      </c>
      <c r="E158" t="s">
        <v>590</v>
      </c>
    </row>
    <row r="159" spans="1:5" x14ac:dyDescent="0.3">
      <c r="A159" s="31">
        <v>45747</v>
      </c>
      <c r="B159" t="s">
        <v>23</v>
      </c>
      <c r="C159" t="s">
        <v>626</v>
      </c>
      <c r="D159">
        <v>3.7</v>
      </c>
      <c r="E159" t="s">
        <v>590</v>
      </c>
    </row>
    <row r="160" spans="1:5" x14ac:dyDescent="0.3">
      <c r="A160" s="31">
        <v>45747</v>
      </c>
      <c r="B160" t="s">
        <v>23</v>
      </c>
      <c r="C160" t="s">
        <v>625</v>
      </c>
      <c r="D160">
        <v>3.4</v>
      </c>
      <c r="E160" t="s">
        <v>590</v>
      </c>
    </row>
    <row r="161" spans="1:5" x14ac:dyDescent="0.3">
      <c r="A161" s="31">
        <v>45747</v>
      </c>
      <c r="B161" t="s">
        <v>23</v>
      </c>
      <c r="C161" t="s">
        <v>624</v>
      </c>
      <c r="D161">
        <v>3.8</v>
      </c>
      <c r="E161" t="s">
        <v>590</v>
      </c>
    </row>
    <row r="162" spans="1:5" x14ac:dyDescent="0.3">
      <c r="A162" s="31">
        <v>45747</v>
      </c>
      <c r="B162" t="s">
        <v>23</v>
      </c>
      <c r="C162" t="s">
        <v>623</v>
      </c>
      <c r="D162">
        <v>3.8</v>
      </c>
      <c r="E162" t="s">
        <v>590</v>
      </c>
    </row>
    <row r="163" spans="1:5" x14ac:dyDescent="0.3">
      <c r="A163" s="31">
        <v>45747</v>
      </c>
      <c r="B163" t="s">
        <v>23</v>
      </c>
      <c r="C163" t="s">
        <v>622</v>
      </c>
      <c r="D163">
        <v>3.6</v>
      </c>
      <c r="E163" t="s">
        <v>590</v>
      </c>
    </row>
    <row r="164" spans="1:5" x14ac:dyDescent="0.3">
      <c r="A164" s="31">
        <v>45747</v>
      </c>
      <c r="B164" t="s">
        <v>23</v>
      </c>
      <c r="C164" t="s">
        <v>620</v>
      </c>
      <c r="D164">
        <v>1.2</v>
      </c>
      <c r="E164" t="s">
        <v>621</v>
      </c>
    </row>
    <row r="165" spans="1:5" x14ac:dyDescent="0.3">
      <c r="A165" s="31">
        <v>45747</v>
      </c>
      <c r="B165" t="s">
        <v>23</v>
      </c>
      <c r="C165" t="s">
        <v>619</v>
      </c>
      <c r="D165">
        <v>3.6</v>
      </c>
      <c r="E165" t="s">
        <v>590</v>
      </c>
    </row>
    <row r="166" spans="1:5" x14ac:dyDescent="0.3">
      <c r="A166" s="31">
        <v>45747</v>
      </c>
      <c r="B166" t="s">
        <v>23</v>
      </c>
      <c r="C166" t="s">
        <v>618</v>
      </c>
      <c r="D166">
        <v>3.1</v>
      </c>
      <c r="E166" t="s">
        <v>590</v>
      </c>
    </row>
    <row r="167" spans="1:5" x14ac:dyDescent="0.3">
      <c r="A167" s="31">
        <v>45747</v>
      </c>
      <c r="B167" t="s">
        <v>23</v>
      </c>
      <c r="C167" t="s">
        <v>617</v>
      </c>
      <c r="D167">
        <v>3.7</v>
      </c>
      <c r="E167" t="s">
        <v>590</v>
      </c>
    </row>
    <row r="168" spans="1:5" x14ac:dyDescent="0.3">
      <c r="A168" s="31">
        <v>45747</v>
      </c>
      <c r="B168" t="s">
        <v>23</v>
      </c>
      <c r="C168" t="s">
        <v>616</v>
      </c>
      <c r="D168">
        <v>3.7</v>
      </c>
      <c r="E168" t="s">
        <v>590</v>
      </c>
    </row>
    <row r="169" spans="1:5" x14ac:dyDescent="0.3">
      <c r="A169" s="31">
        <v>45747</v>
      </c>
      <c r="B169" t="s">
        <v>8</v>
      </c>
      <c r="C169" t="s">
        <v>615</v>
      </c>
      <c r="D169">
        <v>3.8</v>
      </c>
      <c r="E169" t="s">
        <v>590</v>
      </c>
    </row>
    <row r="170" spans="1:5" x14ac:dyDescent="0.3">
      <c r="A170" s="31">
        <v>45747</v>
      </c>
      <c r="B170" t="s">
        <v>8</v>
      </c>
      <c r="C170" t="s">
        <v>614</v>
      </c>
      <c r="D170">
        <v>3.4</v>
      </c>
      <c r="E170" t="s">
        <v>621</v>
      </c>
    </row>
    <row r="171" spans="1:5" x14ac:dyDescent="0.3">
      <c r="A171" s="31">
        <v>45747</v>
      </c>
      <c r="B171" t="s">
        <v>8</v>
      </c>
      <c r="C171" t="s">
        <v>613</v>
      </c>
      <c r="D171">
        <v>3.8</v>
      </c>
      <c r="E171" t="s">
        <v>590</v>
      </c>
    </row>
    <row r="172" spans="1:5" x14ac:dyDescent="0.3">
      <c r="A172" s="31">
        <v>45747</v>
      </c>
      <c r="B172" t="s">
        <v>8</v>
      </c>
      <c r="C172" t="s">
        <v>612</v>
      </c>
      <c r="D172">
        <v>3.5</v>
      </c>
      <c r="E172" t="s">
        <v>621</v>
      </c>
    </row>
    <row r="173" spans="1:5" x14ac:dyDescent="0.3">
      <c r="A173" s="31">
        <v>45747</v>
      </c>
      <c r="B173" t="s">
        <v>8</v>
      </c>
      <c r="C173" t="s">
        <v>611</v>
      </c>
      <c r="D173">
        <v>4</v>
      </c>
      <c r="E173" t="s">
        <v>590</v>
      </c>
    </row>
    <row r="174" spans="1:5" x14ac:dyDescent="0.3">
      <c r="A174" s="31">
        <v>45747</v>
      </c>
      <c r="B174" t="s">
        <v>8</v>
      </c>
      <c r="C174" t="s">
        <v>610</v>
      </c>
      <c r="D174">
        <v>3.7</v>
      </c>
      <c r="E174" t="s">
        <v>590</v>
      </c>
    </row>
    <row r="175" spans="1:5" x14ac:dyDescent="0.3">
      <c r="A175" s="31">
        <v>45747</v>
      </c>
      <c r="B175" t="s">
        <v>8</v>
      </c>
      <c r="C175" t="s">
        <v>609</v>
      </c>
      <c r="D175">
        <v>4.0999999999999996</v>
      </c>
      <c r="E175" t="s">
        <v>590</v>
      </c>
    </row>
    <row r="176" spans="1:5" x14ac:dyDescent="0.3">
      <c r="A176" s="31">
        <v>45747</v>
      </c>
      <c r="B176" t="s">
        <v>8</v>
      </c>
      <c r="C176" t="s">
        <v>608</v>
      </c>
      <c r="D176">
        <v>3.9</v>
      </c>
      <c r="E176" t="s">
        <v>590</v>
      </c>
    </row>
    <row r="177" spans="1:5" x14ac:dyDescent="0.3">
      <c r="A177" s="31">
        <v>45747</v>
      </c>
      <c r="B177" t="s">
        <v>8</v>
      </c>
      <c r="C177" t="s">
        <v>607</v>
      </c>
      <c r="D177">
        <v>3.4</v>
      </c>
      <c r="E177" t="s">
        <v>590</v>
      </c>
    </row>
    <row r="178" spans="1:5" x14ac:dyDescent="0.3">
      <c r="A178" s="31">
        <v>45747</v>
      </c>
      <c r="B178" t="s">
        <v>8</v>
      </c>
      <c r="C178" t="s">
        <v>606</v>
      </c>
      <c r="D178">
        <v>3.9</v>
      </c>
      <c r="E178" t="s">
        <v>590</v>
      </c>
    </row>
    <row r="179" spans="1:5" x14ac:dyDescent="0.3">
      <c r="A179" s="31">
        <v>45747</v>
      </c>
      <c r="B179" t="s">
        <v>8</v>
      </c>
      <c r="C179" t="s">
        <v>605</v>
      </c>
      <c r="D179">
        <v>4.0999999999999996</v>
      </c>
      <c r="E179" t="s">
        <v>590</v>
      </c>
    </row>
    <row r="180" spans="1:5" x14ac:dyDescent="0.3">
      <c r="A180" s="31">
        <v>45747</v>
      </c>
      <c r="B180" t="s">
        <v>8</v>
      </c>
      <c r="C180" t="s">
        <v>604</v>
      </c>
      <c r="D180">
        <v>4</v>
      </c>
      <c r="E180" t="s">
        <v>590</v>
      </c>
    </row>
    <row r="181" spans="1:5" x14ac:dyDescent="0.3">
      <c r="A181" s="31">
        <v>45747</v>
      </c>
      <c r="B181" t="s">
        <v>8</v>
      </c>
      <c r="C181" t="s">
        <v>603</v>
      </c>
      <c r="D181">
        <v>3.9</v>
      </c>
      <c r="E181" t="s">
        <v>590</v>
      </c>
    </row>
    <row r="182" spans="1:5" x14ac:dyDescent="0.3">
      <c r="A182" s="31">
        <v>45747</v>
      </c>
      <c r="B182" t="s">
        <v>10</v>
      </c>
      <c r="C182" t="s">
        <v>602</v>
      </c>
      <c r="D182">
        <v>2.9</v>
      </c>
      <c r="E182" t="s">
        <v>590</v>
      </c>
    </row>
    <row r="183" spans="1:5" x14ac:dyDescent="0.3">
      <c r="A183" s="31">
        <v>45747</v>
      </c>
      <c r="B183" t="s">
        <v>10</v>
      </c>
      <c r="C183" t="s">
        <v>601</v>
      </c>
      <c r="D183">
        <v>3</v>
      </c>
      <c r="E183" t="s">
        <v>590</v>
      </c>
    </row>
    <row r="184" spans="1:5" x14ac:dyDescent="0.3">
      <c r="A184" s="31">
        <v>45747</v>
      </c>
      <c r="B184" t="s">
        <v>10</v>
      </c>
      <c r="C184" t="s">
        <v>600</v>
      </c>
      <c r="D184">
        <v>3.1</v>
      </c>
      <c r="E184" t="s">
        <v>590</v>
      </c>
    </row>
    <row r="185" spans="1:5" x14ac:dyDescent="0.3">
      <c r="A185" s="31">
        <v>45747</v>
      </c>
      <c r="B185" t="s">
        <v>10</v>
      </c>
      <c r="C185" t="s">
        <v>599</v>
      </c>
      <c r="D185">
        <v>4</v>
      </c>
      <c r="E185" t="s">
        <v>590</v>
      </c>
    </row>
    <row r="186" spans="1:5" x14ac:dyDescent="0.3">
      <c r="A186" s="31">
        <v>45747</v>
      </c>
      <c r="B186" t="s">
        <v>10</v>
      </c>
      <c r="C186" t="s">
        <v>598</v>
      </c>
      <c r="D186">
        <v>3.1</v>
      </c>
      <c r="E186" t="s">
        <v>590</v>
      </c>
    </row>
    <row r="187" spans="1:5" x14ac:dyDescent="0.3">
      <c r="A187" s="31">
        <v>45747</v>
      </c>
      <c r="B187" t="s">
        <v>10</v>
      </c>
      <c r="C187" t="s">
        <v>597</v>
      </c>
      <c r="D187">
        <v>3.3</v>
      </c>
      <c r="E187" t="s">
        <v>590</v>
      </c>
    </row>
    <row r="188" spans="1:5" x14ac:dyDescent="0.3">
      <c r="A188" s="31">
        <v>45747</v>
      </c>
      <c r="B188" t="s">
        <v>10</v>
      </c>
      <c r="C188" t="s">
        <v>596</v>
      </c>
      <c r="D188">
        <v>3.5</v>
      </c>
      <c r="E188" t="s">
        <v>590</v>
      </c>
    </row>
    <row r="189" spans="1:5" x14ac:dyDescent="0.3">
      <c r="A189" s="31">
        <v>45747</v>
      </c>
      <c r="B189" t="s">
        <v>10</v>
      </c>
      <c r="C189" t="s">
        <v>595</v>
      </c>
      <c r="D189">
        <v>2.9</v>
      </c>
      <c r="E189" t="s">
        <v>590</v>
      </c>
    </row>
    <row r="190" spans="1:5" x14ac:dyDescent="0.3">
      <c r="A190" s="31">
        <v>45747</v>
      </c>
      <c r="B190" t="s">
        <v>10</v>
      </c>
      <c r="C190" t="s">
        <v>594</v>
      </c>
      <c r="D190">
        <v>3.5</v>
      </c>
      <c r="E190" t="s">
        <v>590</v>
      </c>
    </row>
    <row r="191" spans="1:5" x14ac:dyDescent="0.3">
      <c r="A191" s="31">
        <v>45747</v>
      </c>
      <c r="B191" t="s">
        <v>10</v>
      </c>
      <c r="C191" t="s">
        <v>593</v>
      </c>
      <c r="D191">
        <v>3.2</v>
      </c>
      <c r="E191" t="s">
        <v>590</v>
      </c>
    </row>
    <row r="192" spans="1:5" x14ac:dyDescent="0.3">
      <c r="A192" s="31">
        <v>45747</v>
      </c>
      <c r="B192" t="s">
        <v>10</v>
      </c>
      <c r="C192" t="s">
        <v>592</v>
      </c>
      <c r="D192">
        <v>3.4</v>
      </c>
      <c r="E192" t="s">
        <v>590</v>
      </c>
    </row>
    <row r="193" spans="1:5" x14ac:dyDescent="0.3">
      <c r="A193" s="31">
        <v>45747</v>
      </c>
      <c r="B193" t="s">
        <v>10</v>
      </c>
      <c r="C193" t="s">
        <v>591</v>
      </c>
      <c r="D193">
        <v>2.9</v>
      </c>
      <c r="E193" t="s">
        <v>590</v>
      </c>
    </row>
    <row r="194" spans="1:5" x14ac:dyDescent="0.3">
      <c r="A194" s="31">
        <v>45777</v>
      </c>
      <c r="B194" t="s">
        <v>35</v>
      </c>
      <c r="C194" t="s">
        <v>638</v>
      </c>
      <c r="D194">
        <v>2.8</v>
      </c>
      <c r="E194" t="s">
        <v>590</v>
      </c>
    </row>
    <row r="195" spans="1:5" x14ac:dyDescent="0.3">
      <c r="A195" s="31">
        <v>45777</v>
      </c>
      <c r="B195" t="s">
        <v>35</v>
      </c>
      <c r="C195" t="s">
        <v>637</v>
      </c>
      <c r="D195">
        <v>1</v>
      </c>
      <c r="E195" t="s">
        <v>590</v>
      </c>
    </row>
    <row r="196" spans="1:5" x14ac:dyDescent="0.3">
      <c r="A196" s="31">
        <v>45777</v>
      </c>
      <c r="B196" t="s">
        <v>35</v>
      </c>
      <c r="C196" t="s">
        <v>636</v>
      </c>
      <c r="D196">
        <v>2.1</v>
      </c>
      <c r="E196" t="s">
        <v>590</v>
      </c>
    </row>
    <row r="197" spans="1:5" x14ac:dyDescent="0.3">
      <c r="A197" s="31">
        <v>45777</v>
      </c>
      <c r="B197" t="s">
        <v>35</v>
      </c>
      <c r="C197" t="s">
        <v>275</v>
      </c>
      <c r="D197">
        <v>1.7</v>
      </c>
      <c r="E197" t="s">
        <v>590</v>
      </c>
    </row>
    <row r="198" spans="1:5" x14ac:dyDescent="0.3">
      <c r="A198" s="31">
        <v>45777</v>
      </c>
      <c r="B198" t="s">
        <v>35</v>
      </c>
      <c r="C198" t="s">
        <v>635</v>
      </c>
      <c r="D198">
        <v>1.6</v>
      </c>
      <c r="E198" t="s">
        <v>590</v>
      </c>
    </row>
    <row r="199" spans="1:5" x14ac:dyDescent="0.3">
      <c r="A199" s="31">
        <v>45777</v>
      </c>
      <c r="B199" t="s">
        <v>35</v>
      </c>
      <c r="C199" t="s">
        <v>634</v>
      </c>
      <c r="D199">
        <v>2.1</v>
      </c>
      <c r="E199" t="s">
        <v>590</v>
      </c>
    </row>
    <row r="200" spans="1:5" x14ac:dyDescent="0.3">
      <c r="A200" s="31">
        <v>45777</v>
      </c>
      <c r="B200" t="s">
        <v>35</v>
      </c>
      <c r="C200" t="s">
        <v>633</v>
      </c>
      <c r="D200">
        <v>1.8</v>
      </c>
      <c r="E200" t="s">
        <v>590</v>
      </c>
    </row>
    <row r="201" spans="1:5" x14ac:dyDescent="0.3">
      <c r="A201" s="31">
        <v>45777</v>
      </c>
      <c r="B201" t="s">
        <v>35</v>
      </c>
      <c r="C201" t="s">
        <v>632</v>
      </c>
      <c r="D201">
        <v>2.1</v>
      </c>
      <c r="E201" t="s">
        <v>590</v>
      </c>
    </row>
    <row r="202" spans="1:5" x14ac:dyDescent="0.3">
      <c r="A202" s="31">
        <v>45777</v>
      </c>
      <c r="B202" t="s">
        <v>35</v>
      </c>
      <c r="C202" t="s">
        <v>631</v>
      </c>
      <c r="D202">
        <v>1.6</v>
      </c>
      <c r="E202" t="s">
        <v>590</v>
      </c>
    </row>
    <row r="203" spans="1:5" x14ac:dyDescent="0.3">
      <c r="A203" s="31">
        <v>45777</v>
      </c>
      <c r="B203" t="s">
        <v>35</v>
      </c>
      <c r="C203" t="s">
        <v>630</v>
      </c>
      <c r="D203">
        <v>2.2000000000000002</v>
      </c>
      <c r="E203" t="s">
        <v>590</v>
      </c>
    </row>
    <row r="204" spans="1:5" x14ac:dyDescent="0.3">
      <c r="A204" s="31">
        <v>45777</v>
      </c>
      <c r="B204" t="s">
        <v>23</v>
      </c>
      <c r="C204" t="s">
        <v>629</v>
      </c>
      <c r="D204">
        <v>1.3</v>
      </c>
      <c r="E204" t="s">
        <v>590</v>
      </c>
    </row>
    <row r="205" spans="1:5" x14ac:dyDescent="0.3">
      <c r="A205" s="31">
        <v>45777</v>
      </c>
      <c r="B205" t="s">
        <v>23</v>
      </c>
      <c r="C205" t="s">
        <v>628</v>
      </c>
      <c r="D205">
        <v>3.7</v>
      </c>
      <c r="E205" t="s">
        <v>590</v>
      </c>
    </row>
    <row r="206" spans="1:5" x14ac:dyDescent="0.3">
      <c r="A206" s="31">
        <v>45777</v>
      </c>
      <c r="B206" t="s">
        <v>23</v>
      </c>
      <c r="C206" t="s">
        <v>627</v>
      </c>
      <c r="D206">
        <v>2</v>
      </c>
      <c r="E206" t="s">
        <v>590</v>
      </c>
    </row>
    <row r="207" spans="1:5" x14ac:dyDescent="0.3">
      <c r="A207" s="31">
        <v>45777</v>
      </c>
      <c r="B207" t="s">
        <v>23</v>
      </c>
      <c r="C207" t="s">
        <v>626</v>
      </c>
      <c r="D207">
        <v>2.2999999999999998</v>
      </c>
      <c r="E207" t="s">
        <v>590</v>
      </c>
    </row>
    <row r="208" spans="1:5" x14ac:dyDescent="0.3">
      <c r="A208" s="31">
        <v>45777</v>
      </c>
      <c r="B208" t="s">
        <v>23</v>
      </c>
      <c r="C208" t="s">
        <v>625</v>
      </c>
      <c r="D208">
        <v>2</v>
      </c>
      <c r="E208" t="s">
        <v>590</v>
      </c>
    </row>
    <row r="209" spans="1:5" x14ac:dyDescent="0.3">
      <c r="A209" s="31">
        <v>45777</v>
      </c>
      <c r="B209" t="s">
        <v>23</v>
      </c>
      <c r="C209" t="s">
        <v>624</v>
      </c>
      <c r="D209">
        <v>2.2000000000000002</v>
      </c>
      <c r="E209" t="s">
        <v>590</v>
      </c>
    </row>
    <row r="210" spans="1:5" x14ac:dyDescent="0.3">
      <c r="A210" s="31">
        <v>45777</v>
      </c>
      <c r="B210" t="s">
        <v>23</v>
      </c>
      <c r="C210" t="s">
        <v>623</v>
      </c>
      <c r="D210">
        <v>1.3</v>
      </c>
      <c r="E210" t="s">
        <v>621</v>
      </c>
    </row>
    <row r="211" spans="1:5" x14ac:dyDescent="0.3">
      <c r="A211" s="31">
        <v>45777</v>
      </c>
      <c r="B211" t="s">
        <v>23</v>
      </c>
      <c r="C211" t="s">
        <v>622</v>
      </c>
      <c r="D211">
        <v>1.8</v>
      </c>
      <c r="E211" t="s">
        <v>621</v>
      </c>
    </row>
    <row r="212" spans="1:5" x14ac:dyDescent="0.3">
      <c r="A212" s="31">
        <v>45777</v>
      </c>
      <c r="B212" t="s">
        <v>23</v>
      </c>
      <c r="C212" t="s">
        <v>620</v>
      </c>
      <c r="D212">
        <v>1</v>
      </c>
      <c r="E212" t="s">
        <v>590</v>
      </c>
    </row>
    <row r="213" spans="1:5" x14ac:dyDescent="0.3">
      <c r="A213" s="31">
        <v>45777</v>
      </c>
      <c r="B213" t="s">
        <v>23</v>
      </c>
      <c r="C213" t="s">
        <v>619</v>
      </c>
      <c r="D213">
        <v>1.8</v>
      </c>
      <c r="E213" t="s">
        <v>621</v>
      </c>
    </row>
    <row r="214" spans="1:5" x14ac:dyDescent="0.3">
      <c r="A214" s="31">
        <v>45777</v>
      </c>
      <c r="B214" t="s">
        <v>23</v>
      </c>
      <c r="C214" t="s">
        <v>618</v>
      </c>
      <c r="D214">
        <v>2.2000000000000002</v>
      </c>
      <c r="E214" t="s">
        <v>590</v>
      </c>
    </row>
    <row r="215" spans="1:5" x14ac:dyDescent="0.3">
      <c r="A215" s="31">
        <v>45777</v>
      </c>
      <c r="B215" t="s">
        <v>23</v>
      </c>
      <c r="C215" t="s">
        <v>617</v>
      </c>
      <c r="D215">
        <v>2</v>
      </c>
      <c r="E215" t="s">
        <v>590</v>
      </c>
    </row>
    <row r="216" spans="1:5" x14ac:dyDescent="0.3">
      <c r="A216" s="31">
        <v>45777</v>
      </c>
      <c r="B216" t="s">
        <v>23</v>
      </c>
      <c r="C216" t="s">
        <v>616</v>
      </c>
      <c r="D216">
        <v>2.4</v>
      </c>
      <c r="E216" t="s">
        <v>590</v>
      </c>
    </row>
    <row r="217" spans="1:5" x14ac:dyDescent="0.3">
      <c r="A217" s="31">
        <v>45777</v>
      </c>
      <c r="B217" t="s">
        <v>8</v>
      </c>
      <c r="C217" t="s">
        <v>615</v>
      </c>
      <c r="D217">
        <v>2.5</v>
      </c>
      <c r="E217" t="s">
        <v>590</v>
      </c>
    </row>
    <row r="218" spans="1:5" x14ac:dyDescent="0.3">
      <c r="A218" s="31">
        <v>45777</v>
      </c>
      <c r="B218" t="s">
        <v>8</v>
      </c>
      <c r="C218" t="s">
        <v>614</v>
      </c>
      <c r="D218">
        <v>1</v>
      </c>
      <c r="E218" t="s">
        <v>621</v>
      </c>
    </row>
    <row r="219" spans="1:5" x14ac:dyDescent="0.3">
      <c r="A219" s="31">
        <v>45777</v>
      </c>
      <c r="B219" t="s">
        <v>8</v>
      </c>
      <c r="C219" t="s">
        <v>613</v>
      </c>
      <c r="D219">
        <v>2.2000000000000002</v>
      </c>
      <c r="E219" t="s">
        <v>590</v>
      </c>
    </row>
    <row r="220" spans="1:5" x14ac:dyDescent="0.3">
      <c r="A220" s="31">
        <v>45777</v>
      </c>
      <c r="B220" t="s">
        <v>8</v>
      </c>
      <c r="C220" t="s">
        <v>612</v>
      </c>
      <c r="D220">
        <v>2.2000000000000002</v>
      </c>
      <c r="E220" t="s">
        <v>590</v>
      </c>
    </row>
    <row r="221" spans="1:5" x14ac:dyDescent="0.3">
      <c r="A221" s="31">
        <v>45777</v>
      </c>
      <c r="B221" t="s">
        <v>8</v>
      </c>
      <c r="C221" t="s">
        <v>611</v>
      </c>
      <c r="D221">
        <v>3.8</v>
      </c>
      <c r="E221" t="s">
        <v>590</v>
      </c>
    </row>
    <row r="222" spans="1:5" x14ac:dyDescent="0.3">
      <c r="A222" s="31">
        <v>45777</v>
      </c>
      <c r="B222" t="s">
        <v>8</v>
      </c>
      <c r="C222" t="s">
        <v>610</v>
      </c>
      <c r="D222">
        <v>2.7</v>
      </c>
      <c r="E222" t="s">
        <v>590</v>
      </c>
    </row>
    <row r="223" spans="1:5" x14ac:dyDescent="0.3">
      <c r="A223" s="31">
        <v>45777</v>
      </c>
      <c r="B223" t="s">
        <v>8</v>
      </c>
      <c r="C223" t="s">
        <v>609</v>
      </c>
      <c r="D223">
        <v>2.6</v>
      </c>
      <c r="E223" t="s">
        <v>590</v>
      </c>
    </row>
    <row r="224" spans="1:5" x14ac:dyDescent="0.3">
      <c r="A224" s="31">
        <v>45777</v>
      </c>
      <c r="B224" t="s">
        <v>8</v>
      </c>
      <c r="C224" t="s">
        <v>608</v>
      </c>
      <c r="D224">
        <v>2.7</v>
      </c>
      <c r="E224" t="s">
        <v>590</v>
      </c>
    </row>
    <row r="225" spans="1:5" x14ac:dyDescent="0.3">
      <c r="A225" s="31">
        <v>45777</v>
      </c>
      <c r="B225" t="s">
        <v>8</v>
      </c>
      <c r="C225" t="s">
        <v>607</v>
      </c>
      <c r="D225">
        <v>2.2999999999999998</v>
      </c>
      <c r="E225" t="s">
        <v>590</v>
      </c>
    </row>
    <row r="226" spans="1:5" x14ac:dyDescent="0.3">
      <c r="A226" s="31">
        <v>45777</v>
      </c>
      <c r="B226" t="s">
        <v>8</v>
      </c>
      <c r="C226" t="s">
        <v>606</v>
      </c>
      <c r="D226">
        <v>2.1</v>
      </c>
      <c r="E226" t="s">
        <v>590</v>
      </c>
    </row>
    <row r="227" spans="1:5" x14ac:dyDescent="0.3">
      <c r="A227" s="31">
        <v>45777</v>
      </c>
      <c r="B227" t="s">
        <v>8</v>
      </c>
      <c r="C227" t="s">
        <v>605</v>
      </c>
      <c r="D227">
        <v>2.2999999999999998</v>
      </c>
      <c r="E227" t="s">
        <v>590</v>
      </c>
    </row>
    <row r="228" spans="1:5" x14ac:dyDescent="0.3">
      <c r="A228" s="31">
        <v>45777</v>
      </c>
      <c r="B228" t="s">
        <v>8</v>
      </c>
      <c r="C228" t="s">
        <v>604</v>
      </c>
      <c r="D228">
        <v>2.1</v>
      </c>
      <c r="E228" t="s">
        <v>621</v>
      </c>
    </row>
    <row r="229" spans="1:5" x14ac:dyDescent="0.3">
      <c r="A229" s="31">
        <v>45777</v>
      </c>
      <c r="B229" t="s">
        <v>8</v>
      </c>
      <c r="C229" t="s">
        <v>603</v>
      </c>
      <c r="D229">
        <v>2.7</v>
      </c>
      <c r="E229" t="s">
        <v>590</v>
      </c>
    </row>
    <row r="230" spans="1:5" x14ac:dyDescent="0.3">
      <c r="A230" s="31">
        <v>45777</v>
      </c>
      <c r="B230" t="s">
        <v>10</v>
      </c>
      <c r="C230" t="s">
        <v>602</v>
      </c>
      <c r="D230">
        <v>2.9</v>
      </c>
      <c r="E230" t="s">
        <v>590</v>
      </c>
    </row>
    <row r="231" spans="1:5" x14ac:dyDescent="0.3">
      <c r="A231" s="31">
        <v>45777</v>
      </c>
      <c r="B231" t="s">
        <v>10</v>
      </c>
      <c r="C231" t="s">
        <v>601</v>
      </c>
      <c r="D231">
        <v>3.2</v>
      </c>
      <c r="E231" t="s">
        <v>590</v>
      </c>
    </row>
    <row r="232" spans="1:5" x14ac:dyDescent="0.3">
      <c r="A232" s="31">
        <v>45777</v>
      </c>
      <c r="B232" t="s">
        <v>10</v>
      </c>
      <c r="C232" t="s">
        <v>600</v>
      </c>
      <c r="D232">
        <v>3.3</v>
      </c>
      <c r="E232" t="s">
        <v>590</v>
      </c>
    </row>
    <row r="233" spans="1:5" x14ac:dyDescent="0.3">
      <c r="A233" s="31">
        <v>45777</v>
      </c>
      <c r="B233" t="s">
        <v>10</v>
      </c>
      <c r="C233" t="s">
        <v>599</v>
      </c>
      <c r="D233">
        <v>3.8</v>
      </c>
      <c r="E233" t="s">
        <v>590</v>
      </c>
    </row>
    <row r="234" spans="1:5" x14ac:dyDescent="0.3">
      <c r="A234" s="31">
        <v>45777</v>
      </c>
      <c r="B234" t="s">
        <v>10</v>
      </c>
      <c r="C234" t="s">
        <v>598</v>
      </c>
      <c r="D234">
        <v>2.8</v>
      </c>
      <c r="E234" t="s">
        <v>590</v>
      </c>
    </row>
    <row r="235" spans="1:5" x14ac:dyDescent="0.3">
      <c r="A235" s="31">
        <v>45777</v>
      </c>
      <c r="B235" t="s">
        <v>10</v>
      </c>
      <c r="C235" t="s">
        <v>597</v>
      </c>
      <c r="D235">
        <v>3.2</v>
      </c>
      <c r="E235" t="s">
        <v>590</v>
      </c>
    </row>
    <row r="236" spans="1:5" x14ac:dyDescent="0.3">
      <c r="A236" s="31">
        <v>45777</v>
      </c>
      <c r="B236" t="s">
        <v>10</v>
      </c>
      <c r="C236" t="s">
        <v>596</v>
      </c>
      <c r="D236">
        <v>3.1</v>
      </c>
      <c r="E236" t="s">
        <v>590</v>
      </c>
    </row>
    <row r="237" spans="1:5" x14ac:dyDescent="0.3">
      <c r="A237" s="31">
        <v>45777</v>
      </c>
      <c r="B237" t="s">
        <v>10</v>
      </c>
      <c r="C237" t="s">
        <v>595</v>
      </c>
      <c r="D237">
        <v>3.6</v>
      </c>
      <c r="E237" t="s">
        <v>590</v>
      </c>
    </row>
    <row r="238" spans="1:5" x14ac:dyDescent="0.3">
      <c r="A238" s="31">
        <v>45777</v>
      </c>
      <c r="B238" t="s">
        <v>10</v>
      </c>
      <c r="C238" t="s">
        <v>594</v>
      </c>
      <c r="D238">
        <v>3.1</v>
      </c>
      <c r="E238" t="s">
        <v>590</v>
      </c>
    </row>
    <row r="239" spans="1:5" x14ac:dyDescent="0.3">
      <c r="A239" s="31">
        <v>45777</v>
      </c>
      <c r="B239" t="s">
        <v>10</v>
      </c>
      <c r="C239" t="s">
        <v>593</v>
      </c>
      <c r="D239">
        <v>3.1</v>
      </c>
      <c r="E239" t="s">
        <v>590</v>
      </c>
    </row>
    <row r="240" spans="1:5" x14ac:dyDescent="0.3">
      <c r="A240" s="31">
        <v>45777</v>
      </c>
      <c r="B240" t="s">
        <v>10</v>
      </c>
      <c r="C240" t="s">
        <v>592</v>
      </c>
      <c r="D240">
        <v>3.4</v>
      </c>
      <c r="E240" t="s">
        <v>590</v>
      </c>
    </row>
    <row r="241" spans="1:5" x14ac:dyDescent="0.3">
      <c r="A241" s="31">
        <v>45777</v>
      </c>
      <c r="B241" t="s">
        <v>10</v>
      </c>
      <c r="C241" t="s">
        <v>591</v>
      </c>
      <c r="D241">
        <v>3.5</v>
      </c>
      <c r="E241" t="s">
        <v>590</v>
      </c>
    </row>
    <row r="242" spans="1:5" x14ac:dyDescent="0.3">
      <c r="A242" s="31">
        <v>45808</v>
      </c>
      <c r="B242" t="s">
        <v>35</v>
      </c>
      <c r="C242" t="s">
        <v>638</v>
      </c>
      <c r="D242">
        <v>2.6</v>
      </c>
      <c r="E242" t="s">
        <v>590</v>
      </c>
    </row>
    <row r="243" spans="1:5" x14ac:dyDescent="0.3">
      <c r="A243" s="31">
        <v>45808</v>
      </c>
      <c r="B243" t="s">
        <v>35</v>
      </c>
      <c r="C243" t="s">
        <v>637</v>
      </c>
      <c r="D243">
        <v>1.4</v>
      </c>
      <c r="E243" t="s">
        <v>590</v>
      </c>
    </row>
    <row r="244" spans="1:5" x14ac:dyDescent="0.3">
      <c r="A244" s="31">
        <v>45808</v>
      </c>
      <c r="B244" t="s">
        <v>35</v>
      </c>
      <c r="C244" t="s">
        <v>636</v>
      </c>
      <c r="D244">
        <v>1.8</v>
      </c>
      <c r="E244" t="s">
        <v>590</v>
      </c>
    </row>
    <row r="245" spans="1:5" x14ac:dyDescent="0.3">
      <c r="A245" s="31">
        <v>45808</v>
      </c>
      <c r="B245" t="s">
        <v>35</v>
      </c>
      <c r="C245" t="s">
        <v>275</v>
      </c>
      <c r="D245">
        <v>1.8</v>
      </c>
      <c r="E245" t="s">
        <v>590</v>
      </c>
    </row>
    <row r="246" spans="1:5" x14ac:dyDescent="0.3">
      <c r="A246" s="31">
        <v>45808</v>
      </c>
      <c r="B246" t="s">
        <v>35</v>
      </c>
      <c r="C246" t="s">
        <v>635</v>
      </c>
      <c r="D246">
        <v>1.9</v>
      </c>
      <c r="E246" t="s">
        <v>590</v>
      </c>
    </row>
    <row r="247" spans="1:5" x14ac:dyDescent="0.3">
      <c r="A247" s="31">
        <v>45808</v>
      </c>
      <c r="B247" t="s">
        <v>35</v>
      </c>
      <c r="C247" t="s">
        <v>634</v>
      </c>
      <c r="D247">
        <v>2.2999999999999998</v>
      </c>
      <c r="E247" t="s">
        <v>590</v>
      </c>
    </row>
    <row r="248" spans="1:5" x14ac:dyDescent="0.3">
      <c r="A248" s="31">
        <v>45808</v>
      </c>
      <c r="B248" t="s">
        <v>35</v>
      </c>
      <c r="C248" t="s">
        <v>633</v>
      </c>
      <c r="D248">
        <v>2.2000000000000002</v>
      </c>
      <c r="E248" t="s">
        <v>590</v>
      </c>
    </row>
    <row r="249" spans="1:5" x14ac:dyDescent="0.3">
      <c r="A249" s="31">
        <v>45808</v>
      </c>
      <c r="B249" t="s">
        <v>35</v>
      </c>
      <c r="C249" t="s">
        <v>632</v>
      </c>
      <c r="D249">
        <v>2</v>
      </c>
      <c r="E249" t="s">
        <v>590</v>
      </c>
    </row>
    <row r="250" spans="1:5" x14ac:dyDescent="0.3">
      <c r="A250" s="31">
        <v>45808</v>
      </c>
      <c r="B250" t="s">
        <v>35</v>
      </c>
      <c r="C250" t="s">
        <v>631</v>
      </c>
      <c r="D250">
        <v>2.4</v>
      </c>
      <c r="E250" t="s">
        <v>590</v>
      </c>
    </row>
    <row r="251" spans="1:5" x14ac:dyDescent="0.3">
      <c r="A251" s="31">
        <v>45808</v>
      </c>
      <c r="B251" t="s">
        <v>35</v>
      </c>
      <c r="C251" t="s">
        <v>630</v>
      </c>
      <c r="D251">
        <v>2.1</v>
      </c>
      <c r="E251" t="s">
        <v>590</v>
      </c>
    </row>
    <row r="252" spans="1:5" x14ac:dyDescent="0.3">
      <c r="A252" s="31">
        <v>45808</v>
      </c>
      <c r="B252" t="s">
        <v>23</v>
      </c>
      <c r="C252" t="s">
        <v>629</v>
      </c>
      <c r="D252">
        <v>3.2</v>
      </c>
      <c r="E252" t="s">
        <v>621</v>
      </c>
    </row>
    <row r="253" spans="1:5" x14ac:dyDescent="0.3">
      <c r="A253" s="31">
        <v>45808</v>
      </c>
      <c r="B253" t="s">
        <v>23</v>
      </c>
      <c r="C253" t="s">
        <v>628</v>
      </c>
      <c r="D253">
        <v>1.2</v>
      </c>
      <c r="E253" t="s">
        <v>621</v>
      </c>
    </row>
    <row r="254" spans="1:5" x14ac:dyDescent="0.3">
      <c r="A254" s="31">
        <v>45808</v>
      </c>
      <c r="B254" t="s">
        <v>23</v>
      </c>
      <c r="C254" t="s">
        <v>627</v>
      </c>
      <c r="D254">
        <v>2.2000000000000002</v>
      </c>
      <c r="E254" t="s">
        <v>590</v>
      </c>
    </row>
    <row r="255" spans="1:5" x14ac:dyDescent="0.3">
      <c r="A255" s="31">
        <v>45808</v>
      </c>
      <c r="B255" t="s">
        <v>23</v>
      </c>
      <c r="C255" t="s">
        <v>626</v>
      </c>
      <c r="D255">
        <v>2.1</v>
      </c>
      <c r="E255" t="s">
        <v>590</v>
      </c>
    </row>
    <row r="256" spans="1:5" x14ac:dyDescent="0.3">
      <c r="A256" s="31">
        <v>45808</v>
      </c>
      <c r="B256" t="s">
        <v>23</v>
      </c>
      <c r="C256" t="s">
        <v>625</v>
      </c>
      <c r="D256">
        <v>2.2999999999999998</v>
      </c>
      <c r="E256" t="s">
        <v>590</v>
      </c>
    </row>
    <row r="257" spans="1:5" x14ac:dyDescent="0.3">
      <c r="A257" s="31">
        <v>45808</v>
      </c>
      <c r="B257" t="s">
        <v>23</v>
      </c>
      <c r="C257" t="s">
        <v>624</v>
      </c>
      <c r="D257">
        <v>2.6</v>
      </c>
      <c r="E257" t="s">
        <v>590</v>
      </c>
    </row>
    <row r="258" spans="1:5" x14ac:dyDescent="0.3">
      <c r="A258" s="31">
        <v>45808</v>
      </c>
      <c r="B258" t="s">
        <v>23</v>
      </c>
      <c r="C258" t="s">
        <v>623</v>
      </c>
      <c r="D258">
        <v>3.2</v>
      </c>
      <c r="E258" t="s">
        <v>621</v>
      </c>
    </row>
    <row r="259" spans="1:5" x14ac:dyDescent="0.3">
      <c r="A259" s="31">
        <v>45808</v>
      </c>
      <c r="B259" t="s">
        <v>23</v>
      </c>
      <c r="C259" t="s">
        <v>622</v>
      </c>
      <c r="D259">
        <v>2.1</v>
      </c>
      <c r="E259" t="s">
        <v>590</v>
      </c>
    </row>
    <row r="260" spans="1:5" x14ac:dyDescent="0.3">
      <c r="A260" s="31">
        <v>45808</v>
      </c>
      <c r="B260" t="s">
        <v>23</v>
      </c>
      <c r="C260" t="s">
        <v>620</v>
      </c>
      <c r="D260">
        <v>2.9</v>
      </c>
      <c r="E260" t="s">
        <v>621</v>
      </c>
    </row>
    <row r="261" spans="1:5" x14ac:dyDescent="0.3">
      <c r="A261" s="31">
        <v>45808</v>
      </c>
      <c r="B261" t="s">
        <v>23</v>
      </c>
      <c r="C261" t="s">
        <v>619</v>
      </c>
      <c r="D261">
        <v>2.5</v>
      </c>
      <c r="E261" t="s">
        <v>590</v>
      </c>
    </row>
    <row r="262" spans="1:5" x14ac:dyDescent="0.3">
      <c r="A262" s="31">
        <v>45808</v>
      </c>
      <c r="B262" t="s">
        <v>23</v>
      </c>
      <c r="C262" t="s">
        <v>618</v>
      </c>
      <c r="D262">
        <v>2.5</v>
      </c>
      <c r="E262" t="s">
        <v>590</v>
      </c>
    </row>
    <row r="263" spans="1:5" x14ac:dyDescent="0.3">
      <c r="A263" s="31">
        <v>45808</v>
      </c>
      <c r="B263" t="s">
        <v>23</v>
      </c>
      <c r="C263" t="s">
        <v>617</v>
      </c>
      <c r="D263">
        <v>2.2999999999999998</v>
      </c>
      <c r="E263" t="s">
        <v>590</v>
      </c>
    </row>
    <row r="264" spans="1:5" x14ac:dyDescent="0.3">
      <c r="A264" s="31">
        <v>45808</v>
      </c>
      <c r="B264" t="s">
        <v>23</v>
      </c>
      <c r="C264" t="s">
        <v>616</v>
      </c>
      <c r="D264">
        <v>2.6</v>
      </c>
      <c r="E264" t="s">
        <v>590</v>
      </c>
    </row>
    <row r="265" spans="1:5" x14ac:dyDescent="0.3">
      <c r="A265" s="31">
        <v>45808</v>
      </c>
      <c r="B265" t="s">
        <v>8</v>
      </c>
      <c r="C265" t="s">
        <v>615</v>
      </c>
      <c r="D265">
        <v>3</v>
      </c>
      <c r="E265" t="s">
        <v>590</v>
      </c>
    </row>
    <row r="266" spans="1:5" x14ac:dyDescent="0.3">
      <c r="A266" s="31">
        <v>45808</v>
      </c>
      <c r="B266" t="s">
        <v>8</v>
      </c>
      <c r="C266" t="s">
        <v>614</v>
      </c>
      <c r="D266">
        <v>2.1</v>
      </c>
      <c r="E266" t="s">
        <v>590</v>
      </c>
    </row>
    <row r="267" spans="1:5" x14ac:dyDescent="0.3">
      <c r="A267" s="31">
        <v>45808</v>
      </c>
      <c r="B267" t="s">
        <v>8</v>
      </c>
      <c r="C267" t="s">
        <v>613</v>
      </c>
      <c r="D267">
        <v>2.6</v>
      </c>
      <c r="E267" t="s">
        <v>590</v>
      </c>
    </row>
    <row r="268" spans="1:5" x14ac:dyDescent="0.3">
      <c r="A268" s="31">
        <v>45808</v>
      </c>
      <c r="B268" t="s">
        <v>8</v>
      </c>
      <c r="C268" t="s">
        <v>612</v>
      </c>
      <c r="D268">
        <v>2.7</v>
      </c>
      <c r="E268" t="s">
        <v>590</v>
      </c>
    </row>
    <row r="269" spans="1:5" x14ac:dyDescent="0.3">
      <c r="A269" s="31">
        <v>45808</v>
      </c>
      <c r="B269" t="s">
        <v>8</v>
      </c>
      <c r="C269" t="s">
        <v>611</v>
      </c>
      <c r="D269">
        <v>3.4</v>
      </c>
      <c r="E269" t="s">
        <v>590</v>
      </c>
    </row>
    <row r="270" spans="1:5" x14ac:dyDescent="0.3">
      <c r="A270" s="31">
        <v>45808</v>
      </c>
      <c r="B270" t="s">
        <v>8</v>
      </c>
      <c r="C270" t="s">
        <v>610</v>
      </c>
      <c r="D270">
        <v>3.2</v>
      </c>
      <c r="E270" t="s">
        <v>590</v>
      </c>
    </row>
    <row r="271" spans="1:5" x14ac:dyDescent="0.3">
      <c r="A271" s="31">
        <v>45808</v>
      </c>
      <c r="B271" t="s">
        <v>8</v>
      </c>
      <c r="C271" t="s">
        <v>609</v>
      </c>
      <c r="D271">
        <v>2.9</v>
      </c>
      <c r="E271" t="s">
        <v>590</v>
      </c>
    </row>
    <row r="272" spans="1:5" x14ac:dyDescent="0.3">
      <c r="A272" s="31">
        <v>45808</v>
      </c>
      <c r="B272" t="s">
        <v>8</v>
      </c>
      <c r="C272" t="s">
        <v>608</v>
      </c>
      <c r="D272">
        <v>2.6</v>
      </c>
      <c r="E272" t="s">
        <v>590</v>
      </c>
    </row>
    <row r="273" spans="1:5" x14ac:dyDescent="0.3">
      <c r="A273" s="31">
        <v>45808</v>
      </c>
      <c r="B273" t="s">
        <v>8</v>
      </c>
      <c r="C273" t="s">
        <v>607</v>
      </c>
      <c r="D273">
        <v>2.5</v>
      </c>
      <c r="E273" t="s">
        <v>590</v>
      </c>
    </row>
    <row r="274" spans="1:5" x14ac:dyDescent="0.3">
      <c r="A274" s="31">
        <v>45808</v>
      </c>
      <c r="B274" t="s">
        <v>8</v>
      </c>
      <c r="C274" t="s">
        <v>606</v>
      </c>
      <c r="D274">
        <v>2.6</v>
      </c>
      <c r="E274" t="s">
        <v>590</v>
      </c>
    </row>
    <row r="275" spans="1:5" x14ac:dyDescent="0.3">
      <c r="A275" s="31">
        <v>45808</v>
      </c>
      <c r="B275" t="s">
        <v>8</v>
      </c>
      <c r="C275" t="s">
        <v>605</v>
      </c>
      <c r="D275">
        <v>2.6</v>
      </c>
      <c r="E275" t="s">
        <v>590</v>
      </c>
    </row>
    <row r="276" spans="1:5" x14ac:dyDescent="0.3">
      <c r="A276" s="31">
        <v>45808</v>
      </c>
      <c r="B276" t="s">
        <v>8</v>
      </c>
      <c r="C276" t="s">
        <v>604</v>
      </c>
      <c r="D276">
        <v>3.2</v>
      </c>
      <c r="E276" t="s">
        <v>621</v>
      </c>
    </row>
    <row r="277" spans="1:5" x14ac:dyDescent="0.3">
      <c r="A277" s="31">
        <v>45808</v>
      </c>
      <c r="B277" t="s">
        <v>8</v>
      </c>
      <c r="C277" t="s">
        <v>603</v>
      </c>
      <c r="D277">
        <v>2.9</v>
      </c>
      <c r="E277" t="s">
        <v>590</v>
      </c>
    </row>
    <row r="278" spans="1:5" x14ac:dyDescent="0.3">
      <c r="A278" s="31">
        <v>45808</v>
      </c>
      <c r="B278" t="s">
        <v>10</v>
      </c>
      <c r="C278" t="s">
        <v>602</v>
      </c>
      <c r="D278">
        <v>3.1</v>
      </c>
      <c r="E278" t="s">
        <v>590</v>
      </c>
    </row>
    <row r="279" spans="1:5" x14ac:dyDescent="0.3">
      <c r="A279" s="31">
        <v>45808</v>
      </c>
      <c r="B279" t="s">
        <v>10</v>
      </c>
      <c r="C279" t="s">
        <v>601</v>
      </c>
      <c r="D279">
        <v>3.4</v>
      </c>
      <c r="E279" t="s">
        <v>590</v>
      </c>
    </row>
    <row r="280" spans="1:5" x14ac:dyDescent="0.3">
      <c r="A280" s="31">
        <v>45808</v>
      </c>
      <c r="B280" t="s">
        <v>10</v>
      </c>
      <c r="C280" t="s">
        <v>600</v>
      </c>
      <c r="D280">
        <v>2.8</v>
      </c>
      <c r="E280" t="s">
        <v>590</v>
      </c>
    </row>
    <row r="281" spans="1:5" x14ac:dyDescent="0.3">
      <c r="A281" s="31">
        <v>45808</v>
      </c>
      <c r="B281" t="s">
        <v>10</v>
      </c>
      <c r="C281" t="s">
        <v>599</v>
      </c>
      <c r="D281">
        <v>3.4</v>
      </c>
      <c r="E281" t="s">
        <v>590</v>
      </c>
    </row>
    <row r="282" spans="1:5" x14ac:dyDescent="0.3">
      <c r="A282" s="31">
        <v>45808</v>
      </c>
      <c r="B282" t="s">
        <v>10</v>
      </c>
      <c r="C282" t="s">
        <v>598</v>
      </c>
      <c r="D282">
        <v>3.3</v>
      </c>
      <c r="E282" t="s">
        <v>590</v>
      </c>
    </row>
    <row r="283" spans="1:5" x14ac:dyDescent="0.3">
      <c r="A283" s="31">
        <v>45808</v>
      </c>
      <c r="B283" t="s">
        <v>10</v>
      </c>
      <c r="C283" t="s">
        <v>597</v>
      </c>
      <c r="D283">
        <v>3.4</v>
      </c>
      <c r="E283" t="s">
        <v>590</v>
      </c>
    </row>
    <row r="284" spans="1:5" x14ac:dyDescent="0.3">
      <c r="A284" s="31">
        <v>45808</v>
      </c>
      <c r="B284" t="s">
        <v>10</v>
      </c>
      <c r="C284" t="s">
        <v>596</v>
      </c>
      <c r="D284">
        <v>2.9</v>
      </c>
      <c r="E284" t="s">
        <v>590</v>
      </c>
    </row>
    <row r="285" spans="1:5" x14ac:dyDescent="0.3">
      <c r="A285" s="31">
        <v>45808</v>
      </c>
      <c r="B285" t="s">
        <v>10</v>
      </c>
      <c r="C285" t="s">
        <v>595</v>
      </c>
      <c r="D285">
        <v>2.8</v>
      </c>
      <c r="E285" t="s">
        <v>590</v>
      </c>
    </row>
    <row r="286" spans="1:5" x14ac:dyDescent="0.3">
      <c r="A286" s="31">
        <v>45808</v>
      </c>
      <c r="B286" t="s">
        <v>10</v>
      </c>
      <c r="C286" t="s">
        <v>594</v>
      </c>
      <c r="D286">
        <v>2.8</v>
      </c>
      <c r="E286" t="s">
        <v>590</v>
      </c>
    </row>
    <row r="287" spans="1:5" x14ac:dyDescent="0.3">
      <c r="A287" s="31">
        <v>45808</v>
      </c>
      <c r="B287" t="s">
        <v>10</v>
      </c>
      <c r="C287" t="s">
        <v>593</v>
      </c>
      <c r="D287">
        <v>3.2</v>
      </c>
      <c r="E287" t="s">
        <v>590</v>
      </c>
    </row>
    <row r="288" spans="1:5" x14ac:dyDescent="0.3">
      <c r="A288" s="31">
        <v>45808</v>
      </c>
      <c r="B288" t="s">
        <v>10</v>
      </c>
      <c r="C288" t="s">
        <v>592</v>
      </c>
      <c r="D288">
        <v>2.9</v>
      </c>
      <c r="E288" t="s">
        <v>590</v>
      </c>
    </row>
    <row r="289" spans="1:5" x14ac:dyDescent="0.3">
      <c r="A289" s="31">
        <v>45808</v>
      </c>
      <c r="B289" t="s">
        <v>10</v>
      </c>
      <c r="C289" t="s">
        <v>591</v>
      </c>
      <c r="D289">
        <v>3.5</v>
      </c>
      <c r="E289" t="s">
        <v>590</v>
      </c>
    </row>
    <row r="290" spans="1:5" x14ac:dyDescent="0.3">
      <c r="A290" s="31">
        <v>45838</v>
      </c>
      <c r="B290" t="s">
        <v>35</v>
      </c>
      <c r="C290" t="s">
        <v>638</v>
      </c>
      <c r="D290">
        <v>3.5</v>
      </c>
      <c r="E290" t="s">
        <v>621</v>
      </c>
    </row>
    <row r="291" spans="1:5" x14ac:dyDescent="0.3">
      <c r="A291" s="31">
        <v>45838</v>
      </c>
      <c r="B291" t="s">
        <v>35</v>
      </c>
      <c r="C291" t="s">
        <v>637</v>
      </c>
      <c r="D291">
        <v>1.9</v>
      </c>
      <c r="E291" t="s">
        <v>590</v>
      </c>
    </row>
    <row r="292" spans="1:5" x14ac:dyDescent="0.3">
      <c r="A292" s="31">
        <v>45838</v>
      </c>
      <c r="B292" t="s">
        <v>35</v>
      </c>
      <c r="C292" t="s">
        <v>636</v>
      </c>
      <c r="D292">
        <v>2.7</v>
      </c>
      <c r="E292" t="s">
        <v>621</v>
      </c>
    </row>
    <row r="293" spans="1:5" x14ac:dyDescent="0.3">
      <c r="A293" s="31">
        <v>45838</v>
      </c>
      <c r="B293" t="s">
        <v>35</v>
      </c>
      <c r="C293" t="s">
        <v>275</v>
      </c>
      <c r="D293">
        <v>2.4</v>
      </c>
      <c r="E293" t="s">
        <v>590</v>
      </c>
    </row>
    <row r="294" spans="1:5" x14ac:dyDescent="0.3">
      <c r="A294" s="31">
        <v>45838</v>
      </c>
      <c r="B294" t="s">
        <v>35</v>
      </c>
      <c r="C294" t="s">
        <v>635</v>
      </c>
      <c r="D294">
        <v>2.5</v>
      </c>
      <c r="E294" t="s">
        <v>590</v>
      </c>
    </row>
    <row r="295" spans="1:5" x14ac:dyDescent="0.3">
      <c r="A295" s="31">
        <v>45838</v>
      </c>
      <c r="B295" t="s">
        <v>35</v>
      </c>
      <c r="C295" t="s">
        <v>634</v>
      </c>
      <c r="D295">
        <v>2.4</v>
      </c>
      <c r="E295" t="s">
        <v>590</v>
      </c>
    </row>
    <row r="296" spans="1:5" x14ac:dyDescent="0.3">
      <c r="A296" s="31">
        <v>45838</v>
      </c>
      <c r="B296" t="s">
        <v>35</v>
      </c>
      <c r="C296" t="s">
        <v>633</v>
      </c>
      <c r="D296">
        <v>2.5</v>
      </c>
      <c r="E296" t="s">
        <v>590</v>
      </c>
    </row>
    <row r="297" spans="1:5" x14ac:dyDescent="0.3">
      <c r="A297" s="31">
        <v>45838</v>
      </c>
      <c r="B297" t="s">
        <v>35</v>
      </c>
      <c r="C297" t="s">
        <v>632</v>
      </c>
      <c r="D297">
        <v>2.2999999999999998</v>
      </c>
      <c r="E297" t="s">
        <v>590</v>
      </c>
    </row>
    <row r="298" spans="1:5" x14ac:dyDescent="0.3">
      <c r="A298" s="31">
        <v>45838</v>
      </c>
      <c r="B298" t="s">
        <v>35</v>
      </c>
      <c r="C298" t="s">
        <v>631</v>
      </c>
      <c r="D298">
        <v>3</v>
      </c>
      <c r="E298" t="s">
        <v>590</v>
      </c>
    </row>
    <row r="299" spans="1:5" x14ac:dyDescent="0.3">
      <c r="A299" s="31">
        <v>45838</v>
      </c>
      <c r="B299" t="s">
        <v>35</v>
      </c>
      <c r="C299" t="s">
        <v>630</v>
      </c>
      <c r="D299">
        <v>3</v>
      </c>
      <c r="E299" t="s">
        <v>621</v>
      </c>
    </row>
    <row r="300" spans="1:5" x14ac:dyDescent="0.3">
      <c r="A300" s="31">
        <v>45838</v>
      </c>
      <c r="B300" t="s">
        <v>23</v>
      </c>
      <c r="C300" t="s">
        <v>629</v>
      </c>
      <c r="D300">
        <v>3.6</v>
      </c>
      <c r="E300" t="s">
        <v>590</v>
      </c>
    </row>
    <row r="301" spans="1:5" x14ac:dyDescent="0.3">
      <c r="A301" s="31">
        <v>45838</v>
      </c>
      <c r="B301" t="s">
        <v>23</v>
      </c>
      <c r="C301" t="s">
        <v>628</v>
      </c>
      <c r="D301">
        <v>1.2</v>
      </c>
      <c r="E301" t="s">
        <v>590</v>
      </c>
    </row>
    <row r="302" spans="1:5" x14ac:dyDescent="0.3">
      <c r="A302" s="31">
        <v>45838</v>
      </c>
      <c r="B302" t="s">
        <v>23</v>
      </c>
      <c r="C302" t="s">
        <v>627</v>
      </c>
      <c r="D302">
        <v>2.6</v>
      </c>
      <c r="E302" t="s">
        <v>590</v>
      </c>
    </row>
    <row r="303" spans="1:5" x14ac:dyDescent="0.3">
      <c r="A303" s="31">
        <v>45838</v>
      </c>
      <c r="B303" t="s">
        <v>23</v>
      </c>
      <c r="C303" t="s">
        <v>626</v>
      </c>
      <c r="D303">
        <v>2.6</v>
      </c>
      <c r="E303" t="s">
        <v>590</v>
      </c>
    </row>
    <row r="304" spans="1:5" x14ac:dyDescent="0.3">
      <c r="A304" s="31">
        <v>45838</v>
      </c>
      <c r="B304" t="s">
        <v>23</v>
      </c>
      <c r="C304" t="s">
        <v>625</v>
      </c>
      <c r="D304">
        <v>2.8</v>
      </c>
      <c r="E304" t="s">
        <v>590</v>
      </c>
    </row>
    <row r="305" spans="1:5" x14ac:dyDescent="0.3">
      <c r="A305" s="31">
        <v>45838</v>
      </c>
      <c r="B305" t="s">
        <v>23</v>
      </c>
      <c r="C305" t="s">
        <v>624</v>
      </c>
      <c r="D305">
        <v>2.9</v>
      </c>
      <c r="E305" t="s">
        <v>590</v>
      </c>
    </row>
    <row r="306" spans="1:5" x14ac:dyDescent="0.3">
      <c r="A306" s="31">
        <v>45838</v>
      </c>
      <c r="B306" t="s">
        <v>23</v>
      </c>
      <c r="C306" t="s">
        <v>623</v>
      </c>
      <c r="D306">
        <v>3.5</v>
      </c>
      <c r="E306" t="s">
        <v>590</v>
      </c>
    </row>
    <row r="307" spans="1:5" x14ac:dyDescent="0.3">
      <c r="A307" s="31">
        <v>45838</v>
      </c>
      <c r="B307" t="s">
        <v>23</v>
      </c>
      <c r="C307" t="s">
        <v>622</v>
      </c>
      <c r="D307">
        <v>2.9</v>
      </c>
      <c r="E307" t="s">
        <v>590</v>
      </c>
    </row>
    <row r="308" spans="1:5" x14ac:dyDescent="0.3">
      <c r="A308" s="31">
        <v>45838</v>
      </c>
      <c r="B308" t="s">
        <v>23</v>
      </c>
      <c r="C308" t="s">
        <v>620</v>
      </c>
      <c r="D308">
        <v>1.3</v>
      </c>
      <c r="E308" t="s">
        <v>621</v>
      </c>
    </row>
    <row r="309" spans="1:5" x14ac:dyDescent="0.3">
      <c r="A309" s="31">
        <v>45838</v>
      </c>
      <c r="B309" t="s">
        <v>23</v>
      </c>
      <c r="C309" t="s">
        <v>619</v>
      </c>
      <c r="D309">
        <v>2.8</v>
      </c>
      <c r="E309" t="s">
        <v>590</v>
      </c>
    </row>
    <row r="310" spans="1:5" x14ac:dyDescent="0.3">
      <c r="A310" s="31">
        <v>45838</v>
      </c>
      <c r="B310" t="s">
        <v>23</v>
      </c>
      <c r="C310" t="s">
        <v>618</v>
      </c>
      <c r="D310">
        <v>2.7</v>
      </c>
      <c r="E310" t="s">
        <v>590</v>
      </c>
    </row>
    <row r="311" spans="1:5" x14ac:dyDescent="0.3">
      <c r="A311" s="31">
        <v>45838</v>
      </c>
      <c r="B311" t="s">
        <v>23</v>
      </c>
      <c r="C311" t="s">
        <v>617</v>
      </c>
      <c r="D311">
        <v>3</v>
      </c>
      <c r="E311" t="s">
        <v>590</v>
      </c>
    </row>
    <row r="312" spans="1:5" x14ac:dyDescent="0.3">
      <c r="A312" s="31">
        <v>45838</v>
      </c>
      <c r="B312" t="s">
        <v>23</v>
      </c>
      <c r="C312" t="s">
        <v>616</v>
      </c>
      <c r="D312">
        <v>2.8</v>
      </c>
      <c r="E312" t="s">
        <v>590</v>
      </c>
    </row>
    <row r="313" spans="1:5" x14ac:dyDescent="0.3">
      <c r="A313" s="31">
        <v>45838</v>
      </c>
      <c r="B313" t="s">
        <v>8</v>
      </c>
      <c r="C313" t="s">
        <v>615</v>
      </c>
      <c r="D313">
        <v>3.1</v>
      </c>
      <c r="E313" t="s">
        <v>590</v>
      </c>
    </row>
    <row r="314" spans="1:5" x14ac:dyDescent="0.3">
      <c r="A314" s="31">
        <v>45838</v>
      </c>
      <c r="B314" t="s">
        <v>8</v>
      </c>
      <c r="C314" t="s">
        <v>614</v>
      </c>
      <c r="D314">
        <v>3</v>
      </c>
      <c r="E314" t="s">
        <v>621</v>
      </c>
    </row>
    <row r="315" spans="1:5" x14ac:dyDescent="0.3">
      <c r="A315" s="31">
        <v>45838</v>
      </c>
      <c r="B315" t="s">
        <v>8</v>
      </c>
      <c r="C315" t="s">
        <v>613</v>
      </c>
      <c r="D315">
        <v>3.2</v>
      </c>
      <c r="E315" t="s">
        <v>590</v>
      </c>
    </row>
    <row r="316" spans="1:5" x14ac:dyDescent="0.3">
      <c r="A316" s="31">
        <v>45838</v>
      </c>
      <c r="B316" t="s">
        <v>8</v>
      </c>
      <c r="C316" t="s">
        <v>612</v>
      </c>
      <c r="D316">
        <v>2.8</v>
      </c>
      <c r="E316" t="s">
        <v>590</v>
      </c>
    </row>
    <row r="317" spans="1:5" x14ac:dyDescent="0.3">
      <c r="A317" s="31">
        <v>45838</v>
      </c>
      <c r="B317" t="s">
        <v>8</v>
      </c>
      <c r="C317" t="s">
        <v>611</v>
      </c>
      <c r="D317">
        <v>3</v>
      </c>
      <c r="E317" t="s">
        <v>590</v>
      </c>
    </row>
    <row r="318" spans="1:5" x14ac:dyDescent="0.3">
      <c r="A318" s="31">
        <v>45838</v>
      </c>
      <c r="B318" t="s">
        <v>8</v>
      </c>
      <c r="C318" t="s">
        <v>610</v>
      </c>
      <c r="D318">
        <v>2.9</v>
      </c>
      <c r="E318" t="s">
        <v>590</v>
      </c>
    </row>
    <row r="319" spans="1:5" x14ac:dyDescent="0.3">
      <c r="A319" s="31">
        <v>45838</v>
      </c>
      <c r="B319" t="s">
        <v>8</v>
      </c>
      <c r="C319" t="s">
        <v>609</v>
      </c>
      <c r="D319">
        <v>3.3</v>
      </c>
      <c r="E319" t="s">
        <v>590</v>
      </c>
    </row>
    <row r="320" spans="1:5" x14ac:dyDescent="0.3">
      <c r="A320" s="31">
        <v>45838</v>
      </c>
      <c r="B320" t="s">
        <v>8</v>
      </c>
      <c r="C320" t="s">
        <v>608</v>
      </c>
      <c r="D320">
        <v>3.2</v>
      </c>
      <c r="E320" t="s">
        <v>590</v>
      </c>
    </row>
    <row r="321" spans="1:5" x14ac:dyDescent="0.3">
      <c r="A321" s="31">
        <v>45838</v>
      </c>
      <c r="B321" t="s">
        <v>8</v>
      </c>
      <c r="C321" t="s">
        <v>607</v>
      </c>
      <c r="D321">
        <v>2.7</v>
      </c>
      <c r="E321" t="s">
        <v>590</v>
      </c>
    </row>
    <row r="322" spans="1:5" x14ac:dyDescent="0.3">
      <c r="A322" s="31">
        <v>45838</v>
      </c>
      <c r="B322" t="s">
        <v>8</v>
      </c>
      <c r="C322" t="s">
        <v>606</v>
      </c>
      <c r="D322">
        <v>2.7</v>
      </c>
      <c r="E322" t="s">
        <v>590</v>
      </c>
    </row>
    <row r="323" spans="1:5" x14ac:dyDescent="0.3">
      <c r="A323" s="31">
        <v>45838</v>
      </c>
      <c r="B323" t="s">
        <v>8</v>
      </c>
      <c r="C323" t="s">
        <v>605</v>
      </c>
      <c r="D323">
        <v>3.3</v>
      </c>
      <c r="E323" t="s">
        <v>590</v>
      </c>
    </row>
    <row r="324" spans="1:5" x14ac:dyDescent="0.3">
      <c r="A324" s="31">
        <v>45838</v>
      </c>
      <c r="B324" t="s">
        <v>8</v>
      </c>
      <c r="C324" t="s">
        <v>604</v>
      </c>
      <c r="D324">
        <v>3.1</v>
      </c>
      <c r="E324" t="s">
        <v>590</v>
      </c>
    </row>
    <row r="325" spans="1:5" x14ac:dyDescent="0.3">
      <c r="A325" s="31">
        <v>45838</v>
      </c>
      <c r="B325" t="s">
        <v>8</v>
      </c>
      <c r="C325" t="s">
        <v>603</v>
      </c>
      <c r="D325">
        <v>2.9</v>
      </c>
      <c r="E325" t="s">
        <v>590</v>
      </c>
    </row>
    <row r="326" spans="1:5" x14ac:dyDescent="0.3">
      <c r="A326" s="31">
        <v>45838</v>
      </c>
      <c r="B326" t="s">
        <v>10</v>
      </c>
      <c r="C326" t="s">
        <v>602</v>
      </c>
      <c r="D326">
        <v>2.7</v>
      </c>
      <c r="E326" t="s">
        <v>590</v>
      </c>
    </row>
    <row r="327" spans="1:5" x14ac:dyDescent="0.3">
      <c r="A327" s="31">
        <v>45838</v>
      </c>
      <c r="B327" t="s">
        <v>10</v>
      </c>
      <c r="C327" t="s">
        <v>601</v>
      </c>
      <c r="D327">
        <v>3.4</v>
      </c>
      <c r="E327" t="s">
        <v>590</v>
      </c>
    </row>
    <row r="328" spans="1:5" x14ac:dyDescent="0.3">
      <c r="A328" s="31">
        <v>45838</v>
      </c>
      <c r="B328" t="s">
        <v>10</v>
      </c>
      <c r="C328" t="s">
        <v>600</v>
      </c>
      <c r="D328">
        <v>2.9</v>
      </c>
      <c r="E328" t="s">
        <v>590</v>
      </c>
    </row>
    <row r="329" spans="1:5" x14ac:dyDescent="0.3">
      <c r="A329" s="31">
        <v>45838</v>
      </c>
      <c r="B329" t="s">
        <v>10</v>
      </c>
      <c r="C329" t="s">
        <v>599</v>
      </c>
      <c r="D329">
        <v>3</v>
      </c>
      <c r="E329" t="s">
        <v>590</v>
      </c>
    </row>
    <row r="330" spans="1:5" x14ac:dyDescent="0.3">
      <c r="A330" s="31">
        <v>45838</v>
      </c>
      <c r="B330" t="s">
        <v>10</v>
      </c>
      <c r="C330" t="s">
        <v>598</v>
      </c>
      <c r="D330">
        <v>3.3</v>
      </c>
      <c r="E330" t="s">
        <v>590</v>
      </c>
    </row>
    <row r="331" spans="1:5" x14ac:dyDescent="0.3">
      <c r="A331" s="31">
        <v>45838</v>
      </c>
      <c r="B331" t="s">
        <v>10</v>
      </c>
      <c r="C331" t="s">
        <v>597</v>
      </c>
      <c r="D331">
        <v>3.4</v>
      </c>
      <c r="E331" t="s">
        <v>590</v>
      </c>
    </row>
    <row r="332" spans="1:5" x14ac:dyDescent="0.3">
      <c r="A332" s="31">
        <v>45838</v>
      </c>
      <c r="B332" t="s">
        <v>10</v>
      </c>
      <c r="C332" t="s">
        <v>596</v>
      </c>
      <c r="D332">
        <v>3.2</v>
      </c>
      <c r="E332" t="s">
        <v>590</v>
      </c>
    </row>
    <row r="333" spans="1:5" x14ac:dyDescent="0.3">
      <c r="A333" s="31">
        <v>45838</v>
      </c>
      <c r="B333" t="s">
        <v>10</v>
      </c>
      <c r="C333" t="s">
        <v>595</v>
      </c>
      <c r="D333">
        <v>2.8</v>
      </c>
      <c r="E333" t="s">
        <v>590</v>
      </c>
    </row>
    <row r="334" spans="1:5" x14ac:dyDescent="0.3">
      <c r="A334" s="31">
        <v>45838</v>
      </c>
      <c r="B334" t="s">
        <v>10</v>
      </c>
      <c r="C334" t="s">
        <v>594</v>
      </c>
      <c r="D334">
        <v>3</v>
      </c>
      <c r="E334" t="s">
        <v>590</v>
      </c>
    </row>
    <row r="335" spans="1:5" x14ac:dyDescent="0.3">
      <c r="A335" s="31">
        <v>45838</v>
      </c>
      <c r="B335" t="s">
        <v>10</v>
      </c>
      <c r="C335" t="s">
        <v>593</v>
      </c>
      <c r="D335">
        <v>3</v>
      </c>
      <c r="E335" t="s">
        <v>590</v>
      </c>
    </row>
    <row r="336" spans="1:5" x14ac:dyDescent="0.3">
      <c r="A336" s="31">
        <v>45838</v>
      </c>
      <c r="B336" t="s">
        <v>10</v>
      </c>
      <c r="C336" t="s">
        <v>592</v>
      </c>
      <c r="D336">
        <v>2.8</v>
      </c>
      <c r="E336" t="s">
        <v>590</v>
      </c>
    </row>
    <row r="337" spans="1:5" x14ac:dyDescent="0.3">
      <c r="A337" s="31">
        <v>45838</v>
      </c>
      <c r="B337" t="s">
        <v>10</v>
      </c>
      <c r="C337" t="s">
        <v>591</v>
      </c>
      <c r="D337">
        <v>3.3</v>
      </c>
      <c r="E337" t="s">
        <v>590</v>
      </c>
    </row>
    <row r="338" spans="1:5" x14ac:dyDescent="0.3">
      <c r="A338" s="31">
        <v>45869</v>
      </c>
      <c r="B338" t="s">
        <v>35</v>
      </c>
      <c r="C338" t="s">
        <v>638</v>
      </c>
      <c r="D338">
        <v>4.8</v>
      </c>
      <c r="E338" t="s">
        <v>590</v>
      </c>
    </row>
    <row r="339" spans="1:5" x14ac:dyDescent="0.3">
      <c r="A339" s="31">
        <v>45869</v>
      </c>
      <c r="B339" t="s">
        <v>35</v>
      </c>
      <c r="C339" t="s">
        <v>637</v>
      </c>
      <c r="D339">
        <v>3.2</v>
      </c>
      <c r="E339" t="s">
        <v>590</v>
      </c>
    </row>
    <row r="340" spans="1:5" x14ac:dyDescent="0.3">
      <c r="A340" s="31">
        <v>45869</v>
      </c>
      <c r="B340" t="s">
        <v>35</v>
      </c>
      <c r="C340" t="s">
        <v>636</v>
      </c>
      <c r="D340">
        <v>4.2</v>
      </c>
      <c r="E340" t="s">
        <v>590</v>
      </c>
    </row>
    <row r="341" spans="1:5" x14ac:dyDescent="0.3">
      <c r="A341" s="31">
        <v>45869</v>
      </c>
      <c r="B341" t="s">
        <v>35</v>
      </c>
      <c r="C341" t="s">
        <v>275</v>
      </c>
      <c r="D341">
        <v>4</v>
      </c>
      <c r="E341" t="s">
        <v>590</v>
      </c>
    </row>
    <row r="342" spans="1:5" x14ac:dyDescent="0.3">
      <c r="A342" s="31">
        <v>45869</v>
      </c>
      <c r="B342" t="s">
        <v>35</v>
      </c>
      <c r="C342" t="s">
        <v>635</v>
      </c>
      <c r="D342">
        <v>4.0999999999999996</v>
      </c>
      <c r="E342" t="s">
        <v>590</v>
      </c>
    </row>
    <row r="343" spans="1:5" x14ac:dyDescent="0.3">
      <c r="A343" s="31">
        <v>45869</v>
      </c>
      <c r="B343" t="s">
        <v>35</v>
      </c>
      <c r="C343" t="s">
        <v>634</v>
      </c>
      <c r="D343">
        <v>3.7</v>
      </c>
      <c r="E343" t="s">
        <v>590</v>
      </c>
    </row>
    <row r="344" spans="1:5" x14ac:dyDescent="0.3">
      <c r="A344" s="31">
        <v>45869</v>
      </c>
      <c r="B344" t="s">
        <v>35</v>
      </c>
      <c r="C344" t="s">
        <v>633</v>
      </c>
      <c r="D344">
        <v>4.4000000000000004</v>
      </c>
      <c r="E344" t="s">
        <v>621</v>
      </c>
    </row>
    <row r="345" spans="1:5" x14ac:dyDescent="0.3">
      <c r="A345" s="31">
        <v>45869</v>
      </c>
      <c r="B345" t="s">
        <v>35</v>
      </c>
      <c r="C345" t="s">
        <v>632</v>
      </c>
      <c r="D345">
        <v>4</v>
      </c>
      <c r="E345" t="s">
        <v>621</v>
      </c>
    </row>
    <row r="346" spans="1:5" x14ac:dyDescent="0.3">
      <c r="A346" s="31">
        <v>45869</v>
      </c>
      <c r="B346" t="s">
        <v>35</v>
      </c>
      <c r="C346" t="s">
        <v>631</v>
      </c>
      <c r="D346">
        <v>4.2</v>
      </c>
      <c r="E346" t="s">
        <v>590</v>
      </c>
    </row>
    <row r="347" spans="1:5" x14ac:dyDescent="0.3">
      <c r="A347" s="31">
        <v>45869</v>
      </c>
      <c r="B347" t="s">
        <v>35</v>
      </c>
      <c r="C347" t="s">
        <v>630</v>
      </c>
      <c r="D347">
        <v>3.8</v>
      </c>
      <c r="E347" t="s">
        <v>590</v>
      </c>
    </row>
    <row r="348" spans="1:5" x14ac:dyDescent="0.3">
      <c r="A348" s="31">
        <v>45869</v>
      </c>
      <c r="B348" t="s">
        <v>23</v>
      </c>
      <c r="C348" t="s">
        <v>629</v>
      </c>
      <c r="D348">
        <v>3.6</v>
      </c>
      <c r="E348" t="s">
        <v>590</v>
      </c>
    </row>
    <row r="349" spans="1:5" x14ac:dyDescent="0.3">
      <c r="A349" s="31">
        <v>45869</v>
      </c>
      <c r="B349" t="s">
        <v>23</v>
      </c>
      <c r="C349" t="s">
        <v>628</v>
      </c>
      <c r="D349">
        <v>3.8</v>
      </c>
      <c r="E349" t="s">
        <v>621</v>
      </c>
    </row>
    <row r="350" spans="1:5" x14ac:dyDescent="0.3">
      <c r="A350" s="31">
        <v>45869</v>
      </c>
      <c r="B350" t="s">
        <v>23</v>
      </c>
      <c r="C350" t="s">
        <v>627</v>
      </c>
      <c r="D350">
        <v>3.7</v>
      </c>
      <c r="E350" t="s">
        <v>590</v>
      </c>
    </row>
    <row r="351" spans="1:5" x14ac:dyDescent="0.3">
      <c r="A351" s="31">
        <v>45869</v>
      </c>
      <c r="B351" t="s">
        <v>23</v>
      </c>
      <c r="C351" t="s">
        <v>626</v>
      </c>
      <c r="D351">
        <v>3.8</v>
      </c>
      <c r="E351" t="s">
        <v>590</v>
      </c>
    </row>
    <row r="352" spans="1:5" x14ac:dyDescent="0.3">
      <c r="A352" s="31">
        <v>45869</v>
      </c>
      <c r="B352" t="s">
        <v>23</v>
      </c>
      <c r="C352" t="s">
        <v>625</v>
      </c>
      <c r="D352">
        <v>4.0999999999999996</v>
      </c>
      <c r="E352" t="s">
        <v>590</v>
      </c>
    </row>
    <row r="353" spans="1:5" x14ac:dyDescent="0.3">
      <c r="A353" s="31">
        <v>45869</v>
      </c>
      <c r="B353" t="s">
        <v>23</v>
      </c>
      <c r="C353" t="s">
        <v>624</v>
      </c>
      <c r="D353">
        <v>4</v>
      </c>
      <c r="E353" t="s">
        <v>590</v>
      </c>
    </row>
    <row r="354" spans="1:5" x14ac:dyDescent="0.3">
      <c r="A354" s="31">
        <v>45869</v>
      </c>
      <c r="B354" t="s">
        <v>23</v>
      </c>
      <c r="C354" t="s">
        <v>623</v>
      </c>
      <c r="D354">
        <v>4.5</v>
      </c>
      <c r="E354" t="s">
        <v>590</v>
      </c>
    </row>
    <row r="355" spans="1:5" x14ac:dyDescent="0.3">
      <c r="A355" s="31">
        <v>45869</v>
      </c>
      <c r="B355" t="s">
        <v>23</v>
      </c>
      <c r="C355" t="s">
        <v>622</v>
      </c>
      <c r="D355">
        <v>3.8</v>
      </c>
      <c r="E355" t="s">
        <v>590</v>
      </c>
    </row>
    <row r="356" spans="1:5" x14ac:dyDescent="0.3">
      <c r="A356" s="31">
        <v>45869</v>
      </c>
      <c r="B356" t="s">
        <v>23</v>
      </c>
      <c r="C356" t="s">
        <v>620</v>
      </c>
      <c r="D356">
        <v>3</v>
      </c>
      <c r="E356" t="s">
        <v>621</v>
      </c>
    </row>
    <row r="357" spans="1:5" x14ac:dyDescent="0.3">
      <c r="A357" s="31">
        <v>45869</v>
      </c>
      <c r="B357" t="s">
        <v>23</v>
      </c>
      <c r="C357" t="s">
        <v>619</v>
      </c>
      <c r="D357">
        <v>3.8</v>
      </c>
      <c r="E357" t="s">
        <v>590</v>
      </c>
    </row>
    <row r="358" spans="1:5" x14ac:dyDescent="0.3">
      <c r="A358" s="31">
        <v>45869</v>
      </c>
      <c r="B358" t="s">
        <v>23</v>
      </c>
      <c r="C358" t="s">
        <v>618</v>
      </c>
      <c r="D358">
        <v>3.8</v>
      </c>
      <c r="E358" t="s">
        <v>590</v>
      </c>
    </row>
    <row r="359" spans="1:5" x14ac:dyDescent="0.3">
      <c r="A359" s="31">
        <v>45869</v>
      </c>
      <c r="B359" t="s">
        <v>23</v>
      </c>
      <c r="C359" t="s">
        <v>617</v>
      </c>
      <c r="D359">
        <v>3.8</v>
      </c>
      <c r="E359" t="s">
        <v>590</v>
      </c>
    </row>
    <row r="360" spans="1:5" x14ac:dyDescent="0.3">
      <c r="A360" s="31">
        <v>45869</v>
      </c>
      <c r="B360" t="s">
        <v>23</v>
      </c>
      <c r="C360" t="s">
        <v>616</v>
      </c>
      <c r="D360">
        <v>3.8</v>
      </c>
      <c r="E360" t="s">
        <v>590</v>
      </c>
    </row>
    <row r="361" spans="1:5" x14ac:dyDescent="0.3">
      <c r="A361" s="31">
        <v>45869</v>
      </c>
      <c r="B361" t="s">
        <v>8</v>
      </c>
      <c r="C361" t="s">
        <v>615</v>
      </c>
      <c r="D361">
        <v>3.5</v>
      </c>
      <c r="E361" t="s">
        <v>590</v>
      </c>
    </row>
    <row r="362" spans="1:5" x14ac:dyDescent="0.3">
      <c r="A362" s="31">
        <v>45869</v>
      </c>
      <c r="B362" t="s">
        <v>8</v>
      </c>
      <c r="C362" t="s">
        <v>614</v>
      </c>
      <c r="D362">
        <v>5</v>
      </c>
      <c r="E362" t="s">
        <v>621</v>
      </c>
    </row>
    <row r="363" spans="1:5" x14ac:dyDescent="0.3">
      <c r="A363" s="31">
        <v>45869</v>
      </c>
      <c r="B363" t="s">
        <v>8</v>
      </c>
      <c r="C363" t="s">
        <v>613</v>
      </c>
      <c r="D363">
        <v>3.8</v>
      </c>
      <c r="E363" t="s">
        <v>590</v>
      </c>
    </row>
    <row r="364" spans="1:5" x14ac:dyDescent="0.3">
      <c r="A364" s="31">
        <v>45869</v>
      </c>
      <c r="B364" t="s">
        <v>8</v>
      </c>
      <c r="C364" t="s">
        <v>612</v>
      </c>
      <c r="D364">
        <v>4.0999999999999996</v>
      </c>
      <c r="E364" t="s">
        <v>590</v>
      </c>
    </row>
    <row r="365" spans="1:5" x14ac:dyDescent="0.3">
      <c r="A365" s="31">
        <v>45869</v>
      </c>
      <c r="B365" t="s">
        <v>8</v>
      </c>
      <c r="C365" t="s">
        <v>611</v>
      </c>
      <c r="D365">
        <v>2.5</v>
      </c>
      <c r="E365" t="s">
        <v>590</v>
      </c>
    </row>
    <row r="366" spans="1:5" x14ac:dyDescent="0.3">
      <c r="A366" s="31">
        <v>45869</v>
      </c>
      <c r="B366" t="s">
        <v>8</v>
      </c>
      <c r="C366" t="s">
        <v>610</v>
      </c>
      <c r="D366">
        <v>3.9</v>
      </c>
      <c r="E366" t="s">
        <v>590</v>
      </c>
    </row>
    <row r="367" spans="1:5" x14ac:dyDescent="0.3">
      <c r="A367" s="31">
        <v>45869</v>
      </c>
      <c r="B367" t="s">
        <v>8</v>
      </c>
      <c r="C367" t="s">
        <v>609</v>
      </c>
      <c r="D367">
        <v>3.9</v>
      </c>
      <c r="E367" t="s">
        <v>590</v>
      </c>
    </row>
    <row r="368" spans="1:5" x14ac:dyDescent="0.3">
      <c r="A368" s="31">
        <v>45869</v>
      </c>
      <c r="B368" t="s">
        <v>8</v>
      </c>
      <c r="C368" t="s">
        <v>608</v>
      </c>
      <c r="D368">
        <v>3.9</v>
      </c>
      <c r="E368" t="s">
        <v>590</v>
      </c>
    </row>
    <row r="369" spans="1:5" x14ac:dyDescent="0.3">
      <c r="A369" s="31">
        <v>45869</v>
      </c>
      <c r="B369" t="s">
        <v>8</v>
      </c>
      <c r="C369" t="s">
        <v>607</v>
      </c>
      <c r="D369">
        <v>3.4</v>
      </c>
      <c r="E369" t="s">
        <v>590</v>
      </c>
    </row>
    <row r="370" spans="1:5" x14ac:dyDescent="0.3">
      <c r="A370" s="31">
        <v>45869</v>
      </c>
      <c r="B370" t="s">
        <v>8</v>
      </c>
      <c r="C370" t="s">
        <v>606</v>
      </c>
      <c r="D370">
        <v>3.8</v>
      </c>
      <c r="E370" t="s">
        <v>590</v>
      </c>
    </row>
    <row r="371" spans="1:5" x14ac:dyDescent="0.3">
      <c r="A371" s="31">
        <v>45869</v>
      </c>
      <c r="B371" t="s">
        <v>8</v>
      </c>
      <c r="C371" t="s">
        <v>605</v>
      </c>
      <c r="D371">
        <v>3.6</v>
      </c>
      <c r="E371" t="s">
        <v>590</v>
      </c>
    </row>
    <row r="372" spans="1:5" x14ac:dyDescent="0.3">
      <c r="A372" s="31">
        <v>45869</v>
      </c>
      <c r="B372" t="s">
        <v>8</v>
      </c>
      <c r="C372" t="s">
        <v>604</v>
      </c>
      <c r="D372">
        <v>3.6</v>
      </c>
      <c r="E372" t="s">
        <v>590</v>
      </c>
    </row>
    <row r="373" spans="1:5" x14ac:dyDescent="0.3">
      <c r="A373" s="31">
        <v>45869</v>
      </c>
      <c r="B373" t="s">
        <v>8</v>
      </c>
      <c r="C373" t="s">
        <v>603</v>
      </c>
      <c r="D373">
        <v>3.5</v>
      </c>
      <c r="E373" t="s">
        <v>590</v>
      </c>
    </row>
    <row r="374" spans="1:5" x14ac:dyDescent="0.3">
      <c r="A374" s="31">
        <v>45869</v>
      </c>
      <c r="B374" t="s">
        <v>10</v>
      </c>
      <c r="C374" t="s">
        <v>602</v>
      </c>
      <c r="D374">
        <v>3.1</v>
      </c>
      <c r="E374" t="s">
        <v>590</v>
      </c>
    </row>
    <row r="375" spans="1:5" x14ac:dyDescent="0.3">
      <c r="A375" s="31">
        <v>45869</v>
      </c>
      <c r="B375" t="s">
        <v>10</v>
      </c>
      <c r="C375" t="s">
        <v>601</v>
      </c>
      <c r="D375">
        <v>2.6</v>
      </c>
      <c r="E375" t="s">
        <v>590</v>
      </c>
    </row>
    <row r="376" spans="1:5" x14ac:dyDescent="0.3">
      <c r="A376" s="31">
        <v>45869</v>
      </c>
      <c r="B376" t="s">
        <v>10</v>
      </c>
      <c r="C376" t="s">
        <v>600</v>
      </c>
      <c r="D376">
        <v>3.2</v>
      </c>
      <c r="E376" t="s">
        <v>590</v>
      </c>
    </row>
    <row r="377" spans="1:5" x14ac:dyDescent="0.3">
      <c r="A377" s="31">
        <v>45869</v>
      </c>
      <c r="B377" t="s">
        <v>10</v>
      </c>
      <c r="C377" t="s">
        <v>599</v>
      </c>
      <c r="D377">
        <v>2.5</v>
      </c>
      <c r="E377" t="s">
        <v>590</v>
      </c>
    </row>
    <row r="378" spans="1:5" x14ac:dyDescent="0.3">
      <c r="A378" s="31">
        <v>45869</v>
      </c>
      <c r="B378" t="s">
        <v>10</v>
      </c>
      <c r="C378" t="s">
        <v>598</v>
      </c>
      <c r="D378">
        <v>3.1</v>
      </c>
      <c r="E378" t="s">
        <v>590</v>
      </c>
    </row>
    <row r="379" spans="1:5" x14ac:dyDescent="0.3">
      <c r="A379" s="31">
        <v>45869</v>
      </c>
      <c r="B379" t="s">
        <v>10</v>
      </c>
      <c r="C379" t="s">
        <v>597</v>
      </c>
      <c r="D379">
        <v>2.9</v>
      </c>
      <c r="E379" t="s">
        <v>590</v>
      </c>
    </row>
    <row r="380" spans="1:5" x14ac:dyDescent="0.3">
      <c r="A380" s="31">
        <v>45869</v>
      </c>
      <c r="B380" t="s">
        <v>10</v>
      </c>
      <c r="C380" t="s">
        <v>596</v>
      </c>
      <c r="D380">
        <v>2.7</v>
      </c>
      <c r="E380" t="s">
        <v>590</v>
      </c>
    </row>
    <row r="381" spans="1:5" x14ac:dyDescent="0.3">
      <c r="A381" s="31">
        <v>45869</v>
      </c>
      <c r="B381" t="s">
        <v>10</v>
      </c>
      <c r="C381" t="s">
        <v>595</v>
      </c>
      <c r="D381">
        <v>3.2</v>
      </c>
      <c r="E381" t="s">
        <v>590</v>
      </c>
    </row>
    <row r="382" spans="1:5" x14ac:dyDescent="0.3">
      <c r="A382" s="31">
        <v>45869</v>
      </c>
      <c r="B382" t="s">
        <v>10</v>
      </c>
      <c r="C382" t="s">
        <v>594</v>
      </c>
      <c r="D382">
        <v>2.8</v>
      </c>
      <c r="E382" t="s">
        <v>590</v>
      </c>
    </row>
    <row r="383" spans="1:5" x14ac:dyDescent="0.3">
      <c r="A383" s="31">
        <v>45869</v>
      </c>
      <c r="B383" t="s">
        <v>10</v>
      </c>
      <c r="C383" t="s">
        <v>593</v>
      </c>
      <c r="D383">
        <v>3.1</v>
      </c>
      <c r="E383" t="s">
        <v>590</v>
      </c>
    </row>
    <row r="384" spans="1:5" x14ac:dyDescent="0.3">
      <c r="A384" s="31">
        <v>45869</v>
      </c>
      <c r="B384" t="s">
        <v>10</v>
      </c>
      <c r="C384" t="s">
        <v>592</v>
      </c>
      <c r="D384">
        <v>2.5</v>
      </c>
      <c r="E384" t="s">
        <v>590</v>
      </c>
    </row>
    <row r="385" spans="1:5" x14ac:dyDescent="0.3">
      <c r="A385" s="31">
        <v>45869</v>
      </c>
      <c r="B385" t="s">
        <v>10</v>
      </c>
      <c r="C385" t="s">
        <v>591</v>
      </c>
      <c r="D385">
        <v>2.9</v>
      </c>
      <c r="E385" t="s">
        <v>590</v>
      </c>
    </row>
    <row r="386" spans="1:5" x14ac:dyDescent="0.3">
      <c r="A386" s="31">
        <v>45900</v>
      </c>
      <c r="B386" t="s">
        <v>35</v>
      </c>
      <c r="C386" t="s">
        <v>638</v>
      </c>
      <c r="D386">
        <v>4.3</v>
      </c>
      <c r="E386" t="s">
        <v>590</v>
      </c>
    </row>
    <row r="387" spans="1:5" x14ac:dyDescent="0.3">
      <c r="A387" s="31">
        <v>45900</v>
      </c>
      <c r="B387" t="s">
        <v>35</v>
      </c>
      <c r="C387" t="s">
        <v>637</v>
      </c>
      <c r="D387">
        <v>3.7</v>
      </c>
      <c r="E387" t="s">
        <v>590</v>
      </c>
    </row>
    <row r="388" spans="1:5" x14ac:dyDescent="0.3">
      <c r="A388" s="31">
        <v>45900</v>
      </c>
      <c r="B388" t="s">
        <v>35</v>
      </c>
      <c r="C388" t="s">
        <v>636</v>
      </c>
      <c r="D388">
        <v>3.7</v>
      </c>
      <c r="E388" t="s">
        <v>590</v>
      </c>
    </row>
    <row r="389" spans="1:5" x14ac:dyDescent="0.3">
      <c r="A389" s="31">
        <v>45900</v>
      </c>
      <c r="B389" t="s">
        <v>35</v>
      </c>
      <c r="C389" t="s">
        <v>275</v>
      </c>
      <c r="D389">
        <v>3.9</v>
      </c>
      <c r="E389" t="s">
        <v>590</v>
      </c>
    </row>
    <row r="390" spans="1:5" x14ac:dyDescent="0.3">
      <c r="A390" s="31">
        <v>45900</v>
      </c>
      <c r="B390" t="s">
        <v>35</v>
      </c>
      <c r="C390" t="s">
        <v>635</v>
      </c>
      <c r="D390">
        <v>4</v>
      </c>
      <c r="E390" t="s">
        <v>590</v>
      </c>
    </row>
    <row r="391" spans="1:5" x14ac:dyDescent="0.3">
      <c r="A391" s="31">
        <v>45900</v>
      </c>
      <c r="B391" t="s">
        <v>35</v>
      </c>
      <c r="C391" t="s">
        <v>634</v>
      </c>
      <c r="D391">
        <v>3.6</v>
      </c>
      <c r="E391" t="s">
        <v>590</v>
      </c>
    </row>
    <row r="392" spans="1:5" x14ac:dyDescent="0.3">
      <c r="A392" s="31">
        <v>45900</v>
      </c>
      <c r="B392" t="s">
        <v>35</v>
      </c>
      <c r="C392" t="s">
        <v>633</v>
      </c>
      <c r="D392">
        <v>3.7</v>
      </c>
      <c r="E392" t="s">
        <v>590</v>
      </c>
    </row>
    <row r="393" spans="1:5" x14ac:dyDescent="0.3">
      <c r="A393" s="31">
        <v>45900</v>
      </c>
      <c r="B393" t="s">
        <v>35</v>
      </c>
      <c r="C393" t="s">
        <v>632</v>
      </c>
      <c r="D393">
        <v>4</v>
      </c>
      <c r="E393" t="s">
        <v>590</v>
      </c>
    </row>
    <row r="394" spans="1:5" x14ac:dyDescent="0.3">
      <c r="A394" s="31">
        <v>45900</v>
      </c>
      <c r="B394" t="s">
        <v>35</v>
      </c>
      <c r="C394" t="s">
        <v>631</v>
      </c>
      <c r="D394">
        <v>4.3</v>
      </c>
      <c r="E394" t="s">
        <v>590</v>
      </c>
    </row>
    <row r="395" spans="1:5" x14ac:dyDescent="0.3">
      <c r="A395" s="31">
        <v>45900</v>
      </c>
      <c r="B395" t="s">
        <v>35</v>
      </c>
      <c r="C395" t="s">
        <v>630</v>
      </c>
      <c r="D395">
        <v>4.0999999999999996</v>
      </c>
      <c r="E395" t="s">
        <v>590</v>
      </c>
    </row>
    <row r="396" spans="1:5" x14ac:dyDescent="0.3">
      <c r="A396" s="31">
        <v>45900</v>
      </c>
      <c r="B396" t="s">
        <v>23</v>
      </c>
      <c r="C396" t="s">
        <v>629</v>
      </c>
      <c r="D396">
        <v>5</v>
      </c>
      <c r="E396" t="s">
        <v>621</v>
      </c>
    </row>
    <row r="397" spans="1:5" x14ac:dyDescent="0.3">
      <c r="A397" s="31">
        <v>45900</v>
      </c>
      <c r="B397" t="s">
        <v>23</v>
      </c>
      <c r="C397" t="s">
        <v>628</v>
      </c>
      <c r="D397">
        <v>1</v>
      </c>
      <c r="E397" t="s">
        <v>621</v>
      </c>
    </row>
    <row r="398" spans="1:5" x14ac:dyDescent="0.3">
      <c r="A398" s="31">
        <v>45900</v>
      </c>
      <c r="B398" t="s">
        <v>23</v>
      </c>
      <c r="C398" t="s">
        <v>627</v>
      </c>
      <c r="D398">
        <v>4</v>
      </c>
      <c r="E398" t="s">
        <v>590</v>
      </c>
    </row>
    <row r="399" spans="1:5" x14ac:dyDescent="0.3">
      <c r="A399" s="31">
        <v>45900</v>
      </c>
      <c r="B399" t="s">
        <v>23</v>
      </c>
      <c r="C399" t="s">
        <v>626</v>
      </c>
      <c r="D399">
        <v>3.4</v>
      </c>
      <c r="E399" t="s">
        <v>590</v>
      </c>
    </row>
    <row r="400" spans="1:5" x14ac:dyDescent="0.3">
      <c r="A400" s="31">
        <v>45900</v>
      </c>
      <c r="B400" t="s">
        <v>23</v>
      </c>
      <c r="C400" t="s">
        <v>625</v>
      </c>
      <c r="D400">
        <v>3.7</v>
      </c>
      <c r="E400" t="s">
        <v>590</v>
      </c>
    </row>
    <row r="401" spans="1:5" x14ac:dyDescent="0.3">
      <c r="A401" s="31">
        <v>45900</v>
      </c>
      <c r="B401" t="s">
        <v>23</v>
      </c>
      <c r="C401" t="s">
        <v>624</v>
      </c>
      <c r="D401">
        <v>3.8</v>
      </c>
      <c r="E401" t="s">
        <v>590</v>
      </c>
    </row>
    <row r="402" spans="1:5" x14ac:dyDescent="0.3">
      <c r="A402" s="31">
        <v>45900</v>
      </c>
      <c r="B402" t="s">
        <v>23</v>
      </c>
      <c r="C402" t="s">
        <v>623</v>
      </c>
      <c r="D402">
        <v>5</v>
      </c>
      <c r="E402" t="s">
        <v>590</v>
      </c>
    </row>
    <row r="403" spans="1:5" x14ac:dyDescent="0.3">
      <c r="A403" s="31">
        <v>45900</v>
      </c>
      <c r="B403" t="s">
        <v>23</v>
      </c>
      <c r="C403" t="s">
        <v>622</v>
      </c>
      <c r="D403">
        <v>3.6</v>
      </c>
      <c r="E403" t="s">
        <v>590</v>
      </c>
    </row>
    <row r="404" spans="1:5" x14ac:dyDescent="0.3">
      <c r="A404" s="31">
        <v>45900</v>
      </c>
      <c r="B404" t="s">
        <v>23</v>
      </c>
      <c r="C404" t="s">
        <v>620</v>
      </c>
      <c r="D404">
        <v>4.0999999999999996</v>
      </c>
      <c r="E404" t="s">
        <v>621</v>
      </c>
    </row>
    <row r="405" spans="1:5" x14ac:dyDescent="0.3">
      <c r="A405" s="31">
        <v>45900</v>
      </c>
      <c r="B405" t="s">
        <v>23</v>
      </c>
      <c r="C405" t="s">
        <v>619</v>
      </c>
      <c r="D405">
        <v>3.6</v>
      </c>
      <c r="E405" t="s">
        <v>590</v>
      </c>
    </row>
    <row r="406" spans="1:5" x14ac:dyDescent="0.3">
      <c r="A406" s="31">
        <v>45900</v>
      </c>
      <c r="B406" t="s">
        <v>23</v>
      </c>
      <c r="C406" t="s">
        <v>618</v>
      </c>
      <c r="D406">
        <v>3.6</v>
      </c>
      <c r="E406" t="s">
        <v>590</v>
      </c>
    </row>
    <row r="407" spans="1:5" x14ac:dyDescent="0.3">
      <c r="A407" s="31">
        <v>45900</v>
      </c>
      <c r="B407" t="s">
        <v>23</v>
      </c>
      <c r="C407" t="s">
        <v>617</v>
      </c>
      <c r="D407">
        <v>3.9</v>
      </c>
      <c r="E407" t="s">
        <v>590</v>
      </c>
    </row>
    <row r="408" spans="1:5" x14ac:dyDescent="0.3">
      <c r="A408" s="31">
        <v>45900</v>
      </c>
      <c r="B408" t="s">
        <v>23</v>
      </c>
      <c r="C408" t="s">
        <v>616</v>
      </c>
      <c r="D408">
        <v>3.4</v>
      </c>
      <c r="E408" t="s">
        <v>590</v>
      </c>
    </row>
    <row r="409" spans="1:5" x14ac:dyDescent="0.3">
      <c r="A409" s="31">
        <v>45900</v>
      </c>
      <c r="B409" t="s">
        <v>8</v>
      </c>
      <c r="C409" t="s">
        <v>615</v>
      </c>
      <c r="D409">
        <v>3.4</v>
      </c>
      <c r="E409" t="s">
        <v>590</v>
      </c>
    </row>
    <row r="410" spans="1:5" x14ac:dyDescent="0.3">
      <c r="A410" s="31">
        <v>45900</v>
      </c>
      <c r="B410" t="s">
        <v>8</v>
      </c>
      <c r="C410" t="s">
        <v>614</v>
      </c>
      <c r="D410">
        <v>4.0999999999999996</v>
      </c>
      <c r="E410" t="s">
        <v>590</v>
      </c>
    </row>
    <row r="411" spans="1:5" x14ac:dyDescent="0.3">
      <c r="A411" s="31">
        <v>45900</v>
      </c>
      <c r="B411" t="s">
        <v>8</v>
      </c>
      <c r="C411" t="s">
        <v>613</v>
      </c>
      <c r="D411">
        <v>3</v>
      </c>
      <c r="E411" t="s">
        <v>590</v>
      </c>
    </row>
    <row r="412" spans="1:5" x14ac:dyDescent="0.3">
      <c r="A412" s="31">
        <v>45900</v>
      </c>
      <c r="B412" t="s">
        <v>8</v>
      </c>
      <c r="C412" t="s">
        <v>612</v>
      </c>
      <c r="D412">
        <v>3.1</v>
      </c>
      <c r="E412" t="s">
        <v>590</v>
      </c>
    </row>
    <row r="413" spans="1:5" x14ac:dyDescent="0.3">
      <c r="A413" s="31">
        <v>45900</v>
      </c>
      <c r="B413" t="s">
        <v>8</v>
      </c>
      <c r="C413" t="s">
        <v>611</v>
      </c>
      <c r="D413">
        <v>2</v>
      </c>
      <c r="E413" t="s">
        <v>590</v>
      </c>
    </row>
    <row r="414" spans="1:5" x14ac:dyDescent="0.3">
      <c r="A414" s="31">
        <v>45900</v>
      </c>
      <c r="B414" t="s">
        <v>8</v>
      </c>
      <c r="C414" t="s">
        <v>610</v>
      </c>
      <c r="D414">
        <v>2.9</v>
      </c>
      <c r="E414" t="s">
        <v>590</v>
      </c>
    </row>
    <row r="415" spans="1:5" x14ac:dyDescent="0.3">
      <c r="A415" s="31">
        <v>45900</v>
      </c>
      <c r="B415" t="s">
        <v>8</v>
      </c>
      <c r="C415" t="s">
        <v>609</v>
      </c>
      <c r="D415">
        <v>2.8</v>
      </c>
      <c r="E415" t="s">
        <v>621</v>
      </c>
    </row>
    <row r="416" spans="1:5" x14ac:dyDescent="0.3">
      <c r="A416" s="31">
        <v>45900</v>
      </c>
      <c r="B416" t="s">
        <v>8</v>
      </c>
      <c r="C416" t="s">
        <v>608</v>
      </c>
      <c r="D416">
        <v>3.2</v>
      </c>
      <c r="E416" t="s">
        <v>590</v>
      </c>
    </row>
    <row r="417" spans="1:5" x14ac:dyDescent="0.3">
      <c r="A417" s="31">
        <v>45900</v>
      </c>
      <c r="B417" t="s">
        <v>8</v>
      </c>
      <c r="C417" t="s">
        <v>607</v>
      </c>
      <c r="D417">
        <v>3.3</v>
      </c>
      <c r="E417" t="s">
        <v>590</v>
      </c>
    </row>
    <row r="418" spans="1:5" x14ac:dyDescent="0.3">
      <c r="A418" s="31">
        <v>45900</v>
      </c>
      <c r="B418" t="s">
        <v>8</v>
      </c>
      <c r="C418" t="s">
        <v>606</v>
      </c>
      <c r="D418">
        <v>2.7</v>
      </c>
      <c r="E418" t="s">
        <v>621</v>
      </c>
    </row>
    <row r="419" spans="1:5" x14ac:dyDescent="0.3">
      <c r="A419" s="31">
        <v>45900</v>
      </c>
      <c r="B419" t="s">
        <v>8</v>
      </c>
      <c r="C419" t="s">
        <v>605</v>
      </c>
      <c r="D419">
        <v>2.6</v>
      </c>
      <c r="E419" t="s">
        <v>590</v>
      </c>
    </row>
    <row r="420" spans="1:5" x14ac:dyDescent="0.3">
      <c r="A420" s="31">
        <v>45900</v>
      </c>
      <c r="B420" t="s">
        <v>8</v>
      </c>
      <c r="C420" t="s">
        <v>604</v>
      </c>
      <c r="D420">
        <v>3.1</v>
      </c>
      <c r="E420" t="s">
        <v>590</v>
      </c>
    </row>
    <row r="421" spans="1:5" x14ac:dyDescent="0.3">
      <c r="A421" s="31">
        <v>45900</v>
      </c>
      <c r="B421" t="s">
        <v>8</v>
      </c>
      <c r="C421" t="s">
        <v>603</v>
      </c>
      <c r="D421">
        <v>3</v>
      </c>
      <c r="E421" t="s">
        <v>590</v>
      </c>
    </row>
    <row r="422" spans="1:5" x14ac:dyDescent="0.3">
      <c r="A422" s="31">
        <v>45900</v>
      </c>
      <c r="B422" t="s">
        <v>10</v>
      </c>
      <c r="C422" t="s">
        <v>602</v>
      </c>
      <c r="D422">
        <v>2.5</v>
      </c>
      <c r="E422" t="s">
        <v>590</v>
      </c>
    </row>
    <row r="423" spans="1:5" x14ac:dyDescent="0.3">
      <c r="A423" s="31">
        <v>45900</v>
      </c>
      <c r="B423" t="s">
        <v>10</v>
      </c>
      <c r="C423" t="s">
        <v>601</v>
      </c>
      <c r="D423">
        <v>2.8</v>
      </c>
      <c r="E423" t="s">
        <v>590</v>
      </c>
    </row>
    <row r="424" spans="1:5" x14ac:dyDescent="0.3">
      <c r="A424" s="31">
        <v>45900</v>
      </c>
      <c r="B424" t="s">
        <v>10</v>
      </c>
      <c r="C424" t="s">
        <v>600</v>
      </c>
      <c r="D424">
        <v>2.6</v>
      </c>
      <c r="E424" t="s">
        <v>590</v>
      </c>
    </row>
    <row r="425" spans="1:5" x14ac:dyDescent="0.3">
      <c r="A425" s="31">
        <v>45900</v>
      </c>
      <c r="B425" t="s">
        <v>10</v>
      </c>
      <c r="C425" t="s">
        <v>599</v>
      </c>
      <c r="D425">
        <v>2</v>
      </c>
      <c r="E425" t="s">
        <v>590</v>
      </c>
    </row>
    <row r="426" spans="1:5" x14ac:dyDescent="0.3">
      <c r="A426" s="31">
        <v>45900</v>
      </c>
      <c r="B426" t="s">
        <v>10</v>
      </c>
      <c r="C426" t="s">
        <v>598</v>
      </c>
      <c r="D426">
        <v>2.9</v>
      </c>
      <c r="E426" t="s">
        <v>590</v>
      </c>
    </row>
    <row r="427" spans="1:5" x14ac:dyDescent="0.3">
      <c r="A427" s="31">
        <v>45900</v>
      </c>
      <c r="B427" t="s">
        <v>10</v>
      </c>
      <c r="C427" t="s">
        <v>597</v>
      </c>
      <c r="D427">
        <v>3.1</v>
      </c>
      <c r="E427" t="s">
        <v>590</v>
      </c>
    </row>
    <row r="428" spans="1:5" x14ac:dyDescent="0.3">
      <c r="A428" s="31">
        <v>45900</v>
      </c>
      <c r="B428" t="s">
        <v>10</v>
      </c>
      <c r="C428" t="s">
        <v>596</v>
      </c>
      <c r="D428">
        <v>2.7</v>
      </c>
      <c r="E428" t="s">
        <v>590</v>
      </c>
    </row>
    <row r="429" spans="1:5" x14ac:dyDescent="0.3">
      <c r="A429" s="31">
        <v>45900</v>
      </c>
      <c r="B429" t="s">
        <v>10</v>
      </c>
      <c r="C429" t="s">
        <v>595</v>
      </c>
      <c r="D429">
        <v>2.9</v>
      </c>
      <c r="E429" t="s">
        <v>590</v>
      </c>
    </row>
    <row r="430" spans="1:5" x14ac:dyDescent="0.3">
      <c r="A430" s="31">
        <v>45900</v>
      </c>
      <c r="B430" t="s">
        <v>10</v>
      </c>
      <c r="C430" t="s">
        <v>594</v>
      </c>
      <c r="D430">
        <v>2.6</v>
      </c>
      <c r="E430" t="s">
        <v>590</v>
      </c>
    </row>
    <row r="431" spans="1:5" x14ac:dyDescent="0.3">
      <c r="A431" s="31">
        <v>45900</v>
      </c>
      <c r="B431" t="s">
        <v>10</v>
      </c>
      <c r="C431" t="s">
        <v>593</v>
      </c>
      <c r="D431">
        <v>2.4</v>
      </c>
      <c r="E431" t="s">
        <v>590</v>
      </c>
    </row>
    <row r="432" spans="1:5" x14ac:dyDescent="0.3">
      <c r="A432" s="31">
        <v>45900</v>
      </c>
      <c r="B432" t="s">
        <v>10</v>
      </c>
      <c r="C432" t="s">
        <v>592</v>
      </c>
      <c r="D432">
        <v>3</v>
      </c>
      <c r="E432" t="s">
        <v>590</v>
      </c>
    </row>
    <row r="433" spans="1:5" x14ac:dyDescent="0.3">
      <c r="A433" s="31">
        <v>45900</v>
      </c>
      <c r="B433" t="s">
        <v>10</v>
      </c>
      <c r="C433" t="s">
        <v>591</v>
      </c>
      <c r="D433">
        <v>2.5</v>
      </c>
      <c r="E433" t="s">
        <v>590</v>
      </c>
    </row>
    <row r="434" spans="1:5" x14ac:dyDescent="0.3">
      <c r="A434" s="31">
        <v>45930</v>
      </c>
      <c r="B434" t="s">
        <v>35</v>
      </c>
      <c r="C434" t="s">
        <v>638</v>
      </c>
      <c r="D434">
        <v>2.6</v>
      </c>
      <c r="E434" t="s">
        <v>590</v>
      </c>
    </row>
    <row r="435" spans="1:5" x14ac:dyDescent="0.3">
      <c r="A435" s="31">
        <v>45930</v>
      </c>
      <c r="B435" t="s">
        <v>35</v>
      </c>
      <c r="C435" t="s">
        <v>637</v>
      </c>
      <c r="D435">
        <v>4.5999999999999996</v>
      </c>
      <c r="E435" t="s">
        <v>590</v>
      </c>
    </row>
    <row r="436" spans="1:5" x14ac:dyDescent="0.3">
      <c r="A436" s="31">
        <v>45930</v>
      </c>
      <c r="B436" t="s">
        <v>35</v>
      </c>
      <c r="C436" t="s">
        <v>636</v>
      </c>
      <c r="D436">
        <v>3.8</v>
      </c>
      <c r="E436" t="s">
        <v>590</v>
      </c>
    </row>
    <row r="437" spans="1:5" x14ac:dyDescent="0.3">
      <c r="A437" s="31">
        <v>45930</v>
      </c>
      <c r="B437" t="s">
        <v>35</v>
      </c>
      <c r="C437" t="s">
        <v>275</v>
      </c>
      <c r="D437">
        <v>3.8</v>
      </c>
      <c r="E437" t="s">
        <v>590</v>
      </c>
    </row>
    <row r="438" spans="1:5" x14ac:dyDescent="0.3">
      <c r="A438" s="31">
        <v>45930</v>
      </c>
      <c r="B438" t="s">
        <v>35</v>
      </c>
      <c r="C438" t="s">
        <v>635</v>
      </c>
      <c r="D438">
        <v>3.6</v>
      </c>
      <c r="E438" t="s">
        <v>590</v>
      </c>
    </row>
    <row r="439" spans="1:5" x14ac:dyDescent="0.3">
      <c r="A439" s="31">
        <v>45930</v>
      </c>
      <c r="B439" t="s">
        <v>35</v>
      </c>
      <c r="C439" t="s">
        <v>634</v>
      </c>
      <c r="D439">
        <v>3.9</v>
      </c>
      <c r="E439" t="s">
        <v>590</v>
      </c>
    </row>
    <row r="440" spans="1:5" x14ac:dyDescent="0.3">
      <c r="A440" s="31">
        <v>45930</v>
      </c>
      <c r="B440" t="s">
        <v>35</v>
      </c>
      <c r="C440" t="s">
        <v>633</v>
      </c>
      <c r="D440">
        <v>3.7</v>
      </c>
      <c r="E440" t="s">
        <v>590</v>
      </c>
    </row>
    <row r="441" spans="1:5" x14ac:dyDescent="0.3">
      <c r="A441" s="31">
        <v>45930</v>
      </c>
      <c r="B441" t="s">
        <v>35</v>
      </c>
      <c r="C441" t="s">
        <v>632</v>
      </c>
      <c r="D441">
        <v>3.6</v>
      </c>
      <c r="E441" t="s">
        <v>590</v>
      </c>
    </row>
    <row r="442" spans="1:5" x14ac:dyDescent="0.3">
      <c r="A442" s="31">
        <v>45930</v>
      </c>
      <c r="B442" t="s">
        <v>35</v>
      </c>
      <c r="C442" t="s">
        <v>631</v>
      </c>
      <c r="D442">
        <v>3.6</v>
      </c>
      <c r="E442" t="s">
        <v>590</v>
      </c>
    </row>
    <row r="443" spans="1:5" x14ac:dyDescent="0.3">
      <c r="A443" s="31">
        <v>45930</v>
      </c>
      <c r="B443" t="s">
        <v>35</v>
      </c>
      <c r="C443" t="s">
        <v>630</v>
      </c>
      <c r="D443">
        <v>4</v>
      </c>
      <c r="E443" t="s">
        <v>590</v>
      </c>
    </row>
    <row r="444" spans="1:5" x14ac:dyDescent="0.3">
      <c r="A444" s="31">
        <v>45930</v>
      </c>
      <c r="B444" t="s">
        <v>23</v>
      </c>
      <c r="C444" t="s">
        <v>629</v>
      </c>
      <c r="D444">
        <v>1.2</v>
      </c>
      <c r="E444" t="s">
        <v>621</v>
      </c>
    </row>
    <row r="445" spans="1:5" x14ac:dyDescent="0.3">
      <c r="A445" s="31">
        <v>45930</v>
      </c>
      <c r="B445" t="s">
        <v>23</v>
      </c>
      <c r="C445" t="s">
        <v>628</v>
      </c>
      <c r="D445">
        <v>1.4</v>
      </c>
      <c r="E445" t="s">
        <v>590</v>
      </c>
    </row>
    <row r="446" spans="1:5" x14ac:dyDescent="0.3">
      <c r="A446" s="31">
        <v>45930</v>
      </c>
      <c r="B446" t="s">
        <v>23</v>
      </c>
      <c r="C446" t="s">
        <v>627</v>
      </c>
      <c r="D446">
        <v>1.5</v>
      </c>
      <c r="E446" t="s">
        <v>621</v>
      </c>
    </row>
    <row r="447" spans="1:5" x14ac:dyDescent="0.3">
      <c r="A447" s="31">
        <v>45930</v>
      </c>
      <c r="B447" t="s">
        <v>23</v>
      </c>
      <c r="C447" t="s">
        <v>626</v>
      </c>
      <c r="D447">
        <v>1.8</v>
      </c>
      <c r="E447" t="s">
        <v>590</v>
      </c>
    </row>
    <row r="448" spans="1:5" x14ac:dyDescent="0.3">
      <c r="A448" s="31">
        <v>45930</v>
      </c>
      <c r="B448" t="s">
        <v>23</v>
      </c>
      <c r="C448" t="s">
        <v>625</v>
      </c>
      <c r="D448">
        <v>1.6</v>
      </c>
      <c r="E448" t="s">
        <v>590</v>
      </c>
    </row>
    <row r="449" spans="1:5" x14ac:dyDescent="0.3">
      <c r="A449" s="31">
        <v>45930</v>
      </c>
      <c r="B449" t="s">
        <v>23</v>
      </c>
      <c r="C449" t="s">
        <v>624</v>
      </c>
      <c r="D449">
        <v>1.4</v>
      </c>
      <c r="E449" t="s">
        <v>621</v>
      </c>
    </row>
    <row r="450" spans="1:5" x14ac:dyDescent="0.3">
      <c r="A450" s="31">
        <v>45930</v>
      </c>
      <c r="B450" t="s">
        <v>23</v>
      </c>
      <c r="C450" t="s">
        <v>623</v>
      </c>
      <c r="D450">
        <v>2.4</v>
      </c>
      <c r="E450" t="s">
        <v>621</v>
      </c>
    </row>
    <row r="451" spans="1:5" x14ac:dyDescent="0.3">
      <c r="A451" s="31">
        <v>45930</v>
      </c>
      <c r="B451" t="s">
        <v>23</v>
      </c>
      <c r="C451" t="s">
        <v>622</v>
      </c>
      <c r="D451">
        <v>1.6</v>
      </c>
      <c r="E451" t="s">
        <v>590</v>
      </c>
    </row>
    <row r="452" spans="1:5" x14ac:dyDescent="0.3">
      <c r="A452" s="31">
        <v>45930</v>
      </c>
      <c r="B452" t="s">
        <v>23</v>
      </c>
      <c r="C452" t="s">
        <v>620</v>
      </c>
      <c r="D452">
        <v>2.4</v>
      </c>
      <c r="E452" t="s">
        <v>590</v>
      </c>
    </row>
    <row r="453" spans="1:5" x14ac:dyDescent="0.3">
      <c r="A453" s="31">
        <v>45930</v>
      </c>
      <c r="B453" t="s">
        <v>23</v>
      </c>
      <c r="C453" t="s">
        <v>619</v>
      </c>
      <c r="D453">
        <v>1.3</v>
      </c>
      <c r="E453" t="s">
        <v>590</v>
      </c>
    </row>
    <row r="454" spans="1:5" x14ac:dyDescent="0.3">
      <c r="A454" s="31">
        <v>45930</v>
      </c>
      <c r="B454" t="s">
        <v>23</v>
      </c>
      <c r="C454" t="s">
        <v>618</v>
      </c>
      <c r="D454">
        <v>1.5</v>
      </c>
      <c r="E454" t="s">
        <v>590</v>
      </c>
    </row>
    <row r="455" spans="1:5" x14ac:dyDescent="0.3">
      <c r="A455" s="31">
        <v>45930</v>
      </c>
      <c r="B455" t="s">
        <v>23</v>
      </c>
      <c r="C455" t="s">
        <v>617</v>
      </c>
      <c r="D455">
        <v>1.3</v>
      </c>
      <c r="E455" t="s">
        <v>621</v>
      </c>
    </row>
    <row r="456" spans="1:5" x14ac:dyDescent="0.3">
      <c r="A456" s="31">
        <v>45930</v>
      </c>
      <c r="B456" t="s">
        <v>23</v>
      </c>
      <c r="C456" t="s">
        <v>616</v>
      </c>
      <c r="D456">
        <v>2</v>
      </c>
      <c r="E456" t="s">
        <v>590</v>
      </c>
    </row>
    <row r="457" spans="1:5" x14ac:dyDescent="0.3">
      <c r="A457" s="31">
        <v>45930</v>
      </c>
      <c r="B457" t="s">
        <v>8</v>
      </c>
      <c r="C457" t="s">
        <v>615</v>
      </c>
      <c r="D457">
        <v>2.9</v>
      </c>
      <c r="E457" t="s">
        <v>590</v>
      </c>
    </row>
    <row r="458" spans="1:5" x14ac:dyDescent="0.3">
      <c r="A458" s="31">
        <v>45930</v>
      </c>
      <c r="B458" t="s">
        <v>8</v>
      </c>
      <c r="C458" t="s">
        <v>614</v>
      </c>
      <c r="D458">
        <v>3.6</v>
      </c>
      <c r="E458" t="s">
        <v>590</v>
      </c>
    </row>
    <row r="459" spans="1:5" x14ac:dyDescent="0.3">
      <c r="A459" s="31">
        <v>45930</v>
      </c>
      <c r="B459" t="s">
        <v>8</v>
      </c>
      <c r="C459" t="s">
        <v>613</v>
      </c>
      <c r="D459">
        <v>2.8</v>
      </c>
      <c r="E459" t="s">
        <v>590</v>
      </c>
    </row>
    <row r="460" spans="1:5" x14ac:dyDescent="0.3">
      <c r="A460" s="31">
        <v>45930</v>
      </c>
      <c r="B460" t="s">
        <v>8</v>
      </c>
      <c r="C460" t="s">
        <v>612</v>
      </c>
      <c r="D460">
        <v>2.9</v>
      </c>
      <c r="E460" t="s">
        <v>590</v>
      </c>
    </row>
    <row r="461" spans="1:5" x14ac:dyDescent="0.3">
      <c r="A461" s="31">
        <v>45930</v>
      </c>
      <c r="B461" t="s">
        <v>8</v>
      </c>
      <c r="C461" t="s">
        <v>611</v>
      </c>
      <c r="D461">
        <v>1.8</v>
      </c>
      <c r="E461" t="s">
        <v>590</v>
      </c>
    </row>
    <row r="462" spans="1:5" x14ac:dyDescent="0.3">
      <c r="A462" s="31">
        <v>45930</v>
      </c>
      <c r="B462" t="s">
        <v>8</v>
      </c>
      <c r="C462" t="s">
        <v>610</v>
      </c>
      <c r="D462">
        <v>2.9</v>
      </c>
      <c r="E462" t="s">
        <v>590</v>
      </c>
    </row>
    <row r="463" spans="1:5" x14ac:dyDescent="0.3">
      <c r="A463" s="31">
        <v>45930</v>
      </c>
      <c r="B463" t="s">
        <v>8</v>
      </c>
      <c r="C463" t="s">
        <v>609</v>
      </c>
      <c r="D463">
        <v>2.9</v>
      </c>
      <c r="E463" t="s">
        <v>590</v>
      </c>
    </row>
    <row r="464" spans="1:5" x14ac:dyDescent="0.3">
      <c r="A464" s="31">
        <v>45930</v>
      </c>
      <c r="B464" t="s">
        <v>8</v>
      </c>
      <c r="C464" t="s">
        <v>608</v>
      </c>
      <c r="D464">
        <v>2.4</v>
      </c>
      <c r="E464" t="s">
        <v>590</v>
      </c>
    </row>
    <row r="465" spans="1:5" x14ac:dyDescent="0.3">
      <c r="A465" s="31">
        <v>45930</v>
      </c>
      <c r="B465" t="s">
        <v>8</v>
      </c>
      <c r="C465" t="s">
        <v>607</v>
      </c>
      <c r="D465">
        <v>2.5</v>
      </c>
      <c r="E465" t="s">
        <v>590</v>
      </c>
    </row>
    <row r="466" spans="1:5" x14ac:dyDescent="0.3">
      <c r="A466" s="31">
        <v>45930</v>
      </c>
      <c r="B466" t="s">
        <v>8</v>
      </c>
      <c r="C466" t="s">
        <v>606</v>
      </c>
      <c r="D466">
        <v>2.4</v>
      </c>
      <c r="E466" t="s">
        <v>590</v>
      </c>
    </row>
    <row r="467" spans="1:5" x14ac:dyDescent="0.3">
      <c r="A467" s="31">
        <v>45930</v>
      </c>
      <c r="B467" t="s">
        <v>8</v>
      </c>
      <c r="C467" t="s">
        <v>605</v>
      </c>
      <c r="D467">
        <v>2.8</v>
      </c>
      <c r="E467" t="s">
        <v>590</v>
      </c>
    </row>
    <row r="468" spans="1:5" x14ac:dyDescent="0.3">
      <c r="A468" s="31">
        <v>45930</v>
      </c>
      <c r="B468" t="s">
        <v>8</v>
      </c>
      <c r="C468" t="s">
        <v>604</v>
      </c>
      <c r="D468">
        <v>2.5</v>
      </c>
      <c r="E468" t="s">
        <v>590</v>
      </c>
    </row>
    <row r="469" spans="1:5" x14ac:dyDescent="0.3">
      <c r="A469" s="31">
        <v>45930</v>
      </c>
      <c r="B469" t="s">
        <v>8</v>
      </c>
      <c r="C469" t="s">
        <v>603</v>
      </c>
      <c r="D469">
        <v>2.4</v>
      </c>
      <c r="E469" t="s">
        <v>590</v>
      </c>
    </row>
    <row r="470" spans="1:5" x14ac:dyDescent="0.3">
      <c r="A470" s="31">
        <v>45930</v>
      </c>
      <c r="B470" t="s">
        <v>10</v>
      </c>
      <c r="C470" t="s">
        <v>602</v>
      </c>
      <c r="D470">
        <v>2.6</v>
      </c>
      <c r="E470" t="s">
        <v>590</v>
      </c>
    </row>
    <row r="471" spans="1:5" x14ac:dyDescent="0.3">
      <c r="A471" s="31">
        <v>45930</v>
      </c>
      <c r="B471" t="s">
        <v>10</v>
      </c>
      <c r="C471" t="s">
        <v>601</v>
      </c>
      <c r="D471">
        <v>2.9</v>
      </c>
      <c r="E471" t="s">
        <v>590</v>
      </c>
    </row>
    <row r="472" spans="1:5" x14ac:dyDescent="0.3">
      <c r="A472" s="31">
        <v>45930</v>
      </c>
      <c r="B472" t="s">
        <v>10</v>
      </c>
      <c r="C472" t="s">
        <v>600</v>
      </c>
      <c r="D472">
        <v>2.4</v>
      </c>
      <c r="E472" t="s">
        <v>590</v>
      </c>
    </row>
    <row r="473" spans="1:5" x14ac:dyDescent="0.3">
      <c r="A473" s="31">
        <v>45930</v>
      </c>
      <c r="B473" t="s">
        <v>10</v>
      </c>
      <c r="C473" t="s">
        <v>599</v>
      </c>
      <c r="D473">
        <v>1.8</v>
      </c>
      <c r="E473" t="s">
        <v>590</v>
      </c>
    </row>
    <row r="474" spans="1:5" x14ac:dyDescent="0.3">
      <c r="A474" s="31">
        <v>45930</v>
      </c>
      <c r="B474" t="s">
        <v>10</v>
      </c>
      <c r="C474" t="s">
        <v>598</v>
      </c>
      <c r="D474">
        <v>2.9</v>
      </c>
      <c r="E474" t="s">
        <v>590</v>
      </c>
    </row>
    <row r="475" spans="1:5" x14ac:dyDescent="0.3">
      <c r="A475" s="31">
        <v>45930</v>
      </c>
      <c r="B475" t="s">
        <v>10</v>
      </c>
      <c r="C475" t="s">
        <v>597</v>
      </c>
      <c r="D475">
        <v>2.7</v>
      </c>
      <c r="E475" t="s">
        <v>590</v>
      </c>
    </row>
    <row r="476" spans="1:5" x14ac:dyDescent="0.3">
      <c r="A476" s="31">
        <v>45930</v>
      </c>
      <c r="B476" t="s">
        <v>10</v>
      </c>
      <c r="C476" t="s">
        <v>596</v>
      </c>
      <c r="D476">
        <v>2.8</v>
      </c>
      <c r="E476" t="s">
        <v>590</v>
      </c>
    </row>
    <row r="477" spans="1:5" x14ac:dyDescent="0.3">
      <c r="A477" s="31">
        <v>45930</v>
      </c>
      <c r="B477" t="s">
        <v>10</v>
      </c>
      <c r="C477" t="s">
        <v>595</v>
      </c>
      <c r="D477">
        <v>3.1</v>
      </c>
      <c r="E477" t="s">
        <v>590</v>
      </c>
    </row>
    <row r="478" spans="1:5" x14ac:dyDescent="0.3">
      <c r="A478" s="31">
        <v>45930</v>
      </c>
      <c r="B478" t="s">
        <v>10</v>
      </c>
      <c r="C478" t="s">
        <v>594</v>
      </c>
      <c r="D478">
        <v>2.4</v>
      </c>
      <c r="E478" t="s">
        <v>590</v>
      </c>
    </row>
    <row r="479" spans="1:5" x14ac:dyDescent="0.3">
      <c r="A479" s="31">
        <v>45930</v>
      </c>
      <c r="B479" t="s">
        <v>10</v>
      </c>
      <c r="C479" t="s">
        <v>593</v>
      </c>
      <c r="D479">
        <v>2.5</v>
      </c>
      <c r="E479" t="s">
        <v>590</v>
      </c>
    </row>
    <row r="480" spans="1:5" x14ac:dyDescent="0.3">
      <c r="A480" s="31">
        <v>45930</v>
      </c>
      <c r="B480" t="s">
        <v>10</v>
      </c>
      <c r="C480" t="s">
        <v>592</v>
      </c>
      <c r="D480">
        <v>2.8</v>
      </c>
      <c r="E480" t="s">
        <v>590</v>
      </c>
    </row>
    <row r="481" spans="1:5" x14ac:dyDescent="0.3">
      <c r="A481" s="31">
        <v>45930</v>
      </c>
      <c r="B481" t="s">
        <v>10</v>
      </c>
      <c r="C481" t="s">
        <v>591</v>
      </c>
      <c r="D481">
        <v>2.4</v>
      </c>
      <c r="E481" t="s">
        <v>590</v>
      </c>
    </row>
    <row r="482" spans="1:5" x14ac:dyDescent="0.3">
      <c r="A482" s="31">
        <v>45961</v>
      </c>
      <c r="B482" t="s">
        <v>35</v>
      </c>
      <c r="C482" t="s">
        <v>638</v>
      </c>
      <c r="D482">
        <v>3.6</v>
      </c>
      <c r="E482" t="s">
        <v>590</v>
      </c>
    </row>
    <row r="483" spans="1:5" x14ac:dyDescent="0.3">
      <c r="A483" s="31">
        <v>45961</v>
      </c>
      <c r="B483" t="s">
        <v>35</v>
      </c>
      <c r="C483" t="s">
        <v>637</v>
      </c>
      <c r="D483">
        <v>5</v>
      </c>
      <c r="E483" t="s">
        <v>590</v>
      </c>
    </row>
    <row r="484" spans="1:5" x14ac:dyDescent="0.3">
      <c r="A484" s="31">
        <v>45961</v>
      </c>
      <c r="B484" t="s">
        <v>35</v>
      </c>
      <c r="C484" t="s">
        <v>636</v>
      </c>
      <c r="D484">
        <v>4.0999999999999996</v>
      </c>
      <c r="E484" t="s">
        <v>590</v>
      </c>
    </row>
    <row r="485" spans="1:5" x14ac:dyDescent="0.3">
      <c r="A485" s="31">
        <v>45961</v>
      </c>
      <c r="B485" t="s">
        <v>35</v>
      </c>
      <c r="C485" t="s">
        <v>275</v>
      </c>
      <c r="D485">
        <v>4.7</v>
      </c>
      <c r="E485" t="s">
        <v>590</v>
      </c>
    </row>
    <row r="486" spans="1:5" x14ac:dyDescent="0.3">
      <c r="A486" s="31">
        <v>45961</v>
      </c>
      <c r="B486" t="s">
        <v>35</v>
      </c>
      <c r="C486" t="s">
        <v>635</v>
      </c>
      <c r="D486">
        <v>4</v>
      </c>
      <c r="E486" t="s">
        <v>590</v>
      </c>
    </row>
    <row r="487" spans="1:5" x14ac:dyDescent="0.3">
      <c r="A487" s="31">
        <v>45961</v>
      </c>
      <c r="B487" t="s">
        <v>35</v>
      </c>
      <c r="C487" t="s">
        <v>634</v>
      </c>
      <c r="D487">
        <v>4.3</v>
      </c>
      <c r="E487" t="s">
        <v>590</v>
      </c>
    </row>
    <row r="488" spans="1:5" x14ac:dyDescent="0.3">
      <c r="A488" s="31">
        <v>45961</v>
      </c>
      <c r="B488" t="s">
        <v>35</v>
      </c>
      <c r="C488" t="s">
        <v>633</v>
      </c>
      <c r="D488">
        <v>4.3</v>
      </c>
      <c r="E488" t="s">
        <v>590</v>
      </c>
    </row>
    <row r="489" spans="1:5" x14ac:dyDescent="0.3">
      <c r="A489" s="31">
        <v>45961</v>
      </c>
      <c r="B489" t="s">
        <v>35</v>
      </c>
      <c r="C489" t="s">
        <v>632</v>
      </c>
      <c r="D489">
        <v>4.2</v>
      </c>
      <c r="E489" t="s">
        <v>590</v>
      </c>
    </row>
    <row r="490" spans="1:5" x14ac:dyDescent="0.3">
      <c r="A490" s="31">
        <v>45961</v>
      </c>
      <c r="B490" t="s">
        <v>35</v>
      </c>
      <c r="C490" t="s">
        <v>631</v>
      </c>
      <c r="D490">
        <v>4.5999999999999996</v>
      </c>
      <c r="E490" t="s">
        <v>590</v>
      </c>
    </row>
    <row r="491" spans="1:5" x14ac:dyDescent="0.3">
      <c r="A491" s="31">
        <v>45961</v>
      </c>
      <c r="B491" t="s">
        <v>35</v>
      </c>
      <c r="C491" t="s">
        <v>630</v>
      </c>
      <c r="D491">
        <v>4.0999999999999996</v>
      </c>
      <c r="E491" t="s">
        <v>590</v>
      </c>
    </row>
    <row r="492" spans="1:5" x14ac:dyDescent="0.3">
      <c r="A492" s="31">
        <v>45961</v>
      </c>
      <c r="B492" t="s">
        <v>23</v>
      </c>
      <c r="C492" t="s">
        <v>629</v>
      </c>
      <c r="D492">
        <v>1.7</v>
      </c>
      <c r="E492" t="s">
        <v>590</v>
      </c>
    </row>
    <row r="493" spans="1:5" x14ac:dyDescent="0.3">
      <c r="A493" s="31">
        <v>45961</v>
      </c>
      <c r="B493" t="s">
        <v>23</v>
      </c>
      <c r="C493" t="s">
        <v>628</v>
      </c>
      <c r="D493">
        <v>3</v>
      </c>
      <c r="E493" t="s">
        <v>621</v>
      </c>
    </row>
    <row r="494" spans="1:5" x14ac:dyDescent="0.3">
      <c r="A494" s="31">
        <v>45961</v>
      </c>
      <c r="B494" t="s">
        <v>23</v>
      </c>
      <c r="C494" t="s">
        <v>627</v>
      </c>
      <c r="D494">
        <v>2.6</v>
      </c>
      <c r="E494" t="s">
        <v>621</v>
      </c>
    </row>
    <row r="495" spans="1:5" x14ac:dyDescent="0.3">
      <c r="A495" s="31">
        <v>45961</v>
      </c>
      <c r="B495" t="s">
        <v>23</v>
      </c>
      <c r="C495" t="s">
        <v>626</v>
      </c>
      <c r="D495">
        <v>2.7</v>
      </c>
      <c r="E495" t="s">
        <v>590</v>
      </c>
    </row>
    <row r="496" spans="1:5" x14ac:dyDescent="0.3">
      <c r="A496" s="31">
        <v>45961</v>
      </c>
      <c r="B496" t="s">
        <v>23</v>
      </c>
      <c r="C496" t="s">
        <v>625</v>
      </c>
      <c r="D496">
        <v>2.1</v>
      </c>
      <c r="E496" t="s">
        <v>590</v>
      </c>
    </row>
    <row r="497" spans="1:5" x14ac:dyDescent="0.3">
      <c r="A497" s="31">
        <v>45961</v>
      </c>
      <c r="B497" t="s">
        <v>23</v>
      </c>
      <c r="C497" t="s">
        <v>624</v>
      </c>
      <c r="D497">
        <v>2.4</v>
      </c>
      <c r="E497" t="s">
        <v>621</v>
      </c>
    </row>
    <row r="498" spans="1:5" x14ac:dyDescent="0.3">
      <c r="A498" s="31">
        <v>45961</v>
      </c>
      <c r="B498" t="s">
        <v>23</v>
      </c>
      <c r="C498" t="s">
        <v>623</v>
      </c>
      <c r="D498">
        <v>2.8</v>
      </c>
      <c r="E498" t="s">
        <v>590</v>
      </c>
    </row>
    <row r="499" spans="1:5" x14ac:dyDescent="0.3">
      <c r="A499" s="31">
        <v>45961</v>
      </c>
      <c r="B499" t="s">
        <v>23</v>
      </c>
      <c r="C499" t="s">
        <v>622</v>
      </c>
      <c r="D499">
        <v>2.1</v>
      </c>
      <c r="E499" t="s">
        <v>590</v>
      </c>
    </row>
    <row r="500" spans="1:5" x14ac:dyDescent="0.3">
      <c r="A500" s="31">
        <v>45961</v>
      </c>
      <c r="B500" t="s">
        <v>23</v>
      </c>
      <c r="C500" t="s">
        <v>620</v>
      </c>
      <c r="D500">
        <v>3.6</v>
      </c>
      <c r="E500" t="s">
        <v>621</v>
      </c>
    </row>
    <row r="501" spans="1:5" x14ac:dyDescent="0.3">
      <c r="A501" s="31">
        <v>45961</v>
      </c>
      <c r="B501" t="s">
        <v>23</v>
      </c>
      <c r="C501" t="s">
        <v>619</v>
      </c>
      <c r="D501">
        <v>2.7</v>
      </c>
      <c r="E501" t="s">
        <v>621</v>
      </c>
    </row>
    <row r="502" spans="1:5" x14ac:dyDescent="0.3">
      <c r="A502" s="31">
        <v>45961</v>
      </c>
      <c r="B502" t="s">
        <v>23</v>
      </c>
      <c r="C502" t="s">
        <v>618</v>
      </c>
      <c r="D502">
        <v>2.4</v>
      </c>
      <c r="E502" t="s">
        <v>590</v>
      </c>
    </row>
    <row r="503" spans="1:5" x14ac:dyDescent="0.3">
      <c r="A503" s="31">
        <v>45961</v>
      </c>
      <c r="B503" t="s">
        <v>23</v>
      </c>
      <c r="C503" t="s">
        <v>617</v>
      </c>
      <c r="D503">
        <v>2.2000000000000002</v>
      </c>
      <c r="E503" t="s">
        <v>590</v>
      </c>
    </row>
    <row r="504" spans="1:5" x14ac:dyDescent="0.3">
      <c r="A504" s="31">
        <v>45961</v>
      </c>
      <c r="B504" t="s">
        <v>23</v>
      </c>
      <c r="C504" t="s">
        <v>616</v>
      </c>
      <c r="D504">
        <v>2.9</v>
      </c>
      <c r="E504" t="s">
        <v>590</v>
      </c>
    </row>
    <row r="505" spans="1:5" x14ac:dyDescent="0.3">
      <c r="A505" s="31">
        <v>45961</v>
      </c>
      <c r="B505" t="s">
        <v>8</v>
      </c>
      <c r="C505" t="s">
        <v>615</v>
      </c>
      <c r="D505">
        <v>2.2999999999999998</v>
      </c>
      <c r="E505" t="s">
        <v>590</v>
      </c>
    </row>
    <row r="506" spans="1:5" x14ac:dyDescent="0.3">
      <c r="A506" s="31">
        <v>45961</v>
      </c>
      <c r="B506" t="s">
        <v>8</v>
      </c>
      <c r="C506" t="s">
        <v>614</v>
      </c>
      <c r="D506">
        <v>3.4</v>
      </c>
      <c r="E506" t="s">
        <v>590</v>
      </c>
    </row>
    <row r="507" spans="1:5" x14ac:dyDescent="0.3">
      <c r="A507" s="31">
        <v>45961</v>
      </c>
      <c r="B507" t="s">
        <v>8</v>
      </c>
      <c r="C507" t="s">
        <v>613</v>
      </c>
      <c r="D507">
        <v>2.1</v>
      </c>
      <c r="E507" t="s">
        <v>590</v>
      </c>
    </row>
    <row r="508" spans="1:5" x14ac:dyDescent="0.3">
      <c r="A508" s="31">
        <v>45961</v>
      </c>
      <c r="B508" t="s">
        <v>8</v>
      </c>
      <c r="C508" t="s">
        <v>612</v>
      </c>
      <c r="D508">
        <v>2.8</v>
      </c>
      <c r="E508" t="s">
        <v>590</v>
      </c>
    </row>
    <row r="509" spans="1:5" x14ac:dyDescent="0.3">
      <c r="A509" s="31">
        <v>45961</v>
      </c>
      <c r="B509" t="s">
        <v>8</v>
      </c>
      <c r="C509" t="s">
        <v>611</v>
      </c>
      <c r="D509">
        <v>1.5</v>
      </c>
      <c r="E509" t="s">
        <v>590</v>
      </c>
    </row>
    <row r="510" spans="1:5" x14ac:dyDescent="0.3">
      <c r="A510" s="31">
        <v>45961</v>
      </c>
      <c r="B510" t="s">
        <v>8</v>
      </c>
      <c r="C510" t="s">
        <v>610</v>
      </c>
      <c r="D510">
        <v>2.1</v>
      </c>
      <c r="E510" t="s">
        <v>590</v>
      </c>
    </row>
    <row r="511" spans="1:5" x14ac:dyDescent="0.3">
      <c r="A511" s="31">
        <v>45961</v>
      </c>
      <c r="B511" t="s">
        <v>8</v>
      </c>
      <c r="C511" t="s">
        <v>609</v>
      </c>
      <c r="D511">
        <v>2.4</v>
      </c>
      <c r="E511" t="s">
        <v>590</v>
      </c>
    </row>
    <row r="512" spans="1:5" x14ac:dyDescent="0.3">
      <c r="A512" s="31">
        <v>45961</v>
      </c>
      <c r="B512" t="s">
        <v>8</v>
      </c>
      <c r="C512" t="s">
        <v>608</v>
      </c>
      <c r="D512">
        <v>2.2000000000000002</v>
      </c>
      <c r="E512" t="s">
        <v>590</v>
      </c>
    </row>
    <row r="513" spans="1:5" x14ac:dyDescent="0.3">
      <c r="A513" s="31">
        <v>45961</v>
      </c>
      <c r="B513" t="s">
        <v>8</v>
      </c>
      <c r="C513" t="s">
        <v>607</v>
      </c>
      <c r="D513">
        <v>2.2000000000000002</v>
      </c>
      <c r="E513" t="s">
        <v>590</v>
      </c>
    </row>
    <row r="514" spans="1:5" x14ac:dyDescent="0.3">
      <c r="A514" s="31">
        <v>45961</v>
      </c>
      <c r="B514" t="s">
        <v>8</v>
      </c>
      <c r="C514" t="s">
        <v>606</v>
      </c>
      <c r="D514">
        <v>2.2999999999999998</v>
      </c>
      <c r="E514" t="s">
        <v>590</v>
      </c>
    </row>
    <row r="515" spans="1:5" x14ac:dyDescent="0.3">
      <c r="A515" s="31">
        <v>45961</v>
      </c>
      <c r="B515" t="s">
        <v>8</v>
      </c>
      <c r="C515" t="s">
        <v>605</v>
      </c>
      <c r="D515">
        <v>2.1</v>
      </c>
      <c r="E515" t="s">
        <v>590</v>
      </c>
    </row>
    <row r="516" spans="1:5" x14ac:dyDescent="0.3">
      <c r="A516" s="31">
        <v>45961</v>
      </c>
      <c r="B516" t="s">
        <v>8</v>
      </c>
      <c r="C516" t="s">
        <v>604</v>
      </c>
      <c r="D516">
        <v>2.1</v>
      </c>
      <c r="E516" t="s">
        <v>590</v>
      </c>
    </row>
    <row r="517" spans="1:5" x14ac:dyDescent="0.3">
      <c r="A517" s="31">
        <v>45961</v>
      </c>
      <c r="B517" t="s">
        <v>8</v>
      </c>
      <c r="C517" t="s">
        <v>603</v>
      </c>
      <c r="D517">
        <v>2.8</v>
      </c>
      <c r="E517" t="s">
        <v>590</v>
      </c>
    </row>
    <row r="518" spans="1:5" x14ac:dyDescent="0.3">
      <c r="A518" s="31">
        <v>45961</v>
      </c>
      <c r="B518" t="s">
        <v>10</v>
      </c>
      <c r="C518" t="s">
        <v>602</v>
      </c>
      <c r="D518">
        <v>2.8</v>
      </c>
      <c r="E518" t="s">
        <v>590</v>
      </c>
    </row>
    <row r="519" spans="1:5" x14ac:dyDescent="0.3">
      <c r="A519" s="31">
        <v>45961</v>
      </c>
      <c r="B519" t="s">
        <v>10</v>
      </c>
      <c r="C519" t="s">
        <v>601</v>
      </c>
      <c r="D519">
        <v>2.6</v>
      </c>
      <c r="E519" t="s">
        <v>590</v>
      </c>
    </row>
    <row r="520" spans="1:5" x14ac:dyDescent="0.3">
      <c r="A520" s="31">
        <v>45961</v>
      </c>
      <c r="B520" t="s">
        <v>10</v>
      </c>
      <c r="C520" t="s">
        <v>600</v>
      </c>
      <c r="D520">
        <v>2.7</v>
      </c>
      <c r="E520" t="s">
        <v>590</v>
      </c>
    </row>
    <row r="521" spans="1:5" x14ac:dyDescent="0.3">
      <c r="A521" s="31">
        <v>45961</v>
      </c>
      <c r="B521" t="s">
        <v>10</v>
      </c>
      <c r="C521" t="s">
        <v>599</v>
      </c>
      <c r="D521">
        <v>1.5</v>
      </c>
      <c r="E521" t="s">
        <v>590</v>
      </c>
    </row>
    <row r="522" spans="1:5" x14ac:dyDescent="0.3">
      <c r="A522" s="31">
        <v>45961</v>
      </c>
      <c r="B522" t="s">
        <v>10</v>
      </c>
      <c r="C522" t="s">
        <v>598</v>
      </c>
      <c r="D522">
        <v>2.9</v>
      </c>
      <c r="E522" t="s">
        <v>590</v>
      </c>
    </row>
    <row r="523" spans="1:5" x14ac:dyDescent="0.3">
      <c r="A523" s="31">
        <v>45961</v>
      </c>
      <c r="B523" t="s">
        <v>10</v>
      </c>
      <c r="C523" t="s">
        <v>597</v>
      </c>
      <c r="D523">
        <v>2.6</v>
      </c>
      <c r="E523" t="s">
        <v>590</v>
      </c>
    </row>
    <row r="524" spans="1:5" x14ac:dyDescent="0.3">
      <c r="A524" s="31">
        <v>45961</v>
      </c>
      <c r="B524" t="s">
        <v>10</v>
      </c>
      <c r="C524" t="s">
        <v>596</v>
      </c>
      <c r="D524">
        <v>3</v>
      </c>
      <c r="E524" t="s">
        <v>590</v>
      </c>
    </row>
    <row r="525" spans="1:5" x14ac:dyDescent="0.3">
      <c r="A525" s="31">
        <v>45961</v>
      </c>
      <c r="B525" t="s">
        <v>10</v>
      </c>
      <c r="C525" t="s">
        <v>595</v>
      </c>
      <c r="D525">
        <v>2.9</v>
      </c>
      <c r="E525" t="s">
        <v>590</v>
      </c>
    </row>
    <row r="526" spans="1:5" x14ac:dyDescent="0.3">
      <c r="A526" s="31">
        <v>45961</v>
      </c>
      <c r="B526" t="s">
        <v>10</v>
      </c>
      <c r="C526" t="s">
        <v>594</v>
      </c>
      <c r="D526">
        <v>2.2999999999999998</v>
      </c>
      <c r="E526" t="s">
        <v>590</v>
      </c>
    </row>
    <row r="527" spans="1:5" x14ac:dyDescent="0.3">
      <c r="A527" s="31">
        <v>45961</v>
      </c>
      <c r="B527" t="s">
        <v>10</v>
      </c>
      <c r="C527" t="s">
        <v>593</v>
      </c>
      <c r="D527">
        <v>3</v>
      </c>
      <c r="E527" t="s">
        <v>590</v>
      </c>
    </row>
    <row r="528" spans="1:5" x14ac:dyDescent="0.3">
      <c r="A528" s="31">
        <v>45961</v>
      </c>
      <c r="B528" t="s">
        <v>10</v>
      </c>
      <c r="C528" t="s">
        <v>592</v>
      </c>
      <c r="D528">
        <v>2.7</v>
      </c>
      <c r="E528" t="s">
        <v>590</v>
      </c>
    </row>
    <row r="529" spans="1:5" x14ac:dyDescent="0.3">
      <c r="A529" s="31">
        <v>45961</v>
      </c>
      <c r="B529" t="s">
        <v>10</v>
      </c>
      <c r="C529" t="s">
        <v>591</v>
      </c>
      <c r="D529">
        <v>2.9</v>
      </c>
      <c r="E529" t="s">
        <v>590</v>
      </c>
    </row>
    <row r="530" spans="1:5" x14ac:dyDescent="0.3">
      <c r="A530" s="31">
        <v>45991</v>
      </c>
      <c r="B530" t="s">
        <v>35</v>
      </c>
      <c r="C530" t="s">
        <v>638</v>
      </c>
      <c r="D530">
        <v>5</v>
      </c>
      <c r="E530" t="s">
        <v>590</v>
      </c>
    </row>
    <row r="531" spans="1:5" x14ac:dyDescent="0.3">
      <c r="A531" s="31">
        <v>45991</v>
      </c>
      <c r="B531" t="s">
        <v>35</v>
      </c>
      <c r="C531" t="s">
        <v>637</v>
      </c>
      <c r="D531">
        <v>2.2999999999999998</v>
      </c>
      <c r="E531" t="s">
        <v>621</v>
      </c>
    </row>
    <row r="532" spans="1:5" x14ac:dyDescent="0.3">
      <c r="A532" s="31">
        <v>45991</v>
      </c>
      <c r="B532" t="s">
        <v>35</v>
      </c>
      <c r="C532" t="s">
        <v>636</v>
      </c>
      <c r="D532">
        <v>4</v>
      </c>
      <c r="E532" t="s">
        <v>590</v>
      </c>
    </row>
    <row r="533" spans="1:5" x14ac:dyDescent="0.3">
      <c r="A533" s="31">
        <v>45991</v>
      </c>
      <c r="B533" t="s">
        <v>35</v>
      </c>
      <c r="C533" t="s">
        <v>275</v>
      </c>
      <c r="D533">
        <v>3.2</v>
      </c>
      <c r="E533" t="s">
        <v>590</v>
      </c>
    </row>
    <row r="534" spans="1:5" x14ac:dyDescent="0.3">
      <c r="A534" s="31">
        <v>45991</v>
      </c>
      <c r="B534" t="s">
        <v>35</v>
      </c>
      <c r="C534" t="s">
        <v>635</v>
      </c>
      <c r="D534">
        <v>3.5</v>
      </c>
      <c r="E534" t="s">
        <v>590</v>
      </c>
    </row>
    <row r="535" spans="1:5" x14ac:dyDescent="0.3">
      <c r="A535" s="31">
        <v>45991</v>
      </c>
      <c r="B535" t="s">
        <v>35</v>
      </c>
      <c r="C535" t="s">
        <v>634</v>
      </c>
      <c r="D535">
        <v>3.3</v>
      </c>
      <c r="E535" t="s">
        <v>590</v>
      </c>
    </row>
    <row r="536" spans="1:5" x14ac:dyDescent="0.3">
      <c r="A536" s="31">
        <v>45991</v>
      </c>
      <c r="B536" t="s">
        <v>35</v>
      </c>
      <c r="C536" t="s">
        <v>633</v>
      </c>
      <c r="D536">
        <v>3.9</v>
      </c>
      <c r="E536" t="s">
        <v>590</v>
      </c>
    </row>
    <row r="537" spans="1:5" x14ac:dyDescent="0.3">
      <c r="A537" s="31">
        <v>45991</v>
      </c>
      <c r="B537" t="s">
        <v>35</v>
      </c>
      <c r="C537" t="s">
        <v>632</v>
      </c>
      <c r="D537">
        <v>3.5</v>
      </c>
      <c r="E537" t="s">
        <v>590</v>
      </c>
    </row>
    <row r="538" spans="1:5" x14ac:dyDescent="0.3">
      <c r="A538" s="31">
        <v>45991</v>
      </c>
      <c r="B538" t="s">
        <v>35</v>
      </c>
      <c r="C538" t="s">
        <v>631</v>
      </c>
      <c r="D538">
        <v>3.6</v>
      </c>
      <c r="E538" t="s">
        <v>590</v>
      </c>
    </row>
    <row r="539" spans="1:5" x14ac:dyDescent="0.3">
      <c r="A539" s="31">
        <v>45991</v>
      </c>
      <c r="B539" t="s">
        <v>35</v>
      </c>
      <c r="C539" t="s">
        <v>630</v>
      </c>
      <c r="D539">
        <v>3.5</v>
      </c>
      <c r="E539" t="s">
        <v>590</v>
      </c>
    </row>
    <row r="540" spans="1:5" x14ac:dyDescent="0.3">
      <c r="A540" s="31">
        <v>45991</v>
      </c>
      <c r="B540" t="s">
        <v>23</v>
      </c>
      <c r="C540" t="s">
        <v>629</v>
      </c>
      <c r="D540">
        <v>4.4000000000000004</v>
      </c>
      <c r="E540" t="s">
        <v>621</v>
      </c>
    </row>
    <row r="541" spans="1:5" x14ac:dyDescent="0.3">
      <c r="A541" s="31">
        <v>45991</v>
      </c>
      <c r="B541" t="s">
        <v>23</v>
      </c>
      <c r="C541" t="s">
        <v>628</v>
      </c>
      <c r="D541">
        <v>1.6</v>
      </c>
      <c r="E541" t="s">
        <v>590</v>
      </c>
    </row>
    <row r="542" spans="1:5" x14ac:dyDescent="0.3">
      <c r="A542" s="31">
        <v>45991</v>
      </c>
      <c r="B542" t="s">
        <v>23</v>
      </c>
      <c r="C542" t="s">
        <v>627</v>
      </c>
      <c r="D542">
        <v>3.3</v>
      </c>
      <c r="E542" t="s">
        <v>590</v>
      </c>
    </row>
    <row r="543" spans="1:5" x14ac:dyDescent="0.3">
      <c r="A543" s="31">
        <v>45991</v>
      </c>
      <c r="B543" t="s">
        <v>23</v>
      </c>
      <c r="C543" t="s">
        <v>626</v>
      </c>
      <c r="D543">
        <v>3.5</v>
      </c>
      <c r="E543" t="s">
        <v>590</v>
      </c>
    </row>
    <row r="544" spans="1:5" x14ac:dyDescent="0.3">
      <c r="A544" s="31">
        <v>45991</v>
      </c>
      <c r="B544" t="s">
        <v>23</v>
      </c>
      <c r="C544" t="s">
        <v>625</v>
      </c>
      <c r="D544">
        <v>3.8</v>
      </c>
      <c r="E544" t="s">
        <v>621</v>
      </c>
    </row>
    <row r="545" spans="1:5" x14ac:dyDescent="0.3">
      <c r="A545" s="31">
        <v>45991</v>
      </c>
      <c r="B545" t="s">
        <v>23</v>
      </c>
      <c r="C545" t="s">
        <v>624</v>
      </c>
      <c r="D545">
        <v>3.8</v>
      </c>
      <c r="E545" t="s">
        <v>590</v>
      </c>
    </row>
    <row r="546" spans="1:5" x14ac:dyDescent="0.3">
      <c r="A546" s="31">
        <v>45991</v>
      </c>
      <c r="B546" t="s">
        <v>23</v>
      </c>
      <c r="C546" t="s">
        <v>623</v>
      </c>
      <c r="D546">
        <v>4.7</v>
      </c>
      <c r="E546" t="s">
        <v>621</v>
      </c>
    </row>
    <row r="547" spans="1:5" x14ac:dyDescent="0.3">
      <c r="A547" s="31">
        <v>45991</v>
      </c>
      <c r="B547" t="s">
        <v>23</v>
      </c>
      <c r="C547" t="s">
        <v>622</v>
      </c>
      <c r="D547">
        <v>3.8</v>
      </c>
      <c r="E547" t="s">
        <v>621</v>
      </c>
    </row>
    <row r="548" spans="1:5" x14ac:dyDescent="0.3">
      <c r="A548" s="31">
        <v>45991</v>
      </c>
      <c r="B548" t="s">
        <v>23</v>
      </c>
      <c r="C548" t="s">
        <v>620</v>
      </c>
      <c r="D548">
        <v>4.4000000000000004</v>
      </c>
      <c r="E548" t="s">
        <v>590</v>
      </c>
    </row>
    <row r="549" spans="1:5" x14ac:dyDescent="0.3">
      <c r="A549" s="31">
        <v>45991</v>
      </c>
      <c r="B549" t="s">
        <v>23</v>
      </c>
      <c r="C549" t="s">
        <v>619</v>
      </c>
      <c r="D549">
        <v>3.3</v>
      </c>
      <c r="E549" t="s">
        <v>590</v>
      </c>
    </row>
    <row r="550" spans="1:5" x14ac:dyDescent="0.3">
      <c r="A550" s="31">
        <v>45991</v>
      </c>
      <c r="B550" t="s">
        <v>23</v>
      </c>
      <c r="C550" t="s">
        <v>618</v>
      </c>
      <c r="D550">
        <v>3.7</v>
      </c>
      <c r="E550" t="s">
        <v>590</v>
      </c>
    </row>
    <row r="551" spans="1:5" x14ac:dyDescent="0.3">
      <c r="A551" s="31">
        <v>45991</v>
      </c>
      <c r="B551" t="s">
        <v>23</v>
      </c>
      <c r="C551" t="s">
        <v>617</v>
      </c>
      <c r="D551">
        <v>3.8</v>
      </c>
      <c r="E551" t="s">
        <v>590</v>
      </c>
    </row>
    <row r="552" spans="1:5" x14ac:dyDescent="0.3">
      <c r="A552" s="31">
        <v>45991</v>
      </c>
      <c r="B552" t="s">
        <v>23</v>
      </c>
      <c r="C552" t="s">
        <v>616</v>
      </c>
      <c r="D552">
        <v>3.4</v>
      </c>
      <c r="E552" t="s">
        <v>590</v>
      </c>
    </row>
    <row r="553" spans="1:5" x14ac:dyDescent="0.3">
      <c r="A553" s="31">
        <v>45991</v>
      </c>
      <c r="B553" t="s">
        <v>8</v>
      </c>
      <c r="C553" t="s">
        <v>615</v>
      </c>
      <c r="D553">
        <v>2.6</v>
      </c>
      <c r="E553" t="s">
        <v>590</v>
      </c>
    </row>
    <row r="554" spans="1:5" x14ac:dyDescent="0.3">
      <c r="A554" s="31">
        <v>45991</v>
      </c>
      <c r="B554" t="s">
        <v>8</v>
      </c>
      <c r="C554" t="s">
        <v>614</v>
      </c>
      <c r="D554">
        <v>4.8</v>
      </c>
      <c r="E554" t="s">
        <v>590</v>
      </c>
    </row>
    <row r="555" spans="1:5" x14ac:dyDescent="0.3">
      <c r="A555" s="31">
        <v>45991</v>
      </c>
      <c r="B555" t="s">
        <v>8</v>
      </c>
      <c r="C555" t="s">
        <v>613</v>
      </c>
      <c r="D555">
        <v>2.7</v>
      </c>
      <c r="E555" t="s">
        <v>590</v>
      </c>
    </row>
    <row r="556" spans="1:5" x14ac:dyDescent="0.3">
      <c r="A556" s="31">
        <v>45991</v>
      </c>
      <c r="B556" t="s">
        <v>8</v>
      </c>
      <c r="C556" t="s">
        <v>612</v>
      </c>
      <c r="D556">
        <v>2.6</v>
      </c>
      <c r="E556" t="s">
        <v>590</v>
      </c>
    </row>
    <row r="557" spans="1:5" x14ac:dyDescent="0.3">
      <c r="A557" s="31">
        <v>45991</v>
      </c>
      <c r="B557" t="s">
        <v>8</v>
      </c>
      <c r="C557" t="s">
        <v>611</v>
      </c>
      <c r="D557">
        <v>1</v>
      </c>
      <c r="E557" t="s">
        <v>590</v>
      </c>
    </row>
    <row r="558" spans="1:5" x14ac:dyDescent="0.3">
      <c r="A558" s="31">
        <v>45991</v>
      </c>
      <c r="B558" t="s">
        <v>8</v>
      </c>
      <c r="C558" t="s">
        <v>610</v>
      </c>
      <c r="D558">
        <v>2.8</v>
      </c>
      <c r="E558" t="s">
        <v>590</v>
      </c>
    </row>
    <row r="559" spans="1:5" x14ac:dyDescent="0.3">
      <c r="A559" s="31">
        <v>45991</v>
      </c>
      <c r="B559" t="s">
        <v>8</v>
      </c>
      <c r="C559" t="s">
        <v>609</v>
      </c>
      <c r="D559">
        <v>2.8</v>
      </c>
      <c r="E559" t="s">
        <v>590</v>
      </c>
    </row>
    <row r="560" spans="1:5" x14ac:dyDescent="0.3">
      <c r="A560" s="31">
        <v>45991</v>
      </c>
      <c r="B560" t="s">
        <v>8</v>
      </c>
      <c r="C560" t="s">
        <v>608</v>
      </c>
      <c r="D560">
        <v>3</v>
      </c>
      <c r="E560" t="s">
        <v>590</v>
      </c>
    </row>
    <row r="561" spans="1:5" x14ac:dyDescent="0.3">
      <c r="A561" s="31">
        <v>45991</v>
      </c>
      <c r="B561" t="s">
        <v>8</v>
      </c>
      <c r="C561" t="s">
        <v>607</v>
      </c>
      <c r="D561">
        <v>2.7</v>
      </c>
      <c r="E561" t="s">
        <v>590</v>
      </c>
    </row>
    <row r="562" spans="1:5" x14ac:dyDescent="0.3">
      <c r="A562" s="31">
        <v>45991</v>
      </c>
      <c r="B562" t="s">
        <v>8</v>
      </c>
      <c r="C562" t="s">
        <v>606</v>
      </c>
      <c r="D562">
        <v>3</v>
      </c>
      <c r="E562" t="s">
        <v>590</v>
      </c>
    </row>
    <row r="563" spans="1:5" x14ac:dyDescent="0.3">
      <c r="A563" s="31">
        <v>45991</v>
      </c>
      <c r="B563" t="s">
        <v>8</v>
      </c>
      <c r="C563" t="s">
        <v>605</v>
      </c>
      <c r="D563">
        <v>2.5</v>
      </c>
      <c r="E563" t="s">
        <v>590</v>
      </c>
    </row>
    <row r="564" spans="1:5" x14ac:dyDescent="0.3">
      <c r="A564" s="31">
        <v>45991</v>
      </c>
      <c r="B564" t="s">
        <v>8</v>
      </c>
      <c r="C564" t="s">
        <v>604</v>
      </c>
      <c r="D564">
        <v>2.6</v>
      </c>
      <c r="E564" t="s">
        <v>590</v>
      </c>
    </row>
    <row r="565" spans="1:5" x14ac:dyDescent="0.3">
      <c r="A565" s="31">
        <v>45991</v>
      </c>
      <c r="B565" t="s">
        <v>8</v>
      </c>
      <c r="C565" t="s">
        <v>603</v>
      </c>
      <c r="D565">
        <v>2.9</v>
      </c>
      <c r="E565" t="s">
        <v>590</v>
      </c>
    </row>
    <row r="566" spans="1:5" x14ac:dyDescent="0.3">
      <c r="A566" s="31">
        <v>45991</v>
      </c>
      <c r="B566" t="s">
        <v>10</v>
      </c>
      <c r="C566" t="s">
        <v>602</v>
      </c>
      <c r="D566">
        <v>2.4</v>
      </c>
      <c r="E566" t="s">
        <v>590</v>
      </c>
    </row>
    <row r="567" spans="1:5" x14ac:dyDescent="0.3">
      <c r="A567" s="31">
        <v>45991</v>
      </c>
      <c r="B567" t="s">
        <v>10</v>
      </c>
      <c r="C567" t="s">
        <v>601</v>
      </c>
      <c r="D567">
        <v>2.7</v>
      </c>
      <c r="E567" t="s">
        <v>590</v>
      </c>
    </row>
    <row r="568" spans="1:5" x14ac:dyDescent="0.3">
      <c r="A568" s="31">
        <v>45991</v>
      </c>
      <c r="B568" t="s">
        <v>10</v>
      </c>
      <c r="C568" t="s">
        <v>600</v>
      </c>
      <c r="D568">
        <v>2.2999999999999998</v>
      </c>
      <c r="E568" t="s">
        <v>590</v>
      </c>
    </row>
    <row r="569" spans="1:5" x14ac:dyDescent="0.3">
      <c r="A569" s="31">
        <v>45991</v>
      </c>
      <c r="B569" t="s">
        <v>10</v>
      </c>
      <c r="C569" t="s">
        <v>599</v>
      </c>
      <c r="D569">
        <v>1</v>
      </c>
      <c r="E569" t="s">
        <v>590</v>
      </c>
    </row>
    <row r="570" spans="1:5" x14ac:dyDescent="0.3">
      <c r="A570" s="31">
        <v>45991</v>
      </c>
      <c r="B570" t="s">
        <v>10</v>
      </c>
      <c r="C570" t="s">
        <v>598</v>
      </c>
      <c r="D570">
        <v>2.4</v>
      </c>
      <c r="E570" t="s">
        <v>590</v>
      </c>
    </row>
    <row r="571" spans="1:5" x14ac:dyDescent="0.3">
      <c r="A571" s="31">
        <v>45991</v>
      </c>
      <c r="B571" t="s">
        <v>10</v>
      </c>
      <c r="C571" t="s">
        <v>597</v>
      </c>
      <c r="D571">
        <v>2.6</v>
      </c>
      <c r="E571" t="s">
        <v>590</v>
      </c>
    </row>
    <row r="572" spans="1:5" x14ac:dyDescent="0.3">
      <c r="A572" s="31">
        <v>45991</v>
      </c>
      <c r="B572" t="s">
        <v>10</v>
      </c>
      <c r="C572" t="s">
        <v>596</v>
      </c>
      <c r="D572">
        <v>2.2999999999999998</v>
      </c>
      <c r="E572" t="s">
        <v>590</v>
      </c>
    </row>
    <row r="573" spans="1:5" x14ac:dyDescent="0.3">
      <c r="A573" s="31">
        <v>45991</v>
      </c>
      <c r="B573" t="s">
        <v>10</v>
      </c>
      <c r="C573" t="s">
        <v>595</v>
      </c>
      <c r="D573">
        <v>2.7</v>
      </c>
      <c r="E573" t="s">
        <v>590</v>
      </c>
    </row>
    <row r="574" spans="1:5" x14ac:dyDescent="0.3">
      <c r="A574" s="31">
        <v>45991</v>
      </c>
      <c r="B574" t="s">
        <v>10</v>
      </c>
      <c r="C574" t="s">
        <v>594</v>
      </c>
      <c r="D574">
        <v>2.9</v>
      </c>
      <c r="E574" t="s">
        <v>590</v>
      </c>
    </row>
    <row r="575" spans="1:5" x14ac:dyDescent="0.3">
      <c r="A575" s="31">
        <v>45991</v>
      </c>
      <c r="B575" t="s">
        <v>10</v>
      </c>
      <c r="C575" t="s">
        <v>593</v>
      </c>
      <c r="D575">
        <v>2.2999999999999998</v>
      </c>
      <c r="E575" t="s">
        <v>590</v>
      </c>
    </row>
    <row r="576" spans="1:5" x14ac:dyDescent="0.3">
      <c r="A576" s="31">
        <v>45991</v>
      </c>
      <c r="B576" t="s">
        <v>10</v>
      </c>
      <c r="C576" t="s">
        <v>592</v>
      </c>
      <c r="D576">
        <v>2.2999999999999998</v>
      </c>
      <c r="E576" t="s">
        <v>590</v>
      </c>
    </row>
    <row r="577" spans="1:5" x14ac:dyDescent="0.3">
      <c r="A577" s="31">
        <v>45991</v>
      </c>
      <c r="B577" t="s">
        <v>10</v>
      </c>
      <c r="C577" t="s">
        <v>591</v>
      </c>
      <c r="D577">
        <v>2.2999999999999998</v>
      </c>
      <c r="E577" t="s">
        <v>590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7519-7455-4A15-9173-5CFDEA534A2D}">
  <sheetPr>
    <tabColor theme="7" tint="0.59999389629810485"/>
  </sheetPr>
  <dimension ref="A1:J13"/>
  <sheetViews>
    <sheetView workbookViewId="0">
      <selection sqref="A1:E1048576"/>
    </sheetView>
  </sheetViews>
  <sheetFormatPr defaultRowHeight="14.4" x14ac:dyDescent="0.3"/>
  <cols>
    <col min="1" max="1" width="18.33203125" bestFit="1" customWidth="1"/>
    <col min="2" max="2" width="12.33203125" bestFit="1" customWidth="1"/>
    <col min="3" max="3" width="8" bestFit="1" customWidth="1"/>
    <col min="4" max="4" width="14.33203125" bestFit="1" customWidth="1"/>
    <col min="5" max="5" width="14" bestFit="1" customWidth="1"/>
    <col min="6" max="6" width="12.88671875" bestFit="1" customWidth="1"/>
    <col min="7" max="7" width="11" bestFit="1" customWidth="1"/>
    <col min="8" max="8" width="17.44140625" bestFit="1" customWidth="1"/>
    <col min="9" max="9" width="17" bestFit="1" customWidth="1"/>
    <col min="10" max="10" width="16" bestFit="1" customWidth="1"/>
  </cols>
  <sheetData>
    <row r="1" spans="1:10" x14ac:dyDescent="0.3">
      <c r="A1" s="13" t="s">
        <v>267</v>
      </c>
      <c r="B1" s="13" t="s">
        <v>651</v>
      </c>
      <c r="C1" s="13" t="s">
        <v>650</v>
      </c>
      <c r="D1" s="13" t="s">
        <v>649</v>
      </c>
      <c r="E1" s="13" t="s">
        <v>648</v>
      </c>
      <c r="F1" s="13" t="s">
        <v>647</v>
      </c>
      <c r="G1" s="13" t="s">
        <v>646</v>
      </c>
      <c r="H1" s="13" t="s">
        <v>645</v>
      </c>
      <c r="I1" s="13" t="s">
        <v>644</v>
      </c>
      <c r="J1" s="13" t="s">
        <v>643</v>
      </c>
    </row>
    <row r="2" spans="1:10" x14ac:dyDescent="0.3">
      <c r="A2" s="31">
        <v>45657</v>
      </c>
      <c r="B2">
        <v>2.69</v>
      </c>
      <c r="C2">
        <v>1.9</v>
      </c>
      <c r="D2">
        <v>2.2999999999999998</v>
      </c>
      <c r="E2">
        <v>4.4000000000000004</v>
      </c>
      <c r="F2">
        <v>3.4</v>
      </c>
      <c r="G2">
        <v>0.35</v>
      </c>
      <c r="H2">
        <v>0.35</v>
      </c>
      <c r="I2">
        <v>0.2</v>
      </c>
      <c r="J2">
        <v>0.1</v>
      </c>
    </row>
    <row r="3" spans="1:10" x14ac:dyDescent="0.3">
      <c r="A3" s="31">
        <v>45688</v>
      </c>
      <c r="B3">
        <v>2.9</v>
      </c>
      <c r="C3">
        <v>3.2</v>
      </c>
      <c r="D3">
        <v>2.2999999999999998</v>
      </c>
      <c r="E3">
        <v>3.2</v>
      </c>
      <c r="F3">
        <v>3.3</v>
      </c>
      <c r="G3">
        <v>0.35</v>
      </c>
      <c r="H3">
        <v>0.35</v>
      </c>
      <c r="I3">
        <v>0.2</v>
      </c>
      <c r="J3">
        <v>0.1</v>
      </c>
    </row>
    <row r="4" spans="1:10" x14ac:dyDescent="0.3">
      <c r="A4" s="31">
        <v>45716</v>
      </c>
      <c r="B4">
        <v>3.58</v>
      </c>
      <c r="C4">
        <v>3.4</v>
      </c>
      <c r="D4">
        <v>3.2</v>
      </c>
      <c r="E4">
        <v>4.7</v>
      </c>
      <c r="F4">
        <v>3.3</v>
      </c>
      <c r="G4">
        <v>0.35</v>
      </c>
      <c r="H4">
        <v>0.35</v>
      </c>
      <c r="I4">
        <v>0.2</v>
      </c>
      <c r="J4">
        <v>0.1</v>
      </c>
    </row>
    <row r="5" spans="1:10" x14ac:dyDescent="0.3">
      <c r="A5" s="31">
        <v>45747</v>
      </c>
      <c r="B5">
        <v>3.2</v>
      </c>
      <c r="C5">
        <v>2.6</v>
      </c>
      <c r="D5">
        <v>3.5</v>
      </c>
      <c r="E5">
        <v>3.7</v>
      </c>
      <c r="F5">
        <v>3.2</v>
      </c>
      <c r="G5">
        <v>0.35</v>
      </c>
      <c r="H5">
        <v>0.35</v>
      </c>
      <c r="I5">
        <v>0.2</v>
      </c>
      <c r="J5">
        <v>0.1</v>
      </c>
    </row>
    <row r="6" spans="1:10" x14ac:dyDescent="0.3">
      <c r="A6" s="31">
        <v>45777</v>
      </c>
      <c r="B6">
        <v>2.2000000000000002</v>
      </c>
      <c r="C6">
        <v>1.9</v>
      </c>
      <c r="D6">
        <v>2.1</v>
      </c>
      <c r="E6">
        <v>2.4</v>
      </c>
      <c r="F6">
        <v>3.2</v>
      </c>
      <c r="G6">
        <v>0.35</v>
      </c>
      <c r="H6">
        <v>0.35</v>
      </c>
      <c r="I6">
        <v>0.2</v>
      </c>
      <c r="J6">
        <v>0.1</v>
      </c>
    </row>
    <row r="7" spans="1:10" x14ac:dyDescent="0.3">
      <c r="A7" s="31">
        <v>45808</v>
      </c>
      <c r="B7">
        <v>2.44</v>
      </c>
      <c r="C7">
        <v>2</v>
      </c>
      <c r="D7">
        <v>2.5</v>
      </c>
      <c r="E7">
        <v>2.8</v>
      </c>
      <c r="F7">
        <v>3.1</v>
      </c>
      <c r="G7">
        <v>0.35</v>
      </c>
      <c r="H7">
        <v>0.35</v>
      </c>
      <c r="I7">
        <v>0.2</v>
      </c>
      <c r="J7">
        <v>0.1</v>
      </c>
    </row>
    <row r="8" spans="1:10" x14ac:dyDescent="0.3">
      <c r="A8" s="31">
        <v>45838</v>
      </c>
      <c r="B8">
        <v>2.82</v>
      </c>
      <c r="C8">
        <v>2.7</v>
      </c>
      <c r="D8">
        <v>2.8</v>
      </c>
      <c r="E8">
        <v>3</v>
      </c>
      <c r="F8">
        <v>3</v>
      </c>
      <c r="G8">
        <v>0.35</v>
      </c>
      <c r="H8">
        <v>0.35</v>
      </c>
      <c r="I8">
        <v>0.2</v>
      </c>
      <c r="J8">
        <v>0.1</v>
      </c>
    </row>
    <row r="9" spans="1:10" x14ac:dyDescent="0.3">
      <c r="A9" s="31">
        <v>45869</v>
      </c>
      <c r="B9">
        <v>3.85</v>
      </c>
      <c r="C9">
        <v>4</v>
      </c>
      <c r="D9">
        <v>4</v>
      </c>
      <c r="E9">
        <v>3.8</v>
      </c>
      <c r="F9">
        <v>2.9</v>
      </c>
      <c r="G9">
        <v>0.35</v>
      </c>
      <c r="H9">
        <v>0.35</v>
      </c>
      <c r="I9">
        <v>0.2</v>
      </c>
      <c r="J9">
        <v>0.1</v>
      </c>
    </row>
    <row r="10" spans="1:10" x14ac:dyDescent="0.3">
      <c r="A10" s="31">
        <v>45900</v>
      </c>
      <c r="B10">
        <v>3.58</v>
      </c>
      <c r="C10">
        <v>4</v>
      </c>
      <c r="D10">
        <v>3.7</v>
      </c>
      <c r="E10">
        <v>3</v>
      </c>
      <c r="F10">
        <v>2.8</v>
      </c>
      <c r="G10">
        <v>0.35</v>
      </c>
      <c r="H10">
        <v>0.35</v>
      </c>
      <c r="I10">
        <v>0.2</v>
      </c>
      <c r="J10">
        <v>0.1</v>
      </c>
    </row>
    <row r="11" spans="1:10" x14ac:dyDescent="0.3">
      <c r="A11" s="31">
        <v>45930</v>
      </c>
      <c r="B11">
        <v>2.68</v>
      </c>
      <c r="C11">
        <v>3.6</v>
      </c>
      <c r="D11">
        <v>1.7</v>
      </c>
      <c r="E11">
        <v>2.7</v>
      </c>
      <c r="F11">
        <v>2.8</v>
      </c>
      <c r="G11">
        <v>0.35</v>
      </c>
      <c r="H11">
        <v>0.35</v>
      </c>
      <c r="I11">
        <v>0.2</v>
      </c>
      <c r="J11">
        <v>0.1</v>
      </c>
    </row>
    <row r="12" spans="1:10" x14ac:dyDescent="0.3">
      <c r="A12" s="31">
        <v>45961</v>
      </c>
      <c r="B12">
        <v>3.13</v>
      </c>
      <c r="C12">
        <v>4.3</v>
      </c>
      <c r="D12">
        <v>2.5</v>
      </c>
      <c r="E12">
        <v>2.4</v>
      </c>
      <c r="F12">
        <v>2.7</v>
      </c>
      <c r="G12">
        <v>0.35</v>
      </c>
      <c r="H12">
        <v>0.35</v>
      </c>
      <c r="I12">
        <v>0.2</v>
      </c>
      <c r="J12">
        <v>0.1</v>
      </c>
    </row>
    <row r="13" spans="1:10" x14ac:dyDescent="0.3">
      <c r="A13" s="31">
        <v>45991</v>
      </c>
      <c r="B13">
        <v>3.36</v>
      </c>
      <c r="C13">
        <v>3.6</v>
      </c>
      <c r="D13">
        <v>3.6</v>
      </c>
      <c r="E13">
        <v>2.9</v>
      </c>
      <c r="F13">
        <v>2.6</v>
      </c>
      <c r="G13">
        <v>0.35</v>
      </c>
      <c r="H13">
        <v>0.35</v>
      </c>
      <c r="I13">
        <v>0.2</v>
      </c>
      <c r="J13">
        <v>0.1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1D19-2C2E-466E-9DFC-7F539DAC52B3}">
  <sheetPr>
    <tabColor theme="1"/>
  </sheetPr>
  <dimension ref="A1"/>
  <sheetViews>
    <sheetView topLeftCell="V1" workbookViewId="0">
      <selection activeCell="AG17" sqref="AG17"/>
    </sheetView>
  </sheetViews>
  <sheetFormatPr defaultRowHeight="14.4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49DF-A298-4D4F-9716-E63CB2CAB3ED}">
  <sheetPr>
    <tabColor theme="9" tint="0.79998168889431442"/>
  </sheetPr>
  <dimension ref="A1:L289"/>
  <sheetViews>
    <sheetView zoomScale="69" workbookViewId="0">
      <selection activeCell="K309" sqref="K309"/>
    </sheetView>
  </sheetViews>
  <sheetFormatPr defaultRowHeight="14.4" outlineLevelRow="1" x14ac:dyDescent="0.3"/>
  <cols>
    <col min="1" max="2" width="19.88671875" bestFit="1" customWidth="1"/>
    <col min="3" max="3" width="14" bestFit="1" customWidth="1"/>
    <col min="4" max="4" width="19.88671875" style="4" bestFit="1" customWidth="1"/>
    <col min="5" max="5" width="14.109375" style="4" bestFit="1" customWidth="1"/>
    <col min="6" max="6" width="20.88671875" style="4" bestFit="1" customWidth="1"/>
    <col min="7" max="7" width="13.6640625" style="4" bestFit="1" customWidth="1"/>
    <col min="8" max="8" width="8.88671875" style="26"/>
    <col min="9" max="10" width="13.6640625" style="4" bestFit="1" customWidth="1"/>
    <col min="11" max="12" width="12.5546875" style="4" bestFit="1" customWidth="1"/>
  </cols>
  <sheetData>
    <row r="1" spans="1:12" x14ac:dyDescent="0.3">
      <c r="A1" s="13" t="s">
        <v>197</v>
      </c>
      <c r="B1" s="13" t="s">
        <v>662</v>
      </c>
      <c r="C1" s="13" t="s">
        <v>657</v>
      </c>
      <c r="D1" s="21" t="s">
        <v>656</v>
      </c>
      <c r="E1" s="21" t="s">
        <v>655</v>
      </c>
      <c r="F1" s="21" t="s">
        <v>654</v>
      </c>
      <c r="G1" s="21" t="s">
        <v>306</v>
      </c>
      <c r="H1" s="27" t="s">
        <v>305</v>
      </c>
      <c r="I1" s="21" t="s">
        <v>658</v>
      </c>
      <c r="J1" s="21" t="s">
        <v>659</v>
      </c>
      <c r="K1" s="21" t="s">
        <v>660</v>
      </c>
      <c r="L1" s="21" t="s">
        <v>661</v>
      </c>
    </row>
    <row r="2" spans="1:12" hidden="1" outlineLevel="1" x14ac:dyDescent="0.3">
      <c r="A2" s="31">
        <v>45657</v>
      </c>
      <c r="B2" s="31">
        <f>EDATE(B26,-1)</f>
        <v>45320</v>
      </c>
      <c r="C2" t="s">
        <v>653</v>
      </c>
      <c r="D2" s="4">
        <v>25261800.533</v>
      </c>
      <c r="E2" s="4">
        <v>14837765.862431441</v>
      </c>
      <c r="F2" s="4">
        <v>10424034.670568559</v>
      </c>
      <c r="G2" s="4">
        <v>12863419</v>
      </c>
      <c r="H2" s="26">
        <v>0.24</v>
      </c>
      <c r="I2" s="4">
        <v>17247000</v>
      </c>
      <c r="J2" s="4">
        <v>15548388.68</v>
      </c>
      <c r="K2" s="4">
        <v>7961818.46</v>
      </c>
      <c r="L2" s="4">
        <v>2792148.66</v>
      </c>
    </row>
    <row r="3" spans="1:12" hidden="1" outlineLevel="1" x14ac:dyDescent="0.3">
      <c r="A3" s="31">
        <v>45657</v>
      </c>
      <c r="B3" s="31">
        <f>EDATE(B27,-1)</f>
        <v>45351</v>
      </c>
      <c r="C3" t="s">
        <v>653</v>
      </c>
      <c r="D3" s="4">
        <v>24953069.447500002</v>
      </c>
      <c r="E3" s="4">
        <v>14100846.44006091</v>
      </c>
      <c r="F3" s="4">
        <v>10852223.00743909</v>
      </c>
      <c r="G3" s="4">
        <v>11950485</v>
      </c>
      <c r="H3" s="26">
        <v>0.25</v>
      </c>
      <c r="I3" s="4">
        <v>17082000</v>
      </c>
      <c r="J3" s="4">
        <v>15082241.98</v>
      </c>
      <c r="K3" s="4">
        <v>8075446.4500000002</v>
      </c>
      <c r="L3" s="4">
        <v>2891511</v>
      </c>
    </row>
    <row r="4" spans="1:12" hidden="1" outlineLevel="1" x14ac:dyDescent="0.3">
      <c r="A4" s="31">
        <v>45657</v>
      </c>
      <c r="B4" s="31">
        <f>EDATE(B28,-1)</f>
        <v>45379</v>
      </c>
      <c r="C4" t="s">
        <v>653</v>
      </c>
      <c r="D4" s="4">
        <v>25385755.997499999</v>
      </c>
      <c r="E4" s="4">
        <v>15679349.162797621</v>
      </c>
      <c r="F4" s="4">
        <v>9706406.8347023819</v>
      </c>
      <c r="G4" s="4">
        <v>12008506</v>
      </c>
      <c r="H4" s="26">
        <v>0.24</v>
      </c>
      <c r="I4" s="4">
        <v>17284000</v>
      </c>
      <c r="J4" s="4">
        <v>15494985.800000001</v>
      </c>
      <c r="K4" s="4">
        <v>8314030.6500000004</v>
      </c>
      <c r="L4" s="4">
        <v>2777361.85</v>
      </c>
    </row>
    <row r="5" spans="1:12" hidden="1" outlineLevel="1" x14ac:dyDescent="0.3">
      <c r="A5" s="31">
        <v>45657</v>
      </c>
      <c r="B5" s="31">
        <f>EDATE(B29,-1)</f>
        <v>45410</v>
      </c>
      <c r="C5" t="s">
        <v>653</v>
      </c>
      <c r="D5" s="4">
        <v>25277896.943</v>
      </c>
      <c r="E5" s="4">
        <v>14556484.944138199</v>
      </c>
      <c r="F5" s="4">
        <v>10721411.998861801</v>
      </c>
      <c r="G5" s="4">
        <v>11949467</v>
      </c>
      <c r="H5" s="26">
        <v>0.24</v>
      </c>
      <c r="I5" s="4">
        <v>17156000</v>
      </c>
      <c r="J5" s="4">
        <v>15479513.369999999</v>
      </c>
      <c r="K5" s="4">
        <v>8290983.3200000003</v>
      </c>
      <c r="L5" s="4">
        <v>2841880.48</v>
      </c>
    </row>
    <row r="6" spans="1:12" hidden="1" outlineLevel="1" x14ac:dyDescent="0.3">
      <c r="A6" s="31">
        <v>45657</v>
      </c>
      <c r="B6" s="31">
        <f>EDATE(B30,-1)</f>
        <v>45440</v>
      </c>
      <c r="C6" t="s">
        <v>653</v>
      </c>
      <c r="D6" s="4">
        <v>25456303.252999999</v>
      </c>
      <c r="E6" s="4">
        <v>14019432.53699572</v>
      </c>
      <c r="F6" s="4">
        <v>11436870.71600428</v>
      </c>
      <c r="G6" s="4">
        <v>12134463</v>
      </c>
      <c r="H6" s="26">
        <v>0.26</v>
      </c>
      <c r="I6" s="4">
        <v>17476000</v>
      </c>
      <c r="J6" s="4">
        <v>15424116.5</v>
      </c>
      <c r="K6" s="4">
        <v>8076287.1799999997</v>
      </c>
      <c r="L6" s="4">
        <v>2936122.45</v>
      </c>
    </row>
    <row r="7" spans="1:12" hidden="1" outlineLevel="1" x14ac:dyDescent="0.3">
      <c r="A7" s="31">
        <v>45657</v>
      </c>
      <c r="B7" s="31">
        <f>EDATE(B31,-1)</f>
        <v>45471</v>
      </c>
      <c r="C7" t="s">
        <v>653</v>
      </c>
      <c r="D7" s="4">
        <v>25492423.285500001</v>
      </c>
      <c r="E7" s="4">
        <v>15217740.48513365</v>
      </c>
      <c r="F7" s="4">
        <v>10274682.80036635</v>
      </c>
      <c r="G7" s="4">
        <v>12007009</v>
      </c>
      <c r="H7" s="26">
        <v>0.25</v>
      </c>
      <c r="I7" s="4">
        <v>17294000</v>
      </c>
      <c r="J7" s="4">
        <v>15832759.720000001</v>
      </c>
      <c r="K7" s="4">
        <v>8042606.9699999997</v>
      </c>
      <c r="L7" s="4">
        <v>2900254.93</v>
      </c>
    </row>
    <row r="8" spans="1:12" hidden="1" outlineLevel="1" x14ac:dyDescent="0.3">
      <c r="A8" s="31">
        <v>45657</v>
      </c>
      <c r="B8" s="31">
        <f>EDATE(B32,-1)</f>
        <v>45501</v>
      </c>
      <c r="C8" t="s">
        <v>653</v>
      </c>
      <c r="D8" s="4">
        <v>25925152.5185</v>
      </c>
      <c r="E8" s="4">
        <v>14128447.208599791</v>
      </c>
      <c r="F8" s="4">
        <v>11796705.309900209</v>
      </c>
      <c r="G8" s="4">
        <v>11903993</v>
      </c>
      <c r="H8" s="26">
        <v>0.25</v>
      </c>
      <c r="I8" s="4">
        <v>17705000</v>
      </c>
      <c r="J8" s="4">
        <v>15777910.43</v>
      </c>
      <c r="K8" s="4">
        <v>8373596.6900000004</v>
      </c>
      <c r="L8" s="4">
        <v>2936692.31</v>
      </c>
    </row>
    <row r="9" spans="1:12" hidden="1" outlineLevel="1" x14ac:dyDescent="0.3">
      <c r="A9" s="31">
        <v>45657</v>
      </c>
      <c r="B9" s="31">
        <f>EDATE(B33,-1)</f>
        <v>45532</v>
      </c>
      <c r="C9" t="s">
        <v>653</v>
      </c>
      <c r="D9" s="4">
        <v>25918174.6175</v>
      </c>
      <c r="E9" s="4">
        <v>16383934.704711931</v>
      </c>
      <c r="F9" s="4">
        <v>9534239.9127880726</v>
      </c>
      <c r="G9" s="4">
        <v>11403422</v>
      </c>
      <c r="H9" s="26">
        <v>0.24</v>
      </c>
      <c r="I9" s="4">
        <v>17631000</v>
      </c>
      <c r="J9" s="4">
        <v>15955420.82</v>
      </c>
      <c r="K9" s="4">
        <v>8248857.9299999997</v>
      </c>
      <c r="L9" s="4">
        <v>2979719.66</v>
      </c>
    </row>
    <row r="10" spans="1:12" hidden="1" outlineLevel="1" x14ac:dyDescent="0.3">
      <c r="A10" s="31">
        <v>45657</v>
      </c>
      <c r="B10" s="31">
        <f>EDATE(B34,-1)</f>
        <v>45563</v>
      </c>
      <c r="C10" t="s">
        <v>653</v>
      </c>
      <c r="D10" s="4">
        <v>26170713.609000001</v>
      </c>
      <c r="E10" s="4">
        <v>14924234.770103309</v>
      </c>
      <c r="F10" s="4">
        <v>11246478.83889669</v>
      </c>
      <c r="G10" s="4">
        <v>11621535</v>
      </c>
      <c r="H10" s="26">
        <v>0.24</v>
      </c>
      <c r="I10" s="4">
        <v>17686000</v>
      </c>
      <c r="J10" s="4">
        <v>16280521.35</v>
      </c>
      <c r="K10" s="4">
        <v>8389962</v>
      </c>
      <c r="L10" s="4">
        <v>2957231.17</v>
      </c>
    </row>
    <row r="11" spans="1:12" hidden="1" outlineLevel="1" x14ac:dyDescent="0.3">
      <c r="A11" s="31">
        <v>45657</v>
      </c>
      <c r="B11" s="31">
        <f>EDATE(B35,-1)</f>
        <v>45593</v>
      </c>
      <c r="C11" t="s">
        <v>653</v>
      </c>
      <c r="D11" s="4">
        <v>26211531.447500002</v>
      </c>
      <c r="E11" s="4">
        <v>16132405.735600401</v>
      </c>
      <c r="F11" s="4">
        <v>10079125.711899601</v>
      </c>
      <c r="G11" s="4">
        <v>12474628</v>
      </c>
      <c r="H11" s="26">
        <v>0.24</v>
      </c>
      <c r="I11" s="4">
        <v>17851000</v>
      </c>
      <c r="J11" s="4">
        <v>15964921.560000001</v>
      </c>
      <c r="K11" s="4">
        <v>8561419.3300000001</v>
      </c>
      <c r="L11" s="4">
        <v>2973769.51</v>
      </c>
    </row>
    <row r="12" spans="1:12" hidden="1" outlineLevel="1" x14ac:dyDescent="0.3">
      <c r="A12" s="31">
        <v>45657</v>
      </c>
      <c r="B12" s="31">
        <f>EDATE(B36,-1)</f>
        <v>45624</v>
      </c>
      <c r="C12" t="s">
        <v>653</v>
      </c>
      <c r="D12" s="4">
        <v>26506005.449999999</v>
      </c>
      <c r="E12" s="4">
        <v>16569715.43115695</v>
      </c>
      <c r="F12" s="4">
        <v>9936290.018843051</v>
      </c>
      <c r="G12" s="4">
        <v>12180509</v>
      </c>
      <c r="H12" s="26">
        <v>0.24</v>
      </c>
      <c r="I12" s="4">
        <v>18063000</v>
      </c>
      <c r="J12" s="4">
        <v>16081454.49</v>
      </c>
      <c r="K12" s="4">
        <v>8692920.9399999995</v>
      </c>
      <c r="L12" s="4">
        <v>3055479.38</v>
      </c>
    </row>
    <row r="13" spans="1:12" hidden="1" outlineLevel="1" x14ac:dyDescent="0.3">
      <c r="A13" s="31">
        <v>45657</v>
      </c>
      <c r="B13" s="31">
        <f>EDATE(B37,-1)</f>
        <v>45654</v>
      </c>
      <c r="C13" t="s">
        <v>653</v>
      </c>
      <c r="D13" s="4">
        <v>57714301.159999996</v>
      </c>
      <c r="E13" s="4">
        <v>33337882.69720776</v>
      </c>
      <c r="F13" s="4">
        <v>24376418.46279224</v>
      </c>
      <c r="G13" s="4">
        <v>11502563</v>
      </c>
      <c r="H13" s="26">
        <v>0.24</v>
      </c>
      <c r="I13" s="4">
        <v>17864000</v>
      </c>
      <c r="J13" s="4">
        <v>15813089.640000001</v>
      </c>
      <c r="K13" s="4">
        <v>8427622.3499999996</v>
      </c>
      <c r="L13" s="4">
        <v>2964502.23</v>
      </c>
    </row>
    <row r="14" spans="1:12" hidden="1" outlineLevel="1" x14ac:dyDescent="0.3">
      <c r="A14" s="31">
        <v>45657</v>
      </c>
      <c r="B14" s="31">
        <f>EDATE(B38,-1)</f>
        <v>45685</v>
      </c>
      <c r="C14" t="s">
        <v>652</v>
      </c>
      <c r="D14" s="4">
        <v>58006254.590090297</v>
      </c>
      <c r="E14" s="4">
        <v>36264848.530913509</v>
      </c>
      <c r="F14" s="4">
        <v>21741406.059176799</v>
      </c>
      <c r="G14" s="4">
        <v>11750000</v>
      </c>
      <c r="H14" s="26">
        <v>0.24</v>
      </c>
      <c r="I14" s="4">
        <v>17950000</v>
      </c>
      <c r="J14" s="4">
        <v>15689590.774989991</v>
      </c>
      <c r="K14" s="4">
        <v>8094566.6051033959</v>
      </c>
      <c r="L14" s="4">
        <v>2812119.1050690128</v>
      </c>
    </row>
    <row r="15" spans="1:12" hidden="1" outlineLevel="1" x14ac:dyDescent="0.3">
      <c r="A15" s="31">
        <v>45657</v>
      </c>
      <c r="B15" s="31">
        <f>EDATE(B39,-1)</f>
        <v>45716</v>
      </c>
      <c r="C15" t="s">
        <v>652</v>
      </c>
      <c r="D15" s="4">
        <v>56006975.759334117</v>
      </c>
      <c r="E15" s="4">
        <v>34360042.963046066</v>
      </c>
      <c r="F15" s="4">
        <v>21646932.796288051</v>
      </c>
      <c r="G15" s="4">
        <v>11900000</v>
      </c>
      <c r="H15" s="26">
        <v>0.24</v>
      </c>
      <c r="I15" s="4">
        <v>18050000</v>
      </c>
      <c r="J15" s="4">
        <v>15235049.22023146</v>
      </c>
      <c r="K15" s="4">
        <v>8304480.9375934443</v>
      </c>
      <c r="L15" s="4">
        <v>2926973.8617713382</v>
      </c>
    </row>
    <row r="16" spans="1:12" hidden="1" outlineLevel="1" x14ac:dyDescent="0.3">
      <c r="A16" s="31">
        <v>45657</v>
      </c>
      <c r="B16" s="31">
        <f>EDATE(B40,-1)</f>
        <v>45744</v>
      </c>
      <c r="C16" t="s">
        <v>652</v>
      </c>
      <c r="D16" s="4">
        <v>58296444.809443243</v>
      </c>
      <c r="E16" s="4">
        <v>33342109.35275799</v>
      </c>
      <c r="F16" s="4">
        <v>24954335.456685241</v>
      </c>
      <c r="G16" s="4">
        <v>12050000</v>
      </c>
      <c r="H16" s="26">
        <v>0.24</v>
      </c>
      <c r="I16" s="4">
        <v>18200000</v>
      </c>
      <c r="J16" s="4">
        <v>15698038.464286219</v>
      </c>
      <c r="K16" s="4">
        <v>8415059.8425894473</v>
      </c>
      <c r="L16" s="4">
        <v>2829959.2761351322</v>
      </c>
    </row>
    <row r="17" spans="1:12" hidden="1" outlineLevel="1" x14ac:dyDescent="0.3">
      <c r="A17" s="31">
        <v>45657</v>
      </c>
      <c r="B17" s="31">
        <f>EDATE(B41,-1)</f>
        <v>45775</v>
      </c>
      <c r="C17" t="s">
        <v>652</v>
      </c>
      <c r="D17" s="4">
        <v>58115477.334494904</v>
      </c>
      <c r="E17" s="4">
        <v>36707282.808548927</v>
      </c>
      <c r="F17" s="4">
        <v>21408194.525945969</v>
      </c>
      <c r="G17" s="4">
        <v>12150000</v>
      </c>
      <c r="H17" s="26">
        <v>0.25</v>
      </c>
      <c r="I17" s="4">
        <v>18350000</v>
      </c>
      <c r="J17" s="4">
        <v>15664952.92531581</v>
      </c>
      <c r="K17" s="4">
        <v>8451279.5025654025</v>
      </c>
      <c r="L17" s="4">
        <v>2943175.2660944578</v>
      </c>
    </row>
    <row r="18" spans="1:12" hidden="1" outlineLevel="1" x14ac:dyDescent="0.3">
      <c r="A18" s="31">
        <v>45657</v>
      </c>
      <c r="B18" s="31">
        <f>EDATE(B42,-1)</f>
        <v>45805</v>
      </c>
      <c r="C18" t="s">
        <v>652</v>
      </c>
      <c r="D18" s="4">
        <v>56636738.098471299</v>
      </c>
      <c r="E18" s="4">
        <v>32805538.443287302</v>
      </c>
      <c r="F18" s="4">
        <v>23831199.655184001</v>
      </c>
      <c r="G18" s="4">
        <v>12300000</v>
      </c>
      <c r="H18" s="26">
        <v>0.25</v>
      </c>
      <c r="I18" s="4">
        <v>18450000</v>
      </c>
      <c r="J18" s="4">
        <v>15867202.66834002</v>
      </c>
      <c r="K18" s="4">
        <v>8250799.6978511196</v>
      </c>
      <c r="L18" s="4">
        <v>3029098.2954571168</v>
      </c>
    </row>
    <row r="19" spans="1:12" hidden="1" outlineLevel="1" x14ac:dyDescent="0.3">
      <c r="A19" s="31">
        <v>45657</v>
      </c>
      <c r="B19" s="31">
        <f>EDATE(B43,-1)</f>
        <v>45836</v>
      </c>
      <c r="C19" t="s">
        <v>652</v>
      </c>
      <c r="D19" s="4">
        <v>59268362.135164678</v>
      </c>
      <c r="E19" s="4">
        <v>35881788.569076143</v>
      </c>
      <c r="F19" s="4">
        <v>23386573.566088539</v>
      </c>
      <c r="G19" s="4">
        <v>12250000</v>
      </c>
      <c r="H19" s="26">
        <v>0.25</v>
      </c>
      <c r="I19" s="4">
        <v>18400000</v>
      </c>
      <c r="J19" s="4">
        <v>16016201.196298631</v>
      </c>
      <c r="K19" s="4">
        <v>8274969.312129382</v>
      </c>
      <c r="L19" s="4">
        <v>2954747.8156785169</v>
      </c>
    </row>
    <row r="20" spans="1:12" hidden="1" outlineLevel="1" x14ac:dyDescent="0.3">
      <c r="A20" s="31">
        <v>45657</v>
      </c>
      <c r="B20" s="31">
        <f>EDATE(B44,-1)</f>
        <v>45866</v>
      </c>
      <c r="C20" t="s">
        <v>652</v>
      </c>
      <c r="D20" s="4">
        <v>58726021.411114737</v>
      </c>
      <c r="E20" s="4">
        <v>39764008.249703251</v>
      </c>
      <c r="F20" s="4">
        <v>18962013.16141149</v>
      </c>
      <c r="G20" s="4">
        <v>12100000</v>
      </c>
      <c r="H20" s="26">
        <v>0.25</v>
      </c>
      <c r="I20" s="4">
        <v>18300000</v>
      </c>
      <c r="J20" s="4">
        <v>16118473.567856239</v>
      </c>
      <c r="K20" s="4">
        <v>8635735.0771482531</v>
      </c>
      <c r="L20" s="4">
        <v>2996585.3608145928</v>
      </c>
    </row>
    <row r="21" spans="1:12" hidden="1" outlineLevel="1" x14ac:dyDescent="0.3">
      <c r="A21" s="31">
        <v>45657</v>
      </c>
      <c r="B21" s="31">
        <f>EDATE(B45,-1)</f>
        <v>45897</v>
      </c>
      <c r="C21" t="s">
        <v>652</v>
      </c>
      <c r="D21" s="4">
        <v>58694178.05470483</v>
      </c>
      <c r="E21" s="4">
        <v>33381574.569802359</v>
      </c>
      <c r="F21" s="4">
        <v>25312603.484902471</v>
      </c>
      <c r="G21" s="4">
        <v>11850000</v>
      </c>
      <c r="H21" s="26">
        <v>0.24</v>
      </c>
      <c r="I21" s="4">
        <v>18150000</v>
      </c>
      <c r="J21" s="4">
        <v>16387375.65311479</v>
      </c>
      <c r="K21" s="4">
        <v>8470544.6447577681</v>
      </c>
      <c r="L21" s="4">
        <v>3017165.863533475</v>
      </c>
    </row>
    <row r="22" spans="1:12" hidden="1" outlineLevel="1" x14ac:dyDescent="0.3">
      <c r="A22" s="31">
        <v>45657</v>
      </c>
      <c r="B22" s="31">
        <f>EDATE(B46,-1)</f>
        <v>45928</v>
      </c>
      <c r="C22" t="s">
        <v>652</v>
      </c>
      <c r="D22" s="4">
        <v>60236660.600820407</v>
      </c>
      <c r="E22" s="4">
        <v>37578479.776028372</v>
      </c>
      <c r="F22" s="4">
        <v>22658180.824792031</v>
      </c>
      <c r="G22" s="4">
        <v>12000000</v>
      </c>
      <c r="H22" s="26">
        <v>0.24</v>
      </c>
      <c r="I22" s="4">
        <v>18250000</v>
      </c>
      <c r="J22" s="4">
        <v>16623382.092707651</v>
      </c>
      <c r="K22" s="4">
        <v>8624986.8799046632</v>
      </c>
      <c r="L22" s="4">
        <v>3044699.174657627</v>
      </c>
    </row>
    <row r="23" spans="1:12" hidden="1" outlineLevel="1" x14ac:dyDescent="0.3">
      <c r="A23" s="31">
        <v>45657</v>
      </c>
      <c r="B23" s="31">
        <f>EDATE(B47,-1)</f>
        <v>45958</v>
      </c>
      <c r="C23" t="s">
        <v>652</v>
      </c>
      <c r="D23" s="4">
        <v>58578352.931754313</v>
      </c>
      <c r="E23" s="4">
        <v>37028052.720645331</v>
      </c>
      <c r="F23" s="4">
        <v>21550300.211108979</v>
      </c>
      <c r="G23" s="4">
        <v>12400000</v>
      </c>
      <c r="H23" s="26">
        <v>0.24</v>
      </c>
      <c r="I23" s="4">
        <v>18500000</v>
      </c>
      <c r="J23" s="4">
        <v>16468926.497397119</v>
      </c>
      <c r="K23" s="4">
        <v>8838746.8905487265</v>
      </c>
      <c r="L23" s="4">
        <v>3117583.9784047422</v>
      </c>
    </row>
    <row r="24" spans="1:12" hidden="1" outlineLevel="1" x14ac:dyDescent="0.3">
      <c r="A24" s="31">
        <v>45657</v>
      </c>
      <c r="B24" s="31">
        <f>EDATE(B48,-1)</f>
        <v>45989</v>
      </c>
      <c r="C24" t="s">
        <v>652</v>
      </c>
      <c r="D24" s="4">
        <v>59201034.948166907</v>
      </c>
      <c r="E24" s="4">
        <v>34743025.534212232</v>
      </c>
      <c r="F24" s="4">
        <v>24458009.413954679</v>
      </c>
      <c r="G24" s="4">
        <v>12550000</v>
      </c>
      <c r="H24" s="26">
        <v>0.25</v>
      </c>
      <c r="I24" s="4">
        <v>18650000</v>
      </c>
      <c r="J24" s="4">
        <v>16064576.35104703</v>
      </c>
      <c r="K24" s="4">
        <v>9057738.8751288746</v>
      </c>
      <c r="L24" s="4">
        <v>3116582.01478629</v>
      </c>
    </row>
    <row r="25" spans="1:12" hidden="1" outlineLevel="1" x14ac:dyDescent="0.3">
      <c r="A25" s="31">
        <v>45657</v>
      </c>
      <c r="B25" s="31">
        <f>EDATE(B49,-1)</f>
        <v>46019</v>
      </c>
      <c r="C25" t="s">
        <v>652</v>
      </c>
      <c r="D25" s="4">
        <v>59842255.988201603</v>
      </c>
      <c r="E25" s="4">
        <v>33707294.426787637</v>
      </c>
      <c r="F25" s="4">
        <v>26134961.561413959</v>
      </c>
      <c r="G25" s="4">
        <v>12300000</v>
      </c>
      <c r="H25" s="26">
        <v>0.24</v>
      </c>
      <c r="I25" s="4">
        <v>18450000</v>
      </c>
      <c r="J25" s="4">
        <v>16070591.55420042</v>
      </c>
      <c r="K25" s="4">
        <v>8655529.1706803143</v>
      </c>
      <c r="L25" s="4">
        <v>3100777.1046122839</v>
      </c>
    </row>
    <row r="26" spans="1:12" hidden="1" outlineLevel="1" x14ac:dyDescent="0.3">
      <c r="A26" s="31">
        <v>45688</v>
      </c>
      <c r="B26" s="31">
        <f>EDATE(B50,-1)</f>
        <v>45351</v>
      </c>
      <c r="C26" t="s">
        <v>653</v>
      </c>
      <c r="D26" s="4">
        <v>25261800.533</v>
      </c>
      <c r="E26" s="4">
        <v>14837765.862431441</v>
      </c>
      <c r="F26" s="4">
        <v>10424034.670568559</v>
      </c>
      <c r="G26" s="4">
        <v>12863419</v>
      </c>
      <c r="H26" s="26">
        <v>0.24</v>
      </c>
      <c r="I26" s="4">
        <v>17247000</v>
      </c>
      <c r="J26" s="4">
        <v>15548388.68</v>
      </c>
      <c r="K26" s="4">
        <v>7961818.46</v>
      </c>
      <c r="L26" s="4">
        <v>2792148.66</v>
      </c>
    </row>
    <row r="27" spans="1:12" hidden="1" outlineLevel="1" x14ac:dyDescent="0.3">
      <c r="A27" s="31">
        <v>45688</v>
      </c>
      <c r="B27" s="31">
        <f>EDATE(B51,-1)</f>
        <v>45381</v>
      </c>
      <c r="C27" t="s">
        <v>653</v>
      </c>
      <c r="D27" s="4">
        <v>24953069.447500002</v>
      </c>
      <c r="E27" s="4">
        <v>14100846.44006091</v>
      </c>
      <c r="F27" s="4">
        <v>10852223.00743909</v>
      </c>
      <c r="G27" s="4">
        <v>11950485</v>
      </c>
      <c r="H27" s="26">
        <v>0.25</v>
      </c>
      <c r="I27" s="4">
        <v>17082000</v>
      </c>
      <c r="J27" s="4">
        <v>15082241.98</v>
      </c>
      <c r="K27" s="4">
        <v>8075446.4500000002</v>
      </c>
      <c r="L27" s="4">
        <v>2891511</v>
      </c>
    </row>
    <row r="28" spans="1:12" hidden="1" outlineLevel="1" x14ac:dyDescent="0.3">
      <c r="A28" s="31">
        <v>45688</v>
      </c>
      <c r="B28" s="31">
        <f>EDATE(B52,-1)</f>
        <v>45410</v>
      </c>
      <c r="C28" t="s">
        <v>653</v>
      </c>
      <c r="D28" s="4">
        <v>25385755.997499999</v>
      </c>
      <c r="E28" s="4">
        <v>15679349.162797621</v>
      </c>
      <c r="F28" s="4">
        <v>9706406.8347023819</v>
      </c>
      <c r="G28" s="4">
        <v>12008506</v>
      </c>
      <c r="H28" s="26">
        <v>0.24</v>
      </c>
      <c r="I28" s="4">
        <v>17284000</v>
      </c>
      <c r="J28" s="4">
        <v>15494985.800000001</v>
      </c>
      <c r="K28" s="4">
        <v>8314030.6500000004</v>
      </c>
      <c r="L28" s="4">
        <v>2777361.85</v>
      </c>
    </row>
    <row r="29" spans="1:12" hidden="1" outlineLevel="1" x14ac:dyDescent="0.3">
      <c r="A29" s="31">
        <v>45688</v>
      </c>
      <c r="B29" s="31">
        <f>EDATE(B53,-1)</f>
        <v>45440</v>
      </c>
      <c r="C29" t="s">
        <v>653</v>
      </c>
      <c r="D29" s="4">
        <v>25277896.943</v>
      </c>
      <c r="E29" s="4">
        <v>14556484.944138199</v>
      </c>
      <c r="F29" s="4">
        <v>10721411.998861801</v>
      </c>
      <c r="G29" s="4">
        <v>11949467</v>
      </c>
      <c r="H29" s="26">
        <v>0.24</v>
      </c>
      <c r="I29" s="4">
        <v>17156000</v>
      </c>
      <c r="J29" s="4">
        <v>15479513.369999999</v>
      </c>
      <c r="K29" s="4">
        <v>8290983.3200000003</v>
      </c>
      <c r="L29" s="4">
        <v>2841880.48</v>
      </c>
    </row>
    <row r="30" spans="1:12" hidden="1" outlineLevel="1" x14ac:dyDescent="0.3">
      <c r="A30" s="31">
        <v>45688</v>
      </c>
      <c r="B30" s="31">
        <f>EDATE(B54,-1)</f>
        <v>45471</v>
      </c>
      <c r="C30" t="s">
        <v>653</v>
      </c>
      <c r="D30" s="4">
        <v>25456303.252999999</v>
      </c>
      <c r="E30" s="4">
        <v>14019432.53699572</v>
      </c>
      <c r="F30" s="4">
        <v>11436870.71600428</v>
      </c>
      <c r="G30" s="4">
        <v>12134463</v>
      </c>
      <c r="H30" s="26">
        <v>0.26</v>
      </c>
      <c r="I30" s="4">
        <v>17476000</v>
      </c>
      <c r="J30" s="4">
        <v>15424116.5</v>
      </c>
      <c r="K30" s="4">
        <v>8076287.1799999997</v>
      </c>
      <c r="L30" s="4">
        <v>2936122.45</v>
      </c>
    </row>
    <row r="31" spans="1:12" hidden="1" outlineLevel="1" x14ac:dyDescent="0.3">
      <c r="A31" s="31">
        <v>45688</v>
      </c>
      <c r="B31" s="31">
        <f>EDATE(B55,-1)</f>
        <v>45501</v>
      </c>
      <c r="C31" t="s">
        <v>653</v>
      </c>
      <c r="D31" s="4">
        <v>25492423.285500001</v>
      </c>
      <c r="E31" s="4">
        <v>15217740.48513365</v>
      </c>
      <c r="F31" s="4">
        <v>10274682.80036635</v>
      </c>
      <c r="G31" s="4">
        <v>12007009</v>
      </c>
      <c r="H31" s="26">
        <v>0.25</v>
      </c>
      <c r="I31" s="4">
        <v>17294000</v>
      </c>
      <c r="J31" s="4">
        <v>15832759.720000001</v>
      </c>
      <c r="K31" s="4">
        <v>8042606.9699999997</v>
      </c>
      <c r="L31" s="4">
        <v>2900254.93</v>
      </c>
    </row>
    <row r="32" spans="1:12" hidden="1" outlineLevel="1" x14ac:dyDescent="0.3">
      <c r="A32" s="31">
        <v>45688</v>
      </c>
      <c r="B32" s="31">
        <f>EDATE(B56,-1)</f>
        <v>45532</v>
      </c>
      <c r="C32" t="s">
        <v>653</v>
      </c>
      <c r="D32" s="4">
        <v>25925152.5185</v>
      </c>
      <c r="E32" s="4">
        <v>14128447.208599791</v>
      </c>
      <c r="F32" s="4">
        <v>11796705.309900209</v>
      </c>
      <c r="G32" s="4">
        <v>11903993</v>
      </c>
      <c r="H32" s="26">
        <v>0.25</v>
      </c>
      <c r="I32" s="4">
        <v>17705000</v>
      </c>
      <c r="J32" s="4">
        <v>15777910.43</v>
      </c>
      <c r="K32" s="4">
        <v>8373596.6900000004</v>
      </c>
      <c r="L32" s="4">
        <v>2936692.31</v>
      </c>
    </row>
    <row r="33" spans="1:12" hidden="1" outlineLevel="1" x14ac:dyDescent="0.3">
      <c r="A33" s="31">
        <v>45688</v>
      </c>
      <c r="B33" s="31">
        <f>EDATE(B57,-1)</f>
        <v>45563</v>
      </c>
      <c r="C33" t="s">
        <v>653</v>
      </c>
      <c r="D33" s="4">
        <v>25918174.6175</v>
      </c>
      <c r="E33" s="4">
        <v>16383934.704711931</v>
      </c>
      <c r="F33" s="4">
        <v>9534239.9127880726</v>
      </c>
      <c r="G33" s="4">
        <v>11403422</v>
      </c>
      <c r="H33" s="26">
        <v>0.24</v>
      </c>
      <c r="I33" s="4">
        <v>17631000</v>
      </c>
      <c r="J33" s="4">
        <v>15955420.82</v>
      </c>
      <c r="K33" s="4">
        <v>8248857.9299999997</v>
      </c>
      <c r="L33" s="4">
        <v>2979719.66</v>
      </c>
    </row>
    <row r="34" spans="1:12" hidden="1" outlineLevel="1" x14ac:dyDescent="0.3">
      <c r="A34" s="31">
        <v>45688</v>
      </c>
      <c r="B34" s="31">
        <f>EDATE(B58,-1)</f>
        <v>45593</v>
      </c>
      <c r="C34" t="s">
        <v>653</v>
      </c>
      <c r="D34" s="4">
        <v>26170713.609000001</v>
      </c>
      <c r="E34" s="4">
        <v>14924234.770103309</v>
      </c>
      <c r="F34" s="4">
        <v>11246478.83889669</v>
      </c>
      <c r="G34" s="4">
        <v>11621535</v>
      </c>
      <c r="H34" s="26">
        <v>0.24</v>
      </c>
      <c r="I34" s="4">
        <v>17686000</v>
      </c>
      <c r="J34" s="4">
        <v>16280521.35</v>
      </c>
      <c r="K34" s="4">
        <v>8389962</v>
      </c>
      <c r="L34" s="4">
        <v>2957231.17</v>
      </c>
    </row>
    <row r="35" spans="1:12" hidden="1" outlineLevel="1" x14ac:dyDescent="0.3">
      <c r="A35" s="31">
        <v>45688</v>
      </c>
      <c r="B35" s="31">
        <f>EDATE(B59,-1)</f>
        <v>45624</v>
      </c>
      <c r="C35" t="s">
        <v>653</v>
      </c>
      <c r="D35" s="4">
        <v>26211531.447500002</v>
      </c>
      <c r="E35" s="4">
        <v>16132405.735600401</v>
      </c>
      <c r="F35" s="4">
        <v>10079125.711899601</v>
      </c>
      <c r="G35" s="4">
        <v>12474628</v>
      </c>
      <c r="H35" s="26">
        <v>0.24</v>
      </c>
      <c r="I35" s="4">
        <v>17851000</v>
      </c>
      <c r="J35" s="4">
        <v>15964921.560000001</v>
      </c>
      <c r="K35" s="4">
        <v>8561419.3300000001</v>
      </c>
      <c r="L35" s="4">
        <v>2973769.51</v>
      </c>
    </row>
    <row r="36" spans="1:12" hidden="1" outlineLevel="1" x14ac:dyDescent="0.3">
      <c r="A36" s="31">
        <v>45688</v>
      </c>
      <c r="B36" s="31">
        <f>EDATE(B60,-1)</f>
        <v>45654</v>
      </c>
      <c r="C36" t="s">
        <v>653</v>
      </c>
      <c r="D36" s="4">
        <v>26506005.449999999</v>
      </c>
      <c r="E36" s="4">
        <v>16569715.43115695</v>
      </c>
      <c r="F36" s="4">
        <v>9936290.018843051</v>
      </c>
      <c r="G36" s="4">
        <v>12180509</v>
      </c>
      <c r="H36" s="26">
        <v>0.24</v>
      </c>
      <c r="I36" s="4">
        <v>18063000</v>
      </c>
      <c r="J36" s="4">
        <v>16081454.49</v>
      </c>
      <c r="K36" s="4">
        <v>8692920.9399999995</v>
      </c>
      <c r="L36" s="4">
        <v>3055479.38</v>
      </c>
    </row>
    <row r="37" spans="1:12" hidden="1" outlineLevel="1" x14ac:dyDescent="0.3">
      <c r="A37" s="31">
        <v>45688</v>
      </c>
      <c r="B37" s="31">
        <f>EDATE(B61,-1)</f>
        <v>45685</v>
      </c>
      <c r="C37" t="s">
        <v>653</v>
      </c>
      <c r="D37" s="4">
        <v>57714301.159999996</v>
      </c>
      <c r="E37" s="4">
        <v>33337882.69720776</v>
      </c>
      <c r="F37" s="4">
        <v>24376418.46279224</v>
      </c>
      <c r="G37" s="4">
        <v>11502563</v>
      </c>
      <c r="H37" s="26">
        <v>0.24</v>
      </c>
      <c r="I37" s="4">
        <v>17864000</v>
      </c>
      <c r="J37" s="4">
        <v>15813089.640000001</v>
      </c>
      <c r="K37" s="4">
        <v>8427622.3499999996</v>
      </c>
      <c r="L37" s="4">
        <v>2964502.23</v>
      </c>
    </row>
    <row r="38" spans="1:12" hidden="1" outlineLevel="1" x14ac:dyDescent="0.3">
      <c r="A38" s="31">
        <v>45688</v>
      </c>
      <c r="B38" s="31">
        <f>EDATE(B62,-1)</f>
        <v>45716</v>
      </c>
      <c r="C38" t="s">
        <v>652</v>
      </c>
      <c r="D38" s="4">
        <v>58006254.590090297</v>
      </c>
      <c r="E38" s="4">
        <v>36264848.530913509</v>
      </c>
      <c r="F38" s="4">
        <v>21741406.059176799</v>
      </c>
      <c r="G38" s="4">
        <v>11750000</v>
      </c>
      <c r="H38" s="26">
        <v>0.24</v>
      </c>
      <c r="I38" s="4">
        <v>17950000</v>
      </c>
      <c r="J38" s="4">
        <v>15689590.774989991</v>
      </c>
      <c r="K38" s="4">
        <v>8094566.6051033959</v>
      </c>
      <c r="L38" s="4">
        <v>2812119.1050690128</v>
      </c>
    </row>
    <row r="39" spans="1:12" hidden="1" outlineLevel="1" x14ac:dyDescent="0.3">
      <c r="A39" s="31">
        <v>45688</v>
      </c>
      <c r="B39" s="31">
        <f>EDATE(B63,-1)</f>
        <v>45746</v>
      </c>
      <c r="C39" t="s">
        <v>652</v>
      </c>
      <c r="D39" s="4">
        <v>56006975.759334117</v>
      </c>
      <c r="E39" s="4">
        <v>34360042.963046066</v>
      </c>
      <c r="F39" s="4">
        <v>21646932.796288051</v>
      </c>
      <c r="G39" s="4">
        <v>11900000</v>
      </c>
      <c r="H39" s="26">
        <v>0.24</v>
      </c>
      <c r="I39" s="4">
        <v>18050000</v>
      </c>
      <c r="J39" s="4">
        <v>15235049.22023146</v>
      </c>
      <c r="K39" s="4">
        <v>8304480.9375934443</v>
      </c>
      <c r="L39" s="4">
        <v>2926973.8617713382</v>
      </c>
    </row>
    <row r="40" spans="1:12" hidden="1" outlineLevel="1" x14ac:dyDescent="0.3">
      <c r="A40" s="31">
        <v>45688</v>
      </c>
      <c r="B40" s="31">
        <f>EDATE(B64,-1)</f>
        <v>45775</v>
      </c>
      <c r="C40" t="s">
        <v>652</v>
      </c>
      <c r="D40" s="4">
        <v>58296444.809443243</v>
      </c>
      <c r="E40" s="4">
        <v>33342109.35275799</v>
      </c>
      <c r="F40" s="4">
        <v>24954335.456685241</v>
      </c>
      <c r="G40" s="4">
        <v>12050000</v>
      </c>
      <c r="H40" s="26">
        <v>0.24</v>
      </c>
      <c r="I40" s="4">
        <v>18200000</v>
      </c>
      <c r="J40" s="4">
        <v>15698038.464286219</v>
      </c>
      <c r="K40" s="4">
        <v>8415059.8425894473</v>
      </c>
      <c r="L40" s="4">
        <v>2829959.2761351322</v>
      </c>
    </row>
    <row r="41" spans="1:12" hidden="1" outlineLevel="1" x14ac:dyDescent="0.3">
      <c r="A41" s="31">
        <v>45688</v>
      </c>
      <c r="B41" s="31">
        <f>EDATE(B65,-1)</f>
        <v>45805</v>
      </c>
      <c r="C41" t="s">
        <v>652</v>
      </c>
      <c r="D41" s="4">
        <v>58115477.334494904</v>
      </c>
      <c r="E41" s="4">
        <v>36707282.808548927</v>
      </c>
      <c r="F41" s="4">
        <v>21408194.525945969</v>
      </c>
      <c r="G41" s="4">
        <v>12150000</v>
      </c>
      <c r="H41" s="26">
        <v>0.25</v>
      </c>
      <c r="I41" s="4">
        <v>18350000</v>
      </c>
      <c r="J41" s="4">
        <v>15664952.92531581</v>
      </c>
      <c r="K41" s="4">
        <v>8451279.5025654025</v>
      </c>
      <c r="L41" s="4">
        <v>2943175.2660944578</v>
      </c>
    </row>
    <row r="42" spans="1:12" hidden="1" outlineLevel="1" x14ac:dyDescent="0.3">
      <c r="A42" s="31">
        <v>45688</v>
      </c>
      <c r="B42" s="31">
        <f>EDATE(B66,-1)</f>
        <v>45836</v>
      </c>
      <c r="C42" t="s">
        <v>652</v>
      </c>
      <c r="D42" s="4">
        <v>56636738.098471299</v>
      </c>
      <c r="E42" s="4">
        <v>32805538.443287302</v>
      </c>
      <c r="F42" s="4">
        <v>23831199.655184001</v>
      </c>
      <c r="G42" s="4">
        <v>12300000</v>
      </c>
      <c r="H42" s="26">
        <v>0.25</v>
      </c>
      <c r="I42" s="4">
        <v>18450000</v>
      </c>
      <c r="J42" s="4">
        <v>15867202.66834002</v>
      </c>
      <c r="K42" s="4">
        <v>8250799.6978511196</v>
      </c>
      <c r="L42" s="4">
        <v>3029098.2954571168</v>
      </c>
    </row>
    <row r="43" spans="1:12" hidden="1" outlineLevel="1" x14ac:dyDescent="0.3">
      <c r="A43" s="31">
        <v>45688</v>
      </c>
      <c r="B43" s="31">
        <f>EDATE(B67,-1)</f>
        <v>45866</v>
      </c>
      <c r="C43" t="s">
        <v>652</v>
      </c>
      <c r="D43" s="4">
        <v>59268362.135164678</v>
      </c>
      <c r="E43" s="4">
        <v>35881788.569076143</v>
      </c>
      <c r="F43" s="4">
        <v>23386573.566088539</v>
      </c>
      <c r="G43" s="4">
        <v>12250000</v>
      </c>
      <c r="H43" s="26">
        <v>0.25</v>
      </c>
      <c r="I43" s="4">
        <v>18400000</v>
      </c>
      <c r="J43" s="4">
        <v>16016201.196298631</v>
      </c>
      <c r="K43" s="4">
        <v>8274969.312129382</v>
      </c>
      <c r="L43" s="4">
        <v>2954747.8156785169</v>
      </c>
    </row>
    <row r="44" spans="1:12" hidden="1" outlineLevel="1" x14ac:dyDescent="0.3">
      <c r="A44" s="31">
        <v>45688</v>
      </c>
      <c r="B44" s="31">
        <f>EDATE(B68,-1)</f>
        <v>45897</v>
      </c>
      <c r="C44" t="s">
        <v>652</v>
      </c>
      <c r="D44" s="4">
        <v>58726021.411114737</v>
      </c>
      <c r="E44" s="4">
        <v>39764008.249703251</v>
      </c>
      <c r="F44" s="4">
        <v>18962013.16141149</v>
      </c>
      <c r="G44" s="4">
        <v>12100000</v>
      </c>
      <c r="H44" s="26">
        <v>0.25</v>
      </c>
      <c r="I44" s="4">
        <v>18300000</v>
      </c>
      <c r="J44" s="4">
        <v>16118473.567856239</v>
      </c>
      <c r="K44" s="4">
        <v>8635735.0771482531</v>
      </c>
      <c r="L44" s="4">
        <v>2996585.3608145928</v>
      </c>
    </row>
    <row r="45" spans="1:12" hidden="1" outlineLevel="1" x14ac:dyDescent="0.3">
      <c r="A45" s="31">
        <v>45688</v>
      </c>
      <c r="B45" s="31">
        <f>EDATE(B69,-1)</f>
        <v>45928</v>
      </c>
      <c r="C45" t="s">
        <v>652</v>
      </c>
      <c r="D45" s="4">
        <v>58694178.05470483</v>
      </c>
      <c r="E45" s="4">
        <v>33381574.569802359</v>
      </c>
      <c r="F45" s="4">
        <v>25312603.484902471</v>
      </c>
      <c r="G45" s="4">
        <v>11850000</v>
      </c>
      <c r="H45" s="26">
        <v>0.24</v>
      </c>
      <c r="I45" s="4">
        <v>18150000</v>
      </c>
      <c r="J45" s="4">
        <v>16387375.65311479</v>
      </c>
      <c r="K45" s="4">
        <v>8470544.6447577681</v>
      </c>
      <c r="L45" s="4">
        <v>3017165.863533475</v>
      </c>
    </row>
    <row r="46" spans="1:12" hidden="1" outlineLevel="1" x14ac:dyDescent="0.3">
      <c r="A46" s="31">
        <v>45688</v>
      </c>
      <c r="B46" s="31">
        <f>EDATE(B70,-1)</f>
        <v>45958</v>
      </c>
      <c r="C46" t="s">
        <v>652</v>
      </c>
      <c r="D46" s="4">
        <v>60236660.600820407</v>
      </c>
      <c r="E46" s="4">
        <v>37578479.776028372</v>
      </c>
      <c r="F46" s="4">
        <v>22658180.824792031</v>
      </c>
      <c r="G46" s="4">
        <v>12000000</v>
      </c>
      <c r="H46" s="26">
        <v>0.24</v>
      </c>
      <c r="I46" s="4">
        <v>18250000</v>
      </c>
      <c r="J46" s="4">
        <v>16623382.092707651</v>
      </c>
      <c r="K46" s="4">
        <v>8624986.8799046632</v>
      </c>
      <c r="L46" s="4">
        <v>3044699.174657627</v>
      </c>
    </row>
    <row r="47" spans="1:12" hidden="1" outlineLevel="1" x14ac:dyDescent="0.3">
      <c r="A47" s="31">
        <v>45688</v>
      </c>
      <c r="B47" s="31">
        <f>EDATE(B71,-1)</f>
        <v>45989</v>
      </c>
      <c r="C47" t="s">
        <v>652</v>
      </c>
      <c r="D47" s="4">
        <v>58578352.931754313</v>
      </c>
      <c r="E47" s="4">
        <v>37028052.720645331</v>
      </c>
      <c r="F47" s="4">
        <v>21550300.211108979</v>
      </c>
      <c r="G47" s="4">
        <v>12400000</v>
      </c>
      <c r="H47" s="26">
        <v>0.24</v>
      </c>
      <c r="I47" s="4">
        <v>18500000</v>
      </c>
      <c r="J47" s="4">
        <v>16468926.497397119</v>
      </c>
      <c r="K47" s="4">
        <v>8838746.8905487265</v>
      </c>
      <c r="L47" s="4">
        <v>3117583.9784047422</v>
      </c>
    </row>
    <row r="48" spans="1:12" hidden="1" outlineLevel="1" x14ac:dyDescent="0.3">
      <c r="A48" s="31">
        <v>45688</v>
      </c>
      <c r="B48" s="31">
        <f>EDATE(B72,-1)</f>
        <v>46019</v>
      </c>
      <c r="C48" t="s">
        <v>652</v>
      </c>
      <c r="D48" s="4">
        <v>59201034.948166907</v>
      </c>
      <c r="E48" s="4">
        <v>34743025.534212232</v>
      </c>
      <c r="F48" s="4">
        <v>24458009.413954679</v>
      </c>
      <c r="G48" s="4">
        <v>12550000</v>
      </c>
      <c r="H48" s="26">
        <v>0.25</v>
      </c>
      <c r="I48" s="4">
        <v>18650000</v>
      </c>
      <c r="J48" s="4">
        <v>16064576.35104703</v>
      </c>
      <c r="K48" s="4">
        <v>9057738.8751288746</v>
      </c>
      <c r="L48" s="4">
        <v>3116582.01478629</v>
      </c>
    </row>
    <row r="49" spans="1:12" hidden="1" outlineLevel="1" x14ac:dyDescent="0.3">
      <c r="A49" s="31">
        <v>45688</v>
      </c>
      <c r="B49" s="31">
        <f>EDATE(B73,-1)</f>
        <v>46050</v>
      </c>
      <c r="C49" t="s">
        <v>652</v>
      </c>
      <c r="D49" s="4">
        <v>59842255.988201603</v>
      </c>
      <c r="E49" s="4">
        <v>33707294.426787637</v>
      </c>
      <c r="F49" s="4">
        <v>26134961.561413959</v>
      </c>
      <c r="G49" s="4">
        <v>12300000</v>
      </c>
      <c r="H49" s="26">
        <v>0.24</v>
      </c>
      <c r="I49" s="4">
        <v>18450000</v>
      </c>
      <c r="J49" s="4">
        <v>16070591.55420042</v>
      </c>
      <c r="K49" s="4">
        <v>8655529.1706803143</v>
      </c>
      <c r="L49" s="4">
        <v>3100777.1046122839</v>
      </c>
    </row>
    <row r="50" spans="1:12" hidden="1" outlineLevel="1" x14ac:dyDescent="0.3">
      <c r="A50" s="31">
        <v>45716</v>
      </c>
      <c r="B50" s="31">
        <f>EDATE(B74,-1)</f>
        <v>45381</v>
      </c>
      <c r="C50" t="s">
        <v>653</v>
      </c>
      <c r="D50" s="4">
        <v>25261800.533</v>
      </c>
      <c r="E50" s="4">
        <v>14837765.862431441</v>
      </c>
      <c r="F50" s="4">
        <v>10424034.670568559</v>
      </c>
      <c r="G50" s="4">
        <v>12863419</v>
      </c>
      <c r="H50" s="26">
        <v>0.24</v>
      </c>
      <c r="I50" s="4">
        <v>17247000</v>
      </c>
      <c r="J50" s="4">
        <v>15548388.68</v>
      </c>
      <c r="K50" s="4">
        <v>7961818.46</v>
      </c>
      <c r="L50" s="4">
        <v>2792148.66</v>
      </c>
    </row>
    <row r="51" spans="1:12" hidden="1" outlineLevel="1" x14ac:dyDescent="0.3">
      <c r="A51" s="31">
        <v>45716</v>
      </c>
      <c r="B51" s="31">
        <f>EDATE(B75,-1)</f>
        <v>45412</v>
      </c>
      <c r="C51" t="s">
        <v>653</v>
      </c>
      <c r="D51" s="4">
        <v>24953069.447500002</v>
      </c>
      <c r="E51" s="4">
        <v>14100846.44006091</v>
      </c>
      <c r="F51" s="4">
        <v>10852223.00743909</v>
      </c>
      <c r="G51" s="4">
        <v>11950485</v>
      </c>
      <c r="H51" s="26">
        <v>0.25</v>
      </c>
      <c r="I51" s="4">
        <v>17082000</v>
      </c>
      <c r="J51" s="4">
        <v>15082241.98</v>
      </c>
      <c r="K51" s="4">
        <v>8075446.4500000002</v>
      </c>
      <c r="L51" s="4">
        <v>2891511</v>
      </c>
    </row>
    <row r="52" spans="1:12" hidden="1" outlineLevel="1" x14ac:dyDescent="0.3">
      <c r="A52" s="31">
        <v>45716</v>
      </c>
      <c r="B52" s="31">
        <f>EDATE(B76,-1)</f>
        <v>45440</v>
      </c>
      <c r="C52" t="s">
        <v>653</v>
      </c>
      <c r="D52" s="4">
        <v>25385755.997499999</v>
      </c>
      <c r="E52" s="4">
        <v>15679349.162797621</v>
      </c>
      <c r="F52" s="4">
        <v>9706406.8347023819</v>
      </c>
      <c r="G52" s="4">
        <v>12008506</v>
      </c>
      <c r="H52" s="26">
        <v>0.24</v>
      </c>
      <c r="I52" s="4">
        <v>17284000</v>
      </c>
      <c r="J52" s="4">
        <v>15494985.800000001</v>
      </c>
      <c r="K52" s="4">
        <v>8314030.6500000004</v>
      </c>
      <c r="L52" s="4">
        <v>2777361.85</v>
      </c>
    </row>
    <row r="53" spans="1:12" hidden="1" outlineLevel="1" x14ac:dyDescent="0.3">
      <c r="A53" s="31">
        <v>45716</v>
      </c>
      <c r="B53" s="31">
        <f>EDATE(B77,-1)</f>
        <v>45471</v>
      </c>
      <c r="C53" t="s">
        <v>653</v>
      </c>
      <c r="D53" s="4">
        <v>25277896.943</v>
      </c>
      <c r="E53" s="4">
        <v>14556484.944138199</v>
      </c>
      <c r="F53" s="4">
        <v>10721411.998861801</v>
      </c>
      <c r="G53" s="4">
        <v>11949467</v>
      </c>
      <c r="H53" s="26">
        <v>0.24</v>
      </c>
      <c r="I53" s="4">
        <v>17156000</v>
      </c>
      <c r="J53" s="4">
        <v>15479513.369999999</v>
      </c>
      <c r="K53" s="4">
        <v>8290983.3200000003</v>
      </c>
      <c r="L53" s="4">
        <v>2841880.48</v>
      </c>
    </row>
    <row r="54" spans="1:12" hidden="1" outlineLevel="1" x14ac:dyDescent="0.3">
      <c r="A54" s="31">
        <v>45716</v>
      </c>
      <c r="B54" s="31">
        <f>EDATE(B78,-1)</f>
        <v>45501</v>
      </c>
      <c r="C54" t="s">
        <v>653</v>
      </c>
      <c r="D54" s="4">
        <v>25456303.252999999</v>
      </c>
      <c r="E54" s="4">
        <v>14019432.53699572</v>
      </c>
      <c r="F54" s="4">
        <v>11436870.71600428</v>
      </c>
      <c r="G54" s="4">
        <v>12134463</v>
      </c>
      <c r="H54" s="26">
        <v>0.26</v>
      </c>
      <c r="I54" s="4">
        <v>17476000</v>
      </c>
      <c r="J54" s="4">
        <v>15424116.5</v>
      </c>
      <c r="K54" s="4">
        <v>8076287.1799999997</v>
      </c>
      <c r="L54" s="4">
        <v>2936122.45</v>
      </c>
    </row>
    <row r="55" spans="1:12" hidden="1" outlineLevel="1" x14ac:dyDescent="0.3">
      <c r="A55" s="31">
        <v>45716</v>
      </c>
      <c r="B55" s="31">
        <f>EDATE(B79,-1)</f>
        <v>45532</v>
      </c>
      <c r="C55" t="s">
        <v>653</v>
      </c>
      <c r="D55" s="4">
        <v>25492423.285500001</v>
      </c>
      <c r="E55" s="4">
        <v>15217740.48513365</v>
      </c>
      <c r="F55" s="4">
        <v>10274682.80036635</v>
      </c>
      <c r="G55" s="4">
        <v>12007009</v>
      </c>
      <c r="H55" s="26">
        <v>0.25</v>
      </c>
      <c r="I55" s="4">
        <v>17294000</v>
      </c>
      <c r="J55" s="4">
        <v>15832759.720000001</v>
      </c>
      <c r="K55" s="4">
        <v>8042606.9699999997</v>
      </c>
      <c r="L55" s="4">
        <v>2900254.93</v>
      </c>
    </row>
    <row r="56" spans="1:12" hidden="1" outlineLevel="1" x14ac:dyDescent="0.3">
      <c r="A56" s="31">
        <v>45716</v>
      </c>
      <c r="B56" s="31">
        <f>EDATE(B80,-1)</f>
        <v>45563</v>
      </c>
      <c r="C56" t="s">
        <v>653</v>
      </c>
      <c r="D56" s="4">
        <v>25925152.5185</v>
      </c>
      <c r="E56" s="4">
        <v>14128447.208599791</v>
      </c>
      <c r="F56" s="4">
        <v>11796705.309900209</v>
      </c>
      <c r="G56" s="4">
        <v>11903993</v>
      </c>
      <c r="H56" s="26">
        <v>0.25</v>
      </c>
      <c r="I56" s="4">
        <v>17705000</v>
      </c>
      <c r="J56" s="4">
        <v>15777910.43</v>
      </c>
      <c r="K56" s="4">
        <v>8373596.6900000004</v>
      </c>
      <c r="L56" s="4">
        <v>2936692.31</v>
      </c>
    </row>
    <row r="57" spans="1:12" hidden="1" outlineLevel="1" x14ac:dyDescent="0.3">
      <c r="A57" s="31">
        <v>45716</v>
      </c>
      <c r="B57" s="31">
        <f>EDATE(B81,-1)</f>
        <v>45593</v>
      </c>
      <c r="C57" t="s">
        <v>653</v>
      </c>
      <c r="D57" s="4">
        <v>25918174.6175</v>
      </c>
      <c r="E57" s="4">
        <v>16383934.704711931</v>
      </c>
      <c r="F57" s="4">
        <v>9534239.9127880726</v>
      </c>
      <c r="G57" s="4">
        <v>11403422</v>
      </c>
      <c r="H57" s="26">
        <v>0.24</v>
      </c>
      <c r="I57" s="4">
        <v>17631000</v>
      </c>
      <c r="J57" s="4">
        <v>15955420.82</v>
      </c>
      <c r="K57" s="4">
        <v>8248857.9299999997</v>
      </c>
      <c r="L57" s="4">
        <v>2979719.66</v>
      </c>
    </row>
    <row r="58" spans="1:12" hidden="1" outlineLevel="1" x14ac:dyDescent="0.3">
      <c r="A58" s="31">
        <v>45716</v>
      </c>
      <c r="B58" s="31">
        <f>EDATE(B82,-1)</f>
        <v>45624</v>
      </c>
      <c r="C58" t="s">
        <v>653</v>
      </c>
      <c r="D58" s="4">
        <v>26170713.609000001</v>
      </c>
      <c r="E58" s="4">
        <v>14924234.770103309</v>
      </c>
      <c r="F58" s="4">
        <v>11246478.83889669</v>
      </c>
      <c r="G58" s="4">
        <v>11621535</v>
      </c>
      <c r="H58" s="26">
        <v>0.24</v>
      </c>
      <c r="I58" s="4">
        <v>17686000</v>
      </c>
      <c r="J58" s="4">
        <v>16280521.35</v>
      </c>
      <c r="K58" s="4">
        <v>8389962</v>
      </c>
      <c r="L58" s="4">
        <v>2957231.17</v>
      </c>
    </row>
    <row r="59" spans="1:12" hidden="1" outlineLevel="1" x14ac:dyDescent="0.3">
      <c r="A59" s="31">
        <v>45716</v>
      </c>
      <c r="B59" s="31">
        <f>EDATE(B83,-1)</f>
        <v>45654</v>
      </c>
      <c r="C59" t="s">
        <v>653</v>
      </c>
      <c r="D59" s="4">
        <v>26211531.447500002</v>
      </c>
      <c r="E59" s="4">
        <v>16132405.735600401</v>
      </c>
      <c r="F59" s="4">
        <v>10079125.711899601</v>
      </c>
      <c r="G59" s="4">
        <v>12474628</v>
      </c>
      <c r="H59" s="26">
        <v>0.24</v>
      </c>
      <c r="I59" s="4">
        <v>17851000</v>
      </c>
      <c r="J59" s="4">
        <v>15964921.560000001</v>
      </c>
      <c r="K59" s="4">
        <v>8561419.3300000001</v>
      </c>
      <c r="L59" s="4">
        <v>2973769.51</v>
      </c>
    </row>
    <row r="60" spans="1:12" hidden="1" outlineLevel="1" x14ac:dyDescent="0.3">
      <c r="A60" s="31">
        <v>45716</v>
      </c>
      <c r="B60" s="31">
        <f>EDATE(B84,-1)</f>
        <v>45685</v>
      </c>
      <c r="C60" t="s">
        <v>653</v>
      </c>
      <c r="D60" s="4">
        <v>26506005.449999999</v>
      </c>
      <c r="E60" s="4">
        <v>16569715.43115695</v>
      </c>
      <c r="F60" s="4">
        <v>9936290.018843051</v>
      </c>
      <c r="G60" s="4">
        <v>12180509</v>
      </c>
      <c r="H60" s="26">
        <v>0.24</v>
      </c>
      <c r="I60" s="4">
        <v>18063000</v>
      </c>
      <c r="J60" s="4">
        <v>16081454.49</v>
      </c>
      <c r="K60" s="4">
        <v>8692920.9399999995</v>
      </c>
      <c r="L60" s="4">
        <v>3055479.38</v>
      </c>
    </row>
    <row r="61" spans="1:12" hidden="1" outlineLevel="1" x14ac:dyDescent="0.3">
      <c r="A61" s="31">
        <v>45716</v>
      </c>
      <c r="B61" s="31">
        <f>EDATE(B85,-1)</f>
        <v>45716</v>
      </c>
      <c r="C61" t="s">
        <v>653</v>
      </c>
      <c r="D61" s="4">
        <v>57714301.159999996</v>
      </c>
      <c r="E61" s="4">
        <v>33337882.69720776</v>
      </c>
      <c r="F61" s="4">
        <v>24376418.46279224</v>
      </c>
      <c r="G61" s="4">
        <v>11502563</v>
      </c>
      <c r="H61" s="26">
        <v>0.24</v>
      </c>
      <c r="I61" s="4">
        <v>17864000</v>
      </c>
      <c r="J61" s="4">
        <v>15813089.640000001</v>
      </c>
      <c r="K61" s="4">
        <v>8427622.3499999996</v>
      </c>
      <c r="L61" s="4">
        <v>2964502.23</v>
      </c>
    </row>
    <row r="62" spans="1:12" hidden="1" outlineLevel="1" x14ac:dyDescent="0.3">
      <c r="A62" s="31">
        <v>45716</v>
      </c>
      <c r="B62" s="31">
        <f>EDATE(B86,-1)</f>
        <v>45746</v>
      </c>
      <c r="C62" t="s">
        <v>652</v>
      </c>
      <c r="D62" s="4">
        <v>58006254.590090297</v>
      </c>
      <c r="E62" s="4">
        <v>36264848.530913509</v>
      </c>
      <c r="F62" s="4">
        <v>21741406.059176799</v>
      </c>
      <c r="G62" s="4">
        <v>11750000</v>
      </c>
      <c r="H62" s="26">
        <v>0.24</v>
      </c>
      <c r="I62" s="4">
        <v>17950000</v>
      </c>
      <c r="J62" s="4">
        <v>15689590.774989991</v>
      </c>
      <c r="K62" s="4">
        <v>8094566.6051033959</v>
      </c>
      <c r="L62" s="4">
        <v>2812119.1050690128</v>
      </c>
    </row>
    <row r="63" spans="1:12" hidden="1" outlineLevel="1" x14ac:dyDescent="0.3">
      <c r="A63" s="31">
        <v>45716</v>
      </c>
      <c r="B63" s="31">
        <f>EDATE(B87,-1)</f>
        <v>45777</v>
      </c>
      <c r="C63" t="s">
        <v>652</v>
      </c>
      <c r="D63" s="4">
        <v>56006975.759334117</v>
      </c>
      <c r="E63" s="4">
        <v>34360042.963046066</v>
      </c>
      <c r="F63" s="4">
        <v>21646932.796288051</v>
      </c>
      <c r="G63" s="4">
        <v>11900000</v>
      </c>
      <c r="H63" s="26">
        <v>0.24</v>
      </c>
      <c r="I63" s="4">
        <v>18050000</v>
      </c>
      <c r="J63" s="4">
        <v>15235049.22023146</v>
      </c>
      <c r="K63" s="4">
        <v>8304480.9375934443</v>
      </c>
      <c r="L63" s="4">
        <v>2926973.8617713382</v>
      </c>
    </row>
    <row r="64" spans="1:12" hidden="1" outlineLevel="1" x14ac:dyDescent="0.3">
      <c r="A64" s="31">
        <v>45716</v>
      </c>
      <c r="B64" s="31">
        <f>EDATE(B88,-1)</f>
        <v>45805</v>
      </c>
      <c r="C64" t="s">
        <v>652</v>
      </c>
      <c r="D64" s="4">
        <v>58296444.809443243</v>
      </c>
      <c r="E64" s="4">
        <v>33342109.35275799</v>
      </c>
      <c r="F64" s="4">
        <v>24954335.456685241</v>
      </c>
      <c r="G64" s="4">
        <v>12050000</v>
      </c>
      <c r="H64" s="26">
        <v>0.24</v>
      </c>
      <c r="I64" s="4">
        <v>18200000</v>
      </c>
      <c r="J64" s="4">
        <v>15698038.464286219</v>
      </c>
      <c r="K64" s="4">
        <v>8415059.8425894473</v>
      </c>
      <c r="L64" s="4">
        <v>2829959.2761351322</v>
      </c>
    </row>
    <row r="65" spans="1:12" hidden="1" outlineLevel="1" x14ac:dyDescent="0.3">
      <c r="A65" s="31">
        <v>45716</v>
      </c>
      <c r="B65" s="31">
        <f>EDATE(B89,-1)</f>
        <v>45836</v>
      </c>
      <c r="C65" t="s">
        <v>652</v>
      </c>
      <c r="D65" s="4">
        <v>58115477.334494904</v>
      </c>
      <c r="E65" s="4">
        <v>36707282.808548927</v>
      </c>
      <c r="F65" s="4">
        <v>21408194.525945969</v>
      </c>
      <c r="G65" s="4">
        <v>12150000</v>
      </c>
      <c r="H65" s="26">
        <v>0.25</v>
      </c>
      <c r="I65" s="4">
        <v>18350000</v>
      </c>
      <c r="J65" s="4">
        <v>15664952.92531581</v>
      </c>
      <c r="K65" s="4">
        <v>8451279.5025654025</v>
      </c>
      <c r="L65" s="4">
        <v>2943175.2660944578</v>
      </c>
    </row>
    <row r="66" spans="1:12" hidden="1" outlineLevel="1" x14ac:dyDescent="0.3">
      <c r="A66" s="31">
        <v>45716</v>
      </c>
      <c r="B66" s="31">
        <f>EDATE(B90,-1)</f>
        <v>45866</v>
      </c>
      <c r="C66" t="s">
        <v>652</v>
      </c>
      <c r="D66" s="4">
        <v>56636738.098471299</v>
      </c>
      <c r="E66" s="4">
        <v>32805538.443287302</v>
      </c>
      <c r="F66" s="4">
        <v>23831199.655184001</v>
      </c>
      <c r="G66" s="4">
        <v>12300000</v>
      </c>
      <c r="H66" s="26">
        <v>0.25</v>
      </c>
      <c r="I66" s="4">
        <v>18450000</v>
      </c>
      <c r="J66" s="4">
        <v>15867202.66834002</v>
      </c>
      <c r="K66" s="4">
        <v>8250799.6978511196</v>
      </c>
      <c r="L66" s="4">
        <v>3029098.2954571168</v>
      </c>
    </row>
    <row r="67" spans="1:12" hidden="1" outlineLevel="1" x14ac:dyDescent="0.3">
      <c r="A67" s="31">
        <v>45716</v>
      </c>
      <c r="B67" s="31">
        <f>EDATE(B91,-1)</f>
        <v>45897</v>
      </c>
      <c r="C67" t="s">
        <v>652</v>
      </c>
      <c r="D67" s="4">
        <v>59268362.135164678</v>
      </c>
      <c r="E67" s="4">
        <v>35881788.569076143</v>
      </c>
      <c r="F67" s="4">
        <v>23386573.566088539</v>
      </c>
      <c r="G67" s="4">
        <v>12250000</v>
      </c>
      <c r="H67" s="26">
        <v>0.25</v>
      </c>
      <c r="I67" s="4">
        <v>18400000</v>
      </c>
      <c r="J67" s="4">
        <v>16016201.196298631</v>
      </c>
      <c r="K67" s="4">
        <v>8274969.312129382</v>
      </c>
      <c r="L67" s="4">
        <v>2954747.8156785169</v>
      </c>
    </row>
    <row r="68" spans="1:12" hidden="1" outlineLevel="1" x14ac:dyDescent="0.3">
      <c r="A68" s="31">
        <v>45716</v>
      </c>
      <c r="B68" s="31">
        <f>EDATE(B92,-1)</f>
        <v>45928</v>
      </c>
      <c r="C68" t="s">
        <v>652</v>
      </c>
      <c r="D68" s="4">
        <v>58726021.411114737</v>
      </c>
      <c r="E68" s="4">
        <v>39764008.249703251</v>
      </c>
      <c r="F68" s="4">
        <v>18962013.16141149</v>
      </c>
      <c r="G68" s="4">
        <v>12100000</v>
      </c>
      <c r="H68" s="26">
        <v>0.25</v>
      </c>
      <c r="I68" s="4">
        <v>18300000</v>
      </c>
      <c r="J68" s="4">
        <v>16118473.567856239</v>
      </c>
      <c r="K68" s="4">
        <v>8635735.0771482531</v>
      </c>
      <c r="L68" s="4">
        <v>2996585.3608145928</v>
      </c>
    </row>
    <row r="69" spans="1:12" hidden="1" outlineLevel="1" x14ac:dyDescent="0.3">
      <c r="A69" s="31">
        <v>45716</v>
      </c>
      <c r="B69" s="31">
        <f>EDATE(B93,-1)</f>
        <v>45958</v>
      </c>
      <c r="C69" t="s">
        <v>652</v>
      </c>
      <c r="D69" s="4">
        <v>58694178.05470483</v>
      </c>
      <c r="E69" s="4">
        <v>33381574.569802359</v>
      </c>
      <c r="F69" s="4">
        <v>25312603.484902471</v>
      </c>
      <c r="G69" s="4">
        <v>11850000</v>
      </c>
      <c r="H69" s="26">
        <v>0.24</v>
      </c>
      <c r="I69" s="4">
        <v>18150000</v>
      </c>
      <c r="J69" s="4">
        <v>16387375.65311479</v>
      </c>
      <c r="K69" s="4">
        <v>8470544.6447577681</v>
      </c>
      <c r="L69" s="4">
        <v>3017165.863533475</v>
      </c>
    </row>
    <row r="70" spans="1:12" hidden="1" outlineLevel="1" x14ac:dyDescent="0.3">
      <c r="A70" s="31">
        <v>45716</v>
      </c>
      <c r="B70" s="31">
        <f>EDATE(B94,-1)</f>
        <v>45989</v>
      </c>
      <c r="C70" t="s">
        <v>652</v>
      </c>
      <c r="D70" s="4">
        <v>60236660.600820407</v>
      </c>
      <c r="E70" s="4">
        <v>37578479.776028372</v>
      </c>
      <c r="F70" s="4">
        <v>22658180.824792031</v>
      </c>
      <c r="G70" s="4">
        <v>12000000</v>
      </c>
      <c r="H70" s="26">
        <v>0.24</v>
      </c>
      <c r="I70" s="4">
        <v>18250000</v>
      </c>
      <c r="J70" s="4">
        <v>16623382.092707651</v>
      </c>
      <c r="K70" s="4">
        <v>8624986.8799046632</v>
      </c>
      <c r="L70" s="4">
        <v>3044699.174657627</v>
      </c>
    </row>
    <row r="71" spans="1:12" hidden="1" outlineLevel="1" x14ac:dyDescent="0.3">
      <c r="A71" s="31">
        <v>45716</v>
      </c>
      <c r="B71" s="31">
        <f>EDATE(B95,-1)</f>
        <v>46019</v>
      </c>
      <c r="C71" t="s">
        <v>652</v>
      </c>
      <c r="D71" s="4">
        <v>58578352.931754313</v>
      </c>
      <c r="E71" s="4">
        <v>37028052.720645331</v>
      </c>
      <c r="F71" s="4">
        <v>21550300.211108979</v>
      </c>
      <c r="G71" s="4">
        <v>12400000</v>
      </c>
      <c r="H71" s="26">
        <v>0.24</v>
      </c>
      <c r="I71" s="4">
        <v>18500000</v>
      </c>
      <c r="J71" s="4">
        <v>16468926.497397119</v>
      </c>
      <c r="K71" s="4">
        <v>8838746.8905487265</v>
      </c>
      <c r="L71" s="4">
        <v>3117583.9784047422</v>
      </c>
    </row>
    <row r="72" spans="1:12" hidden="1" outlineLevel="1" x14ac:dyDescent="0.3">
      <c r="A72" s="31">
        <v>45716</v>
      </c>
      <c r="B72" s="31">
        <f>EDATE(B96,-1)</f>
        <v>46050</v>
      </c>
      <c r="C72" t="s">
        <v>652</v>
      </c>
      <c r="D72" s="4">
        <v>59201034.948166907</v>
      </c>
      <c r="E72" s="4">
        <v>34743025.534212232</v>
      </c>
      <c r="F72" s="4">
        <v>24458009.413954679</v>
      </c>
      <c r="G72" s="4">
        <v>12550000</v>
      </c>
      <c r="H72" s="26">
        <v>0.25</v>
      </c>
      <c r="I72" s="4">
        <v>18650000</v>
      </c>
      <c r="J72" s="4">
        <v>16064576.35104703</v>
      </c>
      <c r="K72" s="4">
        <v>9057738.8751288746</v>
      </c>
      <c r="L72" s="4">
        <v>3116582.01478629</v>
      </c>
    </row>
    <row r="73" spans="1:12" hidden="1" outlineLevel="1" x14ac:dyDescent="0.3">
      <c r="A73" s="31">
        <v>45716</v>
      </c>
      <c r="B73" s="31">
        <f>EDATE(B97,-1)</f>
        <v>46081</v>
      </c>
      <c r="C73" t="s">
        <v>652</v>
      </c>
      <c r="D73" s="4">
        <v>59842255.988201603</v>
      </c>
      <c r="E73" s="4">
        <v>33707294.426787637</v>
      </c>
      <c r="F73" s="4">
        <v>26134961.561413959</v>
      </c>
      <c r="G73" s="4">
        <v>12300000</v>
      </c>
      <c r="H73" s="26">
        <v>0.24</v>
      </c>
      <c r="I73" s="4">
        <v>18450000</v>
      </c>
      <c r="J73" s="4">
        <v>16070591.55420042</v>
      </c>
      <c r="K73" s="4">
        <v>8655529.1706803143</v>
      </c>
      <c r="L73" s="4">
        <v>3100777.1046122839</v>
      </c>
    </row>
    <row r="74" spans="1:12" hidden="1" outlineLevel="1" x14ac:dyDescent="0.3">
      <c r="A74" s="31">
        <v>45747</v>
      </c>
      <c r="B74" s="31">
        <f>EDATE(B98,-1)</f>
        <v>45412</v>
      </c>
      <c r="C74" t="s">
        <v>653</v>
      </c>
      <c r="D74" s="4">
        <v>25261800.533</v>
      </c>
      <c r="E74" s="4">
        <v>14837765.862431441</v>
      </c>
      <c r="F74" s="4">
        <v>10424034.670568559</v>
      </c>
      <c r="G74" s="4">
        <v>12863419</v>
      </c>
      <c r="H74" s="26">
        <v>0.24</v>
      </c>
      <c r="I74" s="4">
        <v>17247000</v>
      </c>
      <c r="J74" s="4">
        <v>15548388.68</v>
      </c>
      <c r="K74" s="4">
        <v>7961818.46</v>
      </c>
      <c r="L74" s="4">
        <v>2792148.66</v>
      </c>
    </row>
    <row r="75" spans="1:12" hidden="1" outlineLevel="1" x14ac:dyDescent="0.3">
      <c r="A75" s="31">
        <v>45747</v>
      </c>
      <c r="B75" s="31">
        <f>EDATE(B99,-1)</f>
        <v>45442</v>
      </c>
      <c r="C75" t="s">
        <v>653</v>
      </c>
      <c r="D75" s="4">
        <v>24953069.447500002</v>
      </c>
      <c r="E75" s="4">
        <v>14100846.44006091</v>
      </c>
      <c r="F75" s="4">
        <v>10852223.00743909</v>
      </c>
      <c r="G75" s="4">
        <v>11950485</v>
      </c>
      <c r="H75" s="26">
        <v>0.25</v>
      </c>
      <c r="I75" s="4">
        <v>17082000</v>
      </c>
      <c r="J75" s="4">
        <v>15082241.98</v>
      </c>
      <c r="K75" s="4">
        <v>8075446.4500000002</v>
      </c>
      <c r="L75" s="4">
        <v>2891511</v>
      </c>
    </row>
    <row r="76" spans="1:12" hidden="1" outlineLevel="1" x14ac:dyDescent="0.3">
      <c r="A76" s="31">
        <v>45747</v>
      </c>
      <c r="B76" s="31">
        <f>EDATE(B100,-1)</f>
        <v>45471</v>
      </c>
      <c r="C76" t="s">
        <v>653</v>
      </c>
      <c r="D76" s="4">
        <v>25385755.997499999</v>
      </c>
      <c r="E76" s="4">
        <v>15679349.162797621</v>
      </c>
      <c r="F76" s="4">
        <v>9706406.8347023819</v>
      </c>
      <c r="G76" s="4">
        <v>12008506</v>
      </c>
      <c r="H76" s="26">
        <v>0.24</v>
      </c>
      <c r="I76" s="4">
        <v>17284000</v>
      </c>
      <c r="J76" s="4">
        <v>15494985.800000001</v>
      </c>
      <c r="K76" s="4">
        <v>8314030.6500000004</v>
      </c>
      <c r="L76" s="4">
        <v>2777361.85</v>
      </c>
    </row>
    <row r="77" spans="1:12" hidden="1" outlineLevel="1" x14ac:dyDescent="0.3">
      <c r="A77" s="31">
        <v>45747</v>
      </c>
      <c r="B77" s="31">
        <f>EDATE(B101,-1)</f>
        <v>45501</v>
      </c>
      <c r="C77" t="s">
        <v>653</v>
      </c>
      <c r="D77" s="4">
        <v>25277896.943</v>
      </c>
      <c r="E77" s="4">
        <v>14556484.944138199</v>
      </c>
      <c r="F77" s="4">
        <v>10721411.998861801</v>
      </c>
      <c r="G77" s="4">
        <v>11949467</v>
      </c>
      <c r="H77" s="26">
        <v>0.24</v>
      </c>
      <c r="I77" s="4">
        <v>17156000</v>
      </c>
      <c r="J77" s="4">
        <v>15479513.369999999</v>
      </c>
      <c r="K77" s="4">
        <v>8290983.3200000003</v>
      </c>
      <c r="L77" s="4">
        <v>2841880.48</v>
      </c>
    </row>
    <row r="78" spans="1:12" hidden="1" outlineLevel="1" x14ac:dyDescent="0.3">
      <c r="A78" s="31">
        <v>45747</v>
      </c>
      <c r="B78" s="31">
        <f>EDATE(B102,-1)</f>
        <v>45532</v>
      </c>
      <c r="C78" t="s">
        <v>653</v>
      </c>
      <c r="D78" s="4">
        <v>25456303.252999999</v>
      </c>
      <c r="E78" s="4">
        <v>14019432.53699572</v>
      </c>
      <c r="F78" s="4">
        <v>11436870.71600428</v>
      </c>
      <c r="G78" s="4">
        <v>12134463</v>
      </c>
      <c r="H78" s="26">
        <v>0.26</v>
      </c>
      <c r="I78" s="4">
        <v>17476000</v>
      </c>
      <c r="J78" s="4">
        <v>15424116.5</v>
      </c>
      <c r="K78" s="4">
        <v>8076287.1799999997</v>
      </c>
      <c r="L78" s="4">
        <v>2936122.45</v>
      </c>
    </row>
    <row r="79" spans="1:12" hidden="1" outlineLevel="1" x14ac:dyDescent="0.3">
      <c r="A79" s="31">
        <v>45747</v>
      </c>
      <c r="B79" s="31">
        <f>EDATE(B103,-1)</f>
        <v>45563</v>
      </c>
      <c r="C79" t="s">
        <v>653</v>
      </c>
      <c r="D79" s="4">
        <v>25492423.285500001</v>
      </c>
      <c r="E79" s="4">
        <v>15217740.48513365</v>
      </c>
      <c r="F79" s="4">
        <v>10274682.80036635</v>
      </c>
      <c r="G79" s="4">
        <v>12007009</v>
      </c>
      <c r="H79" s="26">
        <v>0.25</v>
      </c>
      <c r="I79" s="4">
        <v>17294000</v>
      </c>
      <c r="J79" s="4">
        <v>15832759.720000001</v>
      </c>
      <c r="K79" s="4">
        <v>8042606.9699999997</v>
      </c>
      <c r="L79" s="4">
        <v>2900254.93</v>
      </c>
    </row>
    <row r="80" spans="1:12" hidden="1" outlineLevel="1" x14ac:dyDescent="0.3">
      <c r="A80" s="31">
        <v>45747</v>
      </c>
      <c r="B80" s="31">
        <f>EDATE(B104,-1)</f>
        <v>45593</v>
      </c>
      <c r="C80" t="s">
        <v>653</v>
      </c>
      <c r="D80" s="4">
        <v>25925152.5185</v>
      </c>
      <c r="E80" s="4">
        <v>14128447.208599791</v>
      </c>
      <c r="F80" s="4">
        <v>11796705.309900209</v>
      </c>
      <c r="G80" s="4">
        <v>11903993</v>
      </c>
      <c r="H80" s="26">
        <v>0.25</v>
      </c>
      <c r="I80" s="4">
        <v>17705000</v>
      </c>
      <c r="J80" s="4">
        <v>15777910.43</v>
      </c>
      <c r="K80" s="4">
        <v>8373596.6900000004</v>
      </c>
      <c r="L80" s="4">
        <v>2936692.31</v>
      </c>
    </row>
    <row r="81" spans="1:12" hidden="1" outlineLevel="1" x14ac:dyDescent="0.3">
      <c r="A81" s="31">
        <v>45747</v>
      </c>
      <c r="B81" s="31">
        <f>EDATE(B105,-1)</f>
        <v>45624</v>
      </c>
      <c r="C81" t="s">
        <v>653</v>
      </c>
      <c r="D81" s="4">
        <v>25918174.6175</v>
      </c>
      <c r="E81" s="4">
        <v>16383934.704711931</v>
      </c>
      <c r="F81" s="4">
        <v>9534239.9127880726</v>
      </c>
      <c r="G81" s="4">
        <v>11403422</v>
      </c>
      <c r="H81" s="26">
        <v>0.24</v>
      </c>
      <c r="I81" s="4">
        <v>17631000</v>
      </c>
      <c r="J81" s="4">
        <v>15955420.82</v>
      </c>
      <c r="K81" s="4">
        <v>8248857.9299999997</v>
      </c>
      <c r="L81" s="4">
        <v>2979719.66</v>
      </c>
    </row>
    <row r="82" spans="1:12" hidden="1" outlineLevel="1" x14ac:dyDescent="0.3">
      <c r="A82" s="31">
        <v>45747</v>
      </c>
      <c r="B82" s="31">
        <f>EDATE(B106,-1)</f>
        <v>45654</v>
      </c>
      <c r="C82" t="s">
        <v>653</v>
      </c>
      <c r="D82" s="4">
        <v>26170713.609000001</v>
      </c>
      <c r="E82" s="4">
        <v>14924234.770103309</v>
      </c>
      <c r="F82" s="4">
        <v>11246478.83889669</v>
      </c>
      <c r="G82" s="4">
        <v>11621535</v>
      </c>
      <c r="H82" s="26">
        <v>0.24</v>
      </c>
      <c r="I82" s="4">
        <v>17686000</v>
      </c>
      <c r="J82" s="4">
        <v>16280521.35</v>
      </c>
      <c r="K82" s="4">
        <v>8389962</v>
      </c>
      <c r="L82" s="4">
        <v>2957231.17</v>
      </c>
    </row>
    <row r="83" spans="1:12" hidden="1" outlineLevel="1" x14ac:dyDescent="0.3">
      <c r="A83" s="31">
        <v>45747</v>
      </c>
      <c r="B83" s="31">
        <f>EDATE(B107,-1)</f>
        <v>45685</v>
      </c>
      <c r="C83" t="s">
        <v>653</v>
      </c>
      <c r="D83" s="4">
        <v>26211531.447500002</v>
      </c>
      <c r="E83" s="4">
        <v>16132405.735600401</v>
      </c>
      <c r="F83" s="4">
        <v>10079125.711899601</v>
      </c>
      <c r="G83" s="4">
        <v>12474628</v>
      </c>
      <c r="H83" s="26">
        <v>0.24</v>
      </c>
      <c r="I83" s="4">
        <v>17851000</v>
      </c>
      <c r="J83" s="4">
        <v>15964921.560000001</v>
      </c>
      <c r="K83" s="4">
        <v>8561419.3300000001</v>
      </c>
      <c r="L83" s="4">
        <v>2973769.51</v>
      </c>
    </row>
    <row r="84" spans="1:12" hidden="1" outlineLevel="1" x14ac:dyDescent="0.3">
      <c r="A84" s="31">
        <v>45747</v>
      </c>
      <c r="B84" s="31">
        <f>EDATE(B108,-1)</f>
        <v>45716</v>
      </c>
      <c r="C84" t="s">
        <v>653</v>
      </c>
      <c r="D84" s="4">
        <v>26506005.449999999</v>
      </c>
      <c r="E84" s="4">
        <v>16569715.43115695</v>
      </c>
      <c r="F84" s="4">
        <v>9936290.018843051</v>
      </c>
      <c r="G84" s="4">
        <v>12180509</v>
      </c>
      <c r="H84" s="26">
        <v>0.24</v>
      </c>
      <c r="I84" s="4">
        <v>18063000</v>
      </c>
      <c r="J84" s="4">
        <v>16081454.49</v>
      </c>
      <c r="K84" s="4">
        <v>8692920.9399999995</v>
      </c>
      <c r="L84" s="4">
        <v>3055479.38</v>
      </c>
    </row>
    <row r="85" spans="1:12" hidden="1" outlineLevel="1" x14ac:dyDescent="0.3">
      <c r="A85" s="31">
        <v>45747</v>
      </c>
      <c r="B85" s="31">
        <f>EDATE(B109,-1)</f>
        <v>45746</v>
      </c>
      <c r="C85" t="s">
        <v>653</v>
      </c>
      <c r="D85" s="4">
        <v>57714301.159999996</v>
      </c>
      <c r="E85" s="4">
        <v>33337882.69720776</v>
      </c>
      <c r="F85" s="4">
        <v>24376418.46279224</v>
      </c>
      <c r="G85" s="4">
        <v>11502563</v>
      </c>
      <c r="H85" s="26">
        <v>0.24</v>
      </c>
      <c r="I85" s="4">
        <v>17864000</v>
      </c>
      <c r="J85" s="4">
        <v>15813089.640000001</v>
      </c>
      <c r="K85" s="4">
        <v>8427622.3499999996</v>
      </c>
      <c r="L85" s="4">
        <v>2964502.23</v>
      </c>
    </row>
    <row r="86" spans="1:12" hidden="1" outlineLevel="1" x14ac:dyDescent="0.3">
      <c r="A86" s="31">
        <v>45747</v>
      </c>
      <c r="B86" s="31">
        <f>EDATE(B110,-1)</f>
        <v>45777</v>
      </c>
      <c r="C86" t="s">
        <v>652</v>
      </c>
      <c r="D86" s="4">
        <v>58006254.590090297</v>
      </c>
      <c r="E86" s="4">
        <v>36264848.530913509</v>
      </c>
      <c r="F86" s="4">
        <v>21741406.059176799</v>
      </c>
      <c r="G86" s="4">
        <v>11750000</v>
      </c>
      <c r="H86" s="26">
        <v>0.24</v>
      </c>
      <c r="I86" s="4">
        <v>17950000</v>
      </c>
      <c r="J86" s="4">
        <v>15689590.774989991</v>
      </c>
      <c r="K86" s="4">
        <v>8094566.6051033959</v>
      </c>
      <c r="L86" s="4">
        <v>2812119.1050690128</v>
      </c>
    </row>
    <row r="87" spans="1:12" hidden="1" outlineLevel="1" x14ac:dyDescent="0.3">
      <c r="A87" s="31">
        <v>45747</v>
      </c>
      <c r="B87" s="31">
        <f>EDATE(B111,-1)</f>
        <v>45807</v>
      </c>
      <c r="C87" t="s">
        <v>652</v>
      </c>
      <c r="D87" s="4">
        <v>56006975.759334117</v>
      </c>
      <c r="E87" s="4">
        <v>34360042.963046066</v>
      </c>
      <c r="F87" s="4">
        <v>21646932.796288051</v>
      </c>
      <c r="G87" s="4">
        <v>11900000</v>
      </c>
      <c r="H87" s="26">
        <v>0.24</v>
      </c>
      <c r="I87" s="4">
        <v>18050000</v>
      </c>
      <c r="J87" s="4">
        <v>15235049.22023146</v>
      </c>
      <c r="K87" s="4">
        <v>8304480.9375934443</v>
      </c>
      <c r="L87" s="4">
        <v>2926973.8617713382</v>
      </c>
    </row>
    <row r="88" spans="1:12" hidden="1" outlineLevel="1" x14ac:dyDescent="0.3">
      <c r="A88" s="31">
        <v>45747</v>
      </c>
      <c r="B88" s="31">
        <f>EDATE(B112,-1)</f>
        <v>45836</v>
      </c>
      <c r="C88" t="s">
        <v>652</v>
      </c>
      <c r="D88" s="4">
        <v>58296444.809443243</v>
      </c>
      <c r="E88" s="4">
        <v>33342109.35275799</v>
      </c>
      <c r="F88" s="4">
        <v>24954335.456685241</v>
      </c>
      <c r="G88" s="4">
        <v>12050000</v>
      </c>
      <c r="H88" s="26">
        <v>0.24</v>
      </c>
      <c r="I88" s="4">
        <v>18200000</v>
      </c>
      <c r="J88" s="4">
        <v>15698038.464286219</v>
      </c>
      <c r="K88" s="4">
        <v>8415059.8425894473</v>
      </c>
      <c r="L88" s="4">
        <v>2829959.2761351322</v>
      </c>
    </row>
    <row r="89" spans="1:12" hidden="1" outlineLevel="1" x14ac:dyDescent="0.3">
      <c r="A89" s="31">
        <v>45747</v>
      </c>
      <c r="B89" s="31">
        <f>EDATE(B113,-1)</f>
        <v>45866</v>
      </c>
      <c r="C89" t="s">
        <v>652</v>
      </c>
      <c r="D89" s="4">
        <v>58115477.334494904</v>
      </c>
      <c r="E89" s="4">
        <v>36707282.808548927</v>
      </c>
      <c r="F89" s="4">
        <v>21408194.525945969</v>
      </c>
      <c r="G89" s="4">
        <v>12150000</v>
      </c>
      <c r="H89" s="26">
        <v>0.25</v>
      </c>
      <c r="I89" s="4">
        <v>18350000</v>
      </c>
      <c r="J89" s="4">
        <v>15664952.92531581</v>
      </c>
      <c r="K89" s="4">
        <v>8451279.5025654025</v>
      </c>
      <c r="L89" s="4">
        <v>2943175.2660944578</v>
      </c>
    </row>
    <row r="90" spans="1:12" hidden="1" outlineLevel="1" x14ac:dyDescent="0.3">
      <c r="A90" s="31">
        <v>45747</v>
      </c>
      <c r="B90" s="31">
        <f>EDATE(B114,-1)</f>
        <v>45897</v>
      </c>
      <c r="C90" t="s">
        <v>652</v>
      </c>
      <c r="D90" s="4">
        <v>56636738.098471299</v>
      </c>
      <c r="E90" s="4">
        <v>32805538.443287302</v>
      </c>
      <c r="F90" s="4">
        <v>23831199.655184001</v>
      </c>
      <c r="G90" s="4">
        <v>12300000</v>
      </c>
      <c r="H90" s="26">
        <v>0.25</v>
      </c>
      <c r="I90" s="4">
        <v>18450000</v>
      </c>
      <c r="J90" s="4">
        <v>15867202.66834002</v>
      </c>
      <c r="K90" s="4">
        <v>8250799.6978511196</v>
      </c>
      <c r="L90" s="4">
        <v>3029098.2954571168</v>
      </c>
    </row>
    <row r="91" spans="1:12" hidden="1" outlineLevel="1" x14ac:dyDescent="0.3">
      <c r="A91" s="31">
        <v>45747</v>
      </c>
      <c r="B91" s="31">
        <f>EDATE(B115,-1)</f>
        <v>45928</v>
      </c>
      <c r="C91" t="s">
        <v>652</v>
      </c>
      <c r="D91" s="4">
        <v>59268362.135164678</v>
      </c>
      <c r="E91" s="4">
        <v>35881788.569076143</v>
      </c>
      <c r="F91" s="4">
        <v>23386573.566088539</v>
      </c>
      <c r="G91" s="4">
        <v>12250000</v>
      </c>
      <c r="H91" s="26">
        <v>0.25</v>
      </c>
      <c r="I91" s="4">
        <v>18400000</v>
      </c>
      <c r="J91" s="4">
        <v>16016201.196298631</v>
      </c>
      <c r="K91" s="4">
        <v>8274969.312129382</v>
      </c>
      <c r="L91" s="4">
        <v>2954747.8156785169</v>
      </c>
    </row>
    <row r="92" spans="1:12" hidden="1" outlineLevel="1" x14ac:dyDescent="0.3">
      <c r="A92" s="31">
        <v>45747</v>
      </c>
      <c r="B92" s="31">
        <f>EDATE(B116,-1)</f>
        <v>45958</v>
      </c>
      <c r="C92" t="s">
        <v>652</v>
      </c>
      <c r="D92" s="4">
        <v>58726021.411114737</v>
      </c>
      <c r="E92" s="4">
        <v>39764008.249703251</v>
      </c>
      <c r="F92" s="4">
        <v>18962013.16141149</v>
      </c>
      <c r="G92" s="4">
        <v>12100000</v>
      </c>
      <c r="H92" s="26">
        <v>0.25</v>
      </c>
      <c r="I92" s="4">
        <v>18300000</v>
      </c>
      <c r="J92" s="4">
        <v>16118473.567856239</v>
      </c>
      <c r="K92" s="4">
        <v>8635735.0771482531</v>
      </c>
      <c r="L92" s="4">
        <v>2996585.3608145928</v>
      </c>
    </row>
    <row r="93" spans="1:12" hidden="1" outlineLevel="1" x14ac:dyDescent="0.3">
      <c r="A93" s="31">
        <v>45747</v>
      </c>
      <c r="B93" s="31">
        <f>EDATE(B117,-1)</f>
        <v>45989</v>
      </c>
      <c r="C93" t="s">
        <v>652</v>
      </c>
      <c r="D93" s="4">
        <v>58694178.05470483</v>
      </c>
      <c r="E93" s="4">
        <v>33381574.569802359</v>
      </c>
      <c r="F93" s="4">
        <v>25312603.484902471</v>
      </c>
      <c r="G93" s="4">
        <v>11850000</v>
      </c>
      <c r="H93" s="26">
        <v>0.24</v>
      </c>
      <c r="I93" s="4">
        <v>18150000</v>
      </c>
      <c r="J93" s="4">
        <v>16387375.65311479</v>
      </c>
      <c r="K93" s="4">
        <v>8470544.6447577681</v>
      </c>
      <c r="L93" s="4">
        <v>3017165.863533475</v>
      </c>
    </row>
    <row r="94" spans="1:12" hidden="1" outlineLevel="1" x14ac:dyDescent="0.3">
      <c r="A94" s="31">
        <v>45747</v>
      </c>
      <c r="B94" s="31">
        <f>EDATE(B118,-1)</f>
        <v>46019</v>
      </c>
      <c r="C94" t="s">
        <v>652</v>
      </c>
      <c r="D94" s="4">
        <v>60236660.600820407</v>
      </c>
      <c r="E94" s="4">
        <v>37578479.776028372</v>
      </c>
      <c r="F94" s="4">
        <v>22658180.824792031</v>
      </c>
      <c r="G94" s="4">
        <v>12000000</v>
      </c>
      <c r="H94" s="26">
        <v>0.24</v>
      </c>
      <c r="I94" s="4">
        <v>18250000</v>
      </c>
      <c r="J94" s="4">
        <v>16623382.092707651</v>
      </c>
      <c r="K94" s="4">
        <v>8624986.8799046632</v>
      </c>
      <c r="L94" s="4">
        <v>3044699.174657627</v>
      </c>
    </row>
    <row r="95" spans="1:12" hidden="1" outlineLevel="1" x14ac:dyDescent="0.3">
      <c r="A95" s="31">
        <v>45747</v>
      </c>
      <c r="B95" s="31">
        <f>EDATE(B119,-1)</f>
        <v>46050</v>
      </c>
      <c r="C95" t="s">
        <v>652</v>
      </c>
      <c r="D95" s="4">
        <v>58578352.931754313</v>
      </c>
      <c r="E95" s="4">
        <v>37028052.720645331</v>
      </c>
      <c r="F95" s="4">
        <v>21550300.211108979</v>
      </c>
      <c r="G95" s="4">
        <v>12400000</v>
      </c>
      <c r="H95" s="26">
        <v>0.24</v>
      </c>
      <c r="I95" s="4">
        <v>18500000</v>
      </c>
      <c r="J95" s="4">
        <v>16468926.497397119</v>
      </c>
      <c r="K95" s="4">
        <v>8838746.8905487265</v>
      </c>
      <c r="L95" s="4">
        <v>3117583.9784047422</v>
      </c>
    </row>
    <row r="96" spans="1:12" hidden="1" outlineLevel="1" x14ac:dyDescent="0.3">
      <c r="A96" s="31">
        <v>45747</v>
      </c>
      <c r="B96" s="31">
        <f>EDATE(B120,-1)</f>
        <v>46081</v>
      </c>
      <c r="C96" t="s">
        <v>652</v>
      </c>
      <c r="D96" s="4">
        <v>59201034.948166907</v>
      </c>
      <c r="E96" s="4">
        <v>34743025.534212232</v>
      </c>
      <c r="F96" s="4">
        <v>24458009.413954679</v>
      </c>
      <c r="G96" s="4">
        <v>12550000</v>
      </c>
      <c r="H96" s="26">
        <v>0.25</v>
      </c>
      <c r="I96" s="4">
        <v>18650000</v>
      </c>
      <c r="J96" s="4">
        <v>16064576.35104703</v>
      </c>
      <c r="K96" s="4">
        <v>9057738.8751288746</v>
      </c>
      <c r="L96" s="4">
        <v>3116582.01478629</v>
      </c>
    </row>
    <row r="97" spans="1:12" hidden="1" outlineLevel="1" x14ac:dyDescent="0.3">
      <c r="A97" s="31">
        <v>45747</v>
      </c>
      <c r="B97" s="31">
        <f>EDATE(B121,-1)</f>
        <v>46111</v>
      </c>
      <c r="C97" t="s">
        <v>652</v>
      </c>
      <c r="D97" s="4">
        <v>59842255.988201603</v>
      </c>
      <c r="E97" s="4">
        <v>33707294.426787637</v>
      </c>
      <c r="F97" s="4">
        <v>26134961.561413959</v>
      </c>
      <c r="G97" s="4">
        <v>12300000</v>
      </c>
      <c r="H97" s="26">
        <v>0.24</v>
      </c>
      <c r="I97" s="4">
        <v>18450000</v>
      </c>
      <c r="J97" s="4">
        <v>16070591.55420042</v>
      </c>
      <c r="K97" s="4">
        <v>8655529.1706803143</v>
      </c>
      <c r="L97" s="4">
        <v>3100777.1046122839</v>
      </c>
    </row>
    <row r="98" spans="1:12" hidden="1" outlineLevel="1" x14ac:dyDescent="0.3">
      <c r="A98" s="31">
        <v>45777</v>
      </c>
      <c r="B98" s="31">
        <f>EDATE(B122,-1)</f>
        <v>45442</v>
      </c>
      <c r="C98" t="s">
        <v>653</v>
      </c>
      <c r="D98" s="4">
        <v>25261800.533</v>
      </c>
      <c r="E98" s="4">
        <v>14837765.862431441</v>
      </c>
      <c r="F98" s="4">
        <v>10424034.670568559</v>
      </c>
      <c r="G98" s="4">
        <v>12863419</v>
      </c>
      <c r="H98" s="26">
        <v>0.24</v>
      </c>
      <c r="I98" s="4">
        <v>17247000</v>
      </c>
      <c r="J98" s="4">
        <v>15548388.68</v>
      </c>
      <c r="K98" s="4">
        <v>7961818.46</v>
      </c>
      <c r="L98" s="4">
        <v>2792148.66</v>
      </c>
    </row>
    <row r="99" spans="1:12" hidden="1" outlineLevel="1" x14ac:dyDescent="0.3">
      <c r="A99" s="31">
        <v>45777</v>
      </c>
      <c r="B99" s="31">
        <f>EDATE(B123,-1)</f>
        <v>45473</v>
      </c>
      <c r="C99" t="s">
        <v>653</v>
      </c>
      <c r="D99" s="4">
        <v>24953069.447500002</v>
      </c>
      <c r="E99" s="4">
        <v>14100846.44006091</v>
      </c>
      <c r="F99" s="4">
        <v>10852223.00743909</v>
      </c>
      <c r="G99" s="4">
        <v>11950485</v>
      </c>
      <c r="H99" s="26">
        <v>0.25</v>
      </c>
      <c r="I99" s="4">
        <v>17082000</v>
      </c>
      <c r="J99" s="4">
        <v>15082241.98</v>
      </c>
      <c r="K99" s="4">
        <v>8075446.4500000002</v>
      </c>
      <c r="L99" s="4">
        <v>2891511</v>
      </c>
    </row>
    <row r="100" spans="1:12" hidden="1" outlineLevel="1" x14ac:dyDescent="0.3">
      <c r="A100" s="31">
        <v>45777</v>
      </c>
      <c r="B100" s="31">
        <f>EDATE(B124,-1)</f>
        <v>45501</v>
      </c>
      <c r="C100" t="s">
        <v>653</v>
      </c>
      <c r="D100" s="4">
        <v>25385755.997499999</v>
      </c>
      <c r="E100" s="4">
        <v>15679349.162797621</v>
      </c>
      <c r="F100" s="4">
        <v>9706406.8347023819</v>
      </c>
      <c r="G100" s="4">
        <v>12008506</v>
      </c>
      <c r="H100" s="26">
        <v>0.24</v>
      </c>
      <c r="I100" s="4">
        <v>17284000</v>
      </c>
      <c r="J100" s="4">
        <v>15494985.800000001</v>
      </c>
      <c r="K100" s="4">
        <v>8314030.6500000004</v>
      </c>
      <c r="L100" s="4">
        <v>2777361.85</v>
      </c>
    </row>
    <row r="101" spans="1:12" hidden="1" outlineLevel="1" x14ac:dyDescent="0.3">
      <c r="A101" s="31">
        <v>45777</v>
      </c>
      <c r="B101" s="31">
        <f>EDATE(B125,-1)</f>
        <v>45532</v>
      </c>
      <c r="C101" t="s">
        <v>653</v>
      </c>
      <c r="D101" s="4">
        <v>25277896.943</v>
      </c>
      <c r="E101" s="4">
        <v>14556484.944138199</v>
      </c>
      <c r="F101" s="4">
        <v>10721411.998861801</v>
      </c>
      <c r="G101" s="4">
        <v>11949467</v>
      </c>
      <c r="H101" s="26">
        <v>0.24</v>
      </c>
      <c r="I101" s="4">
        <v>17156000</v>
      </c>
      <c r="J101" s="4">
        <v>15479513.369999999</v>
      </c>
      <c r="K101" s="4">
        <v>8290983.3200000003</v>
      </c>
      <c r="L101" s="4">
        <v>2841880.48</v>
      </c>
    </row>
    <row r="102" spans="1:12" hidden="1" outlineLevel="1" x14ac:dyDescent="0.3">
      <c r="A102" s="31">
        <v>45777</v>
      </c>
      <c r="B102" s="31">
        <f>EDATE(B126,-1)</f>
        <v>45563</v>
      </c>
      <c r="C102" t="s">
        <v>653</v>
      </c>
      <c r="D102" s="4">
        <v>25456303.252999999</v>
      </c>
      <c r="E102" s="4">
        <v>14019432.53699572</v>
      </c>
      <c r="F102" s="4">
        <v>11436870.71600428</v>
      </c>
      <c r="G102" s="4">
        <v>12134463</v>
      </c>
      <c r="H102" s="26">
        <v>0.26</v>
      </c>
      <c r="I102" s="4">
        <v>17476000</v>
      </c>
      <c r="J102" s="4">
        <v>15424116.5</v>
      </c>
      <c r="K102" s="4">
        <v>8076287.1799999997</v>
      </c>
      <c r="L102" s="4">
        <v>2936122.45</v>
      </c>
    </row>
    <row r="103" spans="1:12" hidden="1" outlineLevel="1" x14ac:dyDescent="0.3">
      <c r="A103" s="31">
        <v>45777</v>
      </c>
      <c r="B103" s="31">
        <f>EDATE(B127,-1)</f>
        <v>45593</v>
      </c>
      <c r="C103" t="s">
        <v>653</v>
      </c>
      <c r="D103" s="4">
        <v>25492423.285500001</v>
      </c>
      <c r="E103" s="4">
        <v>15217740.48513365</v>
      </c>
      <c r="F103" s="4">
        <v>10274682.80036635</v>
      </c>
      <c r="G103" s="4">
        <v>12007009</v>
      </c>
      <c r="H103" s="26">
        <v>0.25</v>
      </c>
      <c r="I103" s="4">
        <v>17294000</v>
      </c>
      <c r="J103" s="4">
        <v>15832759.720000001</v>
      </c>
      <c r="K103" s="4">
        <v>8042606.9699999997</v>
      </c>
      <c r="L103" s="4">
        <v>2900254.93</v>
      </c>
    </row>
    <row r="104" spans="1:12" hidden="1" outlineLevel="1" x14ac:dyDescent="0.3">
      <c r="A104" s="31">
        <v>45777</v>
      </c>
      <c r="B104" s="31">
        <f>EDATE(B128,-1)</f>
        <v>45624</v>
      </c>
      <c r="C104" t="s">
        <v>653</v>
      </c>
      <c r="D104" s="4">
        <v>25925152.5185</v>
      </c>
      <c r="E104" s="4">
        <v>14128447.208599791</v>
      </c>
      <c r="F104" s="4">
        <v>11796705.309900209</v>
      </c>
      <c r="G104" s="4">
        <v>11903993</v>
      </c>
      <c r="H104" s="26">
        <v>0.25</v>
      </c>
      <c r="I104" s="4">
        <v>17705000</v>
      </c>
      <c r="J104" s="4">
        <v>15777910.43</v>
      </c>
      <c r="K104" s="4">
        <v>8373596.6900000004</v>
      </c>
      <c r="L104" s="4">
        <v>2936692.31</v>
      </c>
    </row>
    <row r="105" spans="1:12" hidden="1" outlineLevel="1" x14ac:dyDescent="0.3">
      <c r="A105" s="31">
        <v>45777</v>
      </c>
      <c r="B105" s="31">
        <f>EDATE(B129,-1)</f>
        <v>45654</v>
      </c>
      <c r="C105" t="s">
        <v>653</v>
      </c>
      <c r="D105" s="4">
        <v>25918174.6175</v>
      </c>
      <c r="E105" s="4">
        <v>16383934.704711931</v>
      </c>
      <c r="F105" s="4">
        <v>9534239.9127880726</v>
      </c>
      <c r="G105" s="4">
        <v>11403422</v>
      </c>
      <c r="H105" s="26">
        <v>0.24</v>
      </c>
      <c r="I105" s="4">
        <v>17631000</v>
      </c>
      <c r="J105" s="4">
        <v>15955420.82</v>
      </c>
      <c r="K105" s="4">
        <v>8248857.9299999997</v>
      </c>
      <c r="L105" s="4">
        <v>2979719.66</v>
      </c>
    </row>
    <row r="106" spans="1:12" hidden="1" outlineLevel="1" x14ac:dyDescent="0.3">
      <c r="A106" s="31">
        <v>45777</v>
      </c>
      <c r="B106" s="31">
        <f>EDATE(B130,-1)</f>
        <v>45685</v>
      </c>
      <c r="C106" t="s">
        <v>653</v>
      </c>
      <c r="D106" s="4">
        <v>26170713.609000001</v>
      </c>
      <c r="E106" s="4">
        <v>14924234.770103309</v>
      </c>
      <c r="F106" s="4">
        <v>11246478.83889669</v>
      </c>
      <c r="G106" s="4">
        <v>11621535</v>
      </c>
      <c r="H106" s="26">
        <v>0.24</v>
      </c>
      <c r="I106" s="4">
        <v>17686000</v>
      </c>
      <c r="J106" s="4">
        <v>16280521.35</v>
      </c>
      <c r="K106" s="4">
        <v>8389962</v>
      </c>
      <c r="L106" s="4">
        <v>2957231.17</v>
      </c>
    </row>
    <row r="107" spans="1:12" hidden="1" outlineLevel="1" x14ac:dyDescent="0.3">
      <c r="A107" s="31">
        <v>45777</v>
      </c>
      <c r="B107" s="31">
        <f>EDATE(B131,-1)</f>
        <v>45716</v>
      </c>
      <c r="C107" t="s">
        <v>653</v>
      </c>
      <c r="D107" s="4">
        <v>26211531.447500002</v>
      </c>
      <c r="E107" s="4">
        <v>16132405.735600401</v>
      </c>
      <c r="F107" s="4">
        <v>10079125.711899601</v>
      </c>
      <c r="G107" s="4">
        <v>12474628</v>
      </c>
      <c r="H107" s="26">
        <v>0.24</v>
      </c>
      <c r="I107" s="4">
        <v>17851000</v>
      </c>
      <c r="J107" s="4">
        <v>15964921.560000001</v>
      </c>
      <c r="K107" s="4">
        <v>8561419.3300000001</v>
      </c>
      <c r="L107" s="4">
        <v>2973769.51</v>
      </c>
    </row>
    <row r="108" spans="1:12" hidden="1" outlineLevel="1" x14ac:dyDescent="0.3">
      <c r="A108" s="31">
        <v>45777</v>
      </c>
      <c r="B108" s="31">
        <f>EDATE(B132,-1)</f>
        <v>45746</v>
      </c>
      <c r="C108" t="s">
        <v>653</v>
      </c>
      <c r="D108" s="4">
        <v>26506005.449999999</v>
      </c>
      <c r="E108" s="4">
        <v>16569715.43115695</v>
      </c>
      <c r="F108" s="4">
        <v>9936290.018843051</v>
      </c>
      <c r="G108" s="4">
        <v>12180509</v>
      </c>
      <c r="H108" s="26">
        <v>0.24</v>
      </c>
      <c r="I108" s="4">
        <v>18063000</v>
      </c>
      <c r="J108" s="4">
        <v>16081454.49</v>
      </c>
      <c r="K108" s="4">
        <v>8692920.9399999995</v>
      </c>
      <c r="L108" s="4">
        <v>3055479.38</v>
      </c>
    </row>
    <row r="109" spans="1:12" hidden="1" outlineLevel="1" x14ac:dyDescent="0.3">
      <c r="A109" s="31">
        <v>45777</v>
      </c>
      <c r="B109" s="31">
        <f>EDATE(B133,-1)</f>
        <v>45777</v>
      </c>
      <c r="C109" t="s">
        <v>653</v>
      </c>
      <c r="D109" s="4">
        <v>57714301.159999996</v>
      </c>
      <c r="E109" s="4">
        <v>33337882.69720776</v>
      </c>
      <c r="F109" s="4">
        <v>24376418.46279224</v>
      </c>
      <c r="G109" s="4">
        <v>11502563</v>
      </c>
      <c r="H109" s="26">
        <v>0.24</v>
      </c>
      <c r="I109" s="4">
        <v>17864000</v>
      </c>
      <c r="J109" s="4">
        <v>15813089.640000001</v>
      </c>
      <c r="K109" s="4">
        <v>8427622.3499999996</v>
      </c>
      <c r="L109" s="4">
        <v>2964502.23</v>
      </c>
    </row>
    <row r="110" spans="1:12" hidden="1" outlineLevel="1" x14ac:dyDescent="0.3">
      <c r="A110" s="31">
        <v>45777</v>
      </c>
      <c r="B110" s="31">
        <f>EDATE(B134,-1)</f>
        <v>45807</v>
      </c>
      <c r="C110" t="s">
        <v>652</v>
      </c>
      <c r="D110" s="4">
        <v>58006254.590090297</v>
      </c>
      <c r="E110" s="4">
        <v>36264848.530913509</v>
      </c>
      <c r="F110" s="4">
        <v>21741406.059176799</v>
      </c>
      <c r="G110" s="4">
        <v>11750000</v>
      </c>
      <c r="H110" s="26">
        <v>0.24</v>
      </c>
      <c r="I110" s="4">
        <v>17950000</v>
      </c>
      <c r="J110" s="4">
        <v>15689590.774989991</v>
      </c>
      <c r="K110" s="4">
        <v>8094566.6051033959</v>
      </c>
      <c r="L110" s="4">
        <v>2812119.1050690128</v>
      </c>
    </row>
    <row r="111" spans="1:12" hidden="1" outlineLevel="1" x14ac:dyDescent="0.3">
      <c r="A111" s="31">
        <v>45777</v>
      </c>
      <c r="B111" s="31">
        <f>EDATE(B135,-1)</f>
        <v>45838</v>
      </c>
      <c r="C111" t="s">
        <v>652</v>
      </c>
      <c r="D111" s="4">
        <v>56006975.759334117</v>
      </c>
      <c r="E111" s="4">
        <v>34360042.963046066</v>
      </c>
      <c r="F111" s="4">
        <v>21646932.796288051</v>
      </c>
      <c r="G111" s="4">
        <v>11900000</v>
      </c>
      <c r="H111" s="26">
        <v>0.24</v>
      </c>
      <c r="I111" s="4">
        <v>18050000</v>
      </c>
      <c r="J111" s="4">
        <v>15235049.22023146</v>
      </c>
      <c r="K111" s="4">
        <v>8304480.9375934443</v>
      </c>
      <c r="L111" s="4">
        <v>2926973.8617713382</v>
      </c>
    </row>
    <row r="112" spans="1:12" hidden="1" outlineLevel="1" x14ac:dyDescent="0.3">
      <c r="A112" s="31">
        <v>45777</v>
      </c>
      <c r="B112" s="31">
        <f>EDATE(B136,-1)</f>
        <v>45866</v>
      </c>
      <c r="C112" t="s">
        <v>652</v>
      </c>
      <c r="D112" s="4">
        <v>58296444.809443243</v>
      </c>
      <c r="E112" s="4">
        <v>33342109.35275799</v>
      </c>
      <c r="F112" s="4">
        <v>24954335.456685241</v>
      </c>
      <c r="G112" s="4">
        <v>12050000</v>
      </c>
      <c r="H112" s="26">
        <v>0.24</v>
      </c>
      <c r="I112" s="4">
        <v>18200000</v>
      </c>
      <c r="J112" s="4">
        <v>15698038.464286219</v>
      </c>
      <c r="K112" s="4">
        <v>8415059.8425894473</v>
      </c>
      <c r="L112" s="4">
        <v>2829959.2761351322</v>
      </c>
    </row>
    <row r="113" spans="1:12" hidden="1" outlineLevel="1" x14ac:dyDescent="0.3">
      <c r="A113" s="31">
        <v>45777</v>
      </c>
      <c r="B113" s="31">
        <f>EDATE(B137,-1)</f>
        <v>45897</v>
      </c>
      <c r="C113" t="s">
        <v>652</v>
      </c>
      <c r="D113" s="4">
        <v>58115477.334494904</v>
      </c>
      <c r="E113" s="4">
        <v>36707282.808548927</v>
      </c>
      <c r="F113" s="4">
        <v>21408194.525945969</v>
      </c>
      <c r="G113" s="4">
        <v>12150000</v>
      </c>
      <c r="H113" s="26">
        <v>0.25</v>
      </c>
      <c r="I113" s="4">
        <v>18350000</v>
      </c>
      <c r="J113" s="4">
        <v>15664952.92531581</v>
      </c>
      <c r="K113" s="4">
        <v>8451279.5025654025</v>
      </c>
      <c r="L113" s="4">
        <v>2943175.2660944578</v>
      </c>
    </row>
    <row r="114" spans="1:12" hidden="1" outlineLevel="1" x14ac:dyDescent="0.3">
      <c r="A114" s="31">
        <v>45777</v>
      </c>
      <c r="B114" s="31">
        <f>EDATE(B138,-1)</f>
        <v>45928</v>
      </c>
      <c r="C114" t="s">
        <v>652</v>
      </c>
      <c r="D114" s="4">
        <v>56636738.098471299</v>
      </c>
      <c r="E114" s="4">
        <v>32805538.443287302</v>
      </c>
      <c r="F114" s="4">
        <v>23831199.655184001</v>
      </c>
      <c r="G114" s="4">
        <v>12300000</v>
      </c>
      <c r="H114" s="26">
        <v>0.25</v>
      </c>
      <c r="I114" s="4">
        <v>18450000</v>
      </c>
      <c r="J114" s="4">
        <v>15867202.66834002</v>
      </c>
      <c r="K114" s="4">
        <v>8250799.6978511196</v>
      </c>
      <c r="L114" s="4">
        <v>3029098.2954571168</v>
      </c>
    </row>
    <row r="115" spans="1:12" hidden="1" outlineLevel="1" x14ac:dyDescent="0.3">
      <c r="A115" s="31">
        <v>45777</v>
      </c>
      <c r="B115" s="31">
        <f>EDATE(B139,-1)</f>
        <v>45958</v>
      </c>
      <c r="C115" t="s">
        <v>652</v>
      </c>
      <c r="D115" s="4">
        <v>59268362.135164678</v>
      </c>
      <c r="E115" s="4">
        <v>35881788.569076143</v>
      </c>
      <c r="F115" s="4">
        <v>23386573.566088539</v>
      </c>
      <c r="G115" s="4">
        <v>12250000</v>
      </c>
      <c r="H115" s="26">
        <v>0.25</v>
      </c>
      <c r="I115" s="4">
        <v>18400000</v>
      </c>
      <c r="J115" s="4">
        <v>16016201.196298631</v>
      </c>
      <c r="K115" s="4">
        <v>8274969.312129382</v>
      </c>
      <c r="L115" s="4">
        <v>2954747.8156785169</v>
      </c>
    </row>
    <row r="116" spans="1:12" hidden="1" outlineLevel="1" x14ac:dyDescent="0.3">
      <c r="A116" s="31">
        <v>45777</v>
      </c>
      <c r="B116" s="31">
        <f>EDATE(B140,-1)</f>
        <v>45989</v>
      </c>
      <c r="C116" t="s">
        <v>652</v>
      </c>
      <c r="D116" s="4">
        <v>58726021.411114737</v>
      </c>
      <c r="E116" s="4">
        <v>39764008.249703251</v>
      </c>
      <c r="F116" s="4">
        <v>18962013.16141149</v>
      </c>
      <c r="G116" s="4">
        <v>12100000</v>
      </c>
      <c r="H116" s="26">
        <v>0.25</v>
      </c>
      <c r="I116" s="4">
        <v>18300000</v>
      </c>
      <c r="J116" s="4">
        <v>16118473.567856239</v>
      </c>
      <c r="K116" s="4">
        <v>8635735.0771482531</v>
      </c>
      <c r="L116" s="4">
        <v>2996585.3608145928</v>
      </c>
    </row>
    <row r="117" spans="1:12" hidden="1" outlineLevel="1" x14ac:dyDescent="0.3">
      <c r="A117" s="31">
        <v>45777</v>
      </c>
      <c r="B117" s="31">
        <f>EDATE(B141,-1)</f>
        <v>46019</v>
      </c>
      <c r="C117" t="s">
        <v>652</v>
      </c>
      <c r="D117" s="4">
        <v>58694178.05470483</v>
      </c>
      <c r="E117" s="4">
        <v>33381574.569802359</v>
      </c>
      <c r="F117" s="4">
        <v>25312603.484902471</v>
      </c>
      <c r="G117" s="4">
        <v>11850000</v>
      </c>
      <c r="H117" s="26">
        <v>0.24</v>
      </c>
      <c r="I117" s="4">
        <v>18150000</v>
      </c>
      <c r="J117" s="4">
        <v>16387375.65311479</v>
      </c>
      <c r="K117" s="4">
        <v>8470544.6447577681</v>
      </c>
      <c r="L117" s="4">
        <v>3017165.863533475</v>
      </c>
    </row>
    <row r="118" spans="1:12" hidden="1" outlineLevel="1" x14ac:dyDescent="0.3">
      <c r="A118" s="31">
        <v>45777</v>
      </c>
      <c r="B118" s="31">
        <f>EDATE(B142,-1)</f>
        <v>46050</v>
      </c>
      <c r="C118" t="s">
        <v>652</v>
      </c>
      <c r="D118" s="4">
        <v>60236660.600820407</v>
      </c>
      <c r="E118" s="4">
        <v>37578479.776028372</v>
      </c>
      <c r="F118" s="4">
        <v>22658180.824792031</v>
      </c>
      <c r="G118" s="4">
        <v>12000000</v>
      </c>
      <c r="H118" s="26">
        <v>0.24</v>
      </c>
      <c r="I118" s="4">
        <v>18250000</v>
      </c>
      <c r="J118" s="4">
        <v>16623382.092707651</v>
      </c>
      <c r="K118" s="4">
        <v>8624986.8799046632</v>
      </c>
      <c r="L118" s="4">
        <v>3044699.174657627</v>
      </c>
    </row>
    <row r="119" spans="1:12" hidden="1" outlineLevel="1" x14ac:dyDescent="0.3">
      <c r="A119" s="31">
        <v>45777</v>
      </c>
      <c r="B119" s="31">
        <f>EDATE(B143,-1)</f>
        <v>46081</v>
      </c>
      <c r="C119" t="s">
        <v>652</v>
      </c>
      <c r="D119" s="4">
        <v>58578352.931754313</v>
      </c>
      <c r="E119" s="4">
        <v>37028052.720645331</v>
      </c>
      <c r="F119" s="4">
        <v>21550300.211108979</v>
      </c>
      <c r="G119" s="4">
        <v>12400000</v>
      </c>
      <c r="H119" s="26">
        <v>0.24</v>
      </c>
      <c r="I119" s="4">
        <v>18500000</v>
      </c>
      <c r="J119" s="4">
        <v>16468926.497397119</v>
      </c>
      <c r="K119" s="4">
        <v>8838746.8905487265</v>
      </c>
      <c r="L119" s="4">
        <v>3117583.9784047422</v>
      </c>
    </row>
    <row r="120" spans="1:12" hidden="1" outlineLevel="1" x14ac:dyDescent="0.3">
      <c r="A120" s="31">
        <v>45777</v>
      </c>
      <c r="B120" s="31">
        <f>EDATE(B144,-1)</f>
        <v>46111</v>
      </c>
      <c r="C120" t="s">
        <v>652</v>
      </c>
      <c r="D120" s="4">
        <v>59201034.948166907</v>
      </c>
      <c r="E120" s="4">
        <v>34743025.534212232</v>
      </c>
      <c r="F120" s="4">
        <v>24458009.413954679</v>
      </c>
      <c r="G120" s="4">
        <v>12550000</v>
      </c>
      <c r="H120" s="26">
        <v>0.25</v>
      </c>
      <c r="I120" s="4">
        <v>18650000</v>
      </c>
      <c r="J120" s="4">
        <v>16064576.35104703</v>
      </c>
      <c r="K120" s="4">
        <v>9057738.8751288746</v>
      </c>
      <c r="L120" s="4">
        <v>3116582.01478629</v>
      </c>
    </row>
    <row r="121" spans="1:12" hidden="1" outlineLevel="1" x14ac:dyDescent="0.3">
      <c r="A121" s="31">
        <v>45777</v>
      </c>
      <c r="B121" s="31">
        <f>EDATE(B145,-1)</f>
        <v>46142</v>
      </c>
      <c r="C121" t="s">
        <v>652</v>
      </c>
      <c r="D121" s="4">
        <v>59842255.988201603</v>
      </c>
      <c r="E121" s="4">
        <v>33707294.426787637</v>
      </c>
      <c r="F121" s="4">
        <v>26134961.561413959</v>
      </c>
      <c r="G121" s="4">
        <v>12300000</v>
      </c>
      <c r="H121" s="26">
        <v>0.24</v>
      </c>
      <c r="I121" s="4">
        <v>18450000</v>
      </c>
      <c r="J121" s="4">
        <v>16070591.55420042</v>
      </c>
      <c r="K121" s="4">
        <v>8655529.1706803143</v>
      </c>
      <c r="L121" s="4">
        <v>3100777.1046122839</v>
      </c>
    </row>
    <row r="122" spans="1:12" hidden="1" outlineLevel="1" x14ac:dyDescent="0.3">
      <c r="A122" s="31">
        <v>45808</v>
      </c>
      <c r="B122" s="31">
        <f>EDATE(B146,-1)</f>
        <v>45473</v>
      </c>
      <c r="C122" t="s">
        <v>653</v>
      </c>
      <c r="D122" s="4">
        <v>25261800.533</v>
      </c>
      <c r="E122" s="4">
        <v>14837765.862431441</v>
      </c>
      <c r="F122" s="4">
        <v>10424034.670568559</v>
      </c>
      <c r="G122" s="4">
        <v>12863419</v>
      </c>
      <c r="H122" s="26">
        <v>0.24</v>
      </c>
      <c r="I122" s="4">
        <v>17247000</v>
      </c>
      <c r="J122" s="4">
        <v>15548388.68</v>
      </c>
      <c r="K122" s="4">
        <v>7961818.46</v>
      </c>
      <c r="L122" s="4">
        <v>2792148.66</v>
      </c>
    </row>
    <row r="123" spans="1:12" hidden="1" outlineLevel="1" x14ac:dyDescent="0.3">
      <c r="A123" s="31">
        <v>45808</v>
      </c>
      <c r="B123" s="31">
        <f>EDATE(B147,-1)</f>
        <v>45503</v>
      </c>
      <c r="C123" t="s">
        <v>653</v>
      </c>
      <c r="D123" s="4">
        <v>24953069.447500002</v>
      </c>
      <c r="E123" s="4">
        <v>14100846.44006091</v>
      </c>
      <c r="F123" s="4">
        <v>10852223.00743909</v>
      </c>
      <c r="G123" s="4">
        <v>11950485</v>
      </c>
      <c r="H123" s="26">
        <v>0.25</v>
      </c>
      <c r="I123" s="4">
        <v>17082000</v>
      </c>
      <c r="J123" s="4">
        <v>15082241.98</v>
      </c>
      <c r="K123" s="4">
        <v>8075446.4500000002</v>
      </c>
      <c r="L123" s="4">
        <v>2891511</v>
      </c>
    </row>
    <row r="124" spans="1:12" hidden="1" outlineLevel="1" x14ac:dyDescent="0.3">
      <c r="A124" s="31">
        <v>45808</v>
      </c>
      <c r="B124" s="31">
        <f>EDATE(B148,-1)</f>
        <v>45532</v>
      </c>
      <c r="C124" t="s">
        <v>653</v>
      </c>
      <c r="D124" s="4">
        <v>25385755.997499999</v>
      </c>
      <c r="E124" s="4">
        <v>15679349.162797621</v>
      </c>
      <c r="F124" s="4">
        <v>9706406.8347023819</v>
      </c>
      <c r="G124" s="4">
        <v>12008506</v>
      </c>
      <c r="H124" s="26">
        <v>0.24</v>
      </c>
      <c r="I124" s="4">
        <v>17284000</v>
      </c>
      <c r="J124" s="4">
        <v>15494985.800000001</v>
      </c>
      <c r="K124" s="4">
        <v>8314030.6500000004</v>
      </c>
      <c r="L124" s="4">
        <v>2777361.85</v>
      </c>
    </row>
    <row r="125" spans="1:12" hidden="1" outlineLevel="1" x14ac:dyDescent="0.3">
      <c r="A125" s="31">
        <v>45808</v>
      </c>
      <c r="B125" s="31">
        <f>EDATE(B149,-1)</f>
        <v>45563</v>
      </c>
      <c r="C125" t="s">
        <v>653</v>
      </c>
      <c r="D125" s="4">
        <v>25277896.943</v>
      </c>
      <c r="E125" s="4">
        <v>14556484.944138199</v>
      </c>
      <c r="F125" s="4">
        <v>10721411.998861801</v>
      </c>
      <c r="G125" s="4">
        <v>11949467</v>
      </c>
      <c r="H125" s="26">
        <v>0.24</v>
      </c>
      <c r="I125" s="4">
        <v>17156000</v>
      </c>
      <c r="J125" s="4">
        <v>15479513.369999999</v>
      </c>
      <c r="K125" s="4">
        <v>8290983.3200000003</v>
      </c>
      <c r="L125" s="4">
        <v>2841880.48</v>
      </c>
    </row>
    <row r="126" spans="1:12" hidden="1" outlineLevel="1" x14ac:dyDescent="0.3">
      <c r="A126" s="31">
        <v>45808</v>
      </c>
      <c r="B126" s="31">
        <f>EDATE(B150,-1)</f>
        <v>45593</v>
      </c>
      <c r="C126" t="s">
        <v>653</v>
      </c>
      <c r="D126" s="4">
        <v>25456303.252999999</v>
      </c>
      <c r="E126" s="4">
        <v>14019432.53699572</v>
      </c>
      <c r="F126" s="4">
        <v>11436870.71600428</v>
      </c>
      <c r="G126" s="4">
        <v>12134463</v>
      </c>
      <c r="H126" s="26">
        <v>0.26</v>
      </c>
      <c r="I126" s="4">
        <v>17476000</v>
      </c>
      <c r="J126" s="4">
        <v>15424116.5</v>
      </c>
      <c r="K126" s="4">
        <v>8076287.1799999997</v>
      </c>
      <c r="L126" s="4">
        <v>2936122.45</v>
      </c>
    </row>
    <row r="127" spans="1:12" hidden="1" outlineLevel="1" x14ac:dyDescent="0.3">
      <c r="A127" s="31">
        <v>45808</v>
      </c>
      <c r="B127" s="31">
        <f>EDATE(B151,-1)</f>
        <v>45624</v>
      </c>
      <c r="C127" t="s">
        <v>653</v>
      </c>
      <c r="D127" s="4">
        <v>25492423.285500001</v>
      </c>
      <c r="E127" s="4">
        <v>15217740.48513365</v>
      </c>
      <c r="F127" s="4">
        <v>10274682.80036635</v>
      </c>
      <c r="G127" s="4">
        <v>12007009</v>
      </c>
      <c r="H127" s="26">
        <v>0.25</v>
      </c>
      <c r="I127" s="4">
        <v>17294000</v>
      </c>
      <c r="J127" s="4">
        <v>15832759.720000001</v>
      </c>
      <c r="K127" s="4">
        <v>8042606.9699999997</v>
      </c>
      <c r="L127" s="4">
        <v>2900254.93</v>
      </c>
    </row>
    <row r="128" spans="1:12" hidden="1" outlineLevel="1" x14ac:dyDescent="0.3">
      <c r="A128" s="31">
        <v>45808</v>
      </c>
      <c r="B128" s="31">
        <f>EDATE(B152,-1)</f>
        <v>45654</v>
      </c>
      <c r="C128" t="s">
        <v>653</v>
      </c>
      <c r="D128" s="4">
        <v>25925152.5185</v>
      </c>
      <c r="E128" s="4">
        <v>14128447.208599791</v>
      </c>
      <c r="F128" s="4">
        <v>11796705.309900209</v>
      </c>
      <c r="G128" s="4">
        <v>11903993</v>
      </c>
      <c r="H128" s="26">
        <v>0.25</v>
      </c>
      <c r="I128" s="4">
        <v>17705000</v>
      </c>
      <c r="J128" s="4">
        <v>15777910.43</v>
      </c>
      <c r="K128" s="4">
        <v>8373596.6900000004</v>
      </c>
      <c r="L128" s="4">
        <v>2936692.31</v>
      </c>
    </row>
    <row r="129" spans="1:12" hidden="1" outlineLevel="1" x14ac:dyDescent="0.3">
      <c r="A129" s="31">
        <v>45808</v>
      </c>
      <c r="B129" s="31">
        <f>EDATE(B153,-1)</f>
        <v>45685</v>
      </c>
      <c r="C129" t="s">
        <v>653</v>
      </c>
      <c r="D129" s="4">
        <v>25918174.6175</v>
      </c>
      <c r="E129" s="4">
        <v>16383934.704711931</v>
      </c>
      <c r="F129" s="4">
        <v>9534239.9127880726</v>
      </c>
      <c r="G129" s="4">
        <v>11403422</v>
      </c>
      <c r="H129" s="26">
        <v>0.24</v>
      </c>
      <c r="I129" s="4">
        <v>17631000</v>
      </c>
      <c r="J129" s="4">
        <v>15955420.82</v>
      </c>
      <c r="K129" s="4">
        <v>8248857.9299999997</v>
      </c>
      <c r="L129" s="4">
        <v>2979719.66</v>
      </c>
    </row>
    <row r="130" spans="1:12" hidden="1" outlineLevel="1" x14ac:dyDescent="0.3">
      <c r="A130" s="31">
        <v>45808</v>
      </c>
      <c r="B130" s="31">
        <f>EDATE(B154,-1)</f>
        <v>45716</v>
      </c>
      <c r="C130" t="s">
        <v>653</v>
      </c>
      <c r="D130" s="4">
        <v>26170713.609000001</v>
      </c>
      <c r="E130" s="4">
        <v>14924234.770103309</v>
      </c>
      <c r="F130" s="4">
        <v>11246478.83889669</v>
      </c>
      <c r="G130" s="4">
        <v>11621535</v>
      </c>
      <c r="H130" s="26">
        <v>0.24</v>
      </c>
      <c r="I130" s="4">
        <v>17686000</v>
      </c>
      <c r="J130" s="4">
        <v>16280521.35</v>
      </c>
      <c r="K130" s="4">
        <v>8389962</v>
      </c>
      <c r="L130" s="4">
        <v>2957231.17</v>
      </c>
    </row>
    <row r="131" spans="1:12" hidden="1" outlineLevel="1" x14ac:dyDescent="0.3">
      <c r="A131" s="31">
        <v>45808</v>
      </c>
      <c r="B131" s="31">
        <f>EDATE(B155,-1)</f>
        <v>45746</v>
      </c>
      <c r="C131" t="s">
        <v>653</v>
      </c>
      <c r="D131" s="4">
        <v>26211531.447500002</v>
      </c>
      <c r="E131" s="4">
        <v>16132405.735600401</v>
      </c>
      <c r="F131" s="4">
        <v>10079125.711899601</v>
      </c>
      <c r="G131" s="4">
        <v>12474628</v>
      </c>
      <c r="H131" s="26">
        <v>0.24</v>
      </c>
      <c r="I131" s="4">
        <v>17851000</v>
      </c>
      <c r="J131" s="4">
        <v>15964921.560000001</v>
      </c>
      <c r="K131" s="4">
        <v>8561419.3300000001</v>
      </c>
      <c r="L131" s="4">
        <v>2973769.51</v>
      </c>
    </row>
    <row r="132" spans="1:12" hidden="1" outlineLevel="1" x14ac:dyDescent="0.3">
      <c r="A132" s="31">
        <v>45808</v>
      </c>
      <c r="B132" s="31">
        <f>EDATE(B156,-1)</f>
        <v>45777</v>
      </c>
      <c r="C132" t="s">
        <v>653</v>
      </c>
      <c r="D132" s="4">
        <v>26506005.449999999</v>
      </c>
      <c r="E132" s="4">
        <v>16569715.43115695</v>
      </c>
      <c r="F132" s="4">
        <v>9936290.018843051</v>
      </c>
      <c r="G132" s="4">
        <v>12180509</v>
      </c>
      <c r="H132" s="26">
        <v>0.24</v>
      </c>
      <c r="I132" s="4">
        <v>18063000</v>
      </c>
      <c r="J132" s="4">
        <v>16081454.49</v>
      </c>
      <c r="K132" s="4">
        <v>8692920.9399999995</v>
      </c>
      <c r="L132" s="4">
        <v>3055479.38</v>
      </c>
    </row>
    <row r="133" spans="1:12" hidden="1" outlineLevel="1" x14ac:dyDescent="0.3">
      <c r="A133" s="31">
        <v>45808</v>
      </c>
      <c r="B133" s="31">
        <f>EDATE(B157,-1)</f>
        <v>45807</v>
      </c>
      <c r="C133" t="s">
        <v>653</v>
      </c>
      <c r="D133" s="4">
        <v>57714301.159999996</v>
      </c>
      <c r="E133" s="4">
        <v>33337882.69720776</v>
      </c>
      <c r="F133" s="4">
        <v>24376418.46279224</v>
      </c>
      <c r="G133" s="4">
        <v>11502563</v>
      </c>
      <c r="H133" s="26">
        <v>0.24</v>
      </c>
      <c r="I133" s="4">
        <v>17864000</v>
      </c>
      <c r="J133" s="4">
        <v>15813089.640000001</v>
      </c>
      <c r="K133" s="4">
        <v>8427622.3499999996</v>
      </c>
      <c r="L133" s="4">
        <v>2964502.23</v>
      </c>
    </row>
    <row r="134" spans="1:12" hidden="1" outlineLevel="1" x14ac:dyDescent="0.3">
      <c r="A134" s="31">
        <v>45808</v>
      </c>
      <c r="B134" s="31">
        <f>EDATE(B158,-1)</f>
        <v>45838</v>
      </c>
      <c r="C134" t="s">
        <v>652</v>
      </c>
      <c r="D134" s="4">
        <v>58006254.590090297</v>
      </c>
      <c r="E134" s="4">
        <v>36264848.530913509</v>
      </c>
      <c r="F134" s="4">
        <v>21741406.059176799</v>
      </c>
      <c r="G134" s="4">
        <v>11750000</v>
      </c>
      <c r="H134" s="26">
        <v>0.24</v>
      </c>
      <c r="I134" s="4">
        <v>17950000</v>
      </c>
      <c r="J134" s="4">
        <v>15689590.774989991</v>
      </c>
      <c r="K134" s="4">
        <v>8094566.6051033959</v>
      </c>
      <c r="L134" s="4">
        <v>2812119.1050690128</v>
      </c>
    </row>
    <row r="135" spans="1:12" hidden="1" outlineLevel="1" x14ac:dyDescent="0.3">
      <c r="A135" s="31">
        <v>45808</v>
      </c>
      <c r="B135" s="31">
        <f>EDATE(B159,-1)</f>
        <v>45868</v>
      </c>
      <c r="C135" t="s">
        <v>652</v>
      </c>
      <c r="D135" s="4">
        <v>56006975.759334117</v>
      </c>
      <c r="E135" s="4">
        <v>34360042.963046066</v>
      </c>
      <c r="F135" s="4">
        <v>21646932.796288051</v>
      </c>
      <c r="G135" s="4">
        <v>11900000</v>
      </c>
      <c r="H135" s="26">
        <v>0.24</v>
      </c>
      <c r="I135" s="4">
        <v>18050000</v>
      </c>
      <c r="J135" s="4">
        <v>15235049.22023146</v>
      </c>
      <c r="K135" s="4">
        <v>8304480.9375934443</v>
      </c>
      <c r="L135" s="4">
        <v>2926973.8617713382</v>
      </c>
    </row>
    <row r="136" spans="1:12" hidden="1" outlineLevel="1" x14ac:dyDescent="0.3">
      <c r="A136" s="31">
        <v>45808</v>
      </c>
      <c r="B136" s="31">
        <f>EDATE(B160,-1)</f>
        <v>45897</v>
      </c>
      <c r="C136" t="s">
        <v>652</v>
      </c>
      <c r="D136" s="4">
        <v>58296444.809443243</v>
      </c>
      <c r="E136" s="4">
        <v>33342109.35275799</v>
      </c>
      <c r="F136" s="4">
        <v>24954335.456685241</v>
      </c>
      <c r="G136" s="4">
        <v>12050000</v>
      </c>
      <c r="H136" s="26">
        <v>0.24</v>
      </c>
      <c r="I136" s="4">
        <v>18200000</v>
      </c>
      <c r="J136" s="4">
        <v>15698038.464286219</v>
      </c>
      <c r="K136" s="4">
        <v>8415059.8425894473</v>
      </c>
      <c r="L136" s="4">
        <v>2829959.2761351322</v>
      </c>
    </row>
    <row r="137" spans="1:12" hidden="1" outlineLevel="1" x14ac:dyDescent="0.3">
      <c r="A137" s="31">
        <v>45808</v>
      </c>
      <c r="B137" s="31">
        <f>EDATE(B161,-1)</f>
        <v>45928</v>
      </c>
      <c r="C137" t="s">
        <v>652</v>
      </c>
      <c r="D137" s="4">
        <v>58115477.334494904</v>
      </c>
      <c r="E137" s="4">
        <v>36707282.808548927</v>
      </c>
      <c r="F137" s="4">
        <v>21408194.525945969</v>
      </c>
      <c r="G137" s="4">
        <v>12150000</v>
      </c>
      <c r="H137" s="26">
        <v>0.25</v>
      </c>
      <c r="I137" s="4">
        <v>18350000</v>
      </c>
      <c r="J137" s="4">
        <v>15664952.92531581</v>
      </c>
      <c r="K137" s="4">
        <v>8451279.5025654025</v>
      </c>
      <c r="L137" s="4">
        <v>2943175.2660944578</v>
      </c>
    </row>
    <row r="138" spans="1:12" hidden="1" outlineLevel="1" x14ac:dyDescent="0.3">
      <c r="A138" s="31">
        <v>45808</v>
      </c>
      <c r="B138" s="31">
        <f>EDATE(B162,-1)</f>
        <v>45958</v>
      </c>
      <c r="C138" t="s">
        <v>652</v>
      </c>
      <c r="D138" s="4">
        <v>56636738.098471299</v>
      </c>
      <c r="E138" s="4">
        <v>32805538.443287302</v>
      </c>
      <c r="F138" s="4">
        <v>23831199.655184001</v>
      </c>
      <c r="G138" s="4">
        <v>12300000</v>
      </c>
      <c r="H138" s="26">
        <v>0.25</v>
      </c>
      <c r="I138" s="4">
        <v>18450000</v>
      </c>
      <c r="J138" s="4">
        <v>15867202.66834002</v>
      </c>
      <c r="K138" s="4">
        <v>8250799.6978511196</v>
      </c>
      <c r="L138" s="4">
        <v>3029098.2954571168</v>
      </c>
    </row>
    <row r="139" spans="1:12" hidden="1" outlineLevel="1" x14ac:dyDescent="0.3">
      <c r="A139" s="31">
        <v>45808</v>
      </c>
      <c r="B139" s="31">
        <f>EDATE(B163,-1)</f>
        <v>45989</v>
      </c>
      <c r="C139" t="s">
        <v>652</v>
      </c>
      <c r="D139" s="4">
        <v>59268362.135164678</v>
      </c>
      <c r="E139" s="4">
        <v>35881788.569076143</v>
      </c>
      <c r="F139" s="4">
        <v>23386573.566088539</v>
      </c>
      <c r="G139" s="4">
        <v>12250000</v>
      </c>
      <c r="H139" s="26">
        <v>0.25</v>
      </c>
      <c r="I139" s="4">
        <v>18400000</v>
      </c>
      <c r="J139" s="4">
        <v>16016201.196298631</v>
      </c>
      <c r="K139" s="4">
        <v>8274969.312129382</v>
      </c>
      <c r="L139" s="4">
        <v>2954747.8156785169</v>
      </c>
    </row>
    <row r="140" spans="1:12" hidden="1" outlineLevel="1" x14ac:dyDescent="0.3">
      <c r="A140" s="31">
        <v>45808</v>
      </c>
      <c r="B140" s="31">
        <f>EDATE(B164,-1)</f>
        <v>46019</v>
      </c>
      <c r="C140" t="s">
        <v>652</v>
      </c>
      <c r="D140" s="4">
        <v>58726021.411114737</v>
      </c>
      <c r="E140" s="4">
        <v>39764008.249703251</v>
      </c>
      <c r="F140" s="4">
        <v>18962013.16141149</v>
      </c>
      <c r="G140" s="4">
        <v>12100000</v>
      </c>
      <c r="H140" s="26">
        <v>0.25</v>
      </c>
      <c r="I140" s="4">
        <v>18300000</v>
      </c>
      <c r="J140" s="4">
        <v>16118473.567856239</v>
      </c>
      <c r="K140" s="4">
        <v>8635735.0771482531</v>
      </c>
      <c r="L140" s="4">
        <v>2996585.3608145928</v>
      </c>
    </row>
    <row r="141" spans="1:12" hidden="1" outlineLevel="1" x14ac:dyDescent="0.3">
      <c r="A141" s="31">
        <v>45808</v>
      </c>
      <c r="B141" s="31">
        <f>EDATE(B165,-1)</f>
        <v>46050</v>
      </c>
      <c r="C141" t="s">
        <v>652</v>
      </c>
      <c r="D141" s="4">
        <v>58694178.05470483</v>
      </c>
      <c r="E141" s="4">
        <v>33381574.569802359</v>
      </c>
      <c r="F141" s="4">
        <v>25312603.484902471</v>
      </c>
      <c r="G141" s="4">
        <v>11850000</v>
      </c>
      <c r="H141" s="26">
        <v>0.24</v>
      </c>
      <c r="I141" s="4">
        <v>18150000</v>
      </c>
      <c r="J141" s="4">
        <v>16387375.65311479</v>
      </c>
      <c r="K141" s="4">
        <v>8470544.6447577681</v>
      </c>
      <c r="L141" s="4">
        <v>3017165.863533475</v>
      </c>
    </row>
    <row r="142" spans="1:12" hidden="1" outlineLevel="1" x14ac:dyDescent="0.3">
      <c r="A142" s="31">
        <v>45808</v>
      </c>
      <c r="B142" s="31">
        <f>EDATE(B166,-1)</f>
        <v>46081</v>
      </c>
      <c r="C142" t="s">
        <v>652</v>
      </c>
      <c r="D142" s="4">
        <v>60236660.600820407</v>
      </c>
      <c r="E142" s="4">
        <v>37578479.776028372</v>
      </c>
      <c r="F142" s="4">
        <v>22658180.824792031</v>
      </c>
      <c r="G142" s="4">
        <v>12000000</v>
      </c>
      <c r="H142" s="26">
        <v>0.24</v>
      </c>
      <c r="I142" s="4">
        <v>18250000</v>
      </c>
      <c r="J142" s="4">
        <v>16623382.092707651</v>
      </c>
      <c r="K142" s="4">
        <v>8624986.8799046632</v>
      </c>
      <c r="L142" s="4">
        <v>3044699.174657627</v>
      </c>
    </row>
    <row r="143" spans="1:12" hidden="1" outlineLevel="1" x14ac:dyDescent="0.3">
      <c r="A143" s="31">
        <v>45808</v>
      </c>
      <c r="B143" s="31">
        <f>EDATE(B167,-1)</f>
        <v>46111</v>
      </c>
      <c r="C143" t="s">
        <v>652</v>
      </c>
      <c r="D143" s="4">
        <v>58578352.931754313</v>
      </c>
      <c r="E143" s="4">
        <v>37028052.720645331</v>
      </c>
      <c r="F143" s="4">
        <v>21550300.211108979</v>
      </c>
      <c r="G143" s="4">
        <v>12400000</v>
      </c>
      <c r="H143" s="26">
        <v>0.24</v>
      </c>
      <c r="I143" s="4">
        <v>18500000</v>
      </c>
      <c r="J143" s="4">
        <v>16468926.497397119</v>
      </c>
      <c r="K143" s="4">
        <v>8838746.8905487265</v>
      </c>
      <c r="L143" s="4">
        <v>3117583.9784047422</v>
      </c>
    </row>
    <row r="144" spans="1:12" hidden="1" outlineLevel="1" x14ac:dyDescent="0.3">
      <c r="A144" s="31">
        <v>45808</v>
      </c>
      <c r="B144" s="31">
        <f>EDATE(B168,-1)</f>
        <v>46142</v>
      </c>
      <c r="C144" t="s">
        <v>652</v>
      </c>
      <c r="D144" s="4">
        <v>59201034.948166907</v>
      </c>
      <c r="E144" s="4">
        <v>34743025.534212232</v>
      </c>
      <c r="F144" s="4">
        <v>24458009.413954679</v>
      </c>
      <c r="G144" s="4">
        <v>12550000</v>
      </c>
      <c r="H144" s="26">
        <v>0.25</v>
      </c>
      <c r="I144" s="4">
        <v>18650000</v>
      </c>
      <c r="J144" s="4">
        <v>16064576.35104703</v>
      </c>
      <c r="K144" s="4">
        <v>9057738.8751288746</v>
      </c>
      <c r="L144" s="4">
        <v>3116582.01478629</v>
      </c>
    </row>
    <row r="145" spans="1:12" hidden="1" outlineLevel="1" x14ac:dyDescent="0.3">
      <c r="A145" s="31">
        <v>45808</v>
      </c>
      <c r="B145" s="31">
        <f>EDATE(B169,-1)</f>
        <v>46172</v>
      </c>
      <c r="C145" t="s">
        <v>652</v>
      </c>
      <c r="D145" s="4">
        <v>59842255.988201603</v>
      </c>
      <c r="E145" s="4">
        <v>33707294.426787637</v>
      </c>
      <c r="F145" s="4">
        <v>26134961.561413959</v>
      </c>
      <c r="G145" s="4">
        <v>12300000</v>
      </c>
      <c r="H145" s="26">
        <v>0.24</v>
      </c>
      <c r="I145" s="4">
        <v>18450000</v>
      </c>
      <c r="J145" s="4">
        <v>16070591.55420042</v>
      </c>
      <c r="K145" s="4">
        <v>8655529.1706803143</v>
      </c>
      <c r="L145" s="4">
        <v>3100777.1046122839</v>
      </c>
    </row>
    <row r="146" spans="1:12" hidden="1" outlineLevel="1" x14ac:dyDescent="0.3">
      <c r="A146" s="31">
        <v>45838</v>
      </c>
      <c r="B146" s="31">
        <f>EDATE(B170,-1)</f>
        <v>45503</v>
      </c>
      <c r="C146" t="s">
        <v>653</v>
      </c>
      <c r="D146" s="4">
        <v>25261800.533</v>
      </c>
      <c r="E146" s="4">
        <v>14837765.862431441</v>
      </c>
      <c r="F146" s="4">
        <v>10424034.670568559</v>
      </c>
      <c r="G146" s="4">
        <v>12863419</v>
      </c>
      <c r="H146" s="26">
        <v>0.24</v>
      </c>
      <c r="I146" s="4">
        <v>17247000</v>
      </c>
      <c r="J146" s="4">
        <v>15548388.68</v>
      </c>
      <c r="K146" s="4">
        <v>7961818.46</v>
      </c>
      <c r="L146" s="4">
        <v>2792148.66</v>
      </c>
    </row>
    <row r="147" spans="1:12" hidden="1" outlineLevel="1" x14ac:dyDescent="0.3">
      <c r="A147" s="31">
        <v>45838</v>
      </c>
      <c r="B147" s="31">
        <f>EDATE(B171,-1)</f>
        <v>45534</v>
      </c>
      <c r="C147" t="s">
        <v>653</v>
      </c>
      <c r="D147" s="4">
        <v>24953069.447500002</v>
      </c>
      <c r="E147" s="4">
        <v>14100846.44006091</v>
      </c>
      <c r="F147" s="4">
        <v>10852223.00743909</v>
      </c>
      <c r="G147" s="4">
        <v>11950485</v>
      </c>
      <c r="H147" s="26">
        <v>0.25</v>
      </c>
      <c r="I147" s="4">
        <v>17082000</v>
      </c>
      <c r="J147" s="4">
        <v>15082241.98</v>
      </c>
      <c r="K147" s="4">
        <v>8075446.4500000002</v>
      </c>
      <c r="L147" s="4">
        <v>2891511</v>
      </c>
    </row>
    <row r="148" spans="1:12" hidden="1" outlineLevel="1" x14ac:dyDescent="0.3">
      <c r="A148" s="31">
        <v>45838</v>
      </c>
      <c r="B148" s="31">
        <f>EDATE(B172,-1)</f>
        <v>45563</v>
      </c>
      <c r="C148" t="s">
        <v>653</v>
      </c>
      <c r="D148" s="4">
        <v>25385755.997499999</v>
      </c>
      <c r="E148" s="4">
        <v>15679349.162797621</v>
      </c>
      <c r="F148" s="4">
        <v>9706406.8347023819</v>
      </c>
      <c r="G148" s="4">
        <v>12008506</v>
      </c>
      <c r="H148" s="26">
        <v>0.24</v>
      </c>
      <c r="I148" s="4">
        <v>17284000</v>
      </c>
      <c r="J148" s="4">
        <v>15494985.800000001</v>
      </c>
      <c r="K148" s="4">
        <v>8314030.6500000004</v>
      </c>
      <c r="L148" s="4">
        <v>2777361.85</v>
      </c>
    </row>
    <row r="149" spans="1:12" hidden="1" outlineLevel="1" x14ac:dyDescent="0.3">
      <c r="A149" s="31">
        <v>45838</v>
      </c>
      <c r="B149" s="31">
        <f>EDATE(B173,-1)</f>
        <v>45593</v>
      </c>
      <c r="C149" t="s">
        <v>653</v>
      </c>
      <c r="D149" s="4">
        <v>25277896.943</v>
      </c>
      <c r="E149" s="4">
        <v>14556484.944138199</v>
      </c>
      <c r="F149" s="4">
        <v>10721411.998861801</v>
      </c>
      <c r="G149" s="4">
        <v>11949467</v>
      </c>
      <c r="H149" s="26">
        <v>0.24</v>
      </c>
      <c r="I149" s="4">
        <v>17156000</v>
      </c>
      <c r="J149" s="4">
        <v>15479513.369999999</v>
      </c>
      <c r="K149" s="4">
        <v>8290983.3200000003</v>
      </c>
      <c r="L149" s="4">
        <v>2841880.48</v>
      </c>
    </row>
    <row r="150" spans="1:12" hidden="1" outlineLevel="1" x14ac:dyDescent="0.3">
      <c r="A150" s="31">
        <v>45838</v>
      </c>
      <c r="B150" s="31">
        <f>EDATE(B174,-1)</f>
        <v>45624</v>
      </c>
      <c r="C150" t="s">
        <v>653</v>
      </c>
      <c r="D150" s="4">
        <v>25456303.252999999</v>
      </c>
      <c r="E150" s="4">
        <v>14019432.53699572</v>
      </c>
      <c r="F150" s="4">
        <v>11436870.71600428</v>
      </c>
      <c r="G150" s="4">
        <v>12134463</v>
      </c>
      <c r="H150" s="26">
        <v>0.26</v>
      </c>
      <c r="I150" s="4">
        <v>17476000</v>
      </c>
      <c r="J150" s="4">
        <v>15424116.5</v>
      </c>
      <c r="K150" s="4">
        <v>8076287.1799999997</v>
      </c>
      <c r="L150" s="4">
        <v>2936122.45</v>
      </c>
    </row>
    <row r="151" spans="1:12" hidden="1" outlineLevel="1" x14ac:dyDescent="0.3">
      <c r="A151" s="31">
        <v>45838</v>
      </c>
      <c r="B151" s="31">
        <f>EDATE(B175,-1)</f>
        <v>45654</v>
      </c>
      <c r="C151" t="s">
        <v>653</v>
      </c>
      <c r="D151" s="4">
        <v>25492423.285500001</v>
      </c>
      <c r="E151" s="4">
        <v>15217740.48513365</v>
      </c>
      <c r="F151" s="4">
        <v>10274682.80036635</v>
      </c>
      <c r="G151" s="4">
        <v>12007009</v>
      </c>
      <c r="H151" s="26">
        <v>0.25</v>
      </c>
      <c r="I151" s="4">
        <v>17294000</v>
      </c>
      <c r="J151" s="4">
        <v>15832759.720000001</v>
      </c>
      <c r="K151" s="4">
        <v>8042606.9699999997</v>
      </c>
      <c r="L151" s="4">
        <v>2900254.93</v>
      </c>
    </row>
    <row r="152" spans="1:12" hidden="1" outlineLevel="1" x14ac:dyDescent="0.3">
      <c r="A152" s="31">
        <v>45838</v>
      </c>
      <c r="B152" s="31">
        <f>EDATE(B176,-1)</f>
        <v>45685</v>
      </c>
      <c r="C152" t="s">
        <v>653</v>
      </c>
      <c r="D152" s="4">
        <v>25925152.5185</v>
      </c>
      <c r="E152" s="4">
        <v>14128447.208599791</v>
      </c>
      <c r="F152" s="4">
        <v>11796705.309900209</v>
      </c>
      <c r="G152" s="4">
        <v>11903993</v>
      </c>
      <c r="H152" s="26">
        <v>0.25</v>
      </c>
      <c r="I152" s="4">
        <v>17705000</v>
      </c>
      <c r="J152" s="4">
        <v>15777910.43</v>
      </c>
      <c r="K152" s="4">
        <v>8373596.6900000004</v>
      </c>
      <c r="L152" s="4">
        <v>2936692.31</v>
      </c>
    </row>
    <row r="153" spans="1:12" hidden="1" outlineLevel="1" x14ac:dyDescent="0.3">
      <c r="A153" s="31">
        <v>45838</v>
      </c>
      <c r="B153" s="31">
        <f>EDATE(B177,-1)</f>
        <v>45716</v>
      </c>
      <c r="C153" t="s">
        <v>653</v>
      </c>
      <c r="D153" s="4">
        <v>25918174.6175</v>
      </c>
      <c r="E153" s="4">
        <v>16383934.704711931</v>
      </c>
      <c r="F153" s="4">
        <v>9534239.9127880726</v>
      </c>
      <c r="G153" s="4">
        <v>11403422</v>
      </c>
      <c r="H153" s="26">
        <v>0.24</v>
      </c>
      <c r="I153" s="4">
        <v>17631000</v>
      </c>
      <c r="J153" s="4">
        <v>15955420.82</v>
      </c>
      <c r="K153" s="4">
        <v>8248857.9299999997</v>
      </c>
      <c r="L153" s="4">
        <v>2979719.66</v>
      </c>
    </row>
    <row r="154" spans="1:12" hidden="1" outlineLevel="1" x14ac:dyDescent="0.3">
      <c r="A154" s="31">
        <v>45838</v>
      </c>
      <c r="B154" s="31">
        <f>EDATE(B178,-1)</f>
        <v>45746</v>
      </c>
      <c r="C154" t="s">
        <v>653</v>
      </c>
      <c r="D154" s="4">
        <v>26170713.609000001</v>
      </c>
      <c r="E154" s="4">
        <v>14924234.770103309</v>
      </c>
      <c r="F154" s="4">
        <v>11246478.83889669</v>
      </c>
      <c r="G154" s="4">
        <v>11621535</v>
      </c>
      <c r="H154" s="26">
        <v>0.24</v>
      </c>
      <c r="I154" s="4">
        <v>17686000</v>
      </c>
      <c r="J154" s="4">
        <v>16280521.35</v>
      </c>
      <c r="K154" s="4">
        <v>8389962</v>
      </c>
      <c r="L154" s="4">
        <v>2957231.17</v>
      </c>
    </row>
    <row r="155" spans="1:12" hidden="1" outlineLevel="1" x14ac:dyDescent="0.3">
      <c r="A155" s="31">
        <v>45838</v>
      </c>
      <c r="B155" s="31">
        <f>EDATE(B179,-1)</f>
        <v>45777</v>
      </c>
      <c r="C155" t="s">
        <v>653</v>
      </c>
      <c r="D155" s="4">
        <v>26211531.447500002</v>
      </c>
      <c r="E155" s="4">
        <v>16132405.735600401</v>
      </c>
      <c r="F155" s="4">
        <v>10079125.711899601</v>
      </c>
      <c r="G155" s="4">
        <v>12474628</v>
      </c>
      <c r="H155" s="26">
        <v>0.24</v>
      </c>
      <c r="I155" s="4">
        <v>17851000</v>
      </c>
      <c r="J155" s="4">
        <v>15964921.560000001</v>
      </c>
      <c r="K155" s="4">
        <v>8561419.3300000001</v>
      </c>
      <c r="L155" s="4">
        <v>2973769.51</v>
      </c>
    </row>
    <row r="156" spans="1:12" hidden="1" outlineLevel="1" x14ac:dyDescent="0.3">
      <c r="A156" s="31">
        <v>45838</v>
      </c>
      <c r="B156" s="31">
        <f>EDATE(B180,-1)</f>
        <v>45807</v>
      </c>
      <c r="C156" t="s">
        <v>653</v>
      </c>
      <c r="D156" s="4">
        <v>26506005.449999999</v>
      </c>
      <c r="E156" s="4">
        <v>16569715.43115695</v>
      </c>
      <c r="F156" s="4">
        <v>9936290.018843051</v>
      </c>
      <c r="G156" s="4">
        <v>12180509</v>
      </c>
      <c r="H156" s="26">
        <v>0.24</v>
      </c>
      <c r="I156" s="4">
        <v>18063000</v>
      </c>
      <c r="J156" s="4">
        <v>16081454.49</v>
      </c>
      <c r="K156" s="4">
        <v>8692920.9399999995</v>
      </c>
      <c r="L156" s="4">
        <v>3055479.38</v>
      </c>
    </row>
    <row r="157" spans="1:12" hidden="1" outlineLevel="1" x14ac:dyDescent="0.3">
      <c r="A157" s="31">
        <v>45838</v>
      </c>
      <c r="B157" s="31">
        <f>EDATE(B181,-1)</f>
        <v>45838</v>
      </c>
      <c r="C157" t="s">
        <v>653</v>
      </c>
      <c r="D157" s="4">
        <v>57714301.159999996</v>
      </c>
      <c r="E157" s="4">
        <v>33337882.69720776</v>
      </c>
      <c r="F157" s="4">
        <v>24376418.46279224</v>
      </c>
      <c r="G157" s="4">
        <v>11502563</v>
      </c>
      <c r="H157" s="26">
        <v>0.24</v>
      </c>
      <c r="I157" s="4">
        <v>17864000</v>
      </c>
      <c r="J157" s="4">
        <v>15813089.640000001</v>
      </c>
      <c r="K157" s="4">
        <v>8427622.3499999996</v>
      </c>
      <c r="L157" s="4">
        <v>2964502.23</v>
      </c>
    </row>
    <row r="158" spans="1:12" hidden="1" outlineLevel="1" x14ac:dyDescent="0.3">
      <c r="A158" s="31">
        <v>45838</v>
      </c>
      <c r="B158" s="31">
        <f>EDATE(B182,-1)</f>
        <v>45868</v>
      </c>
      <c r="C158" t="s">
        <v>652</v>
      </c>
      <c r="D158" s="4">
        <v>58006254.590090297</v>
      </c>
      <c r="E158" s="4">
        <v>36264848.530913509</v>
      </c>
      <c r="F158" s="4">
        <v>21741406.059176799</v>
      </c>
      <c r="G158" s="4">
        <v>11750000</v>
      </c>
      <c r="H158" s="26">
        <v>0.24</v>
      </c>
      <c r="I158" s="4">
        <v>17950000</v>
      </c>
      <c r="J158" s="4">
        <v>15689590.774989991</v>
      </c>
      <c r="K158" s="4">
        <v>8094566.6051033959</v>
      </c>
      <c r="L158" s="4">
        <v>2812119.1050690128</v>
      </c>
    </row>
    <row r="159" spans="1:12" hidden="1" outlineLevel="1" x14ac:dyDescent="0.3">
      <c r="A159" s="31">
        <v>45838</v>
      </c>
      <c r="B159" s="31">
        <f>EDATE(B183,-1)</f>
        <v>45899</v>
      </c>
      <c r="C159" t="s">
        <v>652</v>
      </c>
      <c r="D159" s="4">
        <v>56006975.759334117</v>
      </c>
      <c r="E159" s="4">
        <v>34360042.963046066</v>
      </c>
      <c r="F159" s="4">
        <v>21646932.796288051</v>
      </c>
      <c r="G159" s="4">
        <v>11900000</v>
      </c>
      <c r="H159" s="26">
        <v>0.24</v>
      </c>
      <c r="I159" s="4">
        <v>18050000</v>
      </c>
      <c r="J159" s="4">
        <v>15235049.22023146</v>
      </c>
      <c r="K159" s="4">
        <v>8304480.9375934443</v>
      </c>
      <c r="L159" s="4">
        <v>2926973.8617713382</v>
      </c>
    </row>
    <row r="160" spans="1:12" hidden="1" outlineLevel="1" x14ac:dyDescent="0.3">
      <c r="A160" s="31">
        <v>45838</v>
      </c>
      <c r="B160" s="31">
        <f>EDATE(B184,-1)</f>
        <v>45928</v>
      </c>
      <c r="C160" t="s">
        <v>652</v>
      </c>
      <c r="D160" s="4">
        <v>58296444.809443243</v>
      </c>
      <c r="E160" s="4">
        <v>33342109.35275799</v>
      </c>
      <c r="F160" s="4">
        <v>24954335.456685241</v>
      </c>
      <c r="G160" s="4">
        <v>12050000</v>
      </c>
      <c r="H160" s="26">
        <v>0.24</v>
      </c>
      <c r="I160" s="4">
        <v>18200000</v>
      </c>
      <c r="J160" s="4">
        <v>15698038.464286219</v>
      </c>
      <c r="K160" s="4">
        <v>8415059.8425894473</v>
      </c>
      <c r="L160" s="4">
        <v>2829959.2761351322</v>
      </c>
    </row>
    <row r="161" spans="1:12" hidden="1" outlineLevel="1" x14ac:dyDescent="0.3">
      <c r="A161" s="31">
        <v>45838</v>
      </c>
      <c r="B161" s="31">
        <f>EDATE(B185,-1)</f>
        <v>45958</v>
      </c>
      <c r="C161" t="s">
        <v>652</v>
      </c>
      <c r="D161" s="4">
        <v>58115477.334494904</v>
      </c>
      <c r="E161" s="4">
        <v>36707282.808548927</v>
      </c>
      <c r="F161" s="4">
        <v>21408194.525945969</v>
      </c>
      <c r="G161" s="4">
        <v>12150000</v>
      </c>
      <c r="H161" s="26">
        <v>0.25</v>
      </c>
      <c r="I161" s="4">
        <v>18350000</v>
      </c>
      <c r="J161" s="4">
        <v>15664952.92531581</v>
      </c>
      <c r="K161" s="4">
        <v>8451279.5025654025</v>
      </c>
      <c r="L161" s="4">
        <v>2943175.2660944578</v>
      </c>
    </row>
    <row r="162" spans="1:12" hidden="1" outlineLevel="1" x14ac:dyDescent="0.3">
      <c r="A162" s="31">
        <v>45838</v>
      </c>
      <c r="B162" s="31">
        <f>EDATE(B186,-1)</f>
        <v>45989</v>
      </c>
      <c r="C162" t="s">
        <v>652</v>
      </c>
      <c r="D162" s="4">
        <v>56636738.098471299</v>
      </c>
      <c r="E162" s="4">
        <v>32805538.443287302</v>
      </c>
      <c r="F162" s="4">
        <v>23831199.655184001</v>
      </c>
      <c r="G162" s="4">
        <v>12300000</v>
      </c>
      <c r="H162" s="26">
        <v>0.25</v>
      </c>
      <c r="I162" s="4">
        <v>18450000</v>
      </c>
      <c r="J162" s="4">
        <v>15867202.66834002</v>
      </c>
      <c r="K162" s="4">
        <v>8250799.6978511196</v>
      </c>
      <c r="L162" s="4">
        <v>3029098.2954571168</v>
      </c>
    </row>
    <row r="163" spans="1:12" hidden="1" outlineLevel="1" x14ac:dyDescent="0.3">
      <c r="A163" s="31">
        <v>45838</v>
      </c>
      <c r="B163" s="31">
        <f>EDATE(B187,-1)</f>
        <v>46019</v>
      </c>
      <c r="C163" t="s">
        <v>652</v>
      </c>
      <c r="D163" s="4">
        <v>59268362.135164678</v>
      </c>
      <c r="E163" s="4">
        <v>35881788.569076143</v>
      </c>
      <c r="F163" s="4">
        <v>23386573.566088539</v>
      </c>
      <c r="G163" s="4">
        <v>12250000</v>
      </c>
      <c r="H163" s="26">
        <v>0.25</v>
      </c>
      <c r="I163" s="4">
        <v>18400000</v>
      </c>
      <c r="J163" s="4">
        <v>16016201.196298631</v>
      </c>
      <c r="K163" s="4">
        <v>8274969.312129382</v>
      </c>
      <c r="L163" s="4">
        <v>2954747.8156785169</v>
      </c>
    </row>
    <row r="164" spans="1:12" hidden="1" outlineLevel="1" x14ac:dyDescent="0.3">
      <c r="A164" s="31">
        <v>45838</v>
      </c>
      <c r="B164" s="31">
        <f>EDATE(B188,-1)</f>
        <v>46050</v>
      </c>
      <c r="C164" t="s">
        <v>652</v>
      </c>
      <c r="D164" s="4">
        <v>58726021.411114737</v>
      </c>
      <c r="E164" s="4">
        <v>39764008.249703251</v>
      </c>
      <c r="F164" s="4">
        <v>18962013.16141149</v>
      </c>
      <c r="G164" s="4">
        <v>12100000</v>
      </c>
      <c r="H164" s="26">
        <v>0.25</v>
      </c>
      <c r="I164" s="4">
        <v>18300000</v>
      </c>
      <c r="J164" s="4">
        <v>16118473.567856239</v>
      </c>
      <c r="K164" s="4">
        <v>8635735.0771482531</v>
      </c>
      <c r="L164" s="4">
        <v>2996585.3608145928</v>
      </c>
    </row>
    <row r="165" spans="1:12" hidden="1" outlineLevel="1" x14ac:dyDescent="0.3">
      <c r="A165" s="31">
        <v>45838</v>
      </c>
      <c r="B165" s="31">
        <f>EDATE(B189,-1)</f>
        <v>46081</v>
      </c>
      <c r="C165" t="s">
        <v>652</v>
      </c>
      <c r="D165" s="4">
        <v>58694178.05470483</v>
      </c>
      <c r="E165" s="4">
        <v>33381574.569802359</v>
      </c>
      <c r="F165" s="4">
        <v>25312603.484902471</v>
      </c>
      <c r="G165" s="4">
        <v>11850000</v>
      </c>
      <c r="H165" s="26">
        <v>0.24</v>
      </c>
      <c r="I165" s="4">
        <v>18150000</v>
      </c>
      <c r="J165" s="4">
        <v>16387375.65311479</v>
      </c>
      <c r="K165" s="4">
        <v>8470544.6447577681</v>
      </c>
      <c r="L165" s="4">
        <v>3017165.863533475</v>
      </c>
    </row>
    <row r="166" spans="1:12" hidden="1" outlineLevel="1" x14ac:dyDescent="0.3">
      <c r="A166" s="31">
        <v>45838</v>
      </c>
      <c r="B166" s="31">
        <f>EDATE(B190,-1)</f>
        <v>46111</v>
      </c>
      <c r="C166" t="s">
        <v>652</v>
      </c>
      <c r="D166" s="4">
        <v>60236660.600820407</v>
      </c>
      <c r="E166" s="4">
        <v>37578479.776028372</v>
      </c>
      <c r="F166" s="4">
        <v>22658180.824792031</v>
      </c>
      <c r="G166" s="4">
        <v>12000000</v>
      </c>
      <c r="H166" s="26">
        <v>0.24</v>
      </c>
      <c r="I166" s="4">
        <v>18250000</v>
      </c>
      <c r="J166" s="4">
        <v>16623382.092707651</v>
      </c>
      <c r="K166" s="4">
        <v>8624986.8799046632</v>
      </c>
      <c r="L166" s="4">
        <v>3044699.174657627</v>
      </c>
    </row>
    <row r="167" spans="1:12" hidden="1" outlineLevel="1" x14ac:dyDescent="0.3">
      <c r="A167" s="31">
        <v>45838</v>
      </c>
      <c r="B167" s="31">
        <f>EDATE(B191,-1)</f>
        <v>46142</v>
      </c>
      <c r="C167" t="s">
        <v>652</v>
      </c>
      <c r="D167" s="4">
        <v>58578352.931754313</v>
      </c>
      <c r="E167" s="4">
        <v>37028052.720645331</v>
      </c>
      <c r="F167" s="4">
        <v>21550300.211108979</v>
      </c>
      <c r="G167" s="4">
        <v>12400000</v>
      </c>
      <c r="H167" s="26">
        <v>0.24</v>
      </c>
      <c r="I167" s="4">
        <v>18500000</v>
      </c>
      <c r="J167" s="4">
        <v>16468926.497397119</v>
      </c>
      <c r="K167" s="4">
        <v>8838746.8905487265</v>
      </c>
      <c r="L167" s="4">
        <v>3117583.9784047422</v>
      </c>
    </row>
    <row r="168" spans="1:12" hidden="1" outlineLevel="1" x14ac:dyDescent="0.3">
      <c r="A168" s="31">
        <v>45838</v>
      </c>
      <c r="B168" s="31">
        <f>EDATE(B192,-1)</f>
        <v>46172</v>
      </c>
      <c r="C168" t="s">
        <v>652</v>
      </c>
      <c r="D168" s="4">
        <v>59201034.948166907</v>
      </c>
      <c r="E168" s="4">
        <v>34743025.534212232</v>
      </c>
      <c r="F168" s="4">
        <v>24458009.413954679</v>
      </c>
      <c r="G168" s="4">
        <v>12550000</v>
      </c>
      <c r="H168" s="26">
        <v>0.25</v>
      </c>
      <c r="I168" s="4">
        <v>18650000</v>
      </c>
      <c r="J168" s="4">
        <v>16064576.35104703</v>
      </c>
      <c r="K168" s="4">
        <v>9057738.8751288746</v>
      </c>
      <c r="L168" s="4">
        <v>3116582.01478629</v>
      </c>
    </row>
    <row r="169" spans="1:12" hidden="1" outlineLevel="1" x14ac:dyDescent="0.3">
      <c r="A169" s="31">
        <v>45838</v>
      </c>
      <c r="B169" s="31">
        <f>EDATE(B193,-1)</f>
        <v>46203</v>
      </c>
      <c r="C169" t="s">
        <v>652</v>
      </c>
      <c r="D169" s="4">
        <v>59842255.988201603</v>
      </c>
      <c r="E169" s="4">
        <v>33707294.426787637</v>
      </c>
      <c r="F169" s="4">
        <v>26134961.561413959</v>
      </c>
      <c r="G169" s="4">
        <v>12300000</v>
      </c>
      <c r="H169" s="26">
        <v>0.24</v>
      </c>
      <c r="I169" s="4">
        <v>18450000</v>
      </c>
      <c r="J169" s="4">
        <v>16070591.55420042</v>
      </c>
      <c r="K169" s="4">
        <v>8655529.1706803143</v>
      </c>
      <c r="L169" s="4">
        <v>3100777.1046122839</v>
      </c>
    </row>
    <row r="170" spans="1:12" hidden="1" outlineLevel="1" x14ac:dyDescent="0.3">
      <c r="A170" s="31">
        <v>45869</v>
      </c>
      <c r="B170" s="31">
        <f>EDATE(B194,-1)</f>
        <v>45534</v>
      </c>
      <c r="C170" t="s">
        <v>653</v>
      </c>
      <c r="D170" s="4">
        <v>25261800.533</v>
      </c>
      <c r="E170" s="4">
        <v>14837765.862431441</v>
      </c>
      <c r="F170" s="4">
        <v>10424034.670568559</v>
      </c>
      <c r="G170" s="4">
        <v>12863419</v>
      </c>
      <c r="H170" s="26">
        <v>0.24</v>
      </c>
      <c r="I170" s="4">
        <v>17247000</v>
      </c>
      <c r="J170" s="4">
        <v>15548388.68</v>
      </c>
      <c r="K170" s="4">
        <v>7961818.46</v>
      </c>
      <c r="L170" s="4">
        <v>2792148.66</v>
      </c>
    </row>
    <row r="171" spans="1:12" hidden="1" outlineLevel="1" x14ac:dyDescent="0.3">
      <c r="A171" s="31">
        <v>45869</v>
      </c>
      <c r="B171" s="31">
        <f>EDATE(B195,-1)</f>
        <v>45565</v>
      </c>
      <c r="C171" t="s">
        <v>653</v>
      </c>
      <c r="D171" s="4">
        <v>24953069.447500002</v>
      </c>
      <c r="E171" s="4">
        <v>14100846.44006091</v>
      </c>
      <c r="F171" s="4">
        <v>10852223.00743909</v>
      </c>
      <c r="G171" s="4">
        <v>11950485</v>
      </c>
      <c r="H171" s="26">
        <v>0.25</v>
      </c>
      <c r="I171" s="4">
        <v>17082000</v>
      </c>
      <c r="J171" s="4">
        <v>15082241.98</v>
      </c>
      <c r="K171" s="4">
        <v>8075446.4500000002</v>
      </c>
      <c r="L171" s="4">
        <v>2891511</v>
      </c>
    </row>
    <row r="172" spans="1:12" hidden="1" outlineLevel="1" x14ac:dyDescent="0.3">
      <c r="A172" s="31">
        <v>45869</v>
      </c>
      <c r="B172" s="31">
        <f>EDATE(B196,-1)</f>
        <v>45593</v>
      </c>
      <c r="C172" t="s">
        <v>653</v>
      </c>
      <c r="D172" s="4">
        <v>25385755.997499999</v>
      </c>
      <c r="E172" s="4">
        <v>15679349.162797621</v>
      </c>
      <c r="F172" s="4">
        <v>9706406.8347023819</v>
      </c>
      <c r="G172" s="4">
        <v>12008506</v>
      </c>
      <c r="H172" s="26">
        <v>0.24</v>
      </c>
      <c r="I172" s="4">
        <v>17284000</v>
      </c>
      <c r="J172" s="4">
        <v>15494985.800000001</v>
      </c>
      <c r="K172" s="4">
        <v>8314030.6500000004</v>
      </c>
      <c r="L172" s="4">
        <v>2777361.85</v>
      </c>
    </row>
    <row r="173" spans="1:12" hidden="1" outlineLevel="1" x14ac:dyDescent="0.3">
      <c r="A173" s="31">
        <v>45869</v>
      </c>
      <c r="B173" s="31">
        <f>EDATE(B197,-1)</f>
        <v>45624</v>
      </c>
      <c r="C173" t="s">
        <v>653</v>
      </c>
      <c r="D173" s="4">
        <v>25277896.943</v>
      </c>
      <c r="E173" s="4">
        <v>14556484.944138199</v>
      </c>
      <c r="F173" s="4">
        <v>10721411.998861801</v>
      </c>
      <c r="G173" s="4">
        <v>11949467</v>
      </c>
      <c r="H173" s="26">
        <v>0.24</v>
      </c>
      <c r="I173" s="4">
        <v>17156000</v>
      </c>
      <c r="J173" s="4">
        <v>15479513.369999999</v>
      </c>
      <c r="K173" s="4">
        <v>8290983.3200000003</v>
      </c>
      <c r="L173" s="4">
        <v>2841880.48</v>
      </c>
    </row>
    <row r="174" spans="1:12" hidden="1" outlineLevel="1" x14ac:dyDescent="0.3">
      <c r="A174" s="31">
        <v>45869</v>
      </c>
      <c r="B174" s="31">
        <f>EDATE(B198,-1)</f>
        <v>45654</v>
      </c>
      <c r="C174" t="s">
        <v>653</v>
      </c>
      <c r="D174" s="4">
        <v>25456303.252999999</v>
      </c>
      <c r="E174" s="4">
        <v>14019432.53699572</v>
      </c>
      <c r="F174" s="4">
        <v>11436870.71600428</v>
      </c>
      <c r="G174" s="4">
        <v>12134463</v>
      </c>
      <c r="H174" s="26">
        <v>0.26</v>
      </c>
      <c r="I174" s="4">
        <v>17476000</v>
      </c>
      <c r="J174" s="4">
        <v>15424116.5</v>
      </c>
      <c r="K174" s="4">
        <v>8076287.1799999997</v>
      </c>
      <c r="L174" s="4">
        <v>2936122.45</v>
      </c>
    </row>
    <row r="175" spans="1:12" hidden="1" outlineLevel="1" x14ac:dyDescent="0.3">
      <c r="A175" s="31">
        <v>45869</v>
      </c>
      <c r="B175" s="31">
        <f>EDATE(B199,-1)</f>
        <v>45685</v>
      </c>
      <c r="C175" t="s">
        <v>653</v>
      </c>
      <c r="D175" s="4">
        <v>25492423.285500001</v>
      </c>
      <c r="E175" s="4">
        <v>15217740.48513365</v>
      </c>
      <c r="F175" s="4">
        <v>10274682.80036635</v>
      </c>
      <c r="G175" s="4">
        <v>12007009</v>
      </c>
      <c r="H175" s="26">
        <v>0.25</v>
      </c>
      <c r="I175" s="4">
        <v>17294000</v>
      </c>
      <c r="J175" s="4">
        <v>15832759.720000001</v>
      </c>
      <c r="K175" s="4">
        <v>8042606.9699999997</v>
      </c>
      <c r="L175" s="4">
        <v>2900254.93</v>
      </c>
    </row>
    <row r="176" spans="1:12" hidden="1" outlineLevel="1" x14ac:dyDescent="0.3">
      <c r="A176" s="31">
        <v>45869</v>
      </c>
      <c r="B176" s="31">
        <f>EDATE(B200,-1)</f>
        <v>45716</v>
      </c>
      <c r="C176" t="s">
        <v>653</v>
      </c>
      <c r="D176" s="4">
        <v>25925152.5185</v>
      </c>
      <c r="E176" s="4">
        <v>14128447.208599791</v>
      </c>
      <c r="F176" s="4">
        <v>11796705.309900209</v>
      </c>
      <c r="G176" s="4">
        <v>11903993</v>
      </c>
      <c r="H176" s="26">
        <v>0.25</v>
      </c>
      <c r="I176" s="4">
        <v>17705000</v>
      </c>
      <c r="J176" s="4">
        <v>15777910.43</v>
      </c>
      <c r="K176" s="4">
        <v>8373596.6900000004</v>
      </c>
      <c r="L176" s="4">
        <v>2936692.31</v>
      </c>
    </row>
    <row r="177" spans="1:12" hidden="1" outlineLevel="1" x14ac:dyDescent="0.3">
      <c r="A177" s="31">
        <v>45869</v>
      </c>
      <c r="B177" s="31">
        <f>EDATE(B201,-1)</f>
        <v>45746</v>
      </c>
      <c r="C177" t="s">
        <v>653</v>
      </c>
      <c r="D177" s="4">
        <v>25918174.6175</v>
      </c>
      <c r="E177" s="4">
        <v>16383934.704711931</v>
      </c>
      <c r="F177" s="4">
        <v>9534239.9127880726</v>
      </c>
      <c r="G177" s="4">
        <v>11403422</v>
      </c>
      <c r="H177" s="26">
        <v>0.24</v>
      </c>
      <c r="I177" s="4">
        <v>17631000</v>
      </c>
      <c r="J177" s="4">
        <v>15955420.82</v>
      </c>
      <c r="K177" s="4">
        <v>8248857.9299999997</v>
      </c>
      <c r="L177" s="4">
        <v>2979719.66</v>
      </c>
    </row>
    <row r="178" spans="1:12" hidden="1" outlineLevel="1" x14ac:dyDescent="0.3">
      <c r="A178" s="31">
        <v>45869</v>
      </c>
      <c r="B178" s="31">
        <f>EDATE(B202,-1)</f>
        <v>45777</v>
      </c>
      <c r="C178" t="s">
        <v>653</v>
      </c>
      <c r="D178" s="4">
        <v>26170713.609000001</v>
      </c>
      <c r="E178" s="4">
        <v>14924234.770103309</v>
      </c>
      <c r="F178" s="4">
        <v>11246478.83889669</v>
      </c>
      <c r="G178" s="4">
        <v>11621535</v>
      </c>
      <c r="H178" s="26">
        <v>0.24</v>
      </c>
      <c r="I178" s="4">
        <v>17686000</v>
      </c>
      <c r="J178" s="4">
        <v>16280521.35</v>
      </c>
      <c r="K178" s="4">
        <v>8389962</v>
      </c>
      <c r="L178" s="4">
        <v>2957231.17</v>
      </c>
    </row>
    <row r="179" spans="1:12" hidden="1" outlineLevel="1" x14ac:dyDescent="0.3">
      <c r="A179" s="31">
        <v>45869</v>
      </c>
      <c r="B179" s="31">
        <f>EDATE(B203,-1)</f>
        <v>45807</v>
      </c>
      <c r="C179" t="s">
        <v>653</v>
      </c>
      <c r="D179" s="4">
        <v>26211531.447500002</v>
      </c>
      <c r="E179" s="4">
        <v>16132405.735600401</v>
      </c>
      <c r="F179" s="4">
        <v>10079125.711899601</v>
      </c>
      <c r="G179" s="4">
        <v>12474628</v>
      </c>
      <c r="H179" s="26">
        <v>0.24</v>
      </c>
      <c r="I179" s="4">
        <v>17851000</v>
      </c>
      <c r="J179" s="4">
        <v>15964921.560000001</v>
      </c>
      <c r="K179" s="4">
        <v>8561419.3300000001</v>
      </c>
      <c r="L179" s="4">
        <v>2973769.51</v>
      </c>
    </row>
    <row r="180" spans="1:12" hidden="1" outlineLevel="1" x14ac:dyDescent="0.3">
      <c r="A180" s="31">
        <v>45869</v>
      </c>
      <c r="B180" s="31">
        <f>EDATE(B204,-1)</f>
        <v>45838</v>
      </c>
      <c r="C180" t="s">
        <v>653</v>
      </c>
      <c r="D180" s="4">
        <v>26506005.449999999</v>
      </c>
      <c r="E180" s="4">
        <v>16569715.43115695</v>
      </c>
      <c r="F180" s="4">
        <v>9936290.018843051</v>
      </c>
      <c r="G180" s="4">
        <v>12180509</v>
      </c>
      <c r="H180" s="26">
        <v>0.24</v>
      </c>
      <c r="I180" s="4">
        <v>18063000</v>
      </c>
      <c r="J180" s="4">
        <v>16081454.49</v>
      </c>
      <c r="K180" s="4">
        <v>8692920.9399999995</v>
      </c>
      <c r="L180" s="4">
        <v>3055479.38</v>
      </c>
    </row>
    <row r="181" spans="1:12" hidden="1" outlineLevel="1" x14ac:dyDescent="0.3">
      <c r="A181" s="31">
        <v>45869</v>
      </c>
      <c r="B181" s="31">
        <f>EDATE(B205,-1)</f>
        <v>45868</v>
      </c>
      <c r="C181" t="s">
        <v>653</v>
      </c>
      <c r="D181" s="4">
        <v>57714301.159999996</v>
      </c>
      <c r="E181" s="4">
        <v>33337882.69720776</v>
      </c>
      <c r="F181" s="4">
        <v>24376418.46279224</v>
      </c>
      <c r="G181" s="4">
        <v>11502563</v>
      </c>
      <c r="H181" s="26">
        <v>0.24</v>
      </c>
      <c r="I181" s="4">
        <v>17864000</v>
      </c>
      <c r="J181" s="4">
        <v>15813089.640000001</v>
      </c>
      <c r="K181" s="4">
        <v>8427622.3499999996</v>
      </c>
      <c r="L181" s="4">
        <v>2964502.23</v>
      </c>
    </row>
    <row r="182" spans="1:12" hidden="1" outlineLevel="1" x14ac:dyDescent="0.3">
      <c r="A182" s="31">
        <v>45869</v>
      </c>
      <c r="B182" s="31">
        <f>EDATE(B206,-1)</f>
        <v>45899</v>
      </c>
      <c r="C182" t="s">
        <v>652</v>
      </c>
      <c r="D182" s="4">
        <v>58006254.590090297</v>
      </c>
      <c r="E182" s="4">
        <v>36264848.530913509</v>
      </c>
      <c r="F182" s="4">
        <v>21741406.059176799</v>
      </c>
      <c r="G182" s="4">
        <v>11750000</v>
      </c>
      <c r="H182" s="26">
        <v>0.24</v>
      </c>
      <c r="I182" s="4">
        <v>17950000</v>
      </c>
      <c r="J182" s="4">
        <v>15689590.774989991</v>
      </c>
      <c r="K182" s="4">
        <v>8094566.6051033959</v>
      </c>
      <c r="L182" s="4">
        <v>2812119.1050690128</v>
      </c>
    </row>
    <row r="183" spans="1:12" hidden="1" outlineLevel="1" x14ac:dyDescent="0.3">
      <c r="A183" s="31">
        <v>45869</v>
      </c>
      <c r="B183" s="31">
        <f>EDATE(B207,-1)</f>
        <v>45930</v>
      </c>
      <c r="C183" t="s">
        <v>652</v>
      </c>
      <c r="D183" s="4">
        <v>56006975.759334117</v>
      </c>
      <c r="E183" s="4">
        <v>34360042.963046066</v>
      </c>
      <c r="F183" s="4">
        <v>21646932.796288051</v>
      </c>
      <c r="G183" s="4">
        <v>11900000</v>
      </c>
      <c r="H183" s="26">
        <v>0.24</v>
      </c>
      <c r="I183" s="4">
        <v>18050000</v>
      </c>
      <c r="J183" s="4">
        <v>15235049.22023146</v>
      </c>
      <c r="K183" s="4">
        <v>8304480.9375934443</v>
      </c>
      <c r="L183" s="4">
        <v>2926973.8617713382</v>
      </c>
    </row>
    <row r="184" spans="1:12" hidden="1" outlineLevel="1" x14ac:dyDescent="0.3">
      <c r="A184" s="31">
        <v>45869</v>
      </c>
      <c r="B184" s="31">
        <f>EDATE(B208,-1)</f>
        <v>45958</v>
      </c>
      <c r="C184" t="s">
        <v>652</v>
      </c>
      <c r="D184" s="4">
        <v>58296444.809443243</v>
      </c>
      <c r="E184" s="4">
        <v>33342109.35275799</v>
      </c>
      <c r="F184" s="4">
        <v>24954335.456685241</v>
      </c>
      <c r="G184" s="4">
        <v>12050000</v>
      </c>
      <c r="H184" s="26">
        <v>0.24</v>
      </c>
      <c r="I184" s="4">
        <v>18200000</v>
      </c>
      <c r="J184" s="4">
        <v>15698038.464286219</v>
      </c>
      <c r="K184" s="4">
        <v>8415059.8425894473</v>
      </c>
      <c r="L184" s="4">
        <v>2829959.2761351322</v>
      </c>
    </row>
    <row r="185" spans="1:12" hidden="1" outlineLevel="1" x14ac:dyDescent="0.3">
      <c r="A185" s="31">
        <v>45869</v>
      </c>
      <c r="B185" s="31">
        <f>EDATE(B209,-1)</f>
        <v>45989</v>
      </c>
      <c r="C185" t="s">
        <v>652</v>
      </c>
      <c r="D185" s="4">
        <v>58115477.334494904</v>
      </c>
      <c r="E185" s="4">
        <v>36707282.808548927</v>
      </c>
      <c r="F185" s="4">
        <v>21408194.525945969</v>
      </c>
      <c r="G185" s="4">
        <v>12150000</v>
      </c>
      <c r="H185" s="26">
        <v>0.25</v>
      </c>
      <c r="I185" s="4">
        <v>18350000</v>
      </c>
      <c r="J185" s="4">
        <v>15664952.92531581</v>
      </c>
      <c r="K185" s="4">
        <v>8451279.5025654025</v>
      </c>
      <c r="L185" s="4">
        <v>2943175.2660944578</v>
      </c>
    </row>
    <row r="186" spans="1:12" hidden="1" outlineLevel="1" x14ac:dyDescent="0.3">
      <c r="A186" s="31">
        <v>45869</v>
      </c>
      <c r="B186" s="31">
        <f>EDATE(B210,-1)</f>
        <v>46019</v>
      </c>
      <c r="C186" t="s">
        <v>652</v>
      </c>
      <c r="D186" s="4">
        <v>56636738.098471299</v>
      </c>
      <c r="E186" s="4">
        <v>32805538.443287302</v>
      </c>
      <c r="F186" s="4">
        <v>23831199.655184001</v>
      </c>
      <c r="G186" s="4">
        <v>12300000</v>
      </c>
      <c r="H186" s="26">
        <v>0.25</v>
      </c>
      <c r="I186" s="4">
        <v>18450000</v>
      </c>
      <c r="J186" s="4">
        <v>15867202.66834002</v>
      </c>
      <c r="K186" s="4">
        <v>8250799.6978511196</v>
      </c>
      <c r="L186" s="4">
        <v>3029098.2954571168</v>
      </c>
    </row>
    <row r="187" spans="1:12" hidden="1" outlineLevel="1" x14ac:dyDescent="0.3">
      <c r="A187" s="31">
        <v>45869</v>
      </c>
      <c r="B187" s="31">
        <f>EDATE(B211,-1)</f>
        <v>46050</v>
      </c>
      <c r="C187" t="s">
        <v>652</v>
      </c>
      <c r="D187" s="4">
        <v>59268362.135164678</v>
      </c>
      <c r="E187" s="4">
        <v>35881788.569076143</v>
      </c>
      <c r="F187" s="4">
        <v>23386573.566088539</v>
      </c>
      <c r="G187" s="4">
        <v>12250000</v>
      </c>
      <c r="H187" s="26">
        <v>0.25</v>
      </c>
      <c r="I187" s="4">
        <v>18400000</v>
      </c>
      <c r="J187" s="4">
        <v>16016201.196298631</v>
      </c>
      <c r="K187" s="4">
        <v>8274969.312129382</v>
      </c>
      <c r="L187" s="4">
        <v>2954747.8156785169</v>
      </c>
    </row>
    <row r="188" spans="1:12" hidden="1" outlineLevel="1" x14ac:dyDescent="0.3">
      <c r="A188" s="31">
        <v>45869</v>
      </c>
      <c r="B188" s="31">
        <f>EDATE(B212,-1)</f>
        <v>46081</v>
      </c>
      <c r="C188" t="s">
        <v>652</v>
      </c>
      <c r="D188" s="4">
        <v>58726021.411114737</v>
      </c>
      <c r="E188" s="4">
        <v>39764008.249703251</v>
      </c>
      <c r="F188" s="4">
        <v>18962013.16141149</v>
      </c>
      <c r="G188" s="4">
        <v>12100000</v>
      </c>
      <c r="H188" s="26">
        <v>0.25</v>
      </c>
      <c r="I188" s="4">
        <v>18300000</v>
      </c>
      <c r="J188" s="4">
        <v>16118473.567856239</v>
      </c>
      <c r="K188" s="4">
        <v>8635735.0771482531</v>
      </c>
      <c r="L188" s="4">
        <v>2996585.3608145928</v>
      </c>
    </row>
    <row r="189" spans="1:12" hidden="1" outlineLevel="1" x14ac:dyDescent="0.3">
      <c r="A189" s="31">
        <v>45869</v>
      </c>
      <c r="B189" s="31">
        <f>EDATE(B213,-1)</f>
        <v>46111</v>
      </c>
      <c r="C189" t="s">
        <v>652</v>
      </c>
      <c r="D189" s="4">
        <v>58694178.05470483</v>
      </c>
      <c r="E189" s="4">
        <v>33381574.569802359</v>
      </c>
      <c r="F189" s="4">
        <v>25312603.484902471</v>
      </c>
      <c r="G189" s="4">
        <v>11850000</v>
      </c>
      <c r="H189" s="26">
        <v>0.24</v>
      </c>
      <c r="I189" s="4">
        <v>18150000</v>
      </c>
      <c r="J189" s="4">
        <v>16387375.65311479</v>
      </c>
      <c r="K189" s="4">
        <v>8470544.6447577681</v>
      </c>
      <c r="L189" s="4">
        <v>3017165.863533475</v>
      </c>
    </row>
    <row r="190" spans="1:12" hidden="1" outlineLevel="1" x14ac:dyDescent="0.3">
      <c r="A190" s="31">
        <v>45869</v>
      </c>
      <c r="B190" s="31">
        <f>EDATE(B214,-1)</f>
        <v>46142</v>
      </c>
      <c r="C190" t="s">
        <v>652</v>
      </c>
      <c r="D190" s="4">
        <v>60236660.600820407</v>
      </c>
      <c r="E190" s="4">
        <v>37578479.776028372</v>
      </c>
      <c r="F190" s="4">
        <v>22658180.824792031</v>
      </c>
      <c r="G190" s="4">
        <v>12000000</v>
      </c>
      <c r="H190" s="26">
        <v>0.24</v>
      </c>
      <c r="I190" s="4">
        <v>18250000</v>
      </c>
      <c r="J190" s="4">
        <v>16623382.092707651</v>
      </c>
      <c r="K190" s="4">
        <v>8624986.8799046632</v>
      </c>
      <c r="L190" s="4">
        <v>3044699.174657627</v>
      </c>
    </row>
    <row r="191" spans="1:12" hidden="1" outlineLevel="1" x14ac:dyDescent="0.3">
      <c r="A191" s="31">
        <v>45869</v>
      </c>
      <c r="B191" s="31">
        <f>EDATE(B215,-1)</f>
        <v>46172</v>
      </c>
      <c r="C191" t="s">
        <v>652</v>
      </c>
      <c r="D191" s="4">
        <v>58578352.931754313</v>
      </c>
      <c r="E191" s="4">
        <v>37028052.720645331</v>
      </c>
      <c r="F191" s="4">
        <v>21550300.211108979</v>
      </c>
      <c r="G191" s="4">
        <v>12400000</v>
      </c>
      <c r="H191" s="26">
        <v>0.24</v>
      </c>
      <c r="I191" s="4">
        <v>18500000</v>
      </c>
      <c r="J191" s="4">
        <v>16468926.497397119</v>
      </c>
      <c r="K191" s="4">
        <v>8838746.8905487265</v>
      </c>
      <c r="L191" s="4">
        <v>3117583.9784047422</v>
      </c>
    </row>
    <row r="192" spans="1:12" hidden="1" outlineLevel="1" x14ac:dyDescent="0.3">
      <c r="A192" s="31">
        <v>45869</v>
      </c>
      <c r="B192" s="31">
        <f>EDATE(B216,-1)</f>
        <v>46203</v>
      </c>
      <c r="C192" t="s">
        <v>652</v>
      </c>
      <c r="D192" s="4">
        <v>59201034.948166907</v>
      </c>
      <c r="E192" s="4">
        <v>34743025.534212232</v>
      </c>
      <c r="F192" s="4">
        <v>24458009.413954679</v>
      </c>
      <c r="G192" s="4">
        <v>12550000</v>
      </c>
      <c r="H192" s="26">
        <v>0.25</v>
      </c>
      <c r="I192" s="4">
        <v>18650000</v>
      </c>
      <c r="J192" s="4">
        <v>16064576.35104703</v>
      </c>
      <c r="K192" s="4">
        <v>9057738.8751288746</v>
      </c>
      <c r="L192" s="4">
        <v>3116582.01478629</v>
      </c>
    </row>
    <row r="193" spans="1:12" hidden="1" outlineLevel="1" x14ac:dyDescent="0.3">
      <c r="A193" s="31">
        <v>45869</v>
      </c>
      <c r="B193" s="31">
        <f>EDATE(B217,-1)</f>
        <v>46233</v>
      </c>
      <c r="C193" t="s">
        <v>652</v>
      </c>
      <c r="D193" s="4">
        <v>59842255.988201603</v>
      </c>
      <c r="E193" s="4">
        <v>33707294.426787637</v>
      </c>
      <c r="F193" s="4">
        <v>26134961.561413959</v>
      </c>
      <c r="G193" s="4">
        <v>12300000</v>
      </c>
      <c r="H193" s="26">
        <v>0.24</v>
      </c>
      <c r="I193" s="4">
        <v>18450000</v>
      </c>
      <c r="J193" s="4">
        <v>16070591.55420042</v>
      </c>
      <c r="K193" s="4">
        <v>8655529.1706803143</v>
      </c>
      <c r="L193" s="4">
        <v>3100777.1046122839</v>
      </c>
    </row>
    <row r="194" spans="1:12" hidden="1" outlineLevel="1" x14ac:dyDescent="0.3">
      <c r="A194" s="31">
        <v>45900</v>
      </c>
      <c r="B194" s="31">
        <f>EDATE(B218,-1)</f>
        <v>45565</v>
      </c>
      <c r="C194" t="s">
        <v>653</v>
      </c>
      <c r="D194" s="4">
        <v>25261800.533</v>
      </c>
      <c r="E194" s="4">
        <v>14837765.862431441</v>
      </c>
      <c r="F194" s="4">
        <v>10424034.670568559</v>
      </c>
      <c r="G194" s="4">
        <v>12863419</v>
      </c>
      <c r="H194" s="26">
        <v>0.24</v>
      </c>
      <c r="I194" s="4">
        <v>17247000</v>
      </c>
      <c r="J194" s="4">
        <v>15548388.68</v>
      </c>
      <c r="K194" s="4">
        <v>7961818.46</v>
      </c>
      <c r="L194" s="4">
        <v>2792148.66</v>
      </c>
    </row>
    <row r="195" spans="1:12" hidden="1" outlineLevel="1" x14ac:dyDescent="0.3">
      <c r="A195" s="31">
        <v>45900</v>
      </c>
      <c r="B195" s="31">
        <f>EDATE(B219,-1)</f>
        <v>45595</v>
      </c>
      <c r="C195" t="s">
        <v>653</v>
      </c>
      <c r="D195" s="4">
        <v>24953069.447500002</v>
      </c>
      <c r="E195" s="4">
        <v>14100846.44006091</v>
      </c>
      <c r="F195" s="4">
        <v>10852223.00743909</v>
      </c>
      <c r="G195" s="4">
        <v>11950485</v>
      </c>
      <c r="H195" s="26">
        <v>0.25</v>
      </c>
      <c r="I195" s="4">
        <v>17082000</v>
      </c>
      <c r="J195" s="4">
        <v>15082241.98</v>
      </c>
      <c r="K195" s="4">
        <v>8075446.4500000002</v>
      </c>
      <c r="L195" s="4">
        <v>2891511</v>
      </c>
    </row>
    <row r="196" spans="1:12" hidden="1" outlineLevel="1" x14ac:dyDescent="0.3">
      <c r="A196" s="31">
        <v>45900</v>
      </c>
      <c r="B196" s="31">
        <f>EDATE(B220,-1)</f>
        <v>45624</v>
      </c>
      <c r="C196" t="s">
        <v>653</v>
      </c>
      <c r="D196" s="4">
        <v>25385755.997499999</v>
      </c>
      <c r="E196" s="4">
        <v>15679349.162797621</v>
      </c>
      <c r="F196" s="4">
        <v>9706406.8347023819</v>
      </c>
      <c r="G196" s="4">
        <v>12008506</v>
      </c>
      <c r="H196" s="26">
        <v>0.24</v>
      </c>
      <c r="I196" s="4">
        <v>17284000</v>
      </c>
      <c r="J196" s="4">
        <v>15494985.800000001</v>
      </c>
      <c r="K196" s="4">
        <v>8314030.6500000004</v>
      </c>
      <c r="L196" s="4">
        <v>2777361.85</v>
      </c>
    </row>
    <row r="197" spans="1:12" hidden="1" outlineLevel="1" x14ac:dyDescent="0.3">
      <c r="A197" s="31">
        <v>45900</v>
      </c>
      <c r="B197" s="31">
        <f>EDATE(B221,-1)</f>
        <v>45654</v>
      </c>
      <c r="C197" t="s">
        <v>653</v>
      </c>
      <c r="D197" s="4">
        <v>25277896.943</v>
      </c>
      <c r="E197" s="4">
        <v>14556484.944138199</v>
      </c>
      <c r="F197" s="4">
        <v>10721411.998861801</v>
      </c>
      <c r="G197" s="4">
        <v>11949467</v>
      </c>
      <c r="H197" s="26">
        <v>0.24</v>
      </c>
      <c r="I197" s="4">
        <v>17156000</v>
      </c>
      <c r="J197" s="4">
        <v>15479513.369999999</v>
      </c>
      <c r="K197" s="4">
        <v>8290983.3200000003</v>
      </c>
      <c r="L197" s="4">
        <v>2841880.48</v>
      </c>
    </row>
    <row r="198" spans="1:12" hidden="1" outlineLevel="1" x14ac:dyDescent="0.3">
      <c r="A198" s="31">
        <v>45900</v>
      </c>
      <c r="B198" s="31">
        <f>EDATE(B222,-1)</f>
        <v>45685</v>
      </c>
      <c r="C198" t="s">
        <v>653</v>
      </c>
      <c r="D198" s="4">
        <v>25456303.252999999</v>
      </c>
      <c r="E198" s="4">
        <v>14019432.53699572</v>
      </c>
      <c r="F198" s="4">
        <v>11436870.71600428</v>
      </c>
      <c r="G198" s="4">
        <v>12134463</v>
      </c>
      <c r="H198" s="26">
        <v>0.26</v>
      </c>
      <c r="I198" s="4">
        <v>17476000</v>
      </c>
      <c r="J198" s="4">
        <v>15424116.5</v>
      </c>
      <c r="K198" s="4">
        <v>8076287.1799999997</v>
      </c>
      <c r="L198" s="4">
        <v>2936122.45</v>
      </c>
    </row>
    <row r="199" spans="1:12" hidden="1" outlineLevel="1" x14ac:dyDescent="0.3">
      <c r="A199" s="31">
        <v>45900</v>
      </c>
      <c r="B199" s="31">
        <f>EDATE(B223,-1)</f>
        <v>45716</v>
      </c>
      <c r="C199" t="s">
        <v>653</v>
      </c>
      <c r="D199" s="4">
        <v>25492423.285500001</v>
      </c>
      <c r="E199" s="4">
        <v>15217740.48513365</v>
      </c>
      <c r="F199" s="4">
        <v>10274682.80036635</v>
      </c>
      <c r="G199" s="4">
        <v>12007009</v>
      </c>
      <c r="H199" s="26">
        <v>0.25</v>
      </c>
      <c r="I199" s="4">
        <v>17294000</v>
      </c>
      <c r="J199" s="4">
        <v>15832759.720000001</v>
      </c>
      <c r="K199" s="4">
        <v>8042606.9699999997</v>
      </c>
      <c r="L199" s="4">
        <v>2900254.93</v>
      </c>
    </row>
    <row r="200" spans="1:12" hidden="1" outlineLevel="1" x14ac:dyDescent="0.3">
      <c r="A200" s="31">
        <v>45900</v>
      </c>
      <c r="B200" s="31">
        <f>EDATE(B224,-1)</f>
        <v>45746</v>
      </c>
      <c r="C200" t="s">
        <v>653</v>
      </c>
      <c r="D200" s="4">
        <v>25925152.5185</v>
      </c>
      <c r="E200" s="4">
        <v>14128447.208599791</v>
      </c>
      <c r="F200" s="4">
        <v>11796705.309900209</v>
      </c>
      <c r="G200" s="4">
        <v>11903993</v>
      </c>
      <c r="H200" s="26">
        <v>0.25</v>
      </c>
      <c r="I200" s="4">
        <v>17705000</v>
      </c>
      <c r="J200" s="4">
        <v>15777910.43</v>
      </c>
      <c r="K200" s="4">
        <v>8373596.6900000004</v>
      </c>
      <c r="L200" s="4">
        <v>2936692.31</v>
      </c>
    </row>
    <row r="201" spans="1:12" hidden="1" outlineLevel="1" x14ac:dyDescent="0.3">
      <c r="A201" s="31">
        <v>45900</v>
      </c>
      <c r="B201" s="31">
        <f>EDATE(B225,-1)</f>
        <v>45777</v>
      </c>
      <c r="C201" t="s">
        <v>653</v>
      </c>
      <c r="D201" s="4">
        <v>25918174.6175</v>
      </c>
      <c r="E201" s="4">
        <v>16383934.704711931</v>
      </c>
      <c r="F201" s="4">
        <v>9534239.9127880726</v>
      </c>
      <c r="G201" s="4">
        <v>11403422</v>
      </c>
      <c r="H201" s="26">
        <v>0.24</v>
      </c>
      <c r="I201" s="4">
        <v>17631000</v>
      </c>
      <c r="J201" s="4">
        <v>15955420.82</v>
      </c>
      <c r="K201" s="4">
        <v>8248857.9299999997</v>
      </c>
      <c r="L201" s="4">
        <v>2979719.66</v>
      </c>
    </row>
    <row r="202" spans="1:12" hidden="1" outlineLevel="1" x14ac:dyDescent="0.3">
      <c r="A202" s="31">
        <v>45900</v>
      </c>
      <c r="B202" s="31">
        <f>EDATE(B226,-1)</f>
        <v>45807</v>
      </c>
      <c r="C202" t="s">
        <v>653</v>
      </c>
      <c r="D202" s="4">
        <v>26170713.609000001</v>
      </c>
      <c r="E202" s="4">
        <v>14924234.770103309</v>
      </c>
      <c r="F202" s="4">
        <v>11246478.83889669</v>
      </c>
      <c r="G202" s="4">
        <v>11621535</v>
      </c>
      <c r="H202" s="26">
        <v>0.24</v>
      </c>
      <c r="I202" s="4">
        <v>17686000</v>
      </c>
      <c r="J202" s="4">
        <v>16280521.35</v>
      </c>
      <c r="K202" s="4">
        <v>8389962</v>
      </c>
      <c r="L202" s="4">
        <v>2957231.17</v>
      </c>
    </row>
    <row r="203" spans="1:12" hidden="1" outlineLevel="1" x14ac:dyDescent="0.3">
      <c r="A203" s="31">
        <v>45900</v>
      </c>
      <c r="B203" s="31">
        <f>EDATE(B227,-1)</f>
        <v>45838</v>
      </c>
      <c r="C203" t="s">
        <v>653</v>
      </c>
      <c r="D203" s="4">
        <v>26211531.447500002</v>
      </c>
      <c r="E203" s="4">
        <v>16132405.735600401</v>
      </c>
      <c r="F203" s="4">
        <v>10079125.711899601</v>
      </c>
      <c r="G203" s="4">
        <v>12474628</v>
      </c>
      <c r="H203" s="26">
        <v>0.24</v>
      </c>
      <c r="I203" s="4">
        <v>17851000</v>
      </c>
      <c r="J203" s="4">
        <v>15964921.560000001</v>
      </c>
      <c r="K203" s="4">
        <v>8561419.3300000001</v>
      </c>
      <c r="L203" s="4">
        <v>2973769.51</v>
      </c>
    </row>
    <row r="204" spans="1:12" hidden="1" outlineLevel="1" x14ac:dyDescent="0.3">
      <c r="A204" s="31">
        <v>45900</v>
      </c>
      <c r="B204" s="31">
        <f>EDATE(B228,-1)</f>
        <v>45868</v>
      </c>
      <c r="C204" t="s">
        <v>653</v>
      </c>
      <c r="D204" s="4">
        <v>26506005.449999999</v>
      </c>
      <c r="E204" s="4">
        <v>16569715.43115695</v>
      </c>
      <c r="F204" s="4">
        <v>9936290.018843051</v>
      </c>
      <c r="G204" s="4">
        <v>12180509</v>
      </c>
      <c r="H204" s="26">
        <v>0.24</v>
      </c>
      <c r="I204" s="4">
        <v>18063000</v>
      </c>
      <c r="J204" s="4">
        <v>16081454.49</v>
      </c>
      <c r="K204" s="4">
        <v>8692920.9399999995</v>
      </c>
      <c r="L204" s="4">
        <v>3055479.38</v>
      </c>
    </row>
    <row r="205" spans="1:12" hidden="1" outlineLevel="1" x14ac:dyDescent="0.3">
      <c r="A205" s="31">
        <v>45900</v>
      </c>
      <c r="B205" s="31">
        <f>EDATE(B229,-1)</f>
        <v>45899</v>
      </c>
      <c r="C205" t="s">
        <v>653</v>
      </c>
      <c r="D205" s="4">
        <v>57714301.159999996</v>
      </c>
      <c r="E205" s="4">
        <v>33337882.69720776</v>
      </c>
      <c r="F205" s="4">
        <v>24376418.46279224</v>
      </c>
      <c r="G205" s="4">
        <v>11502563</v>
      </c>
      <c r="H205" s="26">
        <v>0.24</v>
      </c>
      <c r="I205" s="4">
        <v>17864000</v>
      </c>
      <c r="J205" s="4">
        <v>15813089.640000001</v>
      </c>
      <c r="K205" s="4">
        <v>8427622.3499999996</v>
      </c>
      <c r="L205" s="4">
        <v>2964502.23</v>
      </c>
    </row>
    <row r="206" spans="1:12" hidden="1" outlineLevel="1" x14ac:dyDescent="0.3">
      <c r="A206" s="31">
        <v>45900</v>
      </c>
      <c r="B206" s="31">
        <f>EDATE(B230,-1)</f>
        <v>45930</v>
      </c>
      <c r="C206" t="s">
        <v>652</v>
      </c>
      <c r="D206" s="4">
        <v>58006254.590090297</v>
      </c>
      <c r="E206" s="4">
        <v>36264848.530913509</v>
      </c>
      <c r="F206" s="4">
        <v>21741406.059176799</v>
      </c>
      <c r="G206" s="4">
        <v>11750000</v>
      </c>
      <c r="H206" s="26">
        <v>0.24</v>
      </c>
      <c r="I206" s="4">
        <v>17950000</v>
      </c>
      <c r="J206" s="4">
        <v>15689590.774989991</v>
      </c>
      <c r="K206" s="4">
        <v>8094566.6051033959</v>
      </c>
      <c r="L206" s="4">
        <v>2812119.1050690128</v>
      </c>
    </row>
    <row r="207" spans="1:12" hidden="1" outlineLevel="1" x14ac:dyDescent="0.3">
      <c r="A207" s="31">
        <v>45900</v>
      </c>
      <c r="B207" s="31">
        <f>EDATE(B231,-1)</f>
        <v>45960</v>
      </c>
      <c r="C207" t="s">
        <v>652</v>
      </c>
      <c r="D207" s="4">
        <v>56006975.759334117</v>
      </c>
      <c r="E207" s="4">
        <v>34360042.963046066</v>
      </c>
      <c r="F207" s="4">
        <v>21646932.796288051</v>
      </c>
      <c r="G207" s="4">
        <v>11900000</v>
      </c>
      <c r="H207" s="26">
        <v>0.24</v>
      </c>
      <c r="I207" s="4">
        <v>18050000</v>
      </c>
      <c r="J207" s="4">
        <v>15235049.22023146</v>
      </c>
      <c r="K207" s="4">
        <v>8304480.9375934443</v>
      </c>
      <c r="L207" s="4">
        <v>2926973.8617713382</v>
      </c>
    </row>
    <row r="208" spans="1:12" hidden="1" outlineLevel="1" x14ac:dyDescent="0.3">
      <c r="A208" s="31">
        <v>45900</v>
      </c>
      <c r="B208" s="31">
        <f>EDATE(B232,-1)</f>
        <v>45989</v>
      </c>
      <c r="C208" t="s">
        <v>652</v>
      </c>
      <c r="D208" s="4">
        <v>58296444.809443243</v>
      </c>
      <c r="E208" s="4">
        <v>33342109.35275799</v>
      </c>
      <c r="F208" s="4">
        <v>24954335.456685241</v>
      </c>
      <c r="G208" s="4">
        <v>12050000</v>
      </c>
      <c r="H208" s="26">
        <v>0.24</v>
      </c>
      <c r="I208" s="4">
        <v>18200000</v>
      </c>
      <c r="J208" s="4">
        <v>15698038.464286219</v>
      </c>
      <c r="K208" s="4">
        <v>8415059.8425894473</v>
      </c>
      <c r="L208" s="4">
        <v>2829959.2761351322</v>
      </c>
    </row>
    <row r="209" spans="1:12" hidden="1" outlineLevel="1" x14ac:dyDescent="0.3">
      <c r="A209" s="31">
        <v>45900</v>
      </c>
      <c r="B209" s="31">
        <f>EDATE(B233,-1)</f>
        <v>46019</v>
      </c>
      <c r="C209" t="s">
        <v>652</v>
      </c>
      <c r="D209" s="4">
        <v>58115477.334494904</v>
      </c>
      <c r="E209" s="4">
        <v>36707282.808548927</v>
      </c>
      <c r="F209" s="4">
        <v>21408194.525945969</v>
      </c>
      <c r="G209" s="4">
        <v>12150000</v>
      </c>
      <c r="H209" s="26">
        <v>0.25</v>
      </c>
      <c r="I209" s="4">
        <v>18350000</v>
      </c>
      <c r="J209" s="4">
        <v>15664952.92531581</v>
      </c>
      <c r="K209" s="4">
        <v>8451279.5025654025</v>
      </c>
      <c r="L209" s="4">
        <v>2943175.2660944578</v>
      </c>
    </row>
    <row r="210" spans="1:12" hidden="1" outlineLevel="1" x14ac:dyDescent="0.3">
      <c r="A210" s="31">
        <v>45900</v>
      </c>
      <c r="B210" s="31">
        <f>EDATE(B234,-1)</f>
        <v>46050</v>
      </c>
      <c r="C210" t="s">
        <v>652</v>
      </c>
      <c r="D210" s="4">
        <v>56636738.098471299</v>
      </c>
      <c r="E210" s="4">
        <v>32805538.443287302</v>
      </c>
      <c r="F210" s="4">
        <v>23831199.655184001</v>
      </c>
      <c r="G210" s="4">
        <v>12300000</v>
      </c>
      <c r="H210" s="26">
        <v>0.25</v>
      </c>
      <c r="I210" s="4">
        <v>18450000</v>
      </c>
      <c r="J210" s="4">
        <v>15867202.66834002</v>
      </c>
      <c r="K210" s="4">
        <v>8250799.6978511196</v>
      </c>
      <c r="L210" s="4">
        <v>3029098.2954571168</v>
      </c>
    </row>
    <row r="211" spans="1:12" hidden="1" outlineLevel="1" x14ac:dyDescent="0.3">
      <c r="A211" s="31">
        <v>45900</v>
      </c>
      <c r="B211" s="31">
        <f>EDATE(B235,-1)</f>
        <v>46081</v>
      </c>
      <c r="C211" t="s">
        <v>652</v>
      </c>
      <c r="D211" s="4">
        <v>59268362.135164678</v>
      </c>
      <c r="E211" s="4">
        <v>35881788.569076143</v>
      </c>
      <c r="F211" s="4">
        <v>23386573.566088539</v>
      </c>
      <c r="G211" s="4">
        <v>12250000</v>
      </c>
      <c r="H211" s="26">
        <v>0.25</v>
      </c>
      <c r="I211" s="4">
        <v>18400000</v>
      </c>
      <c r="J211" s="4">
        <v>16016201.196298631</v>
      </c>
      <c r="K211" s="4">
        <v>8274969.312129382</v>
      </c>
      <c r="L211" s="4">
        <v>2954747.8156785169</v>
      </c>
    </row>
    <row r="212" spans="1:12" hidden="1" outlineLevel="1" x14ac:dyDescent="0.3">
      <c r="A212" s="31">
        <v>45900</v>
      </c>
      <c r="B212" s="31">
        <f>EDATE(B236,-1)</f>
        <v>46111</v>
      </c>
      <c r="C212" t="s">
        <v>652</v>
      </c>
      <c r="D212" s="4">
        <v>58726021.411114737</v>
      </c>
      <c r="E212" s="4">
        <v>39764008.249703251</v>
      </c>
      <c r="F212" s="4">
        <v>18962013.16141149</v>
      </c>
      <c r="G212" s="4">
        <v>12100000</v>
      </c>
      <c r="H212" s="26">
        <v>0.25</v>
      </c>
      <c r="I212" s="4">
        <v>18300000</v>
      </c>
      <c r="J212" s="4">
        <v>16118473.567856239</v>
      </c>
      <c r="K212" s="4">
        <v>8635735.0771482531</v>
      </c>
      <c r="L212" s="4">
        <v>2996585.3608145928</v>
      </c>
    </row>
    <row r="213" spans="1:12" hidden="1" outlineLevel="1" x14ac:dyDescent="0.3">
      <c r="A213" s="31">
        <v>45900</v>
      </c>
      <c r="B213" s="31">
        <f>EDATE(B237,-1)</f>
        <v>46142</v>
      </c>
      <c r="C213" t="s">
        <v>652</v>
      </c>
      <c r="D213" s="4">
        <v>58694178.05470483</v>
      </c>
      <c r="E213" s="4">
        <v>33381574.569802359</v>
      </c>
      <c r="F213" s="4">
        <v>25312603.484902471</v>
      </c>
      <c r="G213" s="4">
        <v>11850000</v>
      </c>
      <c r="H213" s="26">
        <v>0.24</v>
      </c>
      <c r="I213" s="4">
        <v>18150000</v>
      </c>
      <c r="J213" s="4">
        <v>16387375.65311479</v>
      </c>
      <c r="K213" s="4">
        <v>8470544.6447577681</v>
      </c>
      <c r="L213" s="4">
        <v>3017165.863533475</v>
      </c>
    </row>
    <row r="214" spans="1:12" hidden="1" outlineLevel="1" x14ac:dyDescent="0.3">
      <c r="A214" s="31">
        <v>45900</v>
      </c>
      <c r="B214" s="31">
        <f>EDATE(B238,-1)</f>
        <v>46172</v>
      </c>
      <c r="C214" t="s">
        <v>652</v>
      </c>
      <c r="D214" s="4">
        <v>60236660.600820407</v>
      </c>
      <c r="E214" s="4">
        <v>37578479.776028372</v>
      </c>
      <c r="F214" s="4">
        <v>22658180.824792031</v>
      </c>
      <c r="G214" s="4">
        <v>12000000</v>
      </c>
      <c r="H214" s="26">
        <v>0.24</v>
      </c>
      <c r="I214" s="4">
        <v>18250000</v>
      </c>
      <c r="J214" s="4">
        <v>16623382.092707651</v>
      </c>
      <c r="K214" s="4">
        <v>8624986.8799046632</v>
      </c>
      <c r="L214" s="4">
        <v>3044699.174657627</v>
      </c>
    </row>
    <row r="215" spans="1:12" hidden="1" outlineLevel="1" x14ac:dyDescent="0.3">
      <c r="A215" s="31">
        <v>45900</v>
      </c>
      <c r="B215" s="31">
        <f>EDATE(B239,-1)</f>
        <v>46203</v>
      </c>
      <c r="C215" t="s">
        <v>652</v>
      </c>
      <c r="D215" s="4">
        <v>58578352.931754313</v>
      </c>
      <c r="E215" s="4">
        <v>37028052.720645331</v>
      </c>
      <c r="F215" s="4">
        <v>21550300.211108979</v>
      </c>
      <c r="G215" s="4">
        <v>12400000</v>
      </c>
      <c r="H215" s="26">
        <v>0.24</v>
      </c>
      <c r="I215" s="4">
        <v>18500000</v>
      </c>
      <c r="J215" s="4">
        <v>16468926.497397119</v>
      </c>
      <c r="K215" s="4">
        <v>8838746.8905487265</v>
      </c>
      <c r="L215" s="4">
        <v>3117583.9784047422</v>
      </c>
    </row>
    <row r="216" spans="1:12" hidden="1" outlineLevel="1" x14ac:dyDescent="0.3">
      <c r="A216" s="31">
        <v>45900</v>
      </c>
      <c r="B216" s="31">
        <f>EDATE(B240,-1)</f>
        <v>46233</v>
      </c>
      <c r="C216" t="s">
        <v>652</v>
      </c>
      <c r="D216" s="4">
        <v>59201034.948166907</v>
      </c>
      <c r="E216" s="4">
        <v>34743025.534212232</v>
      </c>
      <c r="F216" s="4">
        <v>24458009.413954679</v>
      </c>
      <c r="G216" s="4">
        <v>12550000</v>
      </c>
      <c r="H216" s="26">
        <v>0.25</v>
      </c>
      <c r="I216" s="4">
        <v>18650000</v>
      </c>
      <c r="J216" s="4">
        <v>16064576.35104703</v>
      </c>
      <c r="K216" s="4">
        <v>9057738.8751288746</v>
      </c>
      <c r="L216" s="4">
        <v>3116582.01478629</v>
      </c>
    </row>
    <row r="217" spans="1:12" hidden="1" outlineLevel="1" x14ac:dyDescent="0.3">
      <c r="A217" s="31">
        <v>45900</v>
      </c>
      <c r="B217" s="31">
        <f>EDATE(B241,-1)</f>
        <v>46264</v>
      </c>
      <c r="C217" t="s">
        <v>652</v>
      </c>
      <c r="D217" s="4">
        <v>59842255.988201603</v>
      </c>
      <c r="E217" s="4">
        <v>33707294.426787637</v>
      </c>
      <c r="F217" s="4">
        <v>26134961.561413959</v>
      </c>
      <c r="G217" s="4">
        <v>12300000</v>
      </c>
      <c r="H217" s="26">
        <v>0.24</v>
      </c>
      <c r="I217" s="4">
        <v>18450000</v>
      </c>
      <c r="J217" s="4">
        <v>16070591.55420042</v>
      </c>
      <c r="K217" s="4">
        <v>8655529.1706803143</v>
      </c>
      <c r="L217" s="4">
        <v>3100777.1046122839</v>
      </c>
    </row>
    <row r="218" spans="1:12" hidden="1" outlineLevel="1" x14ac:dyDescent="0.3">
      <c r="A218" s="31">
        <v>45930</v>
      </c>
      <c r="B218" s="31">
        <f>EDATE(B242,-1)</f>
        <v>45595</v>
      </c>
      <c r="C218" t="s">
        <v>653</v>
      </c>
      <c r="D218" s="4">
        <v>25261800.533</v>
      </c>
      <c r="E218" s="4">
        <v>14837765.862431441</v>
      </c>
      <c r="F218" s="4">
        <v>10424034.670568559</v>
      </c>
      <c r="G218" s="4">
        <v>12863419</v>
      </c>
      <c r="H218" s="26">
        <v>0.24</v>
      </c>
      <c r="I218" s="4">
        <v>17247000</v>
      </c>
      <c r="J218" s="4">
        <v>15548388.68</v>
      </c>
      <c r="K218" s="4">
        <v>7961818.46</v>
      </c>
      <c r="L218" s="4">
        <v>2792148.66</v>
      </c>
    </row>
    <row r="219" spans="1:12" hidden="1" outlineLevel="1" x14ac:dyDescent="0.3">
      <c r="A219" s="31">
        <v>45930</v>
      </c>
      <c r="B219" s="31">
        <f>EDATE(B243,-1)</f>
        <v>45626</v>
      </c>
      <c r="C219" t="s">
        <v>653</v>
      </c>
      <c r="D219" s="4">
        <v>24953069.447500002</v>
      </c>
      <c r="E219" s="4">
        <v>14100846.44006091</v>
      </c>
      <c r="F219" s="4">
        <v>10852223.00743909</v>
      </c>
      <c r="G219" s="4">
        <v>11950485</v>
      </c>
      <c r="H219" s="26">
        <v>0.25</v>
      </c>
      <c r="I219" s="4">
        <v>17082000</v>
      </c>
      <c r="J219" s="4">
        <v>15082241.98</v>
      </c>
      <c r="K219" s="4">
        <v>8075446.4500000002</v>
      </c>
      <c r="L219" s="4">
        <v>2891511</v>
      </c>
    </row>
    <row r="220" spans="1:12" hidden="1" outlineLevel="1" x14ac:dyDescent="0.3">
      <c r="A220" s="31">
        <v>45930</v>
      </c>
      <c r="B220" s="31">
        <f>EDATE(B244,-1)</f>
        <v>45654</v>
      </c>
      <c r="C220" t="s">
        <v>653</v>
      </c>
      <c r="D220" s="4">
        <v>25385755.997499999</v>
      </c>
      <c r="E220" s="4">
        <v>15679349.162797621</v>
      </c>
      <c r="F220" s="4">
        <v>9706406.8347023819</v>
      </c>
      <c r="G220" s="4">
        <v>12008506</v>
      </c>
      <c r="H220" s="26">
        <v>0.24</v>
      </c>
      <c r="I220" s="4">
        <v>17284000</v>
      </c>
      <c r="J220" s="4">
        <v>15494985.800000001</v>
      </c>
      <c r="K220" s="4">
        <v>8314030.6500000004</v>
      </c>
      <c r="L220" s="4">
        <v>2777361.85</v>
      </c>
    </row>
    <row r="221" spans="1:12" hidden="1" outlineLevel="1" x14ac:dyDescent="0.3">
      <c r="A221" s="31">
        <v>45930</v>
      </c>
      <c r="B221" s="31">
        <f>EDATE(B245,-1)</f>
        <v>45685</v>
      </c>
      <c r="C221" t="s">
        <v>653</v>
      </c>
      <c r="D221" s="4">
        <v>25277896.943</v>
      </c>
      <c r="E221" s="4">
        <v>14556484.944138199</v>
      </c>
      <c r="F221" s="4">
        <v>10721411.998861801</v>
      </c>
      <c r="G221" s="4">
        <v>11949467</v>
      </c>
      <c r="H221" s="26">
        <v>0.24</v>
      </c>
      <c r="I221" s="4">
        <v>17156000</v>
      </c>
      <c r="J221" s="4">
        <v>15479513.369999999</v>
      </c>
      <c r="K221" s="4">
        <v>8290983.3200000003</v>
      </c>
      <c r="L221" s="4">
        <v>2841880.48</v>
      </c>
    </row>
    <row r="222" spans="1:12" hidden="1" outlineLevel="1" x14ac:dyDescent="0.3">
      <c r="A222" s="31">
        <v>45930</v>
      </c>
      <c r="B222" s="31">
        <f>EDATE(B246,-1)</f>
        <v>45716</v>
      </c>
      <c r="C222" t="s">
        <v>653</v>
      </c>
      <c r="D222" s="4">
        <v>25456303.252999999</v>
      </c>
      <c r="E222" s="4">
        <v>14019432.53699572</v>
      </c>
      <c r="F222" s="4">
        <v>11436870.71600428</v>
      </c>
      <c r="G222" s="4">
        <v>12134463</v>
      </c>
      <c r="H222" s="26">
        <v>0.26</v>
      </c>
      <c r="I222" s="4">
        <v>17476000</v>
      </c>
      <c r="J222" s="4">
        <v>15424116.5</v>
      </c>
      <c r="K222" s="4">
        <v>8076287.1799999997</v>
      </c>
      <c r="L222" s="4">
        <v>2936122.45</v>
      </c>
    </row>
    <row r="223" spans="1:12" hidden="1" outlineLevel="1" x14ac:dyDescent="0.3">
      <c r="A223" s="31">
        <v>45930</v>
      </c>
      <c r="B223" s="31">
        <f>EDATE(B247,-1)</f>
        <v>45746</v>
      </c>
      <c r="C223" t="s">
        <v>653</v>
      </c>
      <c r="D223" s="4">
        <v>25492423.285500001</v>
      </c>
      <c r="E223" s="4">
        <v>15217740.48513365</v>
      </c>
      <c r="F223" s="4">
        <v>10274682.80036635</v>
      </c>
      <c r="G223" s="4">
        <v>12007009</v>
      </c>
      <c r="H223" s="26">
        <v>0.25</v>
      </c>
      <c r="I223" s="4">
        <v>17294000</v>
      </c>
      <c r="J223" s="4">
        <v>15832759.720000001</v>
      </c>
      <c r="K223" s="4">
        <v>8042606.9699999997</v>
      </c>
      <c r="L223" s="4">
        <v>2900254.93</v>
      </c>
    </row>
    <row r="224" spans="1:12" hidden="1" outlineLevel="1" x14ac:dyDescent="0.3">
      <c r="A224" s="31">
        <v>45930</v>
      </c>
      <c r="B224" s="31">
        <f>EDATE(B248,-1)</f>
        <v>45777</v>
      </c>
      <c r="C224" t="s">
        <v>653</v>
      </c>
      <c r="D224" s="4">
        <v>25925152.5185</v>
      </c>
      <c r="E224" s="4">
        <v>14128447.208599791</v>
      </c>
      <c r="F224" s="4">
        <v>11796705.309900209</v>
      </c>
      <c r="G224" s="4">
        <v>11903993</v>
      </c>
      <c r="H224" s="26">
        <v>0.25</v>
      </c>
      <c r="I224" s="4">
        <v>17705000</v>
      </c>
      <c r="J224" s="4">
        <v>15777910.43</v>
      </c>
      <c r="K224" s="4">
        <v>8373596.6900000004</v>
      </c>
      <c r="L224" s="4">
        <v>2936692.31</v>
      </c>
    </row>
    <row r="225" spans="1:12" hidden="1" outlineLevel="1" x14ac:dyDescent="0.3">
      <c r="A225" s="31">
        <v>45930</v>
      </c>
      <c r="B225" s="31">
        <f>EDATE(B249,-1)</f>
        <v>45807</v>
      </c>
      <c r="C225" t="s">
        <v>653</v>
      </c>
      <c r="D225" s="4">
        <v>25918174.6175</v>
      </c>
      <c r="E225" s="4">
        <v>16383934.704711931</v>
      </c>
      <c r="F225" s="4">
        <v>9534239.9127880726</v>
      </c>
      <c r="G225" s="4">
        <v>11403422</v>
      </c>
      <c r="H225" s="26">
        <v>0.24</v>
      </c>
      <c r="I225" s="4">
        <v>17631000</v>
      </c>
      <c r="J225" s="4">
        <v>15955420.82</v>
      </c>
      <c r="K225" s="4">
        <v>8248857.9299999997</v>
      </c>
      <c r="L225" s="4">
        <v>2979719.66</v>
      </c>
    </row>
    <row r="226" spans="1:12" hidden="1" outlineLevel="1" x14ac:dyDescent="0.3">
      <c r="A226" s="31">
        <v>45930</v>
      </c>
      <c r="B226" s="31">
        <f>EDATE(B250,-1)</f>
        <v>45838</v>
      </c>
      <c r="C226" t="s">
        <v>653</v>
      </c>
      <c r="D226" s="4">
        <v>26170713.609000001</v>
      </c>
      <c r="E226" s="4">
        <v>14924234.770103309</v>
      </c>
      <c r="F226" s="4">
        <v>11246478.83889669</v>
      </c>
      <c r="G226" s="4">
        <v>11621535</v>
      </c>
      <c r="H226" s="26">
        <v>0.24</v>
      </c>
      <c r="I226" s="4">
        <v>17686000</v>
      </c>
      <c r="J226" s="4">
        <v>16280521.35</v>
      </c>
      <c r="K226" s="4">
        <v>8389962</v>
      </c>
      <c r="L226" s="4">
        <v>2957231.17</v>
      </c>
    </row>
    <row r="227" spans="1:12" hidden="1" outlineLevel="1" x14ac:dyDescent="0.3">
      <c r="A227" s="31">
        <v>45930</v>
      </c>
      <c r="B227" s="31">
        <f>EDATE(B251,-1)</f>
        <v>45868</v>
      </c>
      <c r="C227" t="s">
        <v>653</v>
      </c>
      <c r="D227" s="4">
        <v>26211531.447500002</v>
      </c>
      <c r="E227" s="4">
        <v>16132405.735600401</v>
      </c>
      <c r="F227" s="4">
        <v>10079125.711899601</v>
      </c>
      <c r="G227" s="4">
        <v>12474628</v>
      </c>
      <c r="H227" s="26">
        <v>0.24</v>
      </c>
      <c r="I227" s="4">
        <v>17851000</v>
      </c>
      <c r="J227" s="4">
        <v>15964921.560000001</v>
      </c>
      <c r="K227" s="4">
        <v>8561419.3300000001</v>
      </c>
      <c r="L227" s="4">
        <v>2973769.51</v>
      </c>
    </row>
    <row r="228" spans="1:12" hidden="1" outlineLevel="1" x14ac:dyDescent="0.3">
      <c r="A228" s="31">
        <v>45930</v>
      </c>
      <c r="B228" s="31">
        <f>EDATE(B252,-1)</f>
        <v>45899</v>
      </c>
      <c r="C228" t="s">
        <v>653</v>
      </c>
      <c r="D228" s="4">
        <v>26506005.449999999</v>
      </c>
      <c r="E228" s="4">
        <v>16569715.43115695</v>
      </c>
      <c r="F228" s="4">
        <v>9936290.018843051</v>
      </c>
      <c r="G228" s="4">
        <v>12180509</v>
      </c>
      <c r="H228" s="26">
        <v>0.24</v>
      </c>
      <c r="I228" s="4">
        <v>18063000</v>
      </c>
      <c r="J228" s="4">
        <v>16081454.49</v>
      </c>
      <c r="K228" s="4">
        <v>8692920.9399999995</v>
      </c>
      <c r="L228" s="4">
        <v>3055479.38</v>
      </c>
    </row>
    <row r="229" spans="1:12" hidden="1" outlineLevel="1" x14ac:dyDescent="0.3">
      <c r="A229" s="31">
        <v>45930</v>
      </c>
      <c r="B229" s="31">
        <f>EDATE(B253,-1)</f>
        <v>45930</v>
      </c>
      <c r="C229" t="s">
        <v>653</v>
      </c>
      <c r="D229" s="4">
        <v>57714301.159999996</v>
      </c>
      <c r="E229" s="4">
        <v>33337882.69720776</v>
      </c>
      <c r="F229" s="4">
        <v>24376418.46279224</v>
      </c>
      <c r="G229" s="4">
        <v>11502563</v>
      </c>
      <c r="H229" s="26">
        <v>0.24</v>
      </c>
      <c r="I229" s="4">
        <v>17864000</v>
      </c>
      <c r="J229" s="4">
        <v>15813089.640000001</v>
      </c>
      <c r="K229" s="4">
        <v>8427622.3499999996</v>
      </c>
      <c r="L229" s="4">
        <v>2964502.23</v>
      </c>
    </row>
    <row r="230" spans="1:12" hidden="1" outlineLevel="1" x14ac:dyDescent="0.3">
      <c r="A230" s="31">
        <v>45930</v>
      </c>
      <c r="B230" s="31">
        <f>EDATE(B254,-1)</f>
        <v>45960</v>
      </c>
      <c r="C230" t="s">
        <v>652</v>
      </c>
      <c r="D230" s="4">
        <v>58006254.590090297</v>
      </c>
      <c r="E230" s="4">
        <v>36264848.530913509</v>
      </c>
      <c r="F230" s="4">
        <v>21741406.059176799</v>
      </c>
      <c r="G230" s="4">
        <v>11750000</v>
      </c>
      <c r="H230" s="26">
        <v>0.24</v>
      </c>
      <c r="I230" s="4">
        <v>17950000</v>
      </c>
      <c r="J230" s="4">
        <v>15689590.774989991</v>
      </c>
      <c r="K230" s="4">
        <v>8094566.6051033959</v>
      </c>
      <c r="L230" s="4">
        <v>2812119.1050690128</v>
      </c>
    </row>
    <row r="231" spans="1:12" hidden="1" outlineLevel="1" x14ac:dyDescent="0.3">
      <c r="A231" s="31">
        <v>45930</v>
      </c>
      <c r="B231" s="31">
        <f>EDATE(B255,-1)</f>
        <v>45991</v>
      </c>
      <c r="C231" t="s">
        <v>652</v>
      </c>
      <c r="D231" s="4">
        <v>56006975.759334117</v>
      </c>
      <c r="E231" s="4">
        <v>34360042.963046066</v>
      </c>
      <c r="F231" s="4">
        <v>21646932.796288051</v>
      </c>
      <c r="G231" s="4">
        <v>11900000</v>
      </c>
      <c r="H231" s="26">
        <v>0.24</v>
      </c>
      <c r="I231" s="4">
        <v>18050000</v>
      </c>
      <c r="J231" s="4">
        <v>15235049.22023146</v>
      </c>
      <c r="K231" s="4">
        <v>8304480.9375934443</v>
      </c>
      <c r="L231" s="4">
        <v>2926973.8617713382</v>
      </c>
    </row>
    <row r="232" spans="1:12" hidden="1" outlineLevel="1" x14ac:dyDescent="0.3">
      <c r="A232" s="31">
        <v>45930</v>
      </c>
      <c r="B232" s="31">
        <f>EDATE(B256,-1)</f>
        <v>46019</v>
      </c>
      <c r="C232" t="s">
        <v>652</v>
      </c>
      <c r="D232" s="4">
        <v>58296444.809443243</v>
      </c>
      <c r="E232" s="4">
        <v>33342109.35275799</v>
      </c>
      <c r="F232" s="4">
        <v>24954335.456685241</v>
      </c>
      <c r="G232" s="4">
        <v>12050000</v>
      </c>
      <c r="H232" s="26">
        <v>0.24</v>
      </c>
      <c r="I232" s="4">
        <v>18200000</v>
      </c>
      <c r="J232" s="4">
        <v>15698038.464286219</v>
      </c>
      <c r="K232" s="4">
        <v>8415059.8425894473</v>
      </c>
      <c r="L232" s="4">
        <v>2829959.2761351322</v>
      </c>
    </row>
    <row r="233" spans="1:12" hidden="1" outlineLevel="1" x14ac:dyDescent="0.3">
      <c r="A233" s="31">
        <v>45930</v>
      </c>
      <c r="B233" s="31">
        <f>EDATE(B257,-1)</f>
        <v>46050</v>
      </c>
      <c r="C233" t="s">
        <v>652</v>
      </c>
      <c r="D233" s="4">
        <v>58115477.334494904</v>
      </c>
      <c r="E233" s="4">
        <v>36707282.808548927</v>
      </c>
      <c r="F233" s="4">
        <v>21408194.525945969</v>
      </c>
      <c r="G233" s="4">
        <v>12150000</v>
      </c>
      <c r="H233" s="26">
        <v>0.25</v>
      </c>
      <c r="I233" s="4">
        <v>18350000</v>
      </c>
      <c r="J233" s="4">
        <v>15664952.92531581</v>
      </c>
      <c r="K233" s="4">
        <v>8451279.5025654025</v>
      </c>
      <c r="L233" s="4">
        <v>2943175.2660944578</v>
      </c>
    </row>
    <row r="234" spans="1:12" hidden="1" outlineLevel="1" x14ac:dyDescent="0.3">
      <c r="A234" s="31">
        <v>45930</v>
      </c>
      <c r="B234" s="31">
        <f>EDATE(B258,-1)</f>
        <v>46081</v>
      </c>
      <c r="C234" t="s">
        <v>652</v>
      </c>
      <c r="D234" s="4">
        <v>56636738.098471299</v>
      </c>
      <c r="E234" s="4">
        <v>32805538.443287302</v>
      </c>
      <c r="F234" s="4">
        <v>23831199.655184001</v>
      </c>
      <c r="G234" s="4">
        <v>12300000</v>
      </c>
      <c r="H234" s="26">
        <v>0.25</v>
      </c>
      <c r="I234" s="4">
        <v>18450000</v>
      </c>
      <c r="J234" s="4">
        <v>15867202.66834002</v>
      </c>
      <c r="K234" s="4">
        <v>8250799.6978511196</v>
      </c>
      <c r="L234" s="4">
        <v>3029098.2954571168</v>
      </c>
    </row>
    <row r="235" spans="1:12" hidden="1" outlineLevel="1" x14ac:dyDescent="0.3">
      <c r="A235" s="31">
        <v>45930</v>
      </c>
      <c r="B235" s="31">
        <f>EDATE(B259,-1)</f>
        <v>46111</v>
      </c>
      <c r="C235" t="s">
        <v>652</v>
      </c>
      <c r="D235" s="4">
        <v>59268362.135164678</v>
      </c>
      <c r="E235" s="4">
        <v>35881788.569076143</v>
      </c>
      <c r="F235" s="4">
        <v>23386573.566088539</v>
      </c>
      <c r="G235" s="4">
        <v>12250000</v>
      </c>
      <c r="H235" s="26">
        <v>0.25</v>
      </c>
      <c r="I235" s="4">
        <v>18400000</v>
      </c>
      <c r="J235" s="4">
        <v>16016201.196298631</v>
      </c>
      <c r="K235" s="4">
        <v>8274969.312129382</v>
      </c>
      <c r="L235" s="4">
        <v>2954747.8156785169</v>
      </c>
    </row>
    <row r="236" spans="1:12" hidden="1" outlineLevel="1" x14ac:dyDescent="0.3">
      <c r="A236" s="31">
        <v>45930</v>
      </c>
      <c r="B236" s="31">
        <f>EDATE(B260,-1)</f>
        <v>46142</v>
      </c>
      <c r="C236" t="s">
        <v>652</v>
      </c>
      <c r="D236" s="4">
        <v>58726021.411114737</v>
      </c>
      <c r="E236" s="4">
        <v>39764008.249703251</v>
      </c>
      <c r="F236" s="4">
        <v>18962013.16141149</v>
      </c>
      <c r="G236" s="4">
        <v>12100000</v>
      </c>
      <c r="H236" s="26">
        <v>0.25</v>
      </c>
      <c r="I236" s="4">
        <v>18300000</v>
      </c>
      <c r="J236" s="4">
        <v>16118473.567856239</v>
      </c>
      <c r="K236" s="4">
        <v>8635735.0771482531</v>
      </c>
      <c r="L236" s="4">
        <v>2996585.3608145928</v>
      </c>
    </row>
    <row r="237" spans="1:12" hidden="1" outlineLevel="1" x14ac:dyDescent="0.3">
      <c r="A237" s="31">
        <v>45930</v>
      </c>
      <c r="B237" s="31">
        <f>EDATE(B261,-1)</f>
        <v>46172</v>
      </c>
      <c r="C237" t="s">
        <v>652</v>
      </c>
      <c r="D237" s="4">
        <v>58694178.05470483</v>
      </c>
      <c r="E237" s="4">
        <v>33381574.569802359</v>
      </c>
      <c r="F237" s="4">
        <v>25312603.484902471</v>
      </c>
      <c r="G237" s="4">
        <v>11850000</v>
      </c>
      <c r="H237" s="26">
        <v>0.24</v>
      </c>
      <c r="I237" s="4">
        <v>18150000</v>
      </c>
      <c r="J237" s="4">
        <v>16387375.65311479</v>
      </c>
      <c r="K237" s="4">
        <v>8470544.6447577681</v>
      </c>
      <c r="L237" s="4">
        <v>3017165.863533475</v>
      </c>
    </row>
    <row r="238" spans="1:12" hidden="1" outlineLevel="1" x14ac:dyDescent="0.3">
      <c r="A238" s="31">
        <v>45930</v>
      </c>
      <c r="B238" s="31">
        <f>EDATE(B262,-1)</f>
        <v>46203</v>
      </c>
      <c r="C238" t="s">
        <v>652</v>
      </c>
      <c r="D238" s="4">
        <v>60236660.600820407</v>
      </c>
      <c r="E238" s="4">
        <v>37578479.776028372</v>
      </c>
      <c r="F238" s="4">
        <v>22658180.824792031</v>
      </c>
      <c r="G238" s="4">
        <v>12000000</v>
      </c>
      <c r="H238" s="26">
        <v>0.24</v>
      </c>
      <c r="I238" s="4">
        <v>18250000</v>
      </c>
      <c r="J238" s="4">
        <v>16623382.092707651</v>
      </c>
      <c r="K238" s="4">
        <v>8624986.8799046632</v>
      </c>
      <c r="L238" s="4">
        <v>3044699.174657627</v>
      </c>
    </row>
    <row r="239" spans="1:12" hidden="1" outlineLevel="1" x14ac:dyDescent="0.3">
      <c r="A239" s="31">
        <v>45930</v>
      </c>
      <c r="B239" s="31">
        <f>EDATE(B263,-1)</f>
        <v>46233</v>
      </c>
      <c r="C239" t="s">
        <v>652</v>
      </c>
      <c r="D239" s="4">
        <v>58578352.931754313</v>
      </c>
      <c r="E239" s="4">
        <v>37028052.720645331</v>
      </c>
      <c r="F239" s="4">
        <v>21550300.211108979</v>
      </c>
      <c r="G239" s="4">
        <v>12400000</v>
      </c>
      <c r="H239" s="26">
        <v>0.24</v>
      </c>
      <c r="I239" s="4">
        <v>18500000</v>
      </c>
      <c r="J239" s="4">
        <v>16468926.497397119</v>
      </c>
      <c r="K239" s="4">
        <v>8838746.8905487265</v>
      </c>
      <c r="L239" s="4">
        <v>3117583.9784047422</v>
      </c>
    </row>
    <row r="240" spans="1:12" hidden="1" outlineLevel="1" x14ac:dyDescent="0.3">
      <c r="A240" s="31">
        <v>45930</v>
      </c>
      <c r="B240" s="31">
        <f>EDATE(B264,-1)</f>
        <v>46264</v>
      </c>
      <c r="C240" t="s">
        <v>652</v>
      </c>
      <c r="D240" s="4">
        <v>59201034.948166907</v>
      </c>
      <c r="E240" s="4">
        <v>34743025.534212232</v>
      </c>
      <c r="F240" s="4">
        <v>24458009.413954679</v>
      </c>
      <c r="G240" s="4">
        <v>12550000</v>
      </c>
      <c r="H240" s="26">
        <v>0.25</v>
      </c>
      <c r="I240" s="4">
        <v>18650000</v>
      </c>
      <c r="J240" s="4">
        <v>16064576.35104703</v>
      </c>
      <c r="K240" s="4">
        <v>9057738.8751288746</v>
      </c>
      <c r="L240" s="4">
        <v>3116582.01478629</v>
      </c>
    </row>
    <row r="241" spans="1:12" hidden="1" outlineLevel="1" x14ac:dyDescent="0.3">
      <c r="A241" s="31">
        <v>45930</v>
      </c>
      <c r="B241" s="31">
        <f>EDATE(B265,-1)</f>
        <v>46295</v>
      </c>
      <c r="C241" t="s">
        <v>652</v>
      </c>
      <c r="D241" s="4">
        <v>59842255.988201603</v>
      </c>
      <c r="E241" s="4">
        <v>33707294.426787637</v>
      </c>
      <c r="F241" s="4">
        <v>26134961.561413959</v>
      </c>
      <c r="G241" s="4">
        <v>12300000</v>
      </c>
      <c r="H241" s="26">
        <v>0.24</v>
      </c>
      <c r="I241" s="4">
        <v>18450000</v>
      </c>
      <c r="J241" s="4">
        <v>16070591.55420042</v>
      </c>
      <c r="K241" s="4">
        <v>8655529.1706803143</v>
      </c>
      <c r="L241" s="4">
        <v>3100777.1046122839</v>
      </c>
    </row>
    <row r="242" spans="1:12" hidden="1" outlineLevel="1" x14ac:dyDescent="0.3">
      <c r="A242" s="31">
        <v>45961</v>
      </c>
      <c r="B242" s="31">
        <f>EDATE(B266,-1)</f>
        <v>45626</v>
      </c>
      <c r="C242" t="s">
        <v>653</v>
      </c>
      <c r="D242" s="4">
        <v>25261800.533</v>
      </c>
      <c r="E242" s="4">
        <v>14837765.862431441</v>
      </c>
      <c r="F242" s="4">
        <v>10424034.670568559</v>
      </c>
      <c r="G242" s="4">
        <v>12863419</v>
      </c>
      <c r="H242" s="26">
        <v>0.24</v>
      </c>
      <c r="I242" s="4">
        <v>17247000</v>
      </c>
      <c r="J242" s="4">
        <v>15548388.68</v>
      </c>
      <c r="K242" s="4">
        <v>7961818.46</v>
      </c>
      <c r="L242" s="4">
        <v>2792148.66</v>
      </c>
    </row>
    <row r="243" spans="1:12" hidden="1" outlineLevel="1" x14ac:dyDescent="0.3">
      <c r="A243" s="31">
        <v>45961</v>
      </c>
      <c r="B243" s="31">
        <f>EDATE(B267,-1)</f>
        <v>45657</v>
      </c>
      <c r="C243" t="s">
        <v>653</v>
      </c>
      <c r="D243" s="4">
        <v>24953069.447500002</v>
      </c>
      <c r="E243" s="4">
        <v>14100846.44006091</v>
      </c>
      <c r="F243" s="4">
        <v>10852223.00743909</v>
      </c>
      <c r="G243" s="4">
        <v>11950485</v>
      </c>
      <c r="H243" s="26">
        <v>0.25</v>
      </c>
      <c r="I243" s="4">
        <v>17082000</v>
      </c>
      <c r="J243" s="4">
        <v>15082241.98</v>
      </c>
      <c r="K243" s="4">
        <v>8075446.4500000002</v>
      </c>
      <c r="L243" s="4">
        <v>2891511</v>
      </c>
    </row>
    <row r="244" spans="1:12" hidden="1" outlineLevel="1" x14ac:dyDescent="0.3">
      <c r="A244" s="31">
        <v>45961</v>
      </c>
      <c r="B244" s="31">
        <f>EDATE(B268,-1)</f>
        <v>45685</v>
      </c>
      <c r="C244" t="s">
        <v>653</v>
      </c>
      <c r="D244" s="4">
        <v>25385755.997499999</v>
      </c>
      <c r="E244" s="4">
        <v>15679349.162797621</v>
      </c>
      <c r="F244" s="4">
        <v>9706406.8347023819</v>
      </c>
      <c r="G244" s="4">
        <v>12008506</v>
      </c>
      <c r="H244" s="26">
        <v>0.24</v>
      </c>
      <c r="I244" s="4">
        <v>17284000</v>
      </c>
      <c r="J244" s="4">
        <v>15494985.800000001</v>
      </c>
      <c r="K244" s="4">
        <v>8314030.6500000004</v>
      </c>
      <c r="L244" s="4">
        <v>2777361.85</v>
      </c>
    </row>
    <row r="245" spans="1:12" hidden="1" outlineLevel="1" x14ac:dyDescent="0.3">
      <c r="A245" s="31">
        <v>45961</v>
      </c>
      <c r="B245" s="31">
        <f>EDATE(B269,-1)</f>
        <v>45716</v>
      </c>
      <c r="C245" t="s">
        <v>653</v>
      </c>
      <c r="D245" s="4">
        <v>25277896.943</v>
      </c>
      <c r="E245" s="4">
        <v>14556484.944138199</v>
      </c>
      <c r="F245" s="4">
        <v>10721411.998861801</v>
      </c>
      <c r="G245" s="4">
        <v>11949467</v>
      </c>
      <c r="H245" s="26">
        <v>0.24</v>
      </c>
      <c r="I245" s="4">
        <v>17156000</v>
      </c>
      <c r="J245" s="4">
        <v>15479513.369999999</v>
      </c>
      <c r="K245" s="4">
        <v>8290983.3200000003</v>
      </c>
      <c r="L245" s="4">
        <v>2841880.48</v>
      </c>
    </row>
    <row r="246" spans="1:12" hidden="1" outlineLevel="1" x14ac:dyDescent="0.3">
      <c r="A246" s="31">
        <v>45961</v>
      </c>
      <c r="B246" s="31">
        <f>EDATE(B270,-1)</f>
        <v>45746</v>
      </c>
      <c r="C246" t="s">
        <v>653</v>
      </c>
      <c r="D246" s="4">
        <v>25456303.252999999</v>
      </c>
      <c r="E246" s="4">
        <v>14019432.53699572</v>
      </c>
      <c r="F246" s="4">
        <v>11436870.71600428</v>
      </c>
      <c r="G246" s="4">
        <v>12134463</v>
      </c>
      <c r="H246" s="26">
        <v>0.26</v>
      </c>
      <c r="I246" s="4">
        <v>17476000</v>
      </c>
      <c r="J246" s="4">
        <v>15424116.5</v>
      </c>
      <c r="K246" s="4">
        <v>8076287.1799999997</v>
      </c>
      <c r="L246" s="4">
        <v>2936122.45</v>
      </c>
    </row>
    <row r="247" spans="1:12" hidden="1" outlineLevel="1" x14ac:dyDescent="0.3">
      <c r="A247" s="31">
        <v>45961</v>
      </c>
      <c r="B247" s="31">
        <f>EDATE(B271,-1)</f>
        <v>45777</v>
      </c>
      <c r="C247" t="s">
        <v>653</v>
      </c>
      <c r="D247" s="4">
        <v>25492423.285500001</v>
      </c>
      <c r="E247" s="4">
        <v>15217740.48513365</v>
      </c>
      <c r="F247" s="4">
        <v>10274682.80036635</v>
      </c>
      <c r="G247" s="4">
        <v>12007009</v>
      </c>
      <c r="H247" s="26">
        <v>0.25</v>
      </c>
      <c r="I247" s="4">
        <v>17294000</v>
      </c>
      <c r="J247" s="4">
        <v>15832759.720000001</v>
      </c>
      <c r="K247" s="4">
        <v>8042606.9699999997</v>
      </c>
      <c r="L247" s="4">
        <v>2900254.93</v>
      </c>
    </row>
    <row r="248" spans="1:12" hidden="1" outlineLevel="1" x14ac:dyDescent="0.3">
      <c r="A248" s="31">
        <v>45961</v>
      </c>
      <c r="B248" s="31">
        <f>EDATE(B272,-1)</f>
        <v>45807</v>
      </c>
      <c r="C248" t="s">
        <v>653</v>
      </c>
      <c r="D248" s="4">
        <v>25925152.5185</v>
      </c>
      <c r="E248" s="4">
        <v>14128447.208599791</v>
      </c>
      <c r="F248" s="4">
        <v>11796705.309900209</v>
      </c>
      <c r="G248" s="4">
        <v>11903993</v>
      </c>
      <c r="H248" s="26">
        <v>0.25</v>
      </c>
      <c r="I248" s="4">
        <v>17705000</v>
      </c>
      <c r="J248" s="4">
        <v>15777910.43</v>
      </c>
      <c r="K248" s="4">
        <v>8373596.6900000004</v>
      </c>
      <c r="L248" s="4">
        <v>2936692.31</v>
      </c>
    </row>
    <row r="249" spans="1:12" hidden="1" outlineLevel="1" x14ac:dyDescent="0.3">
      <c r="A249" s="31">
        <v>45961</v>
      </c>
      <c r="B249" s="31">
        <f>EDATE(B273,-1)</f>
        <v>45838</v>
      </c>
      <c r="C249" t="s">
        <v>653</v>
      </c>
      <c r="D249" s="4">
        <v>25918174.6175</v>
      </c>
      <c r="E249" s="4">
        <v>16383934.704711931</v>
      </c>
      <c r="F249" s="4">
        <v>9534239.9127880726</v>
      </c>
      <c r="G249" s="4">
        <v>11403422</v>
      </c>
      <c r="H249" s="26">
        <v>0.24</v>
      </c>
      <c r="I249" s="4">
        <v>17631000</v>
      </c>
      <c r="J249" s="4">
        <v>15955420.82</v>
      </c>
      <c r="K249" s="4">
        <v>8248857.9299999997</v>
      </c>
      <c r="L249" s="4">
        <v>2979719.66</v>
      </c>
    </row>
    <row r="250" spans="1:12" hidden="1" outlineLevel="1" x14ac:dyDescent="0.3">
      <c r="A250" s="31">
        <v>45961</v>
      </c>
      <c r="B250" s="31">
        <f>EDATE(B274,-1)</f>
        <v>45869</v>
      </c>
      <c r="C250" t="s">
        <v>653</v>
      </c>
      <c r="D250" s="4">
        <v>26170713.609000001</v>
      </c>
      <c r="E250" s="4">
        <v>14924234.770103309</v>
      </c>
      <c r="F250" s="4">
        <v>11246478.83889669</v>
      </c>
      <c r="G250" s="4">
        <v>11621535</v>
      </c>
      <c r="H250" s="26">
        <v>0.24</v>
      </c>
      <c r="I250" s="4">
        <v>17686000</v>
      </c>
      <c r="J250" s="4">
        <v>16280521.35</v>
      </c>
      <c r="K250" s="4">
        <v>8389962</v>
      </c>
      <c r="L250" s="4">
        <v>2957231.17</v>
      </c>
    </row>
    <row r="251" spans="1:12" hidden="1" outlineLevel="1" x14ac:dyDescent="0.3">
      <c r="A251" s="31">
        <v>45961</v>
      </c>
      <c r="B251" s="31">
        <f>EDATE(B275,-1)</f>
        <v>45899</v>
      </c>
      <c r="C251" t="s">
        <v>653</v>
      </c>
      <c r="D251" s="4">
        <v>26211531.447500002</v>
      </c>
      <c r="E251" s="4">
        <v>16132405.735600401</v>
      </c>
      <c r="F251" s="4">
        <v>10079125.711899601</v>
      </c>
      <c r="G251" s="4">
        <v>12474628</v>
      </c>
      <c r="H251" s="26">
        <v>0.24</v>
      </c>
      <c r="I251" s="4">
        <v>17851000</v>
      </c>
      <c r="J251" s="4">
        <v>15964921.560000001</v>
      </c>
      <c r="K251" s="4">
        <v>8561419.3300000001</v>
      </c>
      <c r="L251" s="4">
        <v>2973769.51</v>
      </c>
    </row>
    <row r="252" spans="1:12" hidden="1" outlineLevel="1" x14ac:dyDescent="0.3">
      <c r="A252" s="31">
        <v>45961</v>
      </c>
      <c r="B252" s="31">
        <f>EDATE(B276,-1)</f>
        <v>45930</v>
      </c>
      <c r="C252" t="s">
        <v>653</v>
      </c>
      <c r="D252" s="4">
        <v>26506005.449999999</v>
      </c>
      <c r="E252" s="4">
        <v>16569715.43115695</v>
      </c>
      <c r="F252" s="4">
        <v>9936290.018843051</v>
      </c>
      <c r="G252" s="4">
        <v>12180509</v>
      </c>
      <c r="H252" s="26">
        <v>0.24</v>
      </c>
      <c r="I252" s="4">
        <v>18063000</v>
      </c>
      <c r="J252" s="4">
        <v>16081454.49</v>
      </c>
      <c r="K252" s="4">
        <v>8692920.9399999995</v>
      </c>
      <c r="L252" s="4">
        <v>3055479.38</v>
      </c>
    </row>
    <row r="253" spans="1:12" hidden="1" outlineLevel="1" x14ac:dyDescent="0.3">
      <c r="A253" s="31">
        <v>45961</v>
      </c>
      <c r="B253" s="31">
        <f>EDATE(B277,-1)</f>
        <v>45960</v>
      </c>
      <c r="C253" t="s">
        <v>653</v>
      </c>
      <c r="D253" s="4">
        <v>57714301.159999996</v>
      </c>
      <c r="E253" s="4">
        <v>33337882.69720776</v>
      </c>
      <c r="F253" s="4">
        <v>24376418.46279224</v>
      </c>
      <c r="G253" s="4">
        <v>11502563</v>
      </c>
      <c r="H253" s="26">
        <v>0.24</v>
      </c>
      <c r="I253" s="4">
        <v>17864000</v>
      </c>
      <c r="J253" s="4">
        <v>15813089.640000001</v>
      </c>
      <c r="K253" s="4">
        <v>8427622.3499999996</v>
      </c>
      <c r="L253" s="4">
        <v>2964502.23</v>
      </c>
    </row>
    <row r="254" spans="1:12" hidden="1" outlineLevel="1" x14ac:dyDescent="0.3">
      <c r="A254" s="31">
        <v>45961</v>
      </c>
      <c r="B254" s="31">
        <f>EDATE(B278,-1)</f>
        <v>45991</v>
      </c>
      <c r="C254" t="s">
        <v>652</v>
      </c>
      <c r="D254" s="4">
        <v>58006254.590090297</v>
      </c>
      <c r="E254" s="4">
        <v>36264848.530913509</v>
      </c>
      <c r="F254" s="4">
        <v>21741406.059176799</v>
      </c>
      <c r="G254" s="4">
        <v>11750000</v>
      </c>
      <c r="H254" s="26">
        <v>0.24</v>
      </c>
      <c r="I254" s="4">
        <v>17950000</v>
      </c>
      <c r="J254" s="4">
        <v>15689590.774989991</v>
      </c>
      <c r="K254" s="4">
        <v>8094566.6051033959</v>
      </c>
      <c r="L254" s="4">
        <v>2812119.1050690128</v>
      </c>
    </row>
    <row r="255" spans="1:12" hidden="1" outlineLevel="1" x14ac:dyDescent="0.3">
      <c r="A255" s="31">
        <v>45961</v>
      </c>
      <c r="B255" s="31">
        <f>EDATE(B279,-1)</f>
        <v>46022</v>
      </c>
      <c r="C255" t="s">
        <v>652</v>
      </c>
      <c r="D255" s="4">
        <v>56006975.759334117</v>
      </c>
      <c r="E255" s="4">
        <v>34360042.963046066</v>
      </c>
      <c r="F255" s="4">
        <v>21646932.796288051</v>
      </c>
      <c r="G255" s="4">
        <v>11900000</v>
      </c>
      <c r="H255" s="26">
        <v>0.24</v>
      </c>
      <c r="I255" s="4">
        <v>18050000</v>
      </c>
      <c r="J255" s="4">
        <v>15235049.22023146</v>
      </c>
      <c r="K255" s="4">
        <v>8304480.9375934443</v>
      </c>
      <c r="L255" s="4">
        <v>2926973.8617713382</v>
      </c>
    </row>
    <row r="256" spans="1:12" hidden="1" outlineLevel="1" x14ac:dyDescent="0.3">
      <c r="A256" s="31">
        <v>45961</v>
      </c>
      <c r="B256" s="31">
        <f>EDATE(B280,-1)</f>
        <v>46050</v>
      </c>
      <c r="C256" t="s">
        <v>652</v>
      </c>
      <c r="D256" s="4">
        <v>58296444.809443243</v>
      </c>
      <c r="E256" s="4">
        <v>33342109.35275799</v>
      </c>
      <c r="F256" s="4">
        <v>24954335.456685241</v>
      </c>
      <c r="G256" s="4">
        <v>12050000</v>
      </c>
      <c r="H256" s="26">
        <v>0.24</v>
      </c>
      <c r="I256" s="4">
        <v>18200000</v>
      </c>
      <c r="J256" s="4">
        <v>15698038.464286219</v>
      </c>
      <c r="K256" s="4">
        <v>8415059.8425894473</v>
      </c>
      <c r="L256" s="4">
        <v>2829959.2761351322</v>
      </c>
    </row>
    <row r="257" spans="1:12" hidden="1" outlineLevel="1" x14ac:dyDescent="0.3">
      <c r="A257" s="31">
        <v>45961</v>
      </c>
      <c r="B257" s="31">
        <f>EDATE(B281,-1)</f>
        <v>46081</v>
      </c>
      <c r="C257" t="s">
        <v>652</v>
      </c>
      <c r="D257" s="4">
        <v>58115477.334494904</v>
      </c>
      <c r="E257" s="4">
        <v>36707282.808548927</v>
      </c>
      <c r="F257" s="4">
        <v>21408194.525945969</v>
      </c>
      <c r="G257" s="4">
        <v>12150000</v>
      </c>
      <c r="H257" s="26">
        <v>0.25</v>
      </c>
      <c r="I257" s="4">
        <v>18350000</v>
      </c>
      <c r="J257" s="4">
        <v>15664952.92531581</v>
      </c>
      <c r="K257" s="4">
        <v>8451279.5025654025</v>
      </c>
      <c r="L257" s="4">
        <v>2943175.2660944578</v>
      </c>
    </row>
    <row r="258" spans="1:12" hidden="1" outlineLevel="1" x14ac:dyDescent="0.3">
      <c r="A258" s="31">
        <v>45961</v>
      </c>
      <c r="B258" s="31">
        <f>EDATE(B282,-1)</f>
        <v>46111</v>
      </c>
      <c r="C258" t="s">
        <v>652</v>
      </c>
      <c r="D258" s="4">
        <v>56636738.098471299</v>
      </c>
      <c r="E258" s="4">
        <v>32805538.443287302</v>
      </c>
      <c r="F258" s="4">
        <v>23831199.655184001</v>
      </c>
      <c r="G258" s="4">
        <v>12300000</v>
      </c>
      <c r="H258" s="26">
        <v>0.25</v>
      </c>
      <c r="I258" s="4">
        <v>18450000</v>
      </c>
      <c r="J258" s="4">
        <v>15867202.66834002</v>
      </c>
      <c r="K258" s="4">
        <v>8250799.6978511196</v>
      </c>
      <c r="L258" s="4">
        <v>3029098.2954571168</v>
      </c>
    </row>
    <row r="259" spans="1:12" hidden="1" outlineLevel="1" x14ac:dyDescent="0.3">
      <c r="A259" s="31">
        <v>45961</v>
      </c>
      <c r="B259" s="31">
        <f>EDATE(B283,-1)</f>
        <v>46142</v>
      </c>
      <c r="C259" t="s">
        <v>652</v>
      </c>
      <c r="D259" s="4">
        <v>59268362.135164678</v>
      </c>
      <c r="E259" s="4">
        <v>35881788.569076143</v>
      </c>
      <c r="F259" s="4">
        <v>23386573.566088539</v>
      </c>
      <c r="G259" s="4">
        <v>12250000</v>
      </c>
      <c r="H259" s="26">
        <v>0.25</v>
      </c>
      <c r="I259" s="4">
        <v>18400000</v>
      </c>
      <c r="J259" s="4">
        <v>16016201.196298631</v>
      </c>
      <c r="K259" s="4">
        <v>8274969.312129382</v>
      </c>
      <c r="L259" s="4">
        <v>2954747.8156785169</v>
      </c>
    </row>
    <row r="260" spans="1:12" hidden="1" outlineLevel="1" x14ac:dyDescent="0.3">
      <c r="A260" s="31">
        <v>45961</v>
      </c>
      <c r="B260" s="31">
        <f>EDATE(B284,-1)</f>
        <v>46172</v>
      </c>
      <c r="C260" t="s">
        <v>652</v>
      </c>
      <c r="D260" s="4">
        <v>58726021.411114737</v>
      </c>
      <c r="E260" s="4">
        <v>39764008.249703251</v>
      </c>
      <c r="F260" s="4">
        <v>18962013.16141149</v>
      </c>
      <c r="G260" s="4">
        <v>12100000</v>
      </c>
      <c r="H260" s="26">
        <v>0.25</v>
      </c>
      <c r="I260" s="4">
        <v>18300000</v>
      </c>
      <c r="J260" s="4">
        <v>16118473.567856239</v>
      </c>
      <c r="K260" s="4">
        <v>8635735.0771482531</v>
      </c>
      <c r="L260" s="4">
        <v>2996585.3608145928</v>
      </c>
    </row>
    <row r="261" spans="1:12" hidden="1" outlineLevel="1" x14ac:dyDescent="0.3">
      <c r="A261" s="31">
        <v>45961</v>
      </c>
      <c r="B261" s="31">
        <f>EDATE(B285,-1)</f>
        <v>46203</v>
      </c>
      <c r="C261" t="s">
        <v>652</v>
      </c>
      <c r="D261" s="4">
        <v>58694178.05470483</v>
      </c>
      <c r="E261" s="4">
        <v>33381574.569802359</v>
      </c>
      <c r="F261" s="4">
        <v>25312603.484902471</v>
      </c>
      <c r="G261" s="4">
        <v>11850000</v>
      </c>
      <c r="H261" s="26">
        <v>0.24</v>
      </c>
      <c r="I261" s="4">
        <v>18150000</v>
      </c>
      <c r="J261" s="4">
        <v>16387375.65311479</v>
      </c>
      <c r="K261" s="4">
        <v>8470544.6447577681</v>
      </c>
      <c r="L261" s="4">
        <v>3017165.863533475</v>
      </c>
    </row>
    <row r="262" spans="1:12" hidden="1" outlineLevel="1" x14ac:dyDescent="0.3">
      <c r="A262" s="31">
        <v>45961</v>
      </c>
      <c r="B262" s="31">
        <f>EDATE(B286,-1)</f>
        <v>46234</v>
      </c>
      <c r="C262" t="s">
        <v>652</v>
      </c>
      <c r="D262" s="4">
        <v>60236660.600820407</v>
      </c>
      <c r="E262" s="4">
        <v>37578479.776028372</v>
      </c>
      <c r="F262" s="4">
        <v>22658180.824792031</v>
      </c>
      <c r="G262" s="4">
        <v>12000000</v>
      </c>
      <c r="H262" s="26">
        <v>0.24</v>
      </c>
      <c r="I262" s="4">
        <v>18250000</v>
      </c>
      <c r="J262" s="4">
        <v>16623382.092707651</v>
      </c>
      <c r="K262" s="4">
        <v>8624986.8799046632</v>
      </c>
      <c r="L262" s="4">
        <v>3044699.174657627</v>
      </c>
    </row>
    <row r="263" spans="1:12" hidden="1" outlineLevel="1" x14ac:dyDescent="0.3">
      <c r="A263" s="31">
        <v>45961</v>
      </c>
      <c r="B263" s="31">
        <f>EDATE(B287,-1)</f>
        <v>46264</v>
      </c>
      <c r="C263" t="s">
        <v>652</v>
      </c>
      <c r="D263" s="4">
        <v>58578352.931754313</v>
      </c>
      <c r="E263" s="4">
        <v>37028052.720645331</v>
      </c>
      <c r="F263" s="4">
        <v>21550300.211108979</v>
      </c>
      <c r="G263" s="4">
        <v>12400000</v>
      </c>
      <c r="H263" s="26">
        <v>0.24</v>
      </c>
      <c r="I263" s="4">
        <v>18500000</v>
      </c>
      <c r="J263" s="4">
        <v>16468926.497397119</v>
      </c>
      <c r="K263" s="4">
        <v>8838746.8905487265</v>
      </c>
      <c r="L263" s="4">
        <v>3117583.9784047422</v>
      </c>
    </row>
    <row r="264" spans="1:12" hidden="1" outlineLevel="1" x14ac:dyDescent="0.3">
      <c r="A264" s="31">
        <v>45961</v>
      </c>
      <c r="B264" s="31">
        <f>EDATE(B288,-1)</f>
        <v>46295</v>
      </c>
      <c r="C264" t="s">
        <v>652</v>
      </c>
      <c r="D264" s="4">
        <v>59201034.948166907</v>
      </c>
      <c r="E264" s="4">
        <v>34743025.534212232</v>
      </c>
      <c r="F264" s="4">
        <v>24458009.413954679</v>
      </c>
      <c r="G264" s="4">
        <v>12550000</v>
      </c>
      <c r="H264" s="26">
        <v>0.25</v>
      </c>
      <c r="I264" s="4">
        <v>18650000</v>
      </c>
      <c r="J264" s="4">
        <v>16064576.35104703</v>
      </c>
      <c r="K264" s="4">
        <v>9057738.8751288746</v>
      </c>
      <c r="L264" s="4">
        <v>3116582.01478629</v>
      </c>
    </row>
    <row r="265" spans="1:12" hidden="1" outlineLevel="1" x14ac:dyDescent="0.3">
      <c r="A265" s="31">
        <v>45961</v>
      </c>
      <c r="B265" s="31">
        <f>EDATE(B289,-1)</f>
        <v>46325</v>
      </c>
      <c r="C265" t="s">
        <v>652</v>
      </c>
      <c r="D265" s="4">
        <v>59842255.988201603</v>
      </c>
      <c r="E265" s="4">
        <v>33707294.426787637</v>
      </c>
      <c r="F265" s="4">
        <v>26134961.561413959</v>
      </c>
      <c r="G265" s="4">
        <v>12300000</v>
      </c>
      <c r="H265" s="26">
        <v>0.24</v>
      </c>
      <c r="I265" s="4">
        <v>18450000</v>
      </c>
      <c r="J265" s="4">
        <v>16070591.55420042</v>
      </c>
      <c r="K265" s="4">
        <v>8655529.1706803143</v>
      </c>
      <c r="L265" s="4">
        <v>3100777.1046122839</v>
      </c>
    </row>
    <row r="266" spans="1:12" hidden="1" outlineLevel="1" x14ac:dyDescent="0.3">
      <c r="A266" s="31">
        <v>45991</v>
      </c>
      <c r="B266" s="31">
        <v>45657</v>
      </c>
      <c r="C266" t="s">
        <v>653</v>
      </c>
      <c r="D266" s="4">
        <v>25261800.533</v>
      </c>
      <c r="E266" s="4">
        <v>14837765.862431441</v>
      </c>
      <c r="F266" s="4">
        <v>10424034.670568559</v>
      </c>
      <c r="G266" s="4">
        <v>12863419</v>
      </c>
      <c r="H266" s="26">
        <v>0.24</v>
      </c>
      <c r="I266" s="4">
        <v>17247000</v>
      </c>
      <c r="J266" s="4">
        <v>15548388.68</v>
      </c>
      <c r="K266" s="4">
        <v>7961818.46</v>
      </c>
      <c r="L266" s="4">
        <v>2792148.66</v>
      </c>
    </row>
    <row r="267" spans="1:12" hidden="1" outlineLevel="1" x14ac:dyDescent="0.3">
      <c r="A267" s="31">
        <v>45991</v>
      </c>
      <c r="B267" s="31">
        <v>45688</v>
      </c>
      <c r="C267" t="s">
        <v>653</v>
      </c>
      <c r="D267" s="4">
        <v>24953069.447500002</v>
      </c>
      <c r="E267" s="4">
        <v>14100846.44006091</v>
      </c>
      <c r="F267" s="4">
        <v>10852223.00743909</v>
      </c>
      <c r="G267" s="4">
        <v>11950485</v>
      </c>
      <c r="H267" s="26">
        <v>0.25</v>
      </c>
      <c r="I267" s="4">
        <v>17082000</v>
      </c>
      <c r="J267" s="4">
        <v>15082241.98</v>
      </c>
      <c r="K267" s="4">
        <v>8075446.4500000002</v>
      </c>
      <c r="L267" s="4">
        <v>2891511</v>
      </c>
    </row>
    <row r="268" spans="1:12" hidden="1" outlineLevel="1" x14ac:dyDescent="0.3">
      <c r="A268" s="31">
        <v>45991</v>
      </c>
      <c r="B268" s="31">
        <v>45716</v>
      </c>
      <c r="C268" t="s">
        <v>653</v>
      </c>
      <c r="D268" s="4">
        <v>25385755.997499999</v>
      </c>
      <c r="E268" s="4">
        <v>15679349.162797621</v>
      </c>
      <c r="F268" s="4">
        <v>9706406.8347023819</v>
      </c>
      <c r="G268" s="4">
        <v>12008506</v>
      </c>
      <c r="H268" s="26">
        <v>0.24</v>
      </c>
      <c r="I268" s="4">
        <v>17284000</v>
      </c>
      <c r="J268" s="4">
        <v>15494985.800000001</v>
      </c>
      <c r="K268" s="4">
        <v>8314030.6500000004</v>
      </c>
      <c r="L268" s="4">
        <v>2777361.85</v>
      </c>
    </row>
    <row r="269" spans="1:12" hidden="1" outlineLevel="1" x14ac:dyDescent="0.3">
      <c r="A269" s="31">
        <v>45991</v>
      </c>
      <c r="B269" s="31">
        <v>45747</v>
      </c>
      <c r="C269" t="s">
        <v>653</v>
      </c>
      <c r="D269" s="4">
        <v>25277896.943</v>
      </c>
      <c r="E269" s="4">
        <v>14556484.944138199</v>
      </c>
      <c r="F269" s="4">
        <v>10721411.998861801</v>
      </c>
      <c r="G269" s="4">
        <v>11949467</v>
      </c>
      <c r="H269" s="26">
        <v>0.24</v>
      </c>
      <c r="I269" s="4">
        <v>17156000</v>
      </c>
      <c r="J269" s="4">
        <v>15479513.369999999</v>
      </c>
      <c r="K269" s="4">
        <v>8290983.3200000003</v>
      </c>
      <c r="L269" s="4">
        <v>2841880.48</v>
      </c>
    </row>
    <row r="270" spans="1:12" hidden="1" outlineLevel="1" x14ac:dyDescent="0.3">
      <c r="A270" s="31">
        <v>45991</v>
      </c>
      <c r="B270" s="31">
        <v>45777</v>
      </c>
      <c r="C270" t="s">
        <v>653</v>
      </c>
      <c r="D270" s="4">
        <v>25456303.252999999</v>
      </c>
      <c r="E270" s="4">
        <v>14019432.53699572</v>
      </c>
      <c r="F270" s="4">
        <v>11436870.71600428</v>
      </c>
      <c r="G270" s="4">
        <v>12134463</v>
      </c>
      <c r="H270" s="26">
        <v>0.26</v>
      </c>
      <c r="I270" s="4">
        <v>17476000</v>
      </c>
      <c r="J270" s="4">
        <v>15424116.5</v>
      </c>
      <c r="K270" s="4">
        <v>8076287.1799999997</v>
      </c>
      <c r="L270" s="4">
        <v>2936122.45</v>
      </c>
    </row>
    <row r="271" spans="1:12" hidden="1" outlineLevel="1" x14ac:dyDescent="0.3">
      <c r="A271" s="31">
        <v>45991</v>
      </c>
      <c r="B271" s="31">
        <v>45808</v>
      </c>
      <c r="C271" t="s">
        <v>653</v>
      </c>
      <c r="D271" s="4">
        <v>25492423.285500001</v>
      </c>
      <c r="E271" s="4">
        <v>15217740.48513365</v>
      </c>
      <c r="F271" s="4">
        <v>10274682.80036635</v>
      </c>
      <c r="G271" s="4">
        <v>12007009</v>
      </c>
      <c r="H271" s="26">
        <v>0.25</v>
      </c>
      <c r="I271" s="4">
        <v>17294000</v>
      </c>
      <c r="J271" s="4">
        <v>15832759.720000001</v>
      </c>
      <c r="K271" s="4">
        <v>8042606.9699999997</v>
      </c>
      <c r="L271" s="4">
        <v>2900254.93</v>
      </c>
    </row>
    <row r="272" spans="1:12" hidden="1" outlineLevel="1" x14ac:dyDescent="0.3">
      <c r="A272" s="31">
        <v>45991</v>
      </c>
      <c r="B272" s="31">
        <v>45838</v>
      </c>
      <c r="C272" t="s">
        <v>653</v>
      </c>
      <c r="D272" s="4">
        <v>25925152.5185</v>
      </c>
      <c r="E272" s="4">
        <v>14128447.208599791</v>
      </c>
      <c r="F272" s="4">
        <v>11796705.309900209</v>
      </c>
      <c r="G272" s="4">
        <v>11903993</v>
      </c>
      <c r="H272" s="26">
        <v>0.25</v>
      </c>
      <c r="I272" s="4">
        <v>17705000</v>
      </c>
      <c r="J272" s="4">
        <v>15777910.43</v>
      </c>
      <c r="K272" s="4">
        <v>8373596.6900000004</v>
      </c>
      <c r="L272" s="4">
        <v>2936692.31</v>
      </c>
    </row>
    <row r="273" spans="1:12" hidden="1" outlineLevel="1" x14ac:dyDescent="0.3">
      <c r="A273" s="31">
        <v>45991</v>
      </c>
      <c r="B273" s="31">
        <v>45869</v>
      </c>
      <c r="C273" t="s">
        <v>653</v>
      </c>
      <c r="D273" s="4">
        <v>25918174.6175</v>
      </c>
      <c r="E273" s="4">
        <v>16383934.704711931</v>
      </c>
      <c r="F273" s="4">
        <v>9534239.9127880726</v>
      </c>
      <c r="G273" s="4">
        <v>11403422</v>
      </c>
      <c r="H273" s="26">
        <v>0.24</v>
      </c>
      <c r="I273" s="4">
        <v>17631000</v>
      </c>
      <c r="J273" s="4">
        <v>15955420.82</v>
      </c>
      <c r="K273" s="4">
        <v>8248857.9299999997</v>
      </c>
      <c r="L273" s="4">
        <v>2979719.66</v>
      </c>
    </row>
    <row r="274" spans="1:12" hidden="1" outlineLevel="1" x14ac:dyDescent="0.3">
      <c r="A274" s="31">
        <v>45991</v>
      </c>
      <c r="B274" s="31">
        <v>45900</v>
      </c>
      <c r="C274" t="s">
        <v>653</v>
      </c>
      <c r="D274" s="4">
        <v>26170713.609000001</v>
      </c>
      <c r="E274" s="4">
        <v>14924234.770103309</v>
      </c>
      <c r="F274" s="4">
        <v>11246478.83889669</v>
      </c>
      <c r="G274" s="4">
        <v>11621535</v>
      </c>
      <c r="H274" s="26">
        <v>0.24</v>
      </c>
      <c r="I274" s="4">
        <v>17686000</v>
      </c>
      <c r="J274" s="4">
        <v>16280521.35</v>
      </c>
      <c r="K274" s="4">
        <v>8389962</v>
      </c>
      <c r="L274" s="4">
        <v>2957231.17</v>
      </c>
    </row>
    <row r="275" spans="1:12" hidden="1" outlineLevel="1" x14ac:dyDescent="0.3">
      <c r="A275" s="31">
        <v>45991</v>
      </c>
      <c r="B275" s="31">
        <v>45930</v>
      </c>
      <c r="C275" t="s">
        <v>653</v>
      </c>
      <c r="D275" s="4">
        <v>26211531.447500002</v>
      </c>
      <c r="E275" s="4">
        <v>16132405.735600401</v>
      </c>
      <c r="F275" s="4">
        <v>10079125.711899601</v>
      </c>
      <c r="G275" s="4">
        <v>12474628</v>
      </c>
      <c r="H275" s="26">
        <v>0.24</v>
      </c>
      <c r="I275" s="4">
        <v>17851000</v>
      </c>
      <c r="J275" s="4">
        <v>15964921.560000001</v>
      </c>
      <c r="K275" s="4">
        <v>8561419.3300000001</v>
      </c>
      <c r="L275" s="4">
        <v>2973769.51</v>
      </c>
    </row>
    <row r="276" spans="1:12" hidden="1" outlineLevel="1" x14ac:dyDescent="0.3">
      <c r="A276" s="31">
        <v>45991</v>
      </c>
      <c r="B276" s="31">
        <v>45961</v>
      </c>
      <c r="C276" t="s">
        <v>653</v>
      </c>
      <c r="D276" s="4">
        <v>26506005.449999999</v>
      </c>
      <c r="E276" s="4">
        <v>16569715.43115695</v>
      </c>
      <c r="F276" s="4">
        <v>9936290.018843051</v>
      </c>
      <c r="G276" s="4">
        <v>12180509</v>
      </c>
      <c r="H276" s="26">
        <v>0.24</v>
      </c>
      <c r="I276" s="4">
        <v>18063000</v>
      </c>
      <c r="J276" s="4">
        <v>16081454.49</v>
      </c>
      <c r="K276" s="4">
        <v>8692920.9399999995</v>
      </c>
      <c r="L276" s="4">
        <v>3055479.38</v>
      </c>
    </row>
    <row r="277" spans="1:12" collapsed="1" x14ac:dyDescent="0.3">
      <c r="A277" s="31">
        <v>45991</v>
      </c>
      <c r="B277" s="31">
        <v>45991</v>
      </c>
      <c r="C277" t="s">
        <v>653</v>
      </c>
      <c r="D277" s="4">
        <v>57714301.159999996</v>
      </c>
      <c r="E277" s="4">
        <v>33337882.69720776</v>
      </c>
      <c r="F277" s="4">
        <v>24376418.46279224</v>
      </c>
      <c r="G277" s="4">
        <v>11502563</v>
      </c>
      <c r="H277" s="26">
        <v>0.24</v>
      </c>
      <c r="I277" s="4">
        <v>17864000</v>
      </c>
      <c r="J277" s="4">
        <v>15813089.640000001</v>
      </c>
      <c r="K277" s="4">
        <v>8427622.3499999996</v>
      </c>
      <c r="L277" s="4">
        <v>2964502.23</v>
      </c>
    </row>
    <row r="278" spans="1:12" x14ac:dyDescent="0.3">
      <c r="A278" s="31">
        <v>45991</v>
      </c>
      <c r="B278" s="31">
        <v>46022</v>
      </c>
      <c r="C278" t="s">
        <v>652</v>
      </c>
      <c r="D278" s="4">
        <v>58006254.590090297</v>
      </c>
      <c r="E278" s="4">
        <v>36264848.530913509</v>
      </c>
      <c r="F278" s="4">
        <v>21741406.059176799</v>
      </c>
      <c r="G278" s="4">
        <v>11750000</v>
      </c>
      <c r="H278" s="26">
        <v>0.24</v>
      </c>
      <c r="I278" s="4">
        <v>17950000</v>
      </c>
      <c r="J278" s="4">
        <v>15689590.774989991</v>
      </c>
      <c r="K278" s="4">
        <v>8094566.6051033959</v>
      </c>
      <c r="L278" s="4">
        <v>2812119.1050690128</v>
      </c>
    </row>
    <row r="279" spans="1:12" x14ac:dyDescent="0.3">
      <c r="A279" s="31">
        <v>45991</v>
      </c>
      <c r="B279" s="31">
        <v>46053</v>
      </c>
      <c r="C279" t="s">
        <v>652</v>
      </c>
      <c r="D279" s="4">
        <v>56006975.759334117</v>
      </c>
      <c r="E279" s="4">
        <v>34360042.963046066</v>
      </c>
      <c r="F279" s="4">
        <v>21646932.796288051</v>
      </c>
      <c r="G279" s="4">
        <v>11900000</v>
      </c>
      <c r="H279" s="26">
        <v>0.24</v>
      </c>
      <c r="I279" s="4">
        <v>18050000</v>
      </c>
      <c r="J279" s="4">
        <v>15235049.22023146</v>
      </c>
      <c r="K279" s="4">
        <v>8304480.9375934443</v>
      </c>
      <c r="L279" s="4">
        <v>2926973.8617713382</v>
      </c>
    </row>
    <row r="280" spans="1:12" x14ac:dyDescent="0.3">
      <c r="A280" s="31">
        <v>45991</v>
      </c>
      <c r="B280" s="31">
        <v>46081</v>
      </c>
      <c r="C280" t="s">
        <v>652</v>
      </c>
      <c r="D280" s="4">
        <v>58296444.809443243</v>
      </c>
      <c r="E280" s="4">
        <v>33342109.35275799</v>
      </c>
      <c r="F280" s="4">
        <v>24954335.456685241</v>
      </c>
      <c r="G280" s="4">
        <v>12050000</v>
      </c>
      <c r="H280" s="26">
        <v>0.24</v>
      </c>
      <c r="I280" s="4">
        <v>18200000</v>
      </c>
      <c r="J280" s="4">
        <v>15698038.464286219</v>
      </c>
      <c r="K280" s="4">
        <v>8415059.8425894473</v>
      </c>
      <c r="L280" s="4">
        <v>2829959.2761351322</v>
      </c>
    </row>
    <row r="281" spans="1:12" x14ac:dyDescent="0.3">
      <c r="A281" s="31">
        <v>45991</v>
      </c>
      <c r="B281" s="31">
        <v>46112</v>
      </c>
      <c r="C281" t="s">
        <v>652</v>
      </c>
      <c r="D281" s="4">
        <v>58115477.334494904</v>
      </c>
      <c r="E281" s="4">
        <v>36707282.808548927</v>
      </c>
      <c r="F281" s="4">
        <v>21408194.525945969</v>
      </c>
      <c r="G281" s="4">
        <v>12150000</v>
      </c>
      <c r="H281" s="26">
        <v>0.25</v>
      </c>
      <c r="I281" s="4">
        <v>18350000</v>
      </c>
      <c r="J281" s="4">
        <v>15664952.92531581</v>
      </c>
      <c r="K281" s="4">
        <v>8451279.5025654025</v>
      </c>
      <c r="L281" s="4">
        <v>2943175.2660944578</v>
      </c>
    </row>
    <row r="282" spans="1:12" x14ac:dyDescent="0.3">
      <c r="A282" s="31">
        <v>45991</v>
      </c>
      <c r="B282" s="31">
        <v>46142</v>
      </c>
      <c r="C282" t="s">
        <v>652</v>
      </c>
      <c r="D282" s="4">
        <v>56636738.098471299</v>
      </c>
      <c r="E282" s="4">
        <v>32805538.443287302</v>
      </c>
      <c r="F282" s="4">
        <v>23831199.655184001</v>
      </c>
      <c r="G282" s="4">
        <v>12300000</v>
      </c>
      <c r="H282" s="26">
        <v>0.25</v>
      </c>
      <c r="I282" s="4">
        <v>18450000</v>
      </c>
      <c r="J282" s="4">
        <v>15867202.66834002</v>
      </c>
      <c r="K282" s="4">
        <v>8250799.6978511196</v>
      </c>
      <c r="L282" s="4">
        <v>3029098.2954571168</v>
      </c>
    </row>
    <row r="283" spans="1:12" x14ac:dyDescent="0.3">
      <c r="A283" s="31">
        <v>45991</v>
      </c>
      <c r="B283" s="31">
        <v>46173</v>
      </c>
      <c r="C283" t="s">
        <v>652</v>
      </c>
      <c r="D283" s="4">
        <v>59268362.135164678</v>
      </c>
      <c r="E283" s="4">
        <v>35881788.569076143</v>
      </c>
      <c r="F283" s="4">
        <v>23386573.566088539</v>
      </c>
      <c r="G283" s="4">
        <v>12250000</v>
      </c>
      <c r="H283" s="26">
        <v>0.25</v>
      </c>
      <c r="I283" s="4">
        <v>18400000</v>
      </c>
      <c r="J283" s="4">
        <v>16016201.196298631</v>
      </c>
      <c r="K283" s="4">
        <v>8274969.312129382</v>
      </c>
      <c r="L283" s="4">
        <v>2954747.8156785169</v>
      </c>
    </row>
    <row r="284" spans="1:12" x14ac:dyDescent="0.3">
      <c r="A284" s="31">
        <v>45991</v>
      </c>
      <c r="B284" s="31">
        <v>46203</v>
      </c>
      <c r="C284" t="s">
        <v>652</v>
      </c>
      <c r="D284" s="4">
        <v>58726021.411114737</v>
      </c>
      <c r="E284" s="4">
        <v>39764008.249703251</v>
      </c>
      <c r="F284" s="4">
        <v>18962013.16141149</v>
      </c>
      <c r="G284" s="4">
        <v>12100000</v>
      </c>
      <c r="H284" s="26">
        <v>0.25</v>
      </c>
      <c r="I284" s="4">
        <v>18300000</v>
      </c>
      <c r="J284" s="4">
        <v>16118473.567856239</v>
      </c>
      <c r="K284" s="4">
        <v>8635735.0771482531</v>
      </c>
      <c r="L284" s="4">
        <v>2996585.3608145928</v>
      </c>
    </row>
    <row r="285" spans="1:12" x14ac:dyDescent="0.3">
      <c r="A285" s="31">
        <v>45991</v>
      </c>
      <c r="B285" s="31">
        <v>46234</v>
      </c>
      <c r="C285" t="s">
        <v>652</v>
      </c>
      <c r="D285" s="4">
        <v>58694178.05470483</v>
      </c>
      <c r="E285" s="4">
        <v>33381574.569802359</v>
      </c>
      <c r="F285" s="4">
        <v>25312603.484902471</v>
      </c>
      <c r="G285" s="4">
        <v>11850000</v>
      </c>
      <c r="H285" s="26">
        <v>0.24</v>
      </c>
      <c r="I285" s="4">
        <v>18150000</v>
      </c>
      <c r="J285" s="4">
        <v>16387375.65311479</v>
      </c>
      <c r="K285" s="4">
        <v>8470544.6447577681</v>
      </c>
      <c r="L285" s="4">
        <v>3017165.863533475</v>
      </c>
    </row>
    <row r="286" spans="1:12" x14ac:dyDescent="0.3">
      <c r="A286" s="31">
        <v>45991</v>
      </c>
      <c r="B286" s="31">
        <v>46265</v>
      </c>
      <c r="C286" t="s">
        <v>652</v>
      </c>
      <c r="D286" s="4">
        <v>60236660.600820407</v>
      </c>
      <c r="E286" s="4">
        <v>37578479.776028372</v>
      </c>
      <c r="F286" s="4">
        <v>22658180.824792031</v>
      </c>
      <c r="G286" s="4">
        <v>12000000</v>
      </c>
      <c r="H286" s="26">
        <v>0.24</v>
      </c>
      <c r="I286" s="4">
        <v>18250000</v>
      </c>
      <c r="J286" s="4">
        <v>16623382.092707651</v>
      </c>
      <c r="K286" s="4">
        <v>8624986.8799046632</v>
      </c>
      <c r="L286" s="4">
        <v>3044699.174657627</v>
      </c>
    </row>
    <row r="287" spans="1:12" x14ac:dyDescent="0.3">
      <c r="A287" s="31">
        <v>45991</v>
      </c>
      <c r="B287" s="31">
        <v>46295</v>
      </c>
      <c r="C287" t="s">
        <v>652</v>
      </c>
      <c r="D287" s="4">
        <v>58578352.931754313</v>
      </c>
      <c r="E287" s="4">
        <v>37028052.720645331</v>
      </c>
      <c r="F287" s="4">
        <v>21550300.211108979</v>
      </c>
      <c r="G287" s="4">
        <v>12400000</v>
      </c>
      <c r="H287" s="26">
        <v>0.24</v>
      </c>
      <c r="I287" s="4">
        <v>18500000</v>
      </c>
      <c r="J287" s="4">
        <v>16468926.497397119</v>
      </c>
      <c r="K287" s="4">
        <v>8838746.8905487265</v>
      </c>
      <c r="L287" s="4">
        <v>3117583.9784047422</v>
      </c>
    </row>
    <row r="288" spans="1:12" x14ac:dyDescent="0.3">
      <c r="A288" s="31">
        <v>45991</v>
      </c>
      <c r="B288" s="31">
        <v>46326</v>
      </c>
      <c r="C288" t="s">
        <v>652</v>
      </c>
      <c r="D288" s="4">
        <v>59201034.948166907</v>
      </c>
      <c r="E288" s="4">
        <v>34743025.534212232</v>
      </c>
      <c r="F288" s="4">
        <v>24458009.413954679</v>
      </c>
      <c r="G288" s="4">
        <v>12550000</v>
      </c>
      <c r="H288" s="26">
        <v>0.25</v>
      </c>
      <c r="I288" s="4">
        <v>18650000</v>
      </c>
      <c r="J288" s="4">
        <v>16064576.35104703</v>
      </c>
      <c r="K288" s="4">
        <v>9057738.8751288746</v>
      </c>
      <c r="L288" s="4">
        <v>3116582.01478629</v>
      </c>
    </row>
    <row r="289" spans="1:12" x14ac:dyDescent="0.3">
      <c r="A289" s="31">
        <v>45991</v>
      </c>
      <c r="B289" s="31">
        <v>46356</v>
      </c>
      <c r="C289" t="s">
        <v>652</v>
      </c>
      <c r="D289" s="4">
        <v>59842255.988201603</v>
      </c>
      <c r="E289" s="4">
        <v>33707294.426787637</v>
      </c>
      <c r="F289" s="4">
        <v>26134961.561413959</v>
      </c>
      <c r="G289" s="4">
        <v>12300000</v>
      </c>
      <c r="H289" s="26">
        <v>0.24</v>
      </c>
      <c r="I289" s="4">
        <v>18450000</v>
      </c>
      <c r="J289" s="4">
        <v>16070591.55420042</v>
      </c>
      <c r="K289" s="4">
        <v>8655529.1706803143</v>
      </c>
      <c r="L289" s="4">
        <v>3100777.1046122839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5435-D02D-44A4-ADE3-8614E6EFDCC8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D91A-4A3B-46E8-A9BC-6C77C1087327}">
  <sheetPr>
    <tabColor theme="7" tint="0.39997558519241921"/>
  </sheetPr>
  <dimension ref="A1:Q26"/>
  <sheetViews>
    <sheetView zoomScale="53" zoomScaleNormal="50" workbookViewId="0">
      <selection activeCell="G21" sqref="G21"/>
    </sheetView>
  </sheetViews>
  <sheetFormatPr defaultRowHeight="14.4" x14ac:dyDescent="0.3"/>
  <cols>
    <col min="1" max="1" width="11.88671875" bestFit="1" customWidth="1"/>
    <col min="2" max="2" width="44.5546875" bestFit="1" customWidth="1"/>
    <col min="3" max="17" width="16.33203125" customWidth="1"/>
  </cols>
  <sheetData>
    <row r="1" spans="1:17" x14ac:dyDescent="0.3">
      <c r="C1" t="s">
        <v>653</v>
      </c>
      <c r="D1" t="s">
        <v>652</v>
      </c>
      <c r="E1" t="s">
        <v>652</v>
      </c>
      <c r="F1" t="s">
        <v>652</v>
      </c>
      <c r="G1" t="s">
        <v>652</v>
      </c>
      <c r="H1" t="s">
        <v>652</v>
      </c>
      <c r="I1" t="s">
        <v>652</v>
      </c>
      <c r="J1" t="s">
        <v>652</v>
      </c>
      <c r="K1" t="s">
        <v>652</v>
      </c>
      <c r="L1" t="s">
        <v>652</v>
      </c>
      <c r="M1" t="s">
        <v>652</v>
      </c>
      <c r="N1" t="s">
        <v>652</v>
      </c>
      <c r="O1" t="s">
        <v>652</v>
      </c>
      <c r="P1" t="s">
        <v>652</v>
      </c>
      <c r="Q1" t="s">
        <v>652</v>
      </c>
    </row>
    <row r="2" spans="1:17" x14ac:dyDescent="0.3">
      <c r="A2" t="s">
        <v>267</v>
      </c>
      <c r="B2" t="s">
        <v>333</v>
      </c>
      <c r="C2" s="13" t="s">
        <v>697</v>
      </c>
      <c r="D2" s="13" t="s">
        <v>696</v>
      </c>
      <c r="E2" s="13" t="s">
        <v>695</v>
      </c>
      <c r="F2" s="13" t="s">
        <v>694</v>
      </c>
      <c r="G2" s="13" t="s">
        <v>693</v>
      </c>
      <c r="H2" s="13" t="s">
        <v>692</v>
      </c>
      <c r="I2" s="13" t="s">
        <v>691</v>
      </c>
      <c r="J2" s="13" t="s">
        <v>690</v>
      </c>
      <c r="K2" s="13" t="s">
        <v>689</v>
      </c>
      <c r="L2" s="13" t="s">
        <v>688</v>
      </c>
      <c r="M2" s="13" t="s">
        <v>687</v>
      </c>
      <c r="N2" s="13" t="s">
        <v>686</v>
      </c>
      <c r="O2" s="13" t="s">
        <v>685</v>
      </c>
      <c r="P2" s="13" t="s">
        <v>684</v>
      </c>
      <c r="Q2" s="13" t="s">
        <v>683</v>
      </c>
    </row>
    <row r="3" spans="1:17" x14ac:dyDescent="0.3">
      <c r="A3" s="5">
        <v>45991</v>
      </c>
      <c r="B3" s="34" t="s">
        <v>682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s="5">
        <v>45991</v>
      </c>
      <c r="B4" s="34" t="s">
        <v>681</v>
      </c>
      <c r="C4" s="4">
        <v>2150000</v>
      </c>
      <c r="D4" s="4">
        <v>1378000</v>
      </c>
      <c r="E4" s="4">
        <v>1384500</v>
      </c>
      <c r="F4" s="4">
        <v>1488500</v>
      </c>
      <c r="G4" s="4">
        <v>2150000</v>
      </c>
      <c r="H4" s="4">
        <v>2160000</v>
      </c>
      <c r="I4" s="4">
        <v>2175000</v>
      </c>
      <c r="J4" s="4">
        <v>2185000</v>
      </c>
      <c r="K4" s="4">
        <v>2195000</v>
      </c>
      <c r="L4" s="4">
        <v>2205000</v>
      </c>
      <c r="M4" s="4">
        <v>2215000</v>
      </c>
      <c r="N4" s="4">
        <v>2225000</v>
      </c>
      <c r="O4" s="4">
        <v>2310000</v>
      </c>
      <c r="P4" s="4">
        <v>2250000</v>
      </c>
      <c r="Q4" s="4">
        <v>26321000</v>
      </c>
    </row>
    <row r="5" spans="1:17" x14ac:dyDescent="0.3">
      <c r="A5" s="5">
        <v>45991</v>
      </c>
      <c r="B5" s="34" t="s">
        <v>680</v>
      </c>
      <c r="C5" s="4">
        <v>0</v>
      </c>
      <c r="D5" s="4">
        <v>0</v>
      </c>
      <c r="E5" s="4">
        <v>0</v>
      </c>
      <c r="F5" s="4">
        <v>150000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75000</v>
      </c>
      <c r="P5" s="4">
        <v>0</v>
      </c>
      <c r="Q5" s="4">
        <v>225000</v>
      </c>
    </row>
    <row r="6" spans="1:17" x14ac:dyDescent="0.3">
      <c r="A6" s="5">
        <v>45991</v>
      </c>
      <c r="B6" s="13" t="s">
        <v>679</v>
      </c>
      <c r="C6" s="33">
        <v>2150000</v>
      </c>
      <c r="D6" s="33">
        <v>2120000</v>
      </c>
      <c r="E6" s="33">
        <v>2130000</v>
      </c>
      <c r="F6" s="33">
        <v>2440000</v>
      </c>
      <c r="G6" s="33">
        <v>2150000</v>
      </c>
      <c r="H6" s="33">
        <v>2160000</v>
      </c>
      <c r="I6" s="33">
        <v>2175000</v>
      </c>
      <c r="J6" s="33">
        <v>2185000</v>
      </c>
      <c r="K6" s="33">
        <v>2195000</v>
      </c>
      <c r="L6" s="33">
        <v>2205000</v>
      </c>
      <c r="M6" s="33">
        <v>2215000</v>
      </c>
      <c r="N6" s="33">
        <v>2225000</v>
      </c>
      <c r="O6" s="33">
        <v>2385000</v>
      </c>
      <c r="P6" s="33">
        <v>2250000</v>
      </c>
      <c r="Q6" s="33">
        <v>28835000</v>
      </c>
    </row>
    <row r="7" spans="1:17" x14ac:dyDescent="0.3">
      <c r="A7" s="5">
        <v>45991</v>
      </c>
      <c r="B7" s="34" t="s">
        <v>678</v>
      </c>
      <c r="C7" s="4">
        <v>307800</v>
      </c>
      <c r="D7" s="4">
        <v>0</v>
      </c>
      <c r="E7" s="4">
        <v>297000</v>
      </c>
      <c r="F7" s="4">
        <v>0</v>
      </c>
      <c r="G7" s="4">
        <v>317250</v>
      </c>
      <c r="H7" s="4">
        <v>0</v>
      </c>
      <c r="I7" s="4">
        <v>290250</v>
      </c>
      <c r="J7" s="4">
        <v>0</v>
      </c>
      <c r="K7" s="4">
        <v>324000</v>
      </c>
      <c r="L7" s="4">
        <v>0</v>
      </c>
      <c r="M7" s="4">
        <v>310500</v>
      </c>
      <c r="N7" s="4">
        <v>0</v>
      </c>
      <c r="O7" s="4">
        <v>303750</v>
      </c>
      <c r="P7" s="4">
        <v>0</v>
      </c>
      <c r="Q7" s="4">
        <v>1842750</v>
      </c>
    </row>
    <row r="8" spans="1:17" x14ac:dyDescent="0.3">
      <c r="A8" s="5">
        <v>45991</v>
      </c>
      <c r="B8" s="34" t="s">
        <v>677</v>
      </c>
      <c r="C8" s="4">
        <v>0</v>
      </c>
      <c r="D8" s="4">
        <v>0</v>
      </c>
      <c r="E8" s="4">
        <v>0</v>
      </c>
      <c r="F8" s="4">
        <v>0</v>
      </c>
      <c r="G8" s="4">
        <v>65600</v>
      </c>
      <c r="H8" s="4">
        <v>0</v>
      </c>
      <c r="I8" s="4">
        <v>0</v>
      </c>
      <c r="J8" s="4">
        <v>0</v>
      </c>
      <c r="K8" s="4">
        <v>65600</v>
      </c>
      <c r="L8" s="4">
        <v>0</v>
      </c>
      <c r="M8" s="4">
        <v>0</v>
      </c>
      <c r="N8" s="4">
        <v>0</v>
      </c>
      <c r="O8" s="4">
        <v>0</v>
      </c>
      <c r="P8" s="4">
        <v>65600</v>
      </c>
      <c r="Q8" s="4">
        <v>196800</v>
      </c>
    </row>
    <row r="9" spans="1:17" x14ac:dyDescent="0.3">
      <c r="A9" s="5">
        <v>45991</v>
      </c>
      <c r="B9" s="34" t="s">
        <v>698</v>
      </c>
      <c r="C9" s="4">
        <v>0</v>
      </c>
      <c r="D9" s="4">
        <v>0</v>
      </c>
      <c r="E9" s="4">
        <v>0</v>
      </c>
      <c r="F9" s="4">
        <v>0</v>
      </c>
      <c r="G9" s="4">
        <v>575000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575000</v>
      </c>
    </row>
    <row r="10" spans="1:17" x14ac:dyDescent="0.3">
      <c r="A10" s="5">
        <v>45991</v>
      </c>
      <c r="B10" s="34" t="s">
        <v>676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18700</v>
      </c>
      <c r="I10" s="4">
        <v>0</v>
      </c>
      <c r="J10" s="4">
        <v>0</v>
      </c>
      <c r="K10" s="4">
        <v>0</v>
      </c>
      <c r="L10" s="4">
        <v>18700</v>
      </c>
      <c r="M10" s="4">
        <v>0</v>
      </c>
      <c r="N10" s="4">
        <v>0</v>
      </c>
      <c r="O10" s="4">
        <v>0</v>
      </c>
      <c r="P10" s="4">
        <v>0</v>
      </c>
      <c r="Q10" s="4">
        <v>37400</v>
      </c>
    </row>
    <row r="11" spans="1:17" x14ac:dyDescent="0.3">
      <c r="A11" s="5">
        <v>45991</v>
      </c>
      <c r="B11" s="34" t="s">
        <v>675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56100</v>
      </c>
      <c r="P11" s="4">
        <v>0</v>
      </c>
      <c r="Q11" s="4">
        <v>56100</v>
      </c>
    </row>
    <row r="12" spans="1:17" x14ac:dyDescent="0.3">
      <c r="A12" s="5">
        <v>45991</v>
      </c>
      <c r="B12" s="34" t="s">
        <v>674</v>
      </c>
      <c r="C12" s="4">
        <v>47000</v>
      </c>
      <c r="D12" s="4">
        <v>47000</v>
      </c>
      <c r="E12" s="4">
        <v>47000</v>
      </c>
      <c r="F12" s="4">
        <v>47000</v>
      </c>
      <c r="G12" s="4">
        <v>47000</v>
      </c>
      <c r="H12" s="4">
        <v>47000</v>
      </c>
      <c r="I12" s="4">
        <v>47000</v>
      </c>
      <c r="J12" s="4">
        <v>47000</v>
      </c>
      <c r="K12" s="4">
        <v>47000</v>
      </c>
      <c r="L12" s="4">
        <v>47000</v>
      </c>
      <c r="M12" s="4">
        <v>47000</v>
      </c>
      <c r="N12" s="4">
        <v>47000</v>
      </c>
      <c r="O12" s="4">
        <v>47000</v>
      </c>
      <c r="P12" s="4">
        <v>47000</v>
      </c>
      <c r="Q12" s="4">
        <v>611000</v>
      </c>
    </row>
    <row r="13" spans="1:17" x14ac:dyDescent="0.3">
      <c r="A13" s="5">
        <v>45991</v>
      </c>
      <c r="B13" s="34" t="s">
        <v>673</v>
      </c>
      <c r="C13" s="4">
        <v>14000</v>
      </c>
      <c r="D13" s="4">
        <v>4000</v>
      </c>
      <c r="E13" s="4">
        <v>4000</v>
      </c>
      <c r="F13" s="4">
        <v>4000</v>
      </c>
      <c r="G13" s="4">
        <v>25000</v>
      </c>
      <c r="H13" s="4">
        <v>4000</v>
      </c>
      <c r="I13" s="4">
        <v>4000</v>
      </c>
      <c r="J13" s="4">
        <v>4000</v>
      </c>
      <c r="K13" s="4">
        <v>22000</v>
      </c>
      <c r="L13" s="4">
        <v>4000</v>
      </c>
      <c r="M13" s="4">
        <v>4000</v>
      </c>
      <c r="N13" s="4">
        <v>4000</v>
      </c>
      <c r="O13" s="4">
        <v>4000</v>
      </c>
      <c r="P13" s="4">
        <v>24000</v>
      </c>
      <c r="Q13" s="4">
        <v>111000</v>
      </c>
    </row>
    <row r="14" spans="1:17" x14ac:dyDescent="0.3">
      <c r="A14" s="5">
        <v>45991</v>
      </c>
      <c r="B14" s="34" t="s">
        <v>672</v>
      </c>
      <c r="C14" s="4">
        <v>23000</v>
      </c>
      <c r="D14" s="4">
        <v>6000</v>
      </c>
      <c r="E14" s="4">
        <v>7000</v>
      </c>
      <c r="F14" s="4">
        <v>6000</v>
      </c>
      <c r="G14" s="4">
        <v>5500</v>
      </c>
      <c r="H14" s="4">
        <v>40000</v>
      </c>
      <c r="I14" s="4">
        <v>6000</v>
      </c>
      <c r="J14" s="4">
        <v>6000</v>
      </c>
      <c r="K14" s="4">
        <v>6000</v>
      </c>
      <c r="L14" s="4">
        <v>5000</v>
      </c>
      <c r="M14" s="4">
        <v>35000</v>
      </c>
      <c r="N14" s="4">
        <v>5000</v>
      </c>
      <c r="O14" s="4">
        <v>6000</v>
      </c>
      <c r="P14" s="4">
        <v>5000</v>
      </c>
      <c r="Q14" s="4">
        <v>138500</v>
      </c>
    </row>
    <row r="15" spans="1:17" x14ac:dyDescent="0.3">
      <c r="A15" s="5">
        <v>45991</v>
      </c>
      <c r="B15" s="34" t="s">
        <v>671</v>
      </c>
      <c r="C15" s="4">
        <v>56000</v>
      </c>
      <c r="D15" s="4">
        <v>56000</v>
      </c>
      <c r="E15" s="4">
        <v>56800</v>
      </c>
      <c r="F15" s="4">
        <v>55000</v>
      </c>
      <c r="G15" s="4">
        <v>57000</v>
      </c>
      <c r="H15" s="4">
        <v>56500</v>
      </c>
      <c r="I15" s="4">
        <v>55200</v>
      </c>
      <c r="J15" s="4">
        <v>56000</v>
      </c>
      <c r="K15" s="4">
        <v>55800</v>
      </c>
      <c r="L15" s="4">
        <v>56300</v>
      </c>
      <c r="M15" s="4">
        <v>56000</v>
      </c>
      <c r="N15" s="4">
        <v>56400</v>
      </c>
      <c r="O15" s="4">
        <v>56700</v>
      </c>
      <c r="P15" s="4">
        <v>55000</v>
      </c>
      <c r="Q15" s="4">
        <v>728700</v>
      </c>
    </row>
    <row r="16" spans="1:17" x14ac:dyDescent="0.3">
      <c r="A16" s="5">
        <v>45991</v>
      </c>
      <c r="B16" s="13" t="s">
        <v>670</v>
      </c>
      <c r="C16" s="33">
        <v>447800</v>
      </c>
      <c r="D16" s="33">
        <v>113000</v>
      </c>
      <c r="E16" s="33">
        <v>411800</v>
      </c>
      <c r="F16" s="33">
        <v>112000</v>
      </c>
      <c r="G16" s="33">
        <v>1092350</v>
      </c>
      <c r="H16" s="33">
        <v>166200</v>
      </c>
      <c r="I16" s="33">
        <v>402450</v>
      </c>
      <c r="J16" s="33">
        <v>113000</v>
      </c>
      <c r="K16" s="33">
        <v>520400</v>
      </c>
      <c r="L16" s="33">
        <v>131000</v>
      </c>
      <c r="M16" s="33">
        <v>452500</v>
      </c>
      <c r="N16" s="33">
        <v>112400</v>
      </c>
      <c r="O16" s="33">
        <v>473550</v>
      </c>
      <c r="P16" s="33">
        <v>196600</v>
      </c>
      <c r="Q16" s="33">
        <v>4297250</v>
      </c>
    </row>
    <row r="17" spans="1:17" x14ac:dyDescent="0.3">
      <c r="A17" s="5">
        <v>45991</v>
      </c>
      <c r="B17" s="34" t="s">
        <v>669</v>
      </c>
      <c r="C17" s="4">
        <v>0</v>
      </c>
      <c r="D17" s="4">
        <v>0</v>
      </c>
      <c r="E17" s="4">
        <v>0</v>
      </c>
      <c r="F17" s="4">
        <v>0</v>
      </c>
      <c r="G17" s="4">
        <v>50000</v>
      </c>
      <c r="H17" s="4">
        <v>0</v>
      </c>
      <c r="I17" s="4">
        <v>0</v>
      </c>
      <c r="J17" s="4">
        <v>0</v>
      </c>
      <c r="K17" s="4">
        <v>50000</v>
      </c>
      <c r="L17" s="4">
        <v>0</v>
      </c>
      <c r="M17" s="4">
        <v>0</v>
      </c>
      <c r="N17" s="4">
        <v>0</v>
      </c>
      <c r="O17" s="4">
        <v>0</v>
      </c>
      <c r="P17" s="4">
        <v>50000</v>
      </c>
      <c r="Q17" s="4">
        <v>150000</v>
      </c>
    </row>
    <row r="18" spans="1:17" x14ac:dyDescent="0.3">
      <c r="A18" s="5">
        <v>45991</v>
      </c>
      <c r="B18" s="34" t="s">
        <v>668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40000</v>
      </c>
      <c r="O18" s="4">
        <v>0</v>
      </c>
      <c r="P18" s="4">
        <v>0</v>
      </c>
      <c r="Q18" s="4">
        <v>40000</v>
      </c>
    </row>
    <row r="19" spans="1:17" x14ac:dyDescent="0.3">
      <c r="A19" s="5">
        <v>45991</v>
      </c>
      <c r="B19" s="34" t="s">
        <v>667</v>
      </c>
      <c r="C19" s="4">
        <v>0</v>
      </c>
      <c r="D19" s="4">
        <v>0</v>
      </c>
      <c r="E19" s="4">
        <v>25000</v>
      </c>
      <c r="F19" s="4">
        <v>0</v>
      </c>
      <c r="G19" s="4">
        <v>0</v>
      </c>
      <c r="H19" s="4">
        <v>0</v>
      </c>
      <c r="I19" s="4">
        <v>30000</v>
      </c>
      <c r="J19" s="4">
        <v>0</v>
      </c>
      <c r="K19" s="4">
        <v>0</v>
      </c>
      <c r="L19" s="4">
        <v>0</v>
      </c>
      <c r="M19" s="4">
        <v>0</v>
      </c>
      <c r="N19" s="4">
        <v>40000</v>
      </c>
      <c r="O19" s="4">
        <v>0</v>
      </c>
      <c r="P19" s="4">
        <v>0</v>
      </c>
      <c r="Q19" s="4">
        <v>95000</v>
      </c>
    </row>
    <row r="20" spans="1:17" x14ac:dyDescent="0.3">
      <c r="A20" s="5">
        <v>45991</v>
      </c>
      <c r="B20" s="34" t="s">
        <v>666</v>
      </c>
      <c r="C20" s="4">
        <v>20000</v>
      </c>
      <c r="D20" s="4">
        <v>20000</v>
      </c>
      <c r="E20" s="4">
        <v>20000</v>
      </c>
      <c r="F20" s="4">
        <v>20000</v>
      </c>
      <c r="G20" s="4">
        <v>20000</v>
      </c>
      <c r="H20" s="4">
        <v>20000</v>
      </c>
      <c r="I20" s="4">
        <v>20000</v>
      </c>
      <c r="J20" s="4">
        <v>20000</v>
      </c>
      <c r="K20" s="4">
        <v>20000</v>
      </c>
      <c r="L20" s="4">
        <v>20000</v>
      </c>
      <c r="M20" s="4">
        <v>20000</v>
      </c>
      <c r="N20" s="4">
        <v>20000</v>
      </c>
      <c r="O20" s="4">
        <v>20000</v>
      </c>
      <c r="P20" s="4">
        <v>20000</v>
      </c>
      <c r="Q20" s="4">
        <v>260000</v>
      </c>
    </row>
    <row r="21" spans="1:17" x14ac:dyDescent="0.3">
      <c r="A21" s="5">
        <v>45991</v>
      </c>
      <c r="B21" s="13" t="s">
        <v>665</v>
      </c>
      <c r="C21" s="33">
        <v>20000</v>
      </c>
      <c r="D21" s="33">
        <v>20000</v>
      </c>
      <c r="E21" s="33">
        <v>45000</v>
      </c>
      <c r="F21" s="33">
        <v>20000</v>
      </c>
      <c r="G21" s="33">
        <v>70000</v>
      </c>
      <c r="H21" s="33">
        <v>20000</v>
      </c>
      <c r="I21" s="33">
        <v>50000</v>
      </c>
      <c r="J21" s="33">
        <v>20000</v>
      </c>
      <c r="K21" s="33">
        <v>70000</v>
      </c>
      <c r="L21" s="33">
        <v>20000</v>
      </c>
      <c r="M21" s="33">
        <v>20000</v>
      </c>
      <c r="N21" s="33">
        <v>100000</v>
      </c>
      <c r="O21" s="33">
        <v>20000</v>
      </c>
      <c r="P21" s="33">
        <v>70000</v>
      </c>
      <c r="Q21" s="33">
        <v>545000</v>
      </c>
    </row>
    <row r="22" spans="1:17" x14ac:dyDescent="0.3">
      <c r="A22" s="5">
        <v>45991</v>
      </c>
      <c r="B22" s="13" t="s">
        <v>664</v>
      </c>
      <c r="C22" s="33">
        <v>467800</v>
      </c>
      <c r="D22" s="33">
        <v>133000</v>
      </c>
      <c r="E22" s="33">
        <v>456800</v>
      </c>
      <c r="F22" s="33">
        <v>132000</v>
      </c>
      <c r="G22" s="33">
        <v>1162350</v>
      </c>
      <c r="H22" s="33">
        <v>186200</v>
      </c>
      <c r="I22" s="33">
        <v>452450</v>
      </c>
      <c r="J22" s="33">
        <v>133000</v>
      </c>
      <c r="K22" s="33">
        <v>590400</v>
      </c>
      <c r="L22" s="33">
        <v>151000</v>
      </c>
      <c r="M22" s="33">
        <v>472500</v>
      </c>
      <c r="N22" s="33">
        <v>212400</v>
      </c>
      <c r="O22" s="33">
        <v>493550</v>
      </c>
      <c r="P22" s="33">
        <v>266600</v>
      </c>
      <c r="Q22" s="33">
        <v>4842250</v>
      </c>
    </row>
    <row r="23" spans="1:17" x14ac:dyDescent="0.3">
      <c r="A23" s="5">
        <v>45991</v>
      </c>
      <c r="B23" s="13" t="s">
        <v>663</v>
      </c>
      <c r="C23" s="33">
        <v>1682200</v>
      </c>
      <c r="D23" s="33">
        <v>1987000</v>
      </c>
      <c r="E23" s="33">
        <v>1673200</v>
      </c>
      <c r="F23" s="33">
        <v>2308000</v>
      </c>
      <c r="G23" s="33">
        <v>987650</v>
      </c>
      <c r="H23" s="33">
        <v>1973800</v>
      </c>
      <c r="I23" s="33">
        <v>1722550</v>
      </c>
      <c r="J23" s="33">
        <v>2052000</v>
      </c>
      <c r="K23" s="33">
        <v>1604600</v>
      </c>
      <c r="L23" s="33">
        <v>2054000</v>
      </c>
      <c r="M23" s="33">
        <v>1742500</v>
      </c>
      <c r="N23" s="33">
        <v>2012600</v>
      </c>
      <c r="O23" s="33">
        <v>1891450</v>
      </c>
      <c r="P23" s="33">
        <v>1983400</v>
      </c>
      <c r="Q23" s="33">
        <v>23992750</v>
      </c>
    </row>
    <row r="26" spans="1:17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ABBA-42BA-4B6A-83EA-1E851ABFBCFF}">
  <sheetPr>
    <tabColor theme="7" tint="0.39997558519241921"/>
  </sheetPr>
  <dimension ref="A1:P8"/>
  <sheetViews>
    <sheetView zoomScale="63" workbookViewId="0">
      <selection activeCell="G21" sqref="G21"/>
    </sheetView>
  </sheetViews>
  <sheetFormatPr defaultRowHeight="14.4" x14ac:dyDescent="0.3"/>
  <cols>
    <col min="1" max="1" width="11.6640625" bestFit="1" customWidth="1"/>
    <col min="2" max="2" width="23.21875" bestFit="1" customWidth="1"/>
    <col min="3" max="16" width="18" customWidth="1"/>
  </cols>
  <sheetData>
    <row r="1" spans="1:16" x14ac:dyDescent="0.3">
      <c r="C1" t="s">
        <v>653</v>
      </c>
      <c r="D1" t="s">
        <v>652</v>
      </c>
      <c r="E1" t="s">
        <v>652</v>
      </c>
      <c r="F1" t="s">
        <v>652</v>
      </c>
      <c r="G1" t="s">
        <v>652</v>
      </c>
      <c r="H1" t="s">
        <v>652</v>
      </c>
      <c r="I1" t="s">
        <v>652</v>
      </c>
      <c r="J1" t="s">
        <v>652</v>
      </c>
      <c r="K1" t="s">
        <v>652</v>
      </c>
      <c r="L1" t="s">
        <v>652</v>
      </c>
      <c r="M1" t="s">
        <v>652</v>
      </c>
      <c r="N1" t="s">
        <v>652</v>
      </c>
      <c r="O1" t="s">
        <v>652</v>
      </c>
      <c r="P1" t="s">
        <v>652</v>
      </c>
    </row>
    <row r="2" spans="1:16" x14ac:dyDescent="0.3">
      <c r="A2" t="s">
        <v>267</v>
      </c>
      <c r="B2" t="s">
        <v>333</v>
      </c>
      <c r="C2" s="13" t="s">
        <v>697</v>
      </c>
      <c r="D2" s="13" t="s">
        <v>696</v>
      </c>
      <c r="E2" s="13" t="s">
        <v>695</v>
      </c>
      <c r="F2" s="13" t="s">
        <v>694</v>
      </c>
      <c r="G2" s="13" t="s">
        <v>693</v>
      </c>
      <c r="H2" s="13" t="s">
        <v>692</v>
      </c>
      <c r="I2" s="13" t="s">
        <v>691</v>
      </c>
      <c r="J2" s="13" t="s">
        <v>690</v>
      </c>
      <c r="K2" s="13" t="s">
        <v>689</v>
      </c>
      <c r="L2" s="13" t="s">
        <v>688</v>
      </c>
      <c r="M2" s="13" t="s">
        <v>687</v>
      </c>
      <c r="N2" s="13" t="s">
        <v>686</v>
      </c>
      <c r="O2" s="13" t="s">
        <v>685</v>
      </c>
      <c r="P2" s="13" t="s">
        <v>684</v>
      </c>
    </row>
    <row r="3" spans="1:16" x14ac:dyDescent="0.3">
      <c r="A3" s="5">
        <v>45991</v>
      </c>
      <c r="B3" t="s">
        <v>699</v>
      </c>
      <c r="C3" s="4">
        <v>1925000</v>
      </c>
      <c r="D3" s="4">
        <v>3687000</v>
      </c>
      <c r="E3" s="4">
        <v>3687000</v>
      </c>
      <c r="F3" s="4">
        <v>3687000</v>
      </c>
      <c r="G3" s="4">
        <v>3687000</v>
      </c>
      <c r="H3" s="4">
        <v>3687000</v>
      </c>
      <c r="I3" s="4">
        <v>3687000</v>
      </c>
      <c r="J3" s="4">
        <v>3687000</v>
      </c>
      <c r="K3" s="4">
        <v>3687000</v>
      </c>
      <c r="L3" s="4">
        <v>3687000</v>
      </c>
      <c r="M3" s="4">
        <v>3887000</v>
      </c>
      <c r="N3" s="4">
        <v>4087000</v>
      </c>
      <c r="O3" s="4">
        <v>4287000</v>
      </c>
      <c r="P3" s="4">
        <v>4487000</v>
      </c>
    </row>
    <row r="4" spans="1:16" x14ac:dyDescent="0.3">
      <c r="A4" s="5">
        <v>45991</v>
      </c>
      <c r="B4" t="s">
        <v>663</v>
      </c>
      <c r="C4" s="4">
        <v>1682200</v>
      </c>
      <c r="D4" s="4">
        <v>1987000</v>
      </c>
      <c r="E4" s="4">
        <v>1673200</v>
      </c>
      <c r="F4" s="4">
        <v>2308000</v>
      </c>
      <c r="G4" s="4">
        <v>987650</v>
      </c>
      <c r="H4" s="4">
        <v>1973800</v>
      </c>
      <c r="I4" s="4">
        <v>1722550</v>
      </c>
      <c r="J4" s="4">
        <v>2052000</v>
      </c>
      <c r="K4" s="4">
        <v>1604600</v>
      </c>
      <c r="L4" s="4">
        <v>2054000</v>
      </c>
      <c r="M4" s="4">
        <v>1742500</v>
      </c>
      <c r="N4" s="4">
        <v>2012600</v>
      </c>
      <c r="O4" s="4">
        <v>1891450</v>
      </c>
      <c r="P4" s="4">
        <v>1983400</v>
      </c>
    </row>
    <row r="5" spans="1:16" x14ac:dyDescent="0.3">
      <c r="A5" s="5">
        <v>45991</v>
      </c>
      <c r="B5" t="s">
        <v>700</v>
      </c>
      <c r="C5" s="4">
        <v>0</v>
      </c>
      <c r="D5" s="4">
        <v>833447.06743019447</v>
      </c>
      <c r="E5" s="4">
        <v>854283.24411594868</v>
      </c>
      <c r="F5" s="4">
        <v>875640.32521884143</v>
      </c>
      <c r="G5" s="4">
        <v>363595.19694076478</v>
      </c>
      <c r="H5" s="4">
        <v>-906621.21327283978</v>
      </c>
      <c r="I5" s="4">
        <v>-883955.68294101954</v>
      </c>
      <c r="J5" s="4">
        <v>-861856.79086749256</v>
      </c>
      <c r="K5" s="4">
        <v>-840310.37109580636</v>
      </c>
      <c r="L5" s="4">
        <v>1587938.4903097153</v>
      </c>
      <c r="M5" s="4">
        <v>-343600.42963045835</v>
      </c>
      <c r="N5" s="4">
        <v>-340164.42533415556</v>
      </c>
      <c r="O5" s="4">
        <v>-336762.78108081594</v>
      </c>
      <c r="P5" s="4">
        <v>2594.0257573537529</v>
      </c>
    </row>
    <row r="6" spans="1:16" x14ac:dyDescent="0.3">
      <c r="A6" s="5">
        <v>45991</v>
      </c>
      <c r="B6" t="s">
        <v>701</v>
      </c>
      <c r="C6" s="4">
        <v>3607200</v>
      </c>
      <c r="D6" s="4">
        <v>6507447.0674301945</v>
      </c>
      <c r="E6" s="4">
        <v>6214483.2441159487</v>
      </c>
      <c r="F6" s="4">
        <v>6870640.3252188414</v>
      </c>
      <c r="G6" s="4">
        <v>5038245.1969407648</v>
      </c>
      <c r="H6" s="4">
        <v>4754178.7867271602</v>
      </c>
      <c r="I6" s="4">
        <v>4525594.3170589805</v>
      </c>
      <c r="J6" s="4">
        <v>4877143.2091325074</v>
      </c>
      <c r="K6" s="4">
        <v>4451289.6289041936</v>
      </c>
      <c r="L6" s="4">
        <v>7328938.4903097153</v>
      </c>
      <c r="M6" s="4">
        <v>5285899.5703695416</v>
      </c>
      <c r="N6" s="4">
        <v>5759435.5746658444</v>
      </c>
      <c r="O6" s="4">
        <v>5841687.2189191841</v>
      </c>
      <c r="P6" s="4">
        <v>6472994.0257573538</v>
      </c>
    </row>
    <row r="7" spans="1:16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53AD-6523-481E-9D4A-45C3F5DF9496}">
  <sheetPr>
    <tabColor theme="7" tint="0.39997558519241921"/>
  </sheetPr>
  <dimension ref="A1:P7"/>
  <sheetViews>
    <sheetView zoomScale="57" workbookViewId="0">
      <selection activeCell="A3" sqref="A3"/>
    </sheetView>
  </sheetViews>
  <sheetFormatPr defaultRowHeight="14.4" x14ac:dyDescent="0.3"/>
  <cols>
    <col min="1" max="1" width="20.44140625" customWidth="1"/>
    <col min="2" max="2" width="25.5546875" bestFit="1" customWidth="1"/>
    <col min="3" max="16" width="17.6640625" customWidth="1"/>
  </cols>
  <sheetData>
    <row r="1" spans="1:16" x14ac:dyDescent="0.3">
      <c r="C1" t="s">
        <v>653</v>
      </c>
      <c r="D1" t="s">
        <v>652</v>
      </c>
      <c r="E1" t="s">
        <v>652</v>
      </c>
      <c r="F1" t="s">
        <v>652</v>
      </c>
      <c r="G1" t="s">
        <v>652</v>
      </c>
      <c r="H1" t="s">
        <v>652</v>
      </c>
      <c r="I1" t="s">
        <v>652</v>
      </c>
      <c r="J1" t="s">
        <v>652</v>
      </c>
      <c r="K1" t="s">
        <v>652</v>
      </c>
      <c r="L1" t="s">
        <v>652</v>
      </c>
      <c r="M1" t="s">
        <v>652</v>
      </c>
      <c r="N1" t="s">
        <v>652</v>
      </c>
      <c r="O1" t="s">
        <v>652</v>
      </c>
      <c r="P1" t="s">
        <v>652</v>
      </c>
    </row>
    <row r="2" spans="1:16" x14ac:dyDescent="0.3">
      <c r="A2" t="s">
        <v>267</v>
      </c>
      <c r="B2" s="13" t="s">
        <v>333</v>
      </c>
      <c r="C2" s="13" t="s">
        <v>697</v>
      </c>
      <c r="D2" s="13" t="s">
        <v>696</v>
      </c>
      <c r="E2" s="13" t="s">
        <v>695</v>
      </c>
      <c r="F2" s="13" t="s">
        <v>694</v>
      </c>
      <c r="G2" s="13" t="s">
        <v>693</v>
      </c>
      <c r="H2" s="13" t="s">
        <v>692</v>
      </c>
      <c r="I2" s="13" t="s">
        <v>691</v>
      </c>
      <c r="J2" s="13" t="s">
        <v>690</v>
      </c>
      <c r="K2" s="13" t="s">
        <v>689</v>
      </c>
      <c r="L2" s="13" t="s">
        <v>688</v>
      </c>
      <c r="M2" s="13" t="s">
        <v>687</v>
      </c>
      <c r="N2" s="13" t="s">
        <v>686</v>
      </c>
      <c r="O2" s="13" t="s">
        <v>685</v>
      </c>
      <c r="P2" s="13" t="s">
        <v>684</v>
      </c>
    </row>
    <row r="3" spans="1:16" x14ac:dyDescent="0.3">
      <c r="A3" s="5">
        <v>45991</v>
      </c>
      <c r="B3" t="s">
        <v>706</v>
      </c>
      <c r="C3" s="10">
        <v>57714301</v>
      </c>
      <c r="D3" s="10">
        <v>58006255</v>
      </c>
      <c r="E3" s="10">
        <v>56006976</v>
      </c>
      <c r="F3" s="10">
        <v>58296445</v>
      </c>
      <c r="G3" s="10">
        <v>58115477</v>
      </c>
      <c r="H3" s="10">
        <v>56636738</v>
      </c>
      <c r="I3" s="10">
        <v>59268362</v>
      </c>
      <c r="J3" s="10">
        <v>58726021</v>
      </c>
      <c r="K3" s="10">
        <v>58694178</v>
      </c>
      <c r="L3" s="10">
        <v>60236661</v>
      </c>
      <c r="M3" s="10">
        <v>58578353</v>
      </c>
      <c r="N3" s="10">
        <v>59201035</v>
      </c>
      <c r="O3" s="10">
        <v>59842256</v>
      </c>
      <c r="P3" s="10">
        <v>60440678.560000002</v>
      </c>
    </row>
    <row r="4" spans="1:16" x14ac:dyDescent="0.3">
      <c r="A4" s="5">
        <v>45991</v>
      </c>
      <c r="B4" t="s">
        <v>705</v>
      </c>
      <c r="C4" s="10">
        <v>33337883</v>
      </c>
      <c r="D4" s="10">
        <v>36264849</v>
      </c>
      <c r="E4" s="10">
        <v>34360043</v>
      </c>
      <c r="F4" s="10">
        <v>33342109</v>
      </c>
      <c r="G4" s="10">
        <v>36707283</v>
      </c>
      <c r="H4" s="10">
        <v>32805538</v>
      </c>
      <c r="I4" s="10">
        <v>35881789</v>
      </c>
      <c r="J4" s="10">
        <v>39764008</v>
      </c>
      <c r="K4" s="10">
        <v>33381575</v>
      </c>
      <c r="L4" s="10">
        <v>37578480</v>
      </c>
      <c r="M4" s="10">
        <v>37028053</v>
      </c>
      <c r="N4" s="10">
        <v>34743026</v>
      </c>
      <c r="O4" s="10">
        <v>33707294</v>
      </c>
      <c r="P4" s="10">
        <v>33709888</v>
      </c>
    </row>
    <row r="5" spans="1:16" x14ac:dyDescent="0.3">
      <c r="A5" s="5">
        <v>45991</v>
      </c>
      <c r="B5" t="s">
        <v>704</v>
      </c>
      <c r="C5" s="10">
        <v>24376418</v>
      </c>
      <c r="D5" s="10">
        <v>21741406</v>
      </c>
      <c r="E5" s="10">
        <v>21646933</v>
      </c>
      <c r="F5" s="10">
        <v>24954335</v>
      </c>
      <c r="G5" s="10">
        <v>21408195</v>
      </c>
      <c r="H5" s="10">
        <v>23831200</v>
      </c>
      <c r="I5" s="10">
        <v>23386574</v>
      </c>
      <c r="J5" s="10">
        <v>18962013</v>
      </c>
      <c r="K5" s="10">
        <v>25312603</v>
      </c>
      <c r="L5" s="10">
        <v>22658181</v>
      </c>
      <c r="M5" s="10">
        <v>21550300</v>
      </c>
      <c r="N5" s="10">
        <v>24458009</v>
      </c>
      <c r="O5" s="10">
        <v>26134962</v>
      </c>
      <c r="P5" s="10">
        <v>26730790.560000002</v>
      </c>
    </row>
    <row r="6" spans="1:16" x14ac:dyDescent="0.3">
      <c r="A6" s="5">
        <v>45991</v>
      </c>
      <c r="B6" t="s">
        <v>703</v>
      </c>
      <c r="C6" s="10">
        <v>3607200</v>
      </c>
      <c r="D6" s="10">
        <v>6507447</v>
      </c>
      <c r="E6" s="10">
        <v>6214483</v>
      </c>
      <c r="F6" s="10">
        <v>6870640</v>
      </c>
      <c r="G6" s="10">
        <v>6389490</v>
      </c>
      <c r="H6" s="10">
        <v>5821358</v>
      </c>
      <c r="I6" s="10">
        <v>5364188</v>
      </c>
      <c r="J6" s="10">
        <v>6067286</v>
      </c>
      <c r="K6" s="10">
        <v>5215580</v>
      </c>
      <c r="L6" s="10">
        <v>10970876</v>
      </c>
      <c r="M6" s="10">
        <v>6684800</v>
      </c>
      <c r="N6" s="10">
        <v>7431872</v>
      </c>
      <c r="O6" s="10">
        <v>7396374</v>
      </c>
      <c r="P6" s="10">
        <v>8458988</v>
      </c>
    </row>
    <row r="7" spans="1:16" x14ac:dyDescent="0.3">
      <c r="A7" s="5">
        <v>45991</v>
      </c>
      <c r="B7" t="s">
        <v>702</v>
      </c>
      <c r="C7" s="10">
        <v>27983618</v>
      </c>
      <c r="D7" s="10">
        <v>28248853</v>
      </c>
      <c r="E7" s="10">
        <v>27861416</v>
      </c>
      <c r="F7" s="10">
        <v>31824975</v>
      </c>
      <c r="G7" s="10">
        <v>27797685</v>
      </c>
      <c r="H7" s="10">
        <v>29652558</v>
      </c>
      <c r="I7" s="10">
        <v>28750762</v>
      </c>
      <c r="J7" s="10">
        <v>25029299</v>
      </c>
      <c r="K7" s="10">
        <v>30528183</v>
      </c>
      <c r="L7" s="10">
        <v>33629057</v>
      </c>
      <c r="M7" s="10">
        <v>28235100</v>
      </c>
      <c r="N7" s="10">
        <v>31889881</v>
      </c>
      <c r="O7" s="10">
        <v>33531336</v>
      </c>
      <c r="P7" s="10">
        <v>35189778.560000002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AA01-5166-4724-A9CF-5C662B20F0E3}">
  <sheetPr>
    <tabColor theme="7" tint="0.39997558519241921"/>
  </sheetPr>
  <dimension ref="A1:F21"/>
  <sheetViews>
    <sheetView zoomScale="115" zoomScaleNormal="115" workbookViewId="0">
      <selection activeCell="C24" sqref="C24"/>
    </sheetView>
  </sheetViews>
  <sheetFormatPr defaultRowHeight="14.4" x14ac:dyDescent="0.3"/>
  <cols>
    <col min="1" max="1" width="10.88671875" bestFit="1" customWidth="1"/>
    <col min="2" max="2" width="31.109375" bestFit="1" customWidth="1"/>
    <col min="3" max="4" width="13.109375" bestFit="1" customWidth="1"/>
    <col min="5" max="5" width="11.44140625" bestFit="1" customWidth="1"/>
    <col min="6" max="6" width="10.21875" bestFit="1" customWidth="1"/>
  </cols>
  <sheetData>
    <row r="1" spans="1:6" x14ac:dyDescent="0.3">
      <c r="A1" t="s">
        <v>710</v>
      </c>
      <c r="B1" s="35" t="s">
        <v>333</v>
      </c>
      <c r="C1" s="35" t="s">
        <v>707</v>
      </c>
      <c r="D1" s="35" t="s">
        <v>653</v>
      </c>
      <c r="E1" s="35" t="s">
        <v>708</v>
      </c>
      <c r="F1" s="35" t="s">
        <v>709</v>
      </c>
    </row>
    <row r="2" spans="1:6" x14ac:dyDescent="0.3">
      <c r="A2" s="5">
        <v>45991</v>
      </c>
      <c r="B2" t="s">
        <v>681</v>
      </c>
      <c r="C2" s="10">
        <f>D2*0.985</f>
        <v>2117750</v>
      </c>
      <c r="D2" s="10">
        <v>2150000</v>
      </c>
      <c r="E2" s="10">
        <f>D2-C2</f>
        <v>32250</v>
      </c>
      <c r="F2" s="6">
        <f>E2/C2</f>
        <v>1.5228426395939087E-2</v>
      </c>
    </row>
    <row r="3" spans="1:6" x14ac:dyDescent="0.3">
      <c r="A3" s="5">
        <v>45991</v>
      </c>
      <c r="B3" t="s">
        <v>680</v>
      </c>
      <c r="C3" s="10">
        <v>0</v>
      </c>
      <c r="D3" s="10">
        <v>0</v>
      </c>
      <c r="E3" s="10">
        <f t="shared" ref="E3:E21" si="0">D3-C3</f>
        <v>0</v>
      </c>
      <c r="F3" s="6">
        <v>0</v>
      </c>
    </row>
    <row r="4" spans="1:6" s="1" customFormat="1" x14ac:dyDescent="0.3">
      <c r="A4" s="5">
        <v>45991</v>
      </c>
      <c r="B4" s="1" t="s">
        <v>679</v>
      </c>
      <c r="C4" s="36">
        <f>SUM(C2:C3)</f>
        <v>2117750</v>
      </c>
      <c r="D4" s="36">
        <f>SUM(D2:D3)</f>
        <v>2150000</v>
      </c>
      <c r="E4" s="36">
        <f t="shared" si="0"/>
        <v>32250</v>
      </c>
      <c r="F4" s="37">
        <f t="shared" ref="F4:F21" si="1">E4/C4</f>
        <v>1.5228426395939087E-2</v>
      </c>
    </row>
    <row r="5" spans="1:6" x14ac:dyDescent="0.3">
      <c r="A5" s="5">
        <v>45991</v>
      </c>
      <c r="B5" t="s">
        <v>678</v>
      </c>
      <c r="C5" s="10">
        <f>D5*0.98</f>
        <v>301644</v>
      </c>
      <c r="D5" s="10">
        <v>307800</v>
      </c>
      <c r="E5" s="10">
        <f t="shared" si="0"/>
        <v>6156</v>
      </c>
      <c r="F5" s="6">
        <f t="shared" si="1"/>
        <v>2.0408163265306121E-2</v>
      </c>
    </row>
    <row r="6" spans="1:6" x14ac:dyDescent="0.3">
      <c r="A6" s="5">
        <v>45991</v>
      </c>
      <c r="B6" t="s">
        <v>677</v>
      </c>
      <c r="C6" s="10">
        <v>0</v>
      </c>
      <c r="D6" s="10">
        <v>0</v>
      </c>
      <c r="E6" s="10">
        <f t="shared" si="0"/>
        <v>0</v>
      </c>
      <c r="F6" s="6">
        <v>0</v>
      </c>
    </row>
    <row r="7" spans="1:6" x14ac:dyDescent="0.3">
      <c r="A7" s="5">
        <v>45991</v>
      </c>
      <c r="B7" t="s">
        <v>698</v>
      </c>
      <c r="C7" s="10"/>
      <c r="D7" s="10">
        <v>0</v>
      </c>
      <c r="E7" s="10"/>
      <c r="F7" s="6">
        <v>0</v>
      </c>
    </row>
    <row r="8" spans="1:6" x14ac:dyDescent="0.3">
      <c r="A8" s="5">
        <v>45991</v>
      </c>
      <c r="B8" t="s">
        <v>676</v>
      </c>
      <c r="C8" s="10">
        <v>0</v>
      </c>
      <c r="D8" s="10">
        <v>0</v>
      </c>
      <c r="E8" s="10">
        <f t="shared" si="0"/>
        <v>0</v>
      </c>
      <c r="F8" s="6">
        <v>0</v>
      </c>
    </row>
    <row r="9" spans="1:6" x14ac:dyDescent="0.3">
      <c r="A9" s="5">
        <v>45991</v>
      </c>
      <c r="B9" t="s">
        <v>675</v>
      </c>
      <c r="C9" s="10">
        <v>0</v>
      </c>
      <c r="D9" s="10">
        <v>0</v>
      </c>
      <c r="E9" s="10">
        <f t="shared" si="0"/>
        <v>0</v>
      </c>
      <c r="F9" s="6">
        <v>0</v>
      </c>
    </row>
    <row r="10" spans="1:6" x14ac:dyDescent="0.3">
      <c r="A10" s="5">
        <v>45991</v>
      </c>
      <c r="B10" t="s">
        <v>674</v>
      </c>
      <c r="C10" s="10">
        <v>47000</v>
      </c>
      <c r="D10" s="10">
        <v>47000</v>
      </c>
      <c r="E10" s="10">
        <f t="shared" si="0"/>
        <v>0</v>
      </c>
      <c r="F10" s="6">
        <f t="shared" si="1"/>
        <v>0</v>
      </c>
    </row>
    <row r="11" spans="1:6" x14ac:dyDescent="0.3">
      <c r="A11" s="5">
        <v>45991</v>
      </c>
      <c r="B11" t="s">
        <v>673</v>
      </c>
      <c r="C11" s="10">
        <v>12500</v>
      </c>
      <c r="D11" s="10">
        <v>14000</v>
      </c>
      <c r="E11" s="10">
        <f t="shared" si="0"/>
        <v>1500</v>
      </c>
      <c r="F11" s="6">
        <f t="shared" si="1"/>
        <v>0.12</v>
      </c>
    </row>
    <row r="12" spans="1:6" x14ac:dyDescent="0.3">
      <c r="A12" s="5">
        <v>45991</v>
      </c>
      <c r="B12" t="s">
        <v>672</v>
      </c>
      <c r="C12" s="10">
        <v>26000</v>
      </c>
      <c r="D12" s="10">
        <v>23000</v>
      </c>
      <c r="E12" s="10">
        <f t="shared" si="0"/>
        <v>-3000</v>
      </c>
      <c r="F12" s="6">
        <f t="shared" si="1"/>
        <v>-0.11538461538461539</v>
      </c>
    </row>
    <row r="13" spans="1:6" x14ac:dyDescent="0.3">
      <c r="A13" s="5">
        <v>45991</v>
      </c>
      <c r="B13" t="s">
        <v>671</v>
      </c>
      <c r="C13" s="10">
        <v>51720</v>
      </c>
      <c r="D13" s="10">
        <v>56000</v>
      </c>
      <c r="E13" s="10">
        <f t="shared" si="0"/>
        <v>4280</v>
      </c>
      <c r="F13" s="6">
        <f t="shared" si="1"/>
        <v>8.2753286929621042E-2</v>
      </c>
    </row>
    <row r="14" spans="1:6" s="1" customFormat="1" x14ac:dyDescent="0.3">
      <c r="A14" s="5">
        <v>45991</v>
      </c>
      <c r="B14" s="1" t="s">
        <v>670</v>
      </c>
      <c r="C14" s="36">
        <f>SUM(C5:C13)</f>
        <v>438864</v>
      </c>
      <c r="D14" s="36">
        <f>SUM(D5:D13)</f>
        <v>447800</v>
      </c>
      <c r="E14" s="36">
        <f t="shared" si="0"/>
        <v>8936</v>
      </c>
      <c r="F14" s="37">
        <f t="shared" si="1"/>
        <v>2.0361661015713295E-2</v>
      </c>
    </row>
    <row r="15" spans="1:6" x14ac:dyDescent="0.3">
      <c r="A15" s="5">
        <v>45991</v>
      </c>
      <c r="B15" t="s">
        <v>669</v>
      </c>
      <c r="C15" s="10">
        <v>0</v>
      </c>
      <c r="D15" s="10">
        <v>0</v>
      </c>
      <c r="E15" s="10">
        <f t="shared" si="0"/>
        <v>0</v>
      </c>
      <c r="F15" s="6">
        <v>0</v>
      </c>
    </row>
    <row r="16" spans="1:6" x14ac:dyDescent="0.3">
      <c r="A16" s="5">
        <v>45991</v>
      </c>
      <c r="B16" t="s">
        <v>668</v>
      </c>
      <c r="C16" s="10">
        <v>0</v>
      </c>
      <c r="D16" s="10">
        <v>0</v>
      </c>
      <c r="E16" s="10">
        <f t="shared" si="0"/>
        <v>0</v>
      </c>
      <c r="F16" s="6">
        <v>0</v>
      </c>
    </row>
    <row r="17" spans="1:6" x14ac:dyDescent="0.3">
      <c r="A17" s="5">
        <v>45991</v>
      </c>
      <c r="B17" t="s">
        <v>667</v>
      </c>
      <c r="C17" s="10">
        <v>0</v>
      </c>
      <c r="D17" s="10">
        <v>0</v>
      </c>
      <c r="E17" s="10">
        <f t="shared" si="0"/>
        <v>0</v>
      </c>
      <c r="F17" s="6">
        <v>0</v>
      </c>
    </row>
    <row r="18" spans="1:6" x14ac:dyDescent="0.3">
      <c r="A18" s="5">
        <v>45991</v>
      </c>
      <c r="B18" t="s">
        <v>666</v>
      </c>
      <c r="C18" s="10">
        <v>20000</v>
      </c>
      <c r="D18" s="10">
        <v>20000</v>
      </c>
      <c r="E18" s="10">
        <f t="shared" si="0"/>
        <v>0</v>
      </c>
      <c r="F18" s="6">
        <f t="shared" si="1"/>
        <v>0</v>
      </c>
    </row>
    <row r="19" spans="1:6" s="1" customFormat="1" x14ac:dyDescent="0.3">
      <c r="A19" s="5">
        <v>45991</v>
      </c>
      <c r="B19" s="1" t="s">
        <v>665</v>
      </c>
      <c r="C19" s="36">
        <v>20000</v>
      </c>
      <c r="D19" s="36">
        <v>20000</v>
      </c>
      <c r="E19" s="36">
        <f t="shared" si="0"/>
        <v>0</v>
      </c>
      <c r="F19" s="6">
        <f t="shared" si="1"/>
        <v>0</v>
      </c>
    </row>
    <row r="20" spans="1:6" s="1" customFormat="1" x14ac:dyDescent="0.3">
      <c r="A20" s="5">
        <v>45991</v>
      </c>
      <c r="B20" s="1" t="s">
        <v>664</v>
      </c>
      <c r="C20" s="36">
        <f>C19+C14</f>
        <v>458864</v>
      </c>
      <c r="D20" s="36">
        <f>D19+D14</f>
        <v>467800</v>
      </c>
      <c r="E20" s="36">
        <f t="shared" si="0"/>
        <v>8936</v>
      </c>
      <c r="F20" s="37">
        <f t="shared" si="1"/>
        <v>1.9474179713379128E-2</v>
      </c>
    </row>
    <row r="21" spans="1:6" s="1" customFormat="1" x14ac:dyDescent="0.3">
      <c r="A21" s="5">
        <v>45991</v>
      </c>
      <c r="B21" s="1" t="s">
        <v>663</v>
      </c>
      <c r="C21" s="36">
        <f>C4-C20</f>
        <v>1658886</v>
      </c>
      <c r="D21" s="36">
        <f>D4-D20</f>
        <v>1682200</v>
      </c>
      <c r="E21" s="36">
        <f t="shared" si="0"/>
        <v>23314</v>
      </c>
      <c r="F21" s="37">
        <f t="shared" si="1"/>
        <v>1.4054009739065855E-2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81E9-71EB-45A3-BBF9-77327B2A8413}">
  <sheetPr>
    <tabColor theme="7" tint="0.39997558519241921"/>
  </sheetPr>
  <dimension ref="A1:H21"/>
  <sheetViews>
    <sheetView workbookViewId="0">
      <selection sqref="A1:A21"/>
    </sheetView>
  </sheetViews>
  <sheetFormatPr defaultRowHeight="14.4" x14ac:dyDescent="0.3"/>
  <cols>
    <col min="1" max="1" width="10.5546875" bestFit="1" customWidth="1"/>
    <col min="2" max="2" width="31.5546875" bestFit="1" customWidth="1"/>
    <col min="3" max="4" width="14.109375" bestFit="1" customWidth="1"/>
    <col min="5" max="5" width="11.44140625" bestFit="1" customWidth="1"/>
    <col min="6" max="6" width="10.21875" bestFit="1" customWidth="1"/>
    <col min="7" max="7" width="13.6640625" bestFit="1" customWidth="1"/>
  </cols>
  <sheetData>
    <row r="1" spans="1:8" x14ac:dyDescent="0.3">
      <c r="A1" t="s">
        <v>710</v>
      </c>
      <c r="B1" s="35" t="s">
        <v>333</v>
      </c>
      <c r="C1" s="35" t="s">
        <v>707</v>
      </c>
      <c r="D1" s="35" t="s">
        <v>653</v>
      </c>
      <c r="E1" s="35" t="s">
        <v>708</v>
      </c>
      <c r="F1" s="35" t="s">
        <v>709</v>
      </c>
    </row>
    <row r="2" spans="1:8" x14ac:dyDescent="0.3">
      <c r="A2" s="5">
        <v>45991</v>
      </c>
      <c r="B2" t="s">
        <v>681</v>
      </c>
      <c r="C2" s="4">
        <v>27530750</v>
      </c>
      <c r="D2" s="4">
        <v>27950000</v>
      </c>
      <c r="E2" s="4">
        <f>D2-C2</f>
        <v>419250</v>
      </c>
      <c r="F2" s="6">
        <f>E2/C2</f>
        <v>1.5228426395939087E-2</v>
      </c>
      <c r="G2" s="11"/>
      <c r="H2" s="11"/>
    </row>
    <row r="3" spans="1:8" x14ac:dyDescent="0.3">
      <c r="A3" s="5">
        <v>45991</v>
      </c>
      <c r="B3" t="s">
        <v>680</v>
      </c>
      <c r="C3" s="4">
        <v>0</v>
      </c>
      <c r="D3" s="4">
        <v>0</v>
      </c>
      <c r="E3" s="4">
        <f t="shared" ref="E3:E21" si="0">D3-C3</f>
        <v>0</v>
      </c>
      <c r="F3" s="6">
        <v>0</v>
      </c>
      <c r="G3" s="11"/>
      <c r="H3" s="11"/>
    </row>
    <row r="4" spans="1:8" x14ac:dyDescent="0.3">
      <c r="A4" s="5">
        <v>45991</v>
      </c>
      <c r="B4" s="1" t="s">
        <v>679</v>
      </c>
      <c r="C4" s="33">
        <v>27530750</v>
      </c>
      <c r="D4" s="33">
        <v>27950000</v>
      </c>
      <c r="E4" s="33">
        <f t="shared" si="0"/>
        <v>419250</v>
      </c>
      <c r="F4" s="37">
        <f t="shared" ref="F4:F21" si="1">E4/C4</f>
        <v>1.5228426395939087E-2</v>
      </c>
      <c r="G4" s="11"/>
      <c r="H4" s="11"/>
    </row>
    <row r="5" spans="1:8" x14ac:dyDescent="0.3">
      <c r="A5" s="5">
        <v>45991</v>
      </c>
      <c r="B5" t="s">
        <v>678</v>
      </c>
      <c r="C5" s="4">
        <v>3921372</v>
      </c>
      <c r="D5" s="4">
        <v>4001400</v>
      </c>
      <c r="E5" s="4">
        <f t="shared" si="0"/>
        <v>80028</v>
      </c>
      <c r="F5" s="6">
        <f t="shared" si="1"/>
        <v>2.0408163265306121E-2</v>
      </c>
      <c r="G5" s="11"/>
      <c r="H5" s="11"/>
    </row>
    <row r="6" spans="1:8" x14ac:dyDescent="0.3">
      <c r="A6" s="5">
        <v>45991</v>
      </c>
      <c r="B6" t="s">
        <v>677</v>
      </c>
      <c r="C6" s="4">
        <v>0</v>
      </c>
      <c r="D6" s="4">
        <v>0</v>
      </c>
      <c r="E6" s="4">
        <f t="shared" si="0"/>
        <v>0</v>
      </c>
      <c r="F6" s="6">
        <v>0</v>
      </c>
      <c r="G6" s="11"/>
      <c r="H6" s="11"/>
    </row>
    <row r="7" spans="1:8" x14ac:dyDescent="0.3">
      <c r="A7" s="5">
        <v>45991</v>
      </c>
      <c r="B7" t="s">
        <v>698</v>
      </c>
      <c r="C7" s="4">
        <v>0</v>
      </c>
      <c r="D7" s="4">
        <v>0</v>
      </c>
      <c r="E7" s="4"/>
      <c r="F7" s="6">
        <v>0</v>
      </c>
      <c r="G7" s="11"/>
      <c r="H7" s="11"/>
    </row>
    <row r="8" spans="1:8" x14ac:dyDescent="0.3">
      <c r="A8" s="5">
        <v>45991</v>
      </c>
      <c r="B8" t="s">
        <v>676</v>
      </c>
      <c r="C8" s="4">
        <v>0</v>
      </c>
      <c r="D8" s="4">
        <v>0</v>
      </c>
      <c r="E8" s="4">
        <f t="shared" si="0"/>
        <v>0</v>
      </c>
      <c r="F8" s="6">
        <v>0</v>
      </c>
      <c r="G8" s="11"/>
      <c r="H8" s="11"/>
    </row>
    <row r="9" spans="1:8" x14ac:dyDescent="0.3">
      <c r="A9" s="5">
        <v>45991</v>
      </c>
      <c r="B9" t="s">
        <v>675</v>
      </c>
      <c r="C9" s="4">
        <v>0</v>
      </c>
      <c r="D9" s="4">
        <v>0</v>
      </c>
      <c r="E9" s="4">
        <f t="shared" si="0"/>
        <v>0</v>
      </c>
      <c r="F9" s="6">
        <v>0</v>
      </c>
      <c r="G9" s="11"/>
      <c r="H9" s="11"/>
    </row>
    <row r="10" spans="1:8" x14ac:dyDescent="0.3">
      <c r="A10" s="5">
        <v>45991</v>
      </c>
      <c r="B10" t="s">
        <v>674</v>
      </c>
      <c r="C10" s="4">
        <v>611000</v>
      </c>
      <c r="D10" s="4">
        <v>611000</v>
      </c>
      <c r="E10" s="4">
        <f t="shared" si="0"/>
        <v>0</v>
      </c>
      <c r="F10" s="6">
        <f t="shared" si="1"/>
        <v>0</v>
      </c>
      <c r="G10" s="11"/>
      <c r="H10" s="11"/>
    </row>
    <row r="11" spans="1:8" x14ac:dyDescent="0.3">
      <c r="A11" s="5">
        <v>45991</v>
      </c>
      <c r="B11" t="s">
        <v>673</v>
      </c>
      <c r="C11" s="4">
        <v>162500</v>
      </c>
      <c r="D11" s="4">
        <v>182000</v>
      </c>
      <c r="E11" s="4">
        <f t="shared" si="0"/>
        <v>19500</v>
      </c>
      <c r="F11" s="6">
        <f t="shared" si="1"/>
        <v>0.12</v>
      </c>
      <c r="G11" s="11"/>
      <c r="H11" s="11"/>
    </row>
    <row r="12" spans="1:8" x14ac:dyDescent="0.3">
      <c r="A12" s="5">
        <v>45991</v>
      </c>
      <c r="B12" t="s">
        <v>672</v>
      </c>
      <c r="C12" s="4">
        <v>338000</v>
      </c>
      <c r="D12" s="4">
        <v>299000</v>
      </c>
      <c r="E12" s="4">
        <f t="shared" si="0"/>
        <v>-39000</v>
      </c>
      <c r="F12" s="6">
        <f t="shared" si="1"/>
        <v>-0.11538461538461539</v>
      </c>
      <c r="G12" s="11"/>
      <c r="H12" s="11"/>
    </row>
    <row r="13" spans="1:8" x14ac:dyDescent="0.3">
      <c r="A13" s="5">
        <v>45991</v>
      </c>
      <c r="B13" t="s">
        <v>671</v>
      </c>
      <c r="C13" s="4">
        <v>672360</v>
      </c>
      <c r="D13" s="4">
        <v>728000</v>
      </c>
      <c r="E13" s="4">
        <f t="shared" si="0"/>
        <v>55640</v>
      </c>
      <c r="F13" s="6">
        <f t="shared" si="1"/>
        <v>8.2753286929621042E-2</v>
      </c>
      <c r="G13" s="11"/>
      <c r="H13" s="11"/>
    </row>
    <row r="14" spans="1:8" x14ac:dyDescent="0.3">
      <c r="A14" s="5">
        <v>45991</v>
      </c>
      <c r="B14" s="1" t="s">
        <v>670</v>
      </c>
      <c r="C14" s="33">
        <v>5705232</v>
      </c>
      <c r="D14" s="33">
        <v>5821400</v>
      </c>
      <c r="E14" s="33">
        <f t="shared" si="0"/>
        <v>116168</v>
      </c>
      <c r="F14" s="37">
        <f t="shared" si="1"/>
        <v>2.0361661015713295E-2</v>
      </c>
      <c r="G14" s="11"/>
      <c r="H14" s="11"/>
    </row>
    <row r="15" spans="1:8" x14ac:dyDescent="0.3">
      <c r="A15" s="5">
        <v>45991</v>
      </c>
      <c r="B15" t="s">
        <v>669</v>
      </c>
      <c r="C15" s="4">
        <v>0</v>
      </c>
      <c r="D15" s="4">
        <v>0</v>
      </c>
      <c r="E15" s="4">
        <f t="shared" si="0"/>
        <v>0</v>
      </c>
      <c r="F15" s="6">
        <v>0</v>
      </c>
      <c r="G15" s="11"/>
      <c r="H15" s="11"/>
    </row>
    <row r="16" spans="1:8" x14ac:dyDescent="0.3">
      <c r="A16" s="5">
        <v>45991</v>
      </c>
      <c r="B16" t="s">
        <v>668</v>
      </c>
      <c r="C16" s="4">
        <v>0</v>
      </c>
      <c r="D16" s="4">
        <v>0</v>
      </c>
      <c r="E16" s="4">
        <f t="shared" si="0"/>
        <v>0</v>
      </c>
      <c r="F16" s="6">
        <v>0</v>
      </c>
      <c r="G16" s="11"/>
      <c r="H16" s="11"/>
    </row>
    <row r="17" spans="1:8" x14ac:dyDescent="0.3">
      <c r="A17" s="5">
        <v>45991</v>
      </c>
      <c r="B17" t="s">
        <v>667</v>
      </c>
      <c r="C17" s="4">
        <v>0</v>
      </c>
      <c r="D17" s="4">
        <v>0</v>
      </c>
      <c r="E17" s="4">
        <f t="shared" si="0"/>
        <v>0</v>
      </c>
      <c r="F17" s="6">
        <v>0</v>
      </c>
      <c r="G17" s="11"/>
      <c r="H17" s="11"/>
    </row>
    <row r="18" spans="1:8" x14ac:dyDescent="0.3">
      <c r="A18" s="5">
        <v>45991</v>
      </c>
      <c r="B18" t="s">
        <v>666</v>
      </c>
      <c r="C18" s="4">
        <v>260000</v>
      </c>
      <c r="D18" s="4">
        <v>260000</v>
      </c>
      <c r="E18" s="4">
        <f t="shared" si="0"/>
        <v>0</v>
      </c>
      <c r="F18" s="6">
        <f t="shared" si="1"/>
        <v>0</v>
      </c>
      <c r="G18" s="11"/>
      <c r="H18" s="11"/>
    </row>
    <row r="19" spans="1:8" x14ac:dyDescent="0.3">
      <c r="A19" s="5">
        <v>45991</v>
      </c>
      <c r="B19" s="1" t="s">
        <v>665</v>
      </c>
      <c r="C19" s="33">
        <v>260000</v>
      </c>
      <c r="D19" s="33">
        <v>260000</v>
      </c>
      <c r="E19" s="33">
        <f t="shared" si="0"/>
        <v>0</v>
      </c>
      <c r="F19" s="6">
        <f t="shared" si="1"/>
        <v>0</v>
      </c>
      <c r="G19" s="11"/>
      <c r="H19" s="11"/>
    </row>
    <row r="20" spans="1:8" x14ac:dyDescent="0.3">
      <c r="A20" s="5">
        <v>45991</v>
      </c>
      <c r="B20" s="1" t="s">
        <v>664</v>
      </c>
      <c r="C20" s="33">
        <v>5965232</v>
      </c>
      <c r="D20" s="33">
        <v>6081400</v>
      </c>
      <c r="E20" s="33">
        <f t="shared" si="0"/>
        <v>116168</v>
      </c>
      <c r="F20" s="37">
        <f t="shared" si="1"/>
        <v>1.9474179713379128E-2</v>
      </c>
      <c r="G20" s="11"/>
      <c r="H20" s="11"/>
    </row>
    <row r="21" spans="1:8" x14ac:dyDescent="0.3">
      <c r="A21" s="5">
        <v>45991</v>
      </c>
      <c r="B21" s="1" t="s">
        <v>663</v>
      </c>
      <c r="C21" s="33">
        <v>21565518</v>
      </c>
      <c r="D21" s="33">
        <v>21868600</v>
      </c>
      <c r="E21" s="33">
        <f t="shared" si="0"/>
        <v>303082</v>
      </c>
      <c r="F21" s="37">
        <f t="shared" si="1"/>
        <v>1.4054009739065855E-2</v>
      </c>
      <c r="G21" s="11"/>
      <c r="H21" s="1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7508-C1C3-4D6E-B3F8-C32F3DACFF16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A82D-5216-42A4-9406-FEF5E2714184}">
  <dimension ref="A1:E13"/>
  <sheetViews>
    <sheetView workbookViewId="0">
      <selection activeCell="G18" sqref="G18"/>
    </sheetView>
  </sheetViews>
  <sheetFormatPr defaultRowHeight="14.4" x14ac:dyDescent="0.3"/>
  <cols>
    <col min="1" max="1" width="11.6640625" bestFit="1" customWidth="1"/>
    <col min="2" max="2" width="18.33203125" bestFit="1" customWidth="1"/>
    <col min="3" max="3" width="17.44140625" bestFit="1" customWidth="1"/>
    <col min="4" max="4" width="11.44140625" bestFit="1" customWidth="1"/>
    <col min="5" max="5" width="6.88671875" bestFit="1" customWidth="1"/>
  </cols>
  <sheetData>
    <row r="1" spans="1:5" x14ac:dyDescent="0.3">
      <c r="A1" s="1" t="s">
        <v>22</v>
      </c>
      <c r="B1" s="1" t="s">
        <v>711</v>
      </c>
      <c r="C1" s="1" t="s">
        <v>712</v>
      </c>
      <c r="D1" s="1" t="s">
        <v>713</v>
      </c>
      <c r="E1" s="1" t="s">
        <v>714</v>
      </c>
    </row>
    <row r="2" spans="1:5" x14ac:dyDescent="0.3">
      <c r="A2" t="s">
        <v>192</v>
      </c>
      <c r="B2" t="s">
        <v>715</v>
      </c>
      <c r="C2" t="str">
        <f>B2</f>
        <v xml:space="preserve">Accounts Receivable </v>
      </c>
      <c r="D2" s="38">
        <v>50000000</v>
      </c>
      <c r="E2" s="3">
        <v>0.9</v>
      </c>
    </row>
    <row r="3" spans="1:5" x14ac:dyDescent="0.3">
      <c r="A3" t="s">
        <v>192</v>
      </c>
      <c r="B3" t="s">
        <v>716</v>
      </c>
      <c r="C3" t="str">
        <f t="shared" ref="C3:C13" si="0">B3</f>
        <v xml:space="preserve">Finished Goods </v>
      </c>
      <c r="D3" s="38">
        <v>30000000</v>
      </c>
      <c r="E3" s="3">
        <v>1</v>
      </c>
    </row>
    <row r="4" spans="1:5" x14ac:dyDescent="0.3">
      <c r="A4" t="s">
        <v>192</v>
      </c>
      <c r="B4" t="s">
        <v>51</v>
      </c>
      <c r="C4" t="str">
        <f t="shared" si="0"/>
        <v>Work-In-Process</v>
      </c>
      <c r="D4" s="38">
        <f>D3-25000000</f>
        <v>5000000</v>
      </c>
      <c r="E4" s="3">
        <v>0.4</v>
      </c>
    </row>
    <row r="5" spans="1:5" x14ac:dyDescent="0.3">
      <c r="A5" t="s">
        <v>192</v>
      </c>
      <c r="B5" t="s">
        <v>50</v>
      </c>
      <c r="C5" t="str">
        <f t="shared" si="0"/>
        <v xml:space="preserve">Raw Materials </v>
      </c>
      <c r="D5" s="38">
        <f>D3-15000000</f>
        <v>15000000</v>
      </c>
      <c r="E5" s="3">
        <v>0.5</v>
      </c>
    </row>
    <row r="6" spans="1:5" x14ac:dyDescent="0.3">
      <c r="A6" t="s">
        <v>191</v>
      </c>
      <c r="B6" t="s">
        <v>715</v>
      </c>
      <c r="C6" t="str">
        <f t="shared" si="0"/>
        <v xml:space="preserve">Accounts Receivable </v>
      </c>
      <c r="D6" s="38">
        <v>50000000</v>
      </c>
      <c r="E6" s="3">
        <v>0.9</v>
      </c>
    </row>
    <row r="7" spans="1:5" x14ac:dyDescent="0.3">
      <c r="A7" t="s">
        <v>191</v>
      </c>
      <c r="B7" t="s">
        <v>716</v>
      </c>
      <c r="C7" t="str">
        <f t="shared" si="0"/>
        <v xml:space="preserve">Finished Goods </v>
      </c>
      <c r="D7" s="38">
        <v>30000000</v>
      </c>
      <c r="E7" s="3">
        <v>1</v>
      </c>
    </row>
    <row r="8" spans="1:5" x14ac:dyDescent="0.3">
      <c r="A8" t="s">
        <v>191</v>
      </c>
      <c r="B8" t="s">
        <v>51</v>
      </c>
      <c r="C8" t="str">
        <f t="shared" si="0"/>
        <v>Work-In-Process</v>
      </c>
      <c r="D8" s="38">
        <f>D7-25000000</f>
        <v>5000000</v>
      </c>
      <c r="E8" s="3">
        <v>0.4</v>
      </c>
    </row>
    <row r="9" spans="1:5" x14ac:dyDescent="0.3">
      <c r="A9" t="s">
        <v>191</v>
      </c>
      <c r="B9" t="s">
        <v>50</v>
      </c>
      <c r="C9" t="str">
        <f t="shared" si="0"/>
        <v xml:space="preserve">Raw Materials </v>
      </c>
      <c r="D9" s="38">
        <f>D7-15000000</f>
        <v>15000000</v>
      </c>
      <c r="E9" s="3">
        <v>0.5</v>
      </c>
    </row>
    <row r="10" spans="1:5" x14ac:dyDescent="0.3">
      <c r="A10" t="s">
        <v>193</v>
      </c>
      <c r="B10" t="s">
        <v>715</v>
      </c>
      <c r="C10" t="str">
        <f t="shared" si="0"/>
        <v xml:space="preserve">Accounts Receivable </v>
      </c>
      <c r="D10" s="38">
        <v>50000000</v>
      </c>
      <c r="E10" s="3">
        <v>0.9</v>
      </c>
    </row>
    <row r="11" spans="1:5" x14ac:dyDescent="0.3">
      <c r="A11" t="s">
        <v>193</v>
      </c>
      <c r="B11" t="s">
        <v>716</v>
      </c>
      <c r="C11" t="str">
        <f t="shared" si="0"/>
        <v xml:space="preserve">Finished Goods </v>
      </c>
      <c r="D11" s="38">
        <v>30000000</v>
      </c>
      <c r="E11" s="3">
        <v>1</v>
      </c>
    </row>
    <row r="12" spans="1:5" x14ac:dyDescent="0.3">
      <c r="A12" t="s">
        <v>193</v>
      </c>
      <c r="B12" t="s">
        <v>51</v>
      </c>
      <c r="C12" t="str">
        <f t="shared" si="0"/>
        <v>Work-In-Process</v>
      </c>
      <c r="D12" s="38">
        <f>D11-25000000</f>
        <v>5000000</v>
      </c>
      <c r="E12" s="3">
        <v>0.4</v>
      </c>
    </row>
    <row r="13" spans="1:5" x14ac:dyDescent="0.3">
      <c r="A13" t="s">
        <v>193</v>
      </c>
      <c r="B13" t="s">
        <v>50</v>
      </c>
      <c r="C13" t="str">
        <f t="shared" si="0"/>
        <v xml:space="preserve">Raw Materials </v>
      </c>
      <c r="D13" s="38">
        <f>D11-15000000</f>
        <v>15000000</v>
      </c>
      <c r="E13" s="3">
        <v>0.5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A84E-6740-4B7B-B4FD-E2C2B0C0AB1C}">
  <dimension ref="A1:C93"/>
  <sheetViews>
    <sheetView workbookViewId="0">
      <selection activeCell="H16" sqref="H16"/>
    </sheetView>
  </sheetViews>
  <sheetFormatPr defaultRowHeight="14.4" x14ac:dyDescent="0.3"/>
  <cols>
    <col min="1" max="1" width="11.6640625" bestFit="1" customWidth="1"/>
    <col min="2" max="2" width="18.33203125" bestFit="1" customWidth="1"/>
    <col min="3" max="3" width="20.5546875" bestFit="1" customWidth="1"/>
  </cols>
  <sheetData>
    <row r="1" spans="1:3" x14ac:dyDescent="0.3">
      <c r="A1" s="40" t="s">
        <v>22</v>
      </c>
      <c r="B1" s="40" t="s">
        <v>711</v>
      </c>
      <c r="C1" s="40" t="s">
        <v>712</v>
      </c>
    </row>
    <row r="2" spans="1:3" x14ac:dyDescent="0.3">
      <c r="A2" t="s">
        <v>192</v>
      </c>
      <c r="B2" t="s">
        <v>715</v>
      </c>
      <c r="C2" s="39" t="s">
        <v>276</v>
      </c>
    </row>
    <row r="3" spans="1:3" x14ac:dyDescent="0.3">
      <c r="C3" s="39" t="s">
        <v>275</v>
      </c>
    </row>
    <row r="4" spans="1:3" x14ac:dyDescent="0.3">
      <c r="C4" s="39" t="s">
        <v>274</v>
      </c>
    </row>
    <row r="5" spans="1:3" x14ac:dyDescent="0.3">
      <c r="C5" s="39" t="s">
        <v>273</v>
      </c>
    </row>
    <row r="6" spans="1:3" x14ac:dyDescent="0.3">
      <c r="C6" s="39" t="s">
        <v>272</v>
      </c>
    </row>
    <row r="7" spans="1:3" x14ac:dyDescent="0.3">
      <c r="C7" s="39" t="s">
        <v>271</v>
      </c>
    </row>
    <row r="8" spans="1:3" x14ac:dyDescent="0.3">
      <c r="C8" s="39" t="s">
        <v>270</v>
      </c>
    </row>
    <row r="9" spans="1:3" x14ac:dyDescent="0.3">
      <c r="C9" s="39" t="s">
        <v>269</v>
      </c>
    </row>
    <row r="10" spans="1:3" x14ac:dyDescent="0.3">
      <c r="C10" s="39" t="s">
        <v>268</v>
      </c>
    </row>
    <row r="11" spans="1:3" x14ac:dyDescent="0.3">
      <c r="C11" s="39"/>
    </row>
    <row r="12" spans="1:3" x14ac:dyDescent="0.3">
      <c r="B12" t="s">
        <v>716</v>
      </c>
      <c r="C12" t="s">
        <v>297</v>
      </c>
    </row>
    <row r="13" spans="1:3" x14ac:dyDescent="0.3">
      <c r="C13" t="s">
        <v>296</v>
      </c>
    </row>
    <row r="14" spans="1:3" x14ac:dyDescent="0.3">
      <c r="C14" t="s">
        <v>295</v>
      </c>
    </row>
    <row r="15" spans="1:3" x14ac:dyDescent="0.3">
      <c r="C15" t="s">
        <v>294</v>
      </c>
    </row>
    <row r="16" spans="1:3" x14ac:dyDescent="0.3">
      <c r="C16" t="s">
        <v>293</v>
      </c>
    </row>
    <row r="17" spans="2:3" x14ac:dyDescent="0.3">
      <c r="C17" t="s">
        <v>292</v>
      </c>
    </row>
    <row r="19" spans="2:3" x14ac:dyDescent="0.3">
      <c r="B19" t="s">
        <v>51</v>
      </c>
      <c r="C19" t="s">
        <v>297</v>
      </c>
    </row>
    <row r="20" spans="2:3" x14ac:dyDescent="0.3">
      <c r="C20" t="s">
        <v>296</v>
      </c>
    </row>
    <row r="21" spans="2:3" x14ac:dyDescent="0.3">
      <c r="C21" t="s">
        <v>295</v>
      </c>
    </row>
    <row r="22" spans="2:3" x14ac:dyDescent="0.3">
      <c r="C22" t="s">
        <v>294</v>
      </c>
    </row>
    <row r="23" spans="2:3" x14ac:dyDescent="0.3">
      <c r="C23" t="s">
        <v>293</v>
      </c>
    </row>
    <row r="24" spans="2:3" x14ac:dyDescent="0.3">
      <c r="C24" t="s">
        <v>292</v>
      </c>
    </row>
    <row r="26" spans="2:3" x14ac:dyDescent="0.3">
      <c r="B26" t="s">
        <v>50</v>
      </c>
      <c r="C26" t="s">
        <v>297</v>
      </c>
    </row>
    <row r="27" spans="2:3" x14ac:dyDescent="0.3">
      <c r="C27" t="s">
        <v>296</v>
      </c>
    </row>
    <row r="28" spans="2:3" x14ac:dyDescent="0.3">
      <c r="C28" t="s">
        <v>295</v>
      </c>
    </row>
    <row r="29" spans="2:3" x14ac:dyDescent="0.3">
      <c r="C29" t="s">
        <v>294</v>
      </c>
    </row>
    <row r="30" spans="2:3" x14ac:dyDescent="0.3">
      <c r="C30" t="s">
        <v>293</v>
      </c>
    </row>
    <row r="31" spans="2:3" x14ac:dyDescent="0.3">
      <c r="C31" t="s">
        <v>292</v>
      </c>
    </row>
    <row r="33" spans="1:3" x14ac:dyDescent="0.3">
      <c r="A33" t="s">
        <v>191</v>
      </c>
      <c r="B33" t="s">
        <v>715</v>
      </c>
      <c r="C33" s="39" t="s">
        <v>276</v>
      </c>
    </row>
    <row r="34" spans="1:3" x14ac:dyDescent="0.3">
      <c r="C34" s="39" t="s">
        <v>275</v>
      </c>
    </row>
    <row r="35" spans="1:3" x14ac:dyDescent="0.3">
      <c r="C35" s="39" t="s">
        <v>274</v>
      </c>
    </row>
    <row r="36" spans="1:3" x14ac:dyDescent="0.3">
      <c r="C36" s="39" t="s">
        <v>273</v>
      </c>
    </row>
    <row r="37" spans="1:3" x14ac:dyDescent="0.3">
      <c r="C37" s="39" t="s">
        <v>272</v>
      </c>
    </row>
    <row r="38" spans="1:3" x14ac:dyDescent="0.3">
      <c r="C38" s="39" t="s">
        <v>271</v>
      </c>
    </row>
    <row r="39" spans="1:3" x14ac:dyDescent="0.3">
      <c r="C39" s="39" t="s">
        <v>270</v>
      </c>
    </row>
    <row r="40" spans="1:3" x14ac:dyDescent="0.3">
      <c r="C40" s="39" t="s">
        <v>269</v>
      </c>
    </row>
    <row r="41" spans="1:3" x14ac:dyDescent="0.3">
      <c r="C41" s="39" t="s">
        <v>268</v>
      </c>
    </row>
    <row r="42" spans="1:3" x14ac:dyDescent="0.3">
      <c r="C42" s="39"/>
    </row>
    <row r="43" spans="1:3" x14ac:dyDescent="0.3">
      <c r="B43" t="s">
        <v>716</v>
      </c>
      <c r="C43" t="s">
        <v>297</v>
      </c>
    </row>
    <row r="44" spans="1:3" x14ac:dyDescent="0.3">
      <c r="C44" t="s">
        <v>296</v>
      </c>
    </row>
    <row r="45" spans="1:3" x14ac:dyDescent="0.3">
      <c r="C45" t="s">
        <v>295</v>
      </c>
    </row>
    <row r="46" spans="1:3" x14ac:dyDescent="0.3">
      <c r="C46" t="s">
        <v>294</v>
      </c>
    </row>
    <row r="47" spans="1:3" x14ac:dyDescent="0.3">
      <c r="C47" t="s">
        <v>293</v>
      </c>
    </row>
    <row r="48" spans="1:3" x14ac:dyDescent="0.3">
      <c r="C48" t="s">
        <v>292</v>
      </c>
    </row>
    <row r="50" spans="1:3" x14ac:dyDescent="0.3">
      <c r="B50" t="s">
        <v>51</v>
      </c>
      <c r="C50" t="s">
        <v>297</v>
      </c>
    </row>
    <row r="51" spans="1:3" x14ac:dyDescent="0.3">
      <c r="C51" t="s">
        <v>296</v>
      </c>
    </row>
    <row r="52" spans="1:3" x14ac:dyDescent="0.3">
      <c r="C52" t="s">
        <v>295</v>
      </c>
    </row>
    <row r="53" spans="1:3" x14ac:dyDescent="0.3">
      <c r="C53" t="s">
        <v>294</v>
      </c>
    </row>
    <row r="54" spans="1:3" x14ac:dyDescent="0.3">
      <c r="C54" t="s">
        <v>293</v>
      </c>
    </row>
    <row r="55" spans="1:3" x14ac:dyDescent="0.3">
      <c r="C55" t="s">
        <v>292</v>
      </c>
    </row>
    <row r="57" spans="1:3" x14ac:dyDescent="0.3">
      <c r="B57" t="s">
        <v>50</v>
      </c>
      <c r="C57" t="s">
        <v>297</v>
      </c>
    </row>
    <row r="58" spans="1:3" x14ac:dyDescent="0.3">
      <c r="C58" t="s">
        <v>296</v>
      </c>
    </row>
    <row r="59" spans="1:3" x14ac:dyDescent="0.3">
      <c r="C59" t="s">
        <v>295</v>
      </c>
    </row>
    <row r="60" spans="1:3" x14ac:dyDescent="0.3">
      <c r="C60" t="s">
        <v>294</v>
      </c>
    </row>
    <row r="61" spans="1:3" x14ac:dyDescent="0.3">
      <c r="C61" t="s">
        <v>293</v>
      </c>
    </row>
    <row r="62" spans="1:3" x14ac:dyDescent="0.3">
      <c r="C62" t="s">
        <v>292</v>
      </c>
    </row>
    <row r="64" spans="1:3" x14ac:dyDescent="0.3">
      <c r="A64" t="s">
        <v>193</v>
      </c>
      <c r="B64" t="s">
        <v>715</v>
      </c>
      <c r="C64" s="39" t="s">
        <v>276</v>
      </c>
    </row>
    <row r="65" spans="2:3" x14ac:dyDescent="0.3">
      <c r="C65" s="39" t="s">
        <v>275</v>
      </c>
    </row>
    <row r="66" spans="2:3" x14ac:dyDescent="0.3">
      <c r="C66" s="39" t="s">
        <v>274</v>
      </c>
    </row>
    <row r="67" spans="2:3" x14ac:dyDescent="0.3">
      <c r="C67" s="39" t="s">
        <v>273</v>
      </c>
    </row>
    <row r="68" spans="2:3" x14ac:dyDescent="0.3">
      <c r="C68" s="39" t="s">
        <v>272</v>
      </c>
    </row>
    <row r="69" spans="2:3" x14ac:dyDescent="0.3">
      <c r="C69" s="39" t="s">
        <v>271</v>
      </c>
    </row>
    <row r="70" spans="2:3" x14ac:dyDescent="0.3">
      <c r="C70" s="39" t="s">
        <v>270</v>
      </c>
    </row>
    <row r="71" spans="2:3" x14ac:dyDescent="0.3">
      <c r="C71" s="39" t="s">
        <v>269</v>
      </c>
    </row>
    <row r="72" spans="2:3" x14ac:dyDescent="0.3">
      <c r="C72" s="39" t="s">
        <v>268</v>
      </c>
    </row>
    <row r="73" spans="2:3" x14ac:dyDescent="0.3">
      <c r="C73" s="39"/>
    </row>
    <row r="74" spans="2:3" x14ac:dyDescent="0.3">
      <c r="B74" t="s">
        <v>716</v>
      </c>
      <c r="C74" t="s">
        <v>297</v>
      </c>
    </row>
    <row r="75" spans="2:3" x14ac:dyDescent="0.3">
      <c r="C75" t="s">
        <v>296</v>
      </c>
    </row>
    <row r="76" spans="2:3" x14ac:dyDescent="0.3">
      <c r="C76" t="s">
        <v>295</v>
      </c>
    </row>
    <row r="77" spans="2:3" x14ac:dyDescent="0.3">
      <c r="C77" t="s">
        <v>294</v>
      </c>
    </row>
    <row r="78" spans="2:3" x14ac:dyDescent="0.3">
      <c r="C78" t="s">
        <v>293</v>
      </c>
    </row>
    <row r="79" spans="2:3" x14ac:dyDescent="0.3">
      <c r="C79" t="s">
        <v>292</v>
      </c>
    </row>
    <row r="81" spans="2:3" x14ac:dyDescent="0.3">
      <c r="B81" t="s">
        <v>51</v>
      </c>
      <c r="C81" t="s">
        <v>297</v>
      </c>
    </row>
    <row r="82" spans="2:3" x14ac:dyDescent="0.3">
      <c r="C82" t="s">
        <v>296</v>
      </c>
    </row>
    <row r="83" spans="2:3" x14ac:dyDescent="0.3">
      <c r="C83" t="s">
        <v>295</v>
      </c>
    </row>
    <row r="84" spans="2:3" x14ac:dyDescent="0.3">
      <c r="C84" t="s">
        <v>294</v>
      </c>
    </row>
    <row r="85" spans="2:3" x14ac:dyDescent="0.3">
      <c r="C85" t="s">
        <v>293</v>
      </c>
    </row>
    <row r="86" spans="2:3" x14ac:dyDescent="0.3">
      <c r="C86" t="s">
        <v>292</v>
      </c>
    </row>
    <row r="88" spans="2:3" x14ac:dyDescent="0.3">
      <c r="B88" t="s">
        <v>50</v>
      </c>
      <c r="C88" t="s">
        <v>297</v>
      </c>
    </row>
    <row r="89" spans="2:3" x14ac:dyDescent="0.3">
      <c r="C89" t="s">
        <v>296</v>
      </c>
    </row>
    <row r="90" spans="2:3" x14ac:dyDescent="0.3">
      <c r="C90" t="s">
        <v>295</v>
      </c>
    </row>
    <row r="91" spans="2:3" x14ac:dyDescent="0.3">
      <c r="C91" t="s">
        <v>294</v>
      </c>
    </row>
    <row r="92" spans="2:3" x14ac:dyDescent="0.3">
      <c r="C92" t="s">
        <v>293</v>
      </c>
    </row>
    <row r="93" spans="2:3" x14ac:dyDescent="0.3">
      <c r="C9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Borrower Overview</vt:lpstr>
      <vt:lpstr>Collateral Overview</vt:lpstr>
      <vt:lpstr>Machinery &amp; Equipment &gt;&gt;&gt;</vt:lpstr>
      <vt:lpstr>Machinery &amp; Equipment </vt:lpstr>
      <vt:lpstr>Accounts Receivable &gt;&gt;&gt;</vt:lpstr>
      <vt:lpstr>Aging Composition</vt:lpstr>
      <vt:lpstr>AR_Metrics</vt:lpstr>
      <vt:lpstr>Top20_By_Total_AR</vt:lpstr>
      <vt:lpstr>Top20_By_PastDue</vt:lpstr>
      <vt:lpstr>Ineligible_Trend</vt:lpstr>
      <vt:lpstr>Ineligible_Overview</vt:lpstr>
      <vt:lpstr>Concentration_ADO_DSO</vt:lpstr>
      <vt:lpstr>Inveentory&gt;&gt;&gt;</vt:lpstr>
      <vt:lpstr>Finished Goods &gt;&gt;&gt;</vt:lpstr>
      <vt:lpstr>FG_Inventory_Metrics</vt:lpstr>
      <vt:lpstr>FG_Ineligible_detail</vt:lpstr>
      <vt:lpstr>FG_Composition</vt:lpstr>
      <vt:lpstr>FG_Inline_Category_Analysis</vt:lpstr>
      <vt:lpstr>Sales_GM_Trend</vt:lpstr>
      <vt:lpstr>FG_Inline_Excess_By_Category</vt:lpstr>
      <vt:lpstr>Historical_Top_20_SKUs</vt:lpstr>
      <vt:lpstr>Raw Materials &gt;&gt;&gt;</vt:lpstr>
      <vt:lpstr>RM_Inventory_Metrics</vt:lpstr>
      <vt:lpstr>RM_Ineligible_Overview</vt:lpstr>
      <vt:lpstr>RM_Category_History</vt:lpstr>
      <vt:lpstr>RM_Top20_History</vt:lpstr>
      <vt:lpstr>Work-In-Process&gt;&gt;&gt;</vt:lpstr>
      <vt:lpstr>WIP_Inventory_Metrics</vt:lpstr>
      <vt:lpstr>WIP_Ineligible_Overview</vt:lpstr>
      <vt:lpstr>WIP_Category_History</vt:lpstr>
      <vt:lpstr>WIP_Top20_History</vt:lpstr>
      <vt:lpstr>Liquidation&gt;&gt;&gt;</vt:lpstr>
      <vt:lpstr>FG_Gross_Recovery_History</vt:lpstr>
      <vt:lpstr>WIP_Recovery</vt:lpstr>
      <vt:lpstr>Raw_Material_Recovery</vt:lpstr>
      <vt:lpstr>NOLV_Table</vt:lpstr>
      <vt:lpstr>Risk&gt;&gt;&gt;</vt:lpstr>
      <vt:lpstr>Risk_Subfactors</vt:lpstr>
      <vt:lpstr>Composite_Index</vt:lpstr>
      <vt:lpstr>Forecast&gt;&gt;&gt;</vt:lpstr>
      <vt:lpstr>Forecast</vt:lpstr>
      <vt:lpstr>Cash Flow&gt;&gt;&gt;</vt:lpstr>
      <vt:lpstr>Cash Flow Forecast</vt:lpstr>
      <vt:lpstr>Cash Forecast</vt:lpstr>
      <vt:lpstr>Availability Forecast</vt:lpstr>
      <vt:lpstr>Current Week Variance</vt:lpstr>
      <vt:lpstr>Cummulative Variance</vt:lpstr>
      <vt:lpstr>Collateral Limits&gt;&gt;&gt;</vt:lpstr>
      <vt:lpstr>Collateral Limits </vt:lpstr>
      <vt:lpstr>Ineligibles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Christie</cp:lastModifiedBy>
  <dcterms:created xsi:type="dcterms:W3CDTF">2025-11-13T22:25:58Z</dcterms:created>
  <dcterms:modified xsi:type="dcterms:W3CDTF">2025-12-07T03:25:02Z</dcterms:modified>
</cp:coreProperties>
</file>